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3F6CC19-378C-44AD-A59A-E75E88E4E36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3" l="1"/>
  <c r="J7" i="62"/>
  <c r="M21" i="44"/>
  <c r="O21" i="44" s="1"/>
  <c r="P21" i="44" s="1"/>
  <c r="K12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<sst xmlns="http://schemas.openxmlformats.org/spreadsheetml/2006/main" count="3948" uniqueCount="524">
  <si>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</si>
  <si>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</si>
  <si>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</si>
  <si>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</si>
  <si>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</si>
  <si>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</si>
  <si>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</si>
  <si>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</si>
  <si>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</si>
  <si>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</si>
  <si>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</si>
  <si>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</si>
  <si>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</si>
  <si>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</si>
  <si>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</si>
  <si>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</si>
  <si>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</si>
  <si>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</si>
  <si>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</si>
  <si>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</si>
  <si>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</si>
  <si>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</si>
  <si>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</si>
  <si>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</si>
  <si>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</si>
  <si>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</si>
  <si>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</si>
  <si>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</si>
  <si>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</si>
  <si>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</si>
  <si>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</si>
  <si>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</si>
  <si>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</si>
  <si>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</si>
  <si>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</si>
  <si>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</si>
  <si>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</si>
  <si>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</si>
  <si>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</si>
  <si>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</si>
  <si>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</si>
  <si>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</si>
  <si>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</si>
  <si>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</si>
  <si>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</si>
  <si>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</si>
  <si>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</si>
  <si>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</si>
  <si>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</si>
  <si>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</si>
  <si>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</si>
  <si>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</si>
  <si>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</si>
  <si>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</si>
  <si>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</si>
  <si>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</si>
  <si>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</si>
  <si>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</si>
  <si>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</si>
  <si>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</si>
  <si>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</si>
  <si>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</si>
  <si>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</si>
  <si>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</si>
  <si>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</si>
  <si>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</si>
  <si>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</si>
  <si>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</si>
  <si>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</si>
  <si>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</si>
  <si>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</si>
  <si>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</si>
  <si>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</si>
  <si>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</si>
  <si>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</si>
  <si>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</si>
  <si>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</si>
  <si>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</si>
  <si>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</si>
  <si>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</si>
  <si>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</si>
  <si>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</si>
  <si>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</si>
  <si>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</si>
  <si>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</si>
  <si>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</si>
  <si>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</si>
  <si>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</si>
  <si>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</si>
  <si>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</si>
  <si>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</si>
  <si>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</si>
  <si>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</si>
  <si>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</si>
  <si>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</si>
  <si>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</si>
  <si>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</si>
  <si>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</si>
  <si>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</si>
  <si>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</si>
  <si>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</si>
  <si>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</si>
  <si>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</si>
  <si>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</si>
  <si>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</si>
  <si>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</si>
  <si>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</si>
  <si>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</si>
  <si>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</si>
  <si>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</si>
  <si>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</si>
  <si>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</si>
  <si>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</si>
  <si>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</si>
  <si>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</si>
  <si>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</si>
  <si>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</si>
  <si>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</si>
  <si>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</si>
  <si>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</si>
  <si>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</si>
  <si>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</si>
  <si>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</si>
  <si>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</si>
  <si>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</si>
  <si>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</si>
  <si>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</si>
  <si>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</si>
  <si>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</si>
  <si>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</si>
  <si>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</si>
  <si>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</si>
  <si>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</si>
  <si>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</si>
  <si>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</si>
  <si>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</si>
  <si>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</si>
  <si>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</si>
  <si>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</si>
  <si>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</si>
  <si>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</si>
  <si>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</si>
  <si>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</si>
  <si>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</si>
  <si>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</si>
  <si>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</si>
  <si>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</si>
  <si>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</si>
  <si>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</si>
  <si>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</si>
  <si>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</si>
  <si>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</si>
  <si>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</si>
  <si>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</si>
  <si>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</si>
  <si>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</si>
  <si>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</si>
  <si>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</si>
  <si>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</si>
  <si>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</si>
  <si>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</si>
  <si>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</si>
  <si>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</si>
  <si>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</si>
  <si>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</si>
  <si>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</si>
  <si>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</si>
  <si>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</si>
  <si>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</si>
  <si>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</si>
  <si>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</si>
  <si>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</si>
  <si>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</si>
  <si>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</si>
  <si>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</si>
  <si>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</si>
  <si>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</si>
  <si>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</si>
  <si>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</si>
  <si>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</si>
  <si>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</si>
  <si>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</si>
  <si>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</si>
  <si>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</si>
  <si>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</si>
  <si>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</si>
  <si>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</si>
  <si>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</si>
  <si>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</si>
  <si>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</si>
  <si>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</si>
  <si>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</si>
  <si>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</si>
  <si>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</si>
  <si>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</si>
  <si>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</si>
  <si>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</si>
  <si>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</si>
  <si>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</si>
  <si>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</si>
  <si>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</si>
  <si>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</si>
  <si>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</si>
  <si>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</si>
  <si>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</si>
  <si>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</si>
  <si>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</si>
  <si>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</si>
  <si>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</si>
  <si>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</si>
  <si>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</si>
  <si>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</si>
  <si>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</si>
  <si>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</si>
  <si>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</si>
  <si>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</si>
  <si>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</si>
  <si>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</si>
  <si>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</si>
  <si>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</si>
  <si>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</si>
  <si>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</si>
  <si>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</si>
  <si>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</si>
  <si>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</si>
  <si>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</si>
  <si>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</si>
  <si>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</si>
  <si>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</si>
  <si>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</si>
  <si>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</si>
  <si>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</si>
  <si>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</si>
  <si>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</si>
  <si>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</si>
  <si>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</si>
  <si>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</si>
  <si>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</si>
  <si>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</si>
  <si>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</si>
  <si>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</si>
  <si>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</si>
  <si>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</si>
  <si>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</si>
  <si>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</si>
  <si>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</si>
  <si>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</si>
  <si>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</si>
  <si>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</si>
  <si>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</si>
  <si>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</si>
  <si>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</si>
  <si>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</si>
  <si>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</si>
  <si>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</si>
  <si>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</si>
  <si>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</si>
  <si>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</si>
  <si>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</si>
  <si>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</si>
  <si>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</si>
  <si>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</si>
  <si>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</si>
  <si>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</si>
  <si>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</si>
  <si>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</si>
  <si>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</si>
  <si>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</si>
  <si>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</si>
  <si>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</si>
  <si>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</si>
  <si>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</si>
  <si>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</si>
  <si>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</si>
  <si>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</si>
  <si>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</si>
  <si>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</si>
  <si>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</si>
  <si>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</si>
  <si>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</si>
  <si>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</si>
  <si>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</si>
  <si>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</si>
  <si>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</si>
  <si>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</si>
  <si>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</si>
  <si>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</si>
  <si>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</si>
  <si>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</si>
  <si>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</si>
  <si>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</si>
  <si>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</si>
  <si>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</si>
  <si>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</si>
  <si>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</si>
  <si>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</si>
  <si>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</si>
  <si>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</si>
  <si>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</si>
  <si>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</si>
  <si>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</si>
  <si>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</si>
  <si>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</si>
  <si>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</si>
  <si>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</si>
  <si>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</si>
  <si>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</si>
  <si>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</si>
  <si>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</si>
  <si>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</si>
  <si>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</si>
  <si>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</si>
  <si>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</si>
  <si>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</si>
  <si>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</si>
  <si>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</si>
  <si>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</si>
  <si>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</si>
  <si>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</si>
  <si>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</si>
  <si>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</si>
  <si>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</si>
  <si>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</si>
  <si>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</si>
  <si>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</si>
  <si>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</si>
  <si>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</si>
  <si>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</si>
  <si>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</si>
  <si>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</si>
  <si>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</si>
  <si>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</si>
  <si>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</si>
  <si>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</si>
  <si>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</si>
  <si>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</si>
  <si>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</si>
  <si>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</si>
  <si>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</si>
  <si>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</si>
  <si>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</si>
  <si>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</si>
  <si>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</si>
  <si>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</si>
  <si>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</si>
  <si>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</si>
  <si>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</si>
  <si>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</si>
  <si>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</si>
  <si>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</si>
  <si>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</si>
  <si>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</si>
  <si>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</si>
  <si>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</si>
  <si>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</si>
  <si>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</si>
  <si>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</si>
  <si>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</si>
  <si>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</si>
  <si>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</si>
  <si>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</si>
  <si>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</si>
  <si>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</si>
  <si>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</si>
  <si>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</si>
  <si>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</si>
  <si>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</si>
  <si>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</si>
  <si>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</si>
  <si>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</si>
  <si>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</si>
  <si>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</si>
  <si>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</si>
  <si>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</si>
  <si>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</si>
  <si>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</si>
  <si>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</si>
  <si>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</si>
  <si>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</si>
  <si>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</si>
  <si>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</si>
  <si>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</si>
  <si>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</si>
  <si>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</si>
  <si>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</si>
  <si>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</si>
  <si>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</si>
  <si>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</si>
  <si>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</si>
  <si>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</si>
  <si>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</si>
  <si>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</si>
  <si>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</si>
  <si>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</si>
  <si>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</si>
  <si>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</si>
  <si>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</si>
  <si>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</si>
  <si>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</si>
  <si>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</si>
  <si>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</si>
  <si>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</si>
  <si>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</si>
  <si>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</si>
  <si>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</si>
  <si>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</si>
  <si>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</si>
  <si>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</si>
  <si>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</si>
  <si>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</si>
  <si>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</si>
  <si>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</si>
  <si>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</si>
  <si>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</si>
  <si>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</si>
  <si>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</si>
  <si>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</si>
  <si>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</si>
  <si>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</si>
  <si>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</si>
  <si>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</si>
  <si>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</si>
  <si>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</si>
  <si>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</si>
  <si>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</si>
  <si>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</si>
  <si>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</si>
  <si>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</si>
  <si>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</si>
  <si>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</si>
  <si>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</si>
  <si>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</si>
  <si>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</si>
  <si>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</si>
  <si>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</si>
  <si>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</si>
  <si>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</si>
  <si>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</si>
  <si>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</si>
  <si>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</si>
  <si>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</si>
  <si>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</si>
  <si>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</si>
  <si>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</si>
  <si>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</si>
  <si>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</si>
  <si>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</si>
  <si>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</si>
  <si>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</si>
  <si>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</si>
  <si>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</si>
  <si>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</si>
  <si>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</si>
  <si>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</si>
  <si>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</si>
  <si>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</si>
  <si>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</si>
  <si>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</si>
  <si>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</si>
  <si>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</si>
  <si>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</si>
  <si>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</si>
  <si>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</si>
  <si>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</si>
  <si>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</si>
  <si>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</si>
  <si>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</si>
  <si>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</si>
  <si>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</si>
  <si>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</si>
  <si>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</si>
  <si>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</si>
  <si>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</si>
  <si>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</si>
  <si>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</si>
  <si>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</si>
  <si>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</si>
  <si>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</si>
  <si>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</si>
  <si>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</si>
  <si>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</si>
  <si>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</si>
  <si>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</si>
  <si>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</si>
  <si>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</si>
  <si>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</si>
  <si>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</si>
  <si>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</si>
  <si>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</si>
  <si>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</si>
  <si>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</si>
  <si>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</si>
  <si>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</si>
  <si>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</si>
  <si>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</si>
  <si>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</si>
  <si>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</si>
  <si>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</si>
  <si>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</si>
  <si>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</si>
  <si>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</si>
  <si>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</si>
  <si>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</si>
  <si>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</si>
  <si>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</si>
  <si>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</si>
  <si>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</si>
  <si>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</si>
  <si>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</si>
  <si>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</si>
  <si>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</si>
  <si>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</si>
  <si>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</si>
  <si>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</si>
  <si>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</si>
  <si>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Address: Qanchi Bazar</t>
  </si>
  <si>
    <t>Tahir Medical &amp; GS</t>
  </si>
  <si>
    <t>Mian Bakers &amp; GS</t>
  </si>
  <si>
    <t>Tayab Store</t>
  </si>
  <si>
    <t>Mughal GS</t>
  </si>
  <si>
    <t>HA Store</t>
  </si>
  <si>
    <t>Shekh Mehboob Store</t>
  </si>
  <si>
    <t>Sadiq Store</t>
  </si>
  <si>
    <t xml:space="preserve">H Super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</si>
</sst>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46319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Tahir Medical &amp; GS</v>
      </c>
      <c r="T3" s="301">
        <f>+'1'!P35</f>
        <v>13590.309497033895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Mian Bakers &amp; GS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Tayab Store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Mughal GS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310">
        <f>M7+N7+O7</f>
        <v>4530.103165677966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26</v>
      </c>
      <c r="R7" s="313">
        <v>5</v>
      </c>
      <c r="S7" s="300" t="str">
        <f>+'5'!A6:A6</f>
        <v>HA Store</v>
      </c>
      <c r="T7" s="301">
        <f>+'5'!P35</f>
        <v>940.86347552542372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311">
        <f t="shared" ref="P8:P15" si="2">M8+N8+O8</f>
        <v>4530.103165677966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>Shekh Mehboob Store</v>
      </c>
      <c r="T8" s="301">
        <f>+'6'!P35</f>
        <v>1568.1057925423729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311">
        <f t="shared" si="2"/>
        <v>4530.103165677966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30</v>
      </c>
      <c r="R9" s="313">
        <v>7</v>
      </c>
      <c r="S9" s="300" t="str">
        <f>+'7'!A6:A6</f>
        <v>Sadiq Store</v>
      </c>
      <c r="T9" s="301">
        <f>+'7'!P35</f>
        <v>1568.1057925423729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</v>
      </c>
      <c r="I10" s="236">
        <f t="shared" si="0"/>
        <v>871.68000000000006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69.734400000000008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30.508800000000001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771.43680000000006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164.74576271186442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4.6809128135593223</v>
      </c>
      <c r="P10" s="311">
        <f t="shared" si="2"/>
        <v>940.86347552542372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3">
        <v>8</v>
      </c>
      <c r="S10" s="300" t="str">
        <f>+'8'!A6:A6</f>
        <v xml:space="preserve">H Super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</v>
      </c>
      <c r="I11" s="236">
        <f t="shared" si="0"/>
        <v>1162.24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92.979200000000006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40.678400000000003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1028.5824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219.66101694915255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6.2412170847457631</v>
      </c>
      <c r="P11" s="311">
        <f t="shared" si="2"/>
        <v>1254.4846340338984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30</v>
      </c>
      <c r="I12" s="236">
        <f t="shared" si="0"/>
        <v>2179.1999999999998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174.33600000000001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76.272000000000006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1928.5919999999999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411.86440677966107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11.702282033898307</v>
      </c>
      <c r="P12" s="311">
        <f t="shared" si="2"/>
        <v>2352.1586888135594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7.45</v>
      </c>
      <c r="H16" s="113">
        <f t="shared" ref="H16:M16" si="3">SUM(H7:H15)</f>
        <v>298</v>
      </c>
      <c r="I16" s="114">
        <f t="shared" si="3"/>
        <v>16804.12</v>
      </c>
      <c r="J16" s="274">
        <f>SUM(J7:J15)</f>
        <v>1344.3296</v>
      </c>
      <c r="K16" s="275">
        <f t="shared" si="3"/>
        <v>588.14420000000007</v>
      </c>
      <c r="L16" s="276">
        <f t="shared" si="3"/>
        <v>0</v>
      </c>
      <c r="M16" s="232">
        <f t="shared" si="3"/>
        <v>14871.646199999999</v>
      </c>
      <c r="N16" s="233">
        <f>SUM(N7:N15)</f>
        <v>3175.9322033898297</v>
      </c>
      <c r="O16" s="101">
        <f>SUM(O7:O15)</f>
        <v>90.237892016949161</v>
      </c>
      <c r="P16" s="113">
        <f>SUM(P7:P15)</f>
        <v>18137.816295406781</v>
      </c>
      <c r="Q16" s="128">
        <f>SUM(Q7:Q15)</f>
        <v>76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16804.12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1344.3296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588.14420000000007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14871.646199999997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3175.9322033898297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18047.578403389827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90.237892016949161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18137.816295406777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18137.816295406777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12591</v>
      </c>
      <c r="J25" s="274">
        <f>SUM(J16:J24)</f>
        <v>1007.28</v>
      </c>
      <c r="K25" s="275">
        <f t="shared" si="10"/>
        <v>440.68500000000006</v>
      </c>
      <c r="L25" s="276">
        <f t="shared" si="10"/>
        <v>0</v>
      </c>
      <c r="M25" s="232">
        <f t="shared" si="10"/>
        <v>11143.035</v>
      </c>
      <c r="N25" s="233">
        <f>SUM(N16:N24)</f>
        <v>2379.6610169491514</v>
      </c>
      <c r="O25" s="101">
        <f>SUM(O16:O24)</f>
        <v>67.61348008474576</v>
      </c>
      <c r="P25" s="234">
        <f>SUM(P16:P24)</f>
        <v>13590.309497033897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1007.28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440.68500000000006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11143.035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2379.6610169491514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13522.69601694915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67.61348008474576</v>
      </c>
    </row>
    <row r="35" spans="2:16" ht="15.75" customHeight="1" thickBot="1" x14ac:dyDescent="0.4">
      <c r="N35" s="345" t="s">
        <v>88</v>
      </c>
      <c r="O35" s="346"/>
      <c r="P35" s="297">
        <f>+P33+P34</f>
        <v>13590.309497033895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16" sqref="H16: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20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20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4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4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A14" sqref="A14:H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2026-10-26T05:04:02Z</dcterms:modified>
</cp:coreProperties>
</file>