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E54C1C5-D7A5-48B3-B254-84387D0EAAD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J20" i="43"/>
  <c r="K20" i="57"/>
  <c r="J20" i="57"/>
  <c r="L20" i="57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M21" i="43"/>
  <c r="O21" i="43" s="1"/>
  <c r="P21" i="43" s="1"/>
  <c r="M20" i="57"/>
  <c r="O20" i="57" s="1"/>
  <c r="P20" i="57" s="1"/>
  <c r="M21" i="53"/>
  <c r="O21" i="53" s="1"/>
  <c r="P21" i="53" s="1"/>
  <c r="M21" i="52"/>
  <c r="O21" i="52" s="1"/>
  <c r="P21" i="52" s="1"/>
  <c r="M21" i="51"/>
  <c r="M21" i="44"/>
  <c r="O21" i="44" s="1"/>
  <c r="P21" i="44" s="1"/>
  <c r="J7" i="62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<sst xmlns="http://schemas.openxmlformats.org/spreadsheetml/2006/main" count="3948" uniqueCount="537">
  <si>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</si>
  <si>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</si>
  <si>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</si>
  <si>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</si>
  <si>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</si>
  <si>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</si>
  <si>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</si>
  <si>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</si>
  <si>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</si>
  <si>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</si>
  <si>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</si>
  <si>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</si>
  <si>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</si>
  <si>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</si>
  <si>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</si>
  <si>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</si>
  <si>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</si>
  <si>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</si>
  <si>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</si>
  <si>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</si>
  <si>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</si>
  <si>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</si>
  <si>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</si>
  <si>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</si>
  <si>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</si>
  <si>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</si>
  <si>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</si>
  <si>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</si>
  <si>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</si>
  <si>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</si>
  <si>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</si>
  <si>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</si>
  <si>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</si>
  <si>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</si>
  <si>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</si>
  <si>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</si>
  <si>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</si>
  <si>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</si>
  <si>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</si>
  <si>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</si>
  <si>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</si>
  <si>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</si>
  <si>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</si>
  <si>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</si>
  <si>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</si>
  <si>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</si>
  <si>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</si>
  <si>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</si>
  <si>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</si>
  <si>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</si>
  <si>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</si>
  <si>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</si>
  <si>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</si>
  <si>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</si>
  <si>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</si>
  <si>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</si>
  <si>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</si>
  <si>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</si>
  <si>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</si>
  <si>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</si>
  <si>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</si>
  <si>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</si>
  <si>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</si>
  <si>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</si>
  <si>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</si>
  <si>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</si>
  <si>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</si>
  <si>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</si>
  <si>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</si>
  <si>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</si>
  <si>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</si>
  <si>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</si>
  <si>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</si>
  <si>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</si>
  <si>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</si>
  <si>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</si>
  <si>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</si>
  <si>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</si>
  <si>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</si>
  <si>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</si>
  <si>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</si>
  <si>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</si>
  <si>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</si>
  <si>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</si>
  <si>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</si>
  <si>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</si>
  <si>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</si>
  <si>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</si>
  <si>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</si>
  <si>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</si>
  <si>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</si>
  <si>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</si>
  <si>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</si>
  <si>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</si>
  <si>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</si>
  <si>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</si>
  <si>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</si>
  <si>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</si>
  <si>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</si>
  <si>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</si>
  <si>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</si>
  <si>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</si>
  <si>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</si>
  <si>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</si>
  <si>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</si>
  <si>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</si>
  <si>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</si>
  <si>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</si>
  <si>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</si>
  <si>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</si>
  <si>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</si>
  <si>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</si>
  <si>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</si>
  <si>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</si>
  <si>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</si>
  <si>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</si>
  <si>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</si>
  <si>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</si>
  <si>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</si>
  <si>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</si>
  <si>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</si>
  <si>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</si>
  <si>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</si>
  <si>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</si>
  <si>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</si>
  <si>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</si>
  <si>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</si>
  <si>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</si>
  <si>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</si>
  <si>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</si>
  <si>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</si>
  <si>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</si>
  <si>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</si>
  <si>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</si>
  <si>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</si>
  <si>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</si>
  <si>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</si>
  <si>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</si>
  <si>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</si>
  <si>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</si>
  <si>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</si>
  <si>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</si>
  <si>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</si>
  <si>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</si>
  <si>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</si>
  <si>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</si>
  <si>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</si>
  <si>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</si>
  <si>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</si>
  <si>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</si>
  <si>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</si>
  <si>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</si>
  <si>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</si>
  <si>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</si>
  <si>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</si>
  <si>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</si>
  <si>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</si>
  <si>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</si>
  <si>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</si>
  <si>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</si>
  <si>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</si>
  <si>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</si>
  <si>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</si>
  <si>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</si>
  <si>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</si>
  <si>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</si>
  <si>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</si>
  <si>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</si>
  <si>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</si>
  <si>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</si>
  <si>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</si>
  <si>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</si>
  <si>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</si>
  <si>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</si>
  <si>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</si>
  <si>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</si>
  <si>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</si>
  <si>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</si>
  <si>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</si>
  <si>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</si>
  <si>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</si>
  <si>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</si>
  <si>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</si>
  <si>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</si>
  <si>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</si>
  <si>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</si>
  <si>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</si>
  <si>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</si>
  <si>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</si>
  <si>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</si>
  <si>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</si>
  <si>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</si>
  <si>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</si>
  <si>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</si>
  <si>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</si>
  <si>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</si>
  <si>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</si>
  <si>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</si>
  <si>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</si>
  <si>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</si>
  <si>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</si>
  <si>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</si>
  <si>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</si>
  <si>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</si>
  <si>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</si>
  <si>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</si>
  <si>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</si>
  <si>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</si>
  <si>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</si>
  <si>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</si>
  <si>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</si>
  <si>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</si>
  <si>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</si>
  <si>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</si>
  <si>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</si>
  <si>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</si>
  <si>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</si>
  <si>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</si>
  <si>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</si>
  <si>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</si>
  <si>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</si>
  <si>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</si>
  <si>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</si>
  <si>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</si>
  <si>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</si>
  <si>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</si>
  <si>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</si>
  <si>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</si>
  <si>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</si>
  <si>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</si>
  <si>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</si>
  <si>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</si>
  <si>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</si>
  <si>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</si>
  <si>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</si>
  <si>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</si>
  <si>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</si>
  <si>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</si>
  <si>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</si>
  <si>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</si>
  <si>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</si>
  <si>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</si>
  <si>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</si>
  <si>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</si>
  <si>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</si>
  <si>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</si>
  <si>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</si>
  <si>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</si>
  <si>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</si>
  <si>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</si>
  <si>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</si>
  <si>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</si>
  <si>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</si>
  <si>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</si>
  <si>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</si>
  <si>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</si>
  <si>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</si>
  <si>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</si>
  <si>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</si>
  <si>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</si>
  <si>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</si>
  <si>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</si>
  <si>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</si>
  <si>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</si>
  <si>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</si>
  <si>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</si>
  <si>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</si>
  <si>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</si>
  <si>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</si>
  <si>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</si>
  <si>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</si>
  <si>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</si>
  <si>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</si>
  <si>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</si>
  <si>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</si>
  <si>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</si>
  <si>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</si>
  <si>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</si>
  <si>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</si>
  <si>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</si>
  <si>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</si>
  <si>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</si>
  <si>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</si>
  <si>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</si>
  <si>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</si>
  <si>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</si>
  <si>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</si>
  <si>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</si>
  <si>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</si>
  <si>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</si>
  <si>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</si>
  <si>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</si>
  <si>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</si>
  <si>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</si>
  <si>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</si>
  <si>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</si>
  <si>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</si>
  <si>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</si>
  <si>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</si>
  <si>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</si>
  <si>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</si>
  <si>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</si>
  <si>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</si>
  <si>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</si>
  <si>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</si>
  <si>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</si>
  <si>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</si>
  <si>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</si>
  <si>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</si>
  <si>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</si>
  <si>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</si>
  <si>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</si>
  <si>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</si>
  <si>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</si>
  <si>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</si>
  <si>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</si>
  <si>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</si>
  <si>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</si>
  <si>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</si>
  <si>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</si>
  <si>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</si>
  <si>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</si>
  <si>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</si>
  <si>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</si>
  <si>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</si>
  <si>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</si>
  <si>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</si>
  <si>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</si>
  <si>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</si>
  <si>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</si>
  <si>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</si>
  <si>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</si>
  <si>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</si>
  <si>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</si>
  <si>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</si>
  <si>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</si>
  <si>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</si>
  <si>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</si>
  <si>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</si>
  <si>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</si>
  <si>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</si>
  <si>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</si>
  <si>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</si>
  <si>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</si>
  <si>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</si>
  <si>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</si>
  <si>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</si>
  <si>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</si>
  <si>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</si>
  <si>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</si>
  <si>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</si>
  <si>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</si>
  <si>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</si>
  <si>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</si>
  <si>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</si>
  <si>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</si>
  <si>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</si>
  <si>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</si>
  <si>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</si>
  <si>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</si>
  <si>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</si>
  <si>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</si>
  <si>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</si>
  <si>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</si>
  <si>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</si>
  <si>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</si>
  <si>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</si>
  <si>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</si>
  <si>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</si>
  <si>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</si>
  <si>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</si>
  <si>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</si>
  <si>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</si>
  <si>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</si>
  <si>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</si>
  <si>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</si>
  <si>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</si>
  <si>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</si>
  <si>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</si>
  <si>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</si>
  <si>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</si>
  <si>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</si>
  <si>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</si>
  <si>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</si>
  <si>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</si>
  <si>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</si>
  <si>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</si>
  <si>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</si>
  <si>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</si>
  <si>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</si>
  <si>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</si>
  <si>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</si>
  <si>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</si>
  <si>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</si>
  <si>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</si>
  <si>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</si>
  <si>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</si>
  <si>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</si>
  <si>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</si>
  <si>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</si>
  <si>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</si>
  <si>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</si>
  <si>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</si>
  <si>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</si>
  <si>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</si>
  <si>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</si>
  <si>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</si>
  <si>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</si>
  <si>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</si>
  <si>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</si>
  <si>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</si>
  <si>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</si>
  <si>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</si>
  <si>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</si>
  <si>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</si>
  <si>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</si>
  <si>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</si>
  <si>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</si>
  <si>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</si>
  <si>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</si>
  <si>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</si>
  <si>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</si>
  <si>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</si>
  <si>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</si>
  <si>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</si>
  <si>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</si>
  <si>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</si>
  <si>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</si>
  <si>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</si>
  <si>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</si>
  <si>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</si>
  <si>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</si>
  <si>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</si>
  <si>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</si>
  <si>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</si>
  <si>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</si>
  <si>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</si>
  <si>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</si>
  <si>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</si>
  <si>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</si>
  <si>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</si>
  <si>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</si>
  <si>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</si>
  <si>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</si>
  <si>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</si>
  <si>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</si>
  <si>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</si>
  <si>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</si>
  <si>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</si>
  <si>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</si>
  <si>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</si>
  <si>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</si>
  <si>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</si>
  <si>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</si>
  <si>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</si>
  <si>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</si>
  <si>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</si>
  <si>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</si>
  <si>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</si>
  <si>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</si>
  <si>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</si>
  <si>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</si>
  <si>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</si>
  <si>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</si>
  <si>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</si>
  <si>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</si>
  <si>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</si>
  <si>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</si>
  <si>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</si>
  <si>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</si>
  <si>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</si>
  <si>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</si>
  <si>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</si>
  <si>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</si>
  <si>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</si>
  <si>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</si>
  <si>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</si>
  <si>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</si>
  <si>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</si>
  <si>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</si>
  <si>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</si>
  <si>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</si>
  <si>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</si>
  <si>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</si>
  <si>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</si>
  <si>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</si>
  <si>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</si>
  <si>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</si>
  <si>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</si>
  <si>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</si>
  <si>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</si>
  <si>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</si>
  <si>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</si>
  <si>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</si>
  <si>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</si>
  <si>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</si>
  <si>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</si>
  <si>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</si>
  <si>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</si>
  <si>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</si>
  <si>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</si>
  <si>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</si>
  <si>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</si>
  <si>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</si>
  <si>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</si>
  <si>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</si>
  <si>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</si>
  <si>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</si>
  <si>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</si>
  <si>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</si>
  <si>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</si>
  <si>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</si>
  <si>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</si>
  <si>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</si>
  <si>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Address: State Life</t>
  </si>
  <si>
    <t>Ali Store</t>
  </si>
  <si>
    <t>Usman store</t>
  </si>
  <si>
    <t xml:space="preserve">Address: Bhatta Chowk </t>
  </si>
  <si>
    <t xml:space="preserve">Al Ghani </t>
  </si>
  <si>
    <t>Address: DHA</t>
  </si>
  <si>
    <t>Groccer Stre</t>
  </si>
  <si>
    <t>Groccer 2</t>
  </si>
  <si>
    <t xml:space="preserve">Smart Mart </t>
  </si>
  <si>
    <t>24/7 Store</t>
  </si>
  <si>
    <t xml:space="preserve">C Mart </t>
  </si>
  <si>
    <t xml:space="preserve">Mega Mart </t>
  </si>
  <si>
    <t xml:space="preserve">Ali Mart </t>
  </si>
  <si>
    <t xml:space="preserve">Al Jalil Mart </t>
  </si>
  <si>
    <t>Afzal Mart</t>
  </si>
  <si>
    <t>Ajwa Store</t>
  </si>
  <si>
    <t>Hafiz Store</t>
  </si>
  <si>
    <t>CV Store</t>
  </si>
  <si>
    <t xml:space="preserve">Captan Mart </t>
  </si>
  <si>
    <t>AM Store</t>
  </si>
  <si>
    <t>S Mart</t>
  </si>
  <si>
    <t>Smart Mart 2</t>
  </si>
  <si>
    <t>Zeshan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</si>
</sst>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536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Ali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Usman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 Ghani </v>
      </c>
      <c r="T5" s="301">
        <f>+'3'!P35</f>
        <v>2134.3686882521188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Groccer Stre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95</v>
      </c>
      <c r="I7" s="235">
        <f>(G7*D7)*F7+H7*F7</f>
        <v>4983.9375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398.71500000000003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174.43781250000001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4410.7846874999996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941.94915254237242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26.763669200211861</v>
      </c>
      <c r="P7" s="310">
        <f>M7+N7+O7</f>
        <v>5379.4975092425839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3">
        <v>5</v>
      </c>
      <c r="S7" s="300" t="str">
        <f>+'5'!A6:A6</f>
        <v>Groccer 2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45</v>
      </c>
      <c r="I8" s="236">
        <f t="shared" ref="I8:I14" si="0">(G8*D8)*F8+H8*F8</f>
        <v>2360.8125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188.86500000000001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82.628437500000018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2089.3190624999997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446.18644067796595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12.67752751588983</v>
      </c>
      <c r="P8" s="311">
        <f t="shared" ref="P8:P15" si="2">M8+N8+O8</f>
        <v>2548.1830306938555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 xml:space="preserve">Smart Mart </v>
      </c>
      <c r="T8" s="301">
        <f>+'6'!P35</f>
        <v>849.39434356461845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150</v>
      </c>
      <c r="I9" s="236">
        <f t="shared" si="0"/>
        <v>7869.375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629.54999999999995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275.42812500000002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6964.3968750000004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1487.2881355932195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42.258425052966103</v>
      </c>
      <c r="P9" s="311">
        <f t="shared" si="2"/>
        <v>8493.9434356461861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3">
        <v>7</v>
      </c>
      <c r="S9" s="300" t="str">
        <f>+'7'!A6:A6</f>
        <v>24/7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5142.9119999999994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31.206085423728812</v>
      </c>
      <c r="P10" s="311">
        <f t="shared" si="2"/>
        <v>6272.4231701694907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00" t="str">
        <f>+'8'!A6:A6</f>
        <v xml:space="preserve">C Mart </v>
      </c>
      <c r="T10" s="301">
        <f>+'8'!P35</f>
        <v>5401.2631679237293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30</v>
      </c>
      <c r="R11" s="313">
        <v>9</v>
      </c>
      <c r="S11" s="300" t="str">
        <f>+'9'!A6:A6</f>
        <v xml:space="preserve">Mega Mart </v>
      </c>
      <c r="T11" s="301">
        <f>+'9'!P35</f>
        <v>4530.103165677966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5142.9119999999994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31.206085423728812</v>
      </c>
      <c r="P12" s="311">
        <f t="shared" si="2"/>
        <v>6272.4231701694907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60</v>
      </c>
      <c r="R12" s="313">
        <v>10</v>
      </c>
      <c r="S12" s="300" t="str">
        <f>+'10'!A6:A6</f>
        <v xml:space="preserve">Ali Mart </v>
      </c>
      <c r="T12" s="301">
        <f>+'10'!P35</f>
        <v>10802.526335847457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Al Jalil Mart 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Afzal Mart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Ajwa Store</v>
      </c>
      <c r="T15" s="301">
        <f>+'13'!P35</f>
        <v>784.05289627118646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12.75</v>
      </c>
      <c r="H16" s="113">
        <f t="shared" ref="H16:M16" si="3">SUM(H7:H15)</f>
        <v>510</v>
      </c>
      <c r="I16" s="114">
        <f t="shared" si="3"/>
        <v>31194.924999999999</v>
      </c>
      <c r="J16" s="274">
        <f>SUM(J7:J15)</f>
        <v>2495.5940000000005</v>
      </c>
      <c r="K16" s="275">
        <f t="shared" si="3"/>
        <v>1091.822375</v>
      </c>
      <c r="L16" s="276">
        <f t="shared" si="3"/>
        <v>0</v>
      </c>
      <c r="M16" s="232">
        <f t="shared" si="3"/>
        <v>27607.508625000002</v>
      </c>
      <c r="N16" s="233">
        <f>SUM(N7:N15)</f>
        <v>5895.762711864405</v>
      </c>
      <c r="O16" s="101">
        <f>SUM(O7:O15)</f>
        <v>167.51635668432201</v>
      </c>
      <c r="P16" s="113">
        <f>SUM(P7:P15)</f>
        <v>33670.787693548722</v>
      </c>
      <c r="Q16" s="128">
        <f>SUM(Q7:Q15)</f>
        <v>170</v>
      </c>
      <c r="R16" s="313">
        <v>14</v>
      </c>
      <c r="S16" s="315" t="str">
        <f>+'14'!A6:A6</f>
        <v>Hafiz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CV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Captan Mart </v>
      </c>
      <c r="T18" s="301">
        <f>+'16'!P35</f>
        <v>784.05289627118646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31194.924999999999</v>
      </c>
      <c r="R19" s="299">
        <v>17</v>
      </c>
      <c r="S19" s="300" t="str">
        <f>+'17'!A6:A6</f>
        <v>AM Store</v>
      </c>
      <c r="T19" s="301">
        <f>+'17'!P35</f>
        <v>784.05289627118646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2495.5940000000005</v>
      </c>
      <c r="R20" s="299">
        <v>18</v>
      </c>
      <c r="S20" s="300" t="str">
        <f>+'18'!A6:A6</f>
        <v>S Mart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1091.822375</v>
      </c>
      <c r="R21" s="299">
        <v>19</v>
      </c>
      <c r="S21" s="300" t="str">
        <f>+'19'!A6:A6</f>
        <v>Smart Mart 2</v>
      </c>
      <c r="T21" s="301">
        <f>+'19'!P35</f>
        <v>784.05289627118646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27607.508624999999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5895.762711864405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33503.271336864404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167.51635668432201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33670.787693548722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33670.787693548722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1977.4250000000002</v>
      </c>
      <c r="J25" s="274">
        <f>SUM(J16:J24)</f>
        <v>158.19399999999999</v>
      </c>
      <c r="K25" s="275">
        <f t="shared" si="7"/>
        <v>69.209875000000011</v>
      </c>
      <c r="L25" s="276">
        <f t="shared" si="7"/>
        <v>0</v>
      </c>
      <c r="M25" s="232">
        <f t="shared" si="7"/>
        <v>1750.0211250000002</v>
      </c>
      <c r="N25" s="233">
        <f>SUM(N16:N24)</f>
        <v>373.72881355932202</v>
      </c>
      <c r="O25" s="101">
        <f>SUM(O16:O24)</f>
        <v>10.618749692796611</v>
      </c>
      <c r="P25" s="234">
        <f>SUM(P16:P24)</f>
        <v>2134.3686882521188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1977.4250000000002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158.19399999999999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69.209875000000011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1750.0211250000002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373.72881355932202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2123.7499385593223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10.618749692796612</v>
      </c>
    </row>
    <row r="35" spans="2:16" ht="15.75" customHeight="1" thickBot="1" x14ac:dyDescent="0.4">
      <c r="N35" s="345" t="s">
        <v>88</v>
      </c>
      <c r="O35" s="346"/>
      <c r="P35" s="297">
        <f>+P33+P34</f>
        <v>2134.3686882521188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786.9375</v>
      </c>
      <c r="J25" s="274">
        <f>SUM(J16:J24)</f>
        <v>62.954999999999998</v>
      </c>
      <c r="K25" s="275">
        <f t="shared" si="7"/>
        <v>27.542812500000004</v>
      </c>
      <c r="L25" s="276">
        <f t="shared" si="7"/>
        <v>0</v>
      </c>
      <c r="M25" s="232">
        <f t="shared" si="7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786.9375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62.954999999999998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27.542812500000004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696.43968749999999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845.1685010593219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45" t="s">
        <v>88</v>
      </c>
      <c r="O35" s="346"/>
      <c r="P35" s="297">
        <f>+P33+P34</f>
        <v>849.39434356461845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4197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335.76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146.89500000000001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3714.3449999999998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4507.5653389830504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45" t="s">
        <v>88</v>
      </c>
      <c r="O35" s="346"/>
      <c r="P35" s="297">
        <f>+P33+P34</f>
        <v>4530.103165677966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118">
        <f>M16+N16+O16</f>
        <v>1698.7886871292369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125.91</v>
      </c>
      <c r="K18" s="128">
        <f t="shared" si="1"/>
        <v>55.085625000000007</v>
      </c>
      <c r="L18" s="119">
        <f t="shared" si="1"/>
        <v>0</v>
      </c>
      <c r="M18" s="230">
        <f t="shared" si="2"/>
        <v>1392.879375</v>
      </c>
      <c r="N18" s="277">
        <f t="shared" si="3"/>
        <v>297.45762711864393</v>
      </c>
      <c r="O18" s="239">
        <f t="shared" si="4"/>
        <v>8.45168501059322</v>
      </c>
      <c r="P18" s="119">
        <f t="shared" si="5"/>
        <v>1698.7886871292369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800.65600000000006</v>
      </c>
      <c r="K25" s="275">
        <f t="shared" si="7"/>
        <v>350.28700000000003</v>
      </c>
      <c r="L25" s="276">
        <f t="shared" si="7"/>
        <v>0</v>
      </c>
      <c r="M25" s="232">
        <f t="shared" si="7"/>
        <v>8857.2569999999996</v>
      </c>
      <c r="N25" s="233">
        <f>SUM(N16:N24)</f>
        <v>1891.5254237288132</v>
      </c>
      <c r="O25" s="101">
        <f>SUM(O16:O24)</f>
        <v>53.743912118644069</v>
      </c>
      <c r="P25" s="234">
        <f>SUM(P16:P24)</f>
        <v>10802.526335847457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800.65600000000006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8857.2569999999996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53.743912118644069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3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30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30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2026-10-26T05:04:59Z</dcterms:modified>
</cp:coreProperties>
</file>