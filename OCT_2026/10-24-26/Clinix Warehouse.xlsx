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DC2AD05-6158-4ADD-81F1-C6E5C544F63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17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<sst xmlns="http://schemas.openxmlformats.org/spreadsheetml/2006/main" count="3913" uniqueCount="518">
  <si>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</si>
  <si>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</si>
  <si>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</si>
  <si>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</si>
  <si>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</si>
  <si>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</si>
  <si>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</si>
  <si>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</si>
  <si>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</si>
  <si>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</si>
  <si>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</si>
  <si>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</si>
  <si>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</si>
  <si>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</si>
  <si>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</si>
  <si>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</si>
  <si>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</si>
  <si>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</si>
  <si>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</si>
  <si>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</si>
  <si>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</si>
  <si>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</si>
  <si>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</si>
  <si>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</si>
  <si>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</si>
  <si>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</si>
  <si>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</si>
  <si>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</si>
  <si>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</si>
  <si>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</si>
  <si>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</si>
  <si>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</si>
  <si>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</si>
  <si>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</si>
  <si>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</si>
  <si>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</si>
  <si>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</si>
  <si>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</si>
  <si>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</si>
  <si>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</si>
  <si>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</si>
  <si>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</si>
  <si>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</si>
  <si>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</si>
  <si>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</si>
  <si>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</si>
  <si>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</si>
  <si>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</si>
  <si>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</si>
  <si>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</si>
  <si>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</si>
  <si>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</si>
  <si>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</si>
  <si>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</si>
  <si>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</si>
  <si>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</si>
  <si>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</si>
  <si>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</si>
  <si>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</si>
  <si>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</si>
  <si>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</si>
  <si>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</si>
  <si>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</si>
  <si>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</si>
  <si>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</si>
  <si>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</si>
  <si>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</si>
  <si>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</si>
  <si>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</si>
  <si>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</si>
  <si>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</si>
  <si>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</si>
  <si>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</si>
  <si>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</si>
  <si>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</si>
  <si>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</si>
  <si>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</si>
  <si>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</si>
  <si>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</si>
  <si>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</si>
  <si>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</si>
  <si>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</si>
  <si>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</si>
  <si>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</si>
  <si>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</si>
  <si>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</si>
  <si>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</si>
  <si>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</si>
  <si>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</si>
  <si>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</si>
  <si>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</si>
  <si>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</si>
  <si>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</si>
  <si>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</si>
  <si>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</si>
  <si>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</si>
  <si>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</si>
  <si>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</si>
  <si>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</si>
  <si>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</si>
  <si>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</si>
  <si>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</si>
  <si>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</si>
  <si>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</si>
  <si>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</si>
  <si>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</si>
  <si>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</si>
  <si>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</si>
  <si>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</si>
  <si>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</si>
  <si>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</si>
  <si>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</si>
  <si>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</si>
  <si>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</si>
  <si>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</si>
  <si>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</si>
  <si>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</si>
  <si>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</si>
  <si>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</si>
  <si>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</si>
  <si>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</si>
  <si>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</si>
  <si>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</si>
  <si>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</si>
  <si>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</si>
  <si>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</si>
  <si>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</si>
  <si>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</si>
  <si>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</si>
  <si>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</si>
  <si>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</si>
  <si>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</si>
  <si>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</si>
  <si>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</si>
  <si>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</si>
  <si>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</si>
  <si>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</si>
  <si>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</si>
  <si>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</si>
  <si>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</si>
  <si>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</si>
  <si>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</si>
  <si>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</si>
  <si>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</si>
  <si>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</si>
  <si>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</si>
  <si>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</si>
  <si>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</si>
  <si>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</si>
  <si>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</si>
  <si>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</si>
  <si>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</si>
  <si>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</si>
  <si>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</si>
  <si>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</si>
  <si>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</si>
  <si>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</si>
  <si>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</si>
  <si>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</si>
  <si>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</si>
  <si>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</si>
  <si>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</si>
  <si>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</si>
  <si>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</si>
  <si>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</si>
  <si>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</si>
  <si>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</si>
  <si>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</si>
  <si>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</si>
  <si>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</si>
  <si>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</si>
  <si>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</si>
  <si>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</si>
  <si>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</si>
  <si>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</si>
  <si>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</si>
  <si>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</si>
  <si>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</si>
  <si>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</si>
  <si>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</si>
  <si>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</si>
  <si>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</si>
  <si>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</si>
  <si>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</si>
  <si>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</si>
  <si>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</si>
  <si>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</si>
  <si>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</si>
  <si>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</si>
  <si>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</si>
  <si>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</si>
  <si>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</si>
  <si>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</si>
  <si>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</si>
  <si>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</si>
  <si>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</si>
  <si>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</si>
  <si>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</si>
  <si>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</si>
  <si>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</si>
  <si>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</si>
  <si>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</si>
  <si>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</si>
  <si>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</si>
  <si>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</si>
  <si>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</si>
  <si>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</si>
  <si>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</si>
  <si>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</si>
  <si>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</si>
  <si>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</si>
  <si>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</si>
  <si>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</si>
  <si>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</si>
  <si>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</si>
  <si>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</si>
  <si>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</si>
  <si>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</si>
  <si>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</si>
  <si>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</si>
  <si>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</si>
  <si>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</si>
  <si>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</si>
  <si>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</si>
  <si>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</si>
  <si>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</si>
  <si>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</si>
  <si>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</si>
  <si>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</si>
  <si>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</si>
  <si>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</si>
  <si>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</si>
  <si>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</si>
  <si>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</si>
  <si>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</si>
  <si>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</si>
  <si>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</si>
  <si>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</si>
  <si>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</si>
  <si>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</si>
  <si>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</si>
  <si>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</si>
  <si>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</si>
  <si>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</si>
  <si>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</si>
  <si>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</si>
  <si>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</si>
  <si>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</si>
  <si>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</si>
  <si>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</si>
  <si>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</si>
  <si>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</si>
  <si>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</si>
  <si>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</si>
  <si>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</si>
  <si>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</si>
  <si>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</si>
  <si>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</si>
  <si>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</si>
  <si>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</si>
  <si>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</si>
  <si>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</si>
  <si>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</si>
  <si>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</si>
  <si>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</si>
  <si>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</si>
  <si>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</si>
  <si>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</si>
  <si>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</si>
  <si>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</si>
  <si>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</si>
  <si>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</si>
  <si>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</si>
  <si>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</si>
  <si>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</si>
  <si>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</si>
  <si>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</si>
  <si>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</si>
  <si>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</si>
  <si>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</si>
  <si>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</si>
  <si>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</si>
  <si>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</si>
  <si>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</si>
  <si>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</si>
  <si>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</si>
  <si>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</si>
  <si>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</si>
  <si>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</si>
  <si>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</si>
  <si>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</si>
  <si>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</si>
  <si>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</si>
  <si>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</si>
  <si>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</si>
  <si>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</si>
  <si>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</si>
  <si>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</si>
  <si>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</si>
  <si>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</si>
  <si>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</si>
  <si>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</si>
  <si>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</si>
  <si>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</si>
  <si>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</si>
  <si>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</si>
  <si>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</si>
  <si>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</si>
  <si>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</si>
  <si>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</si>
  <si>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</si>
  <si>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</si>
  <si>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</si>
  <si>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</si>
  <si>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</si>
  <si>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</si>
  <si>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</si>
  <si>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</si>
  <si>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</si>
  <si>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</si>
  <si>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</si>
  <si>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</si>
  <si>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</si>
  <si>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</si>
  <si>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</si>
  <si>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</si>
  <si>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</si>
  <si>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</si>
  <si>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</si>
  <si>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</si>
  <si>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</si>
  <si>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</si>
  <si>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</si>
  <si>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</si>
  <si>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</si>
  <si>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</si>
  <si>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</si>
  <si>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</si>
  <si>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</si>
  <si>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</si>
  <si>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</si>
  <si>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</si>
  <si>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</si>
  <si>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</si>
  <si>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</si>
  <si>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</si>
  <si>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</si>
  <si>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</si>
  <si>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</si>
  <si>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</si>
  <si>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</si>
  <si>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</si>
  <si>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</si>
  <si>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</si>
  <si>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</si>
  <si>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</si>
  <si>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</si>
  <si>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</si>
  <si>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</si>
  <si>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</si>
  <si>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</si>
  <si>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</si>
  <si>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</si>
  <si>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</si>
  <si>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</si>
  <si>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</si>
  <si>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</si>
  <si>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</si>
  <si>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</si>
  <si>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</si>
  <si>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</si>
  <si>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</si>
  <si>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</si>
  <si>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</si>
  <si>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</si>
  <si>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</si>
  <si>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</si>
  <si>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</si>
  <si>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</si>
  <si>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</si>
  <si>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</si>
  <si>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</si>
  <si>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</si>
  <si>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</si>
  <si>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</si>
  <si>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</si>
  <si>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</si>
  <si>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</si>
  <si>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</si>
  <si>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</si>
  <si>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</si>
  <si>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</si>
  <si>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</si>
  <si>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</si>
  <si>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</si>
  <si>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</si>
  <si>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</si>
  <si>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</si>
  <si>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</si>
  <si>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</si>
  <si>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</si>
  <si>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</si>
  <si>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</si>
  <si>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</si>
  <si>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</si>
  <si>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</si>
  <si>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</si>
  <si>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</si>
  <si>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</si>
  <si>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</si>
  <si>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</si>
  <si>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</si>
  <si>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</si>
  <si>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</si>
  <si>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</si>
  <si>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</si>
  <si>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</si>
  <si>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</si>
  <si>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</si>
  <si>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</si>
  <si>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</si>
  <si>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</si>
  <si>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</si>
  <si>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</si>
  <si>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</si>
  <si>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</si>
  <si>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</si>
  <si>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</si>
  <si>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</si>
  <si>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</si>
  <si>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</si>
  <si>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</si>
  <si>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</si>
  <si>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</si>
  <si>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</si>
  <si>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</si>
  <si>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</si>
  <si>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</si>
  <si>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</si>
  <si>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</si>
  <si>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</si>
  <si>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</si>
  <si>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</si>
  <si>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</si>
  <si>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</si>
  <si>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</si>
  <si>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</si>
  <si>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</si>
  <si>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</si>
  <si>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</si>
  <si>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</si>
  <si>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</si>
  <si>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</si>
  <si>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</si>
  <si>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</si>
  <si>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</si>
  <si>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</si>
  <si>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</si>
  <si>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</si>
  <si>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</si>
  <si>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</si>
  <si>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</si>
  <si>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</si>
  <si>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</si>
  <si>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</si>
  <si>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</si>
  <si>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</si>
  <si>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</si>
  <si>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</si>
  <si>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</si>
  <si>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</si>
  <si>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</si>
  <si>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</si>
  <si>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</si>
  <si>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</si>
  <si>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</si>
  <si>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</si>
  <si>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</si>
  <si>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</si>
  <si>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</si>
  <si>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</si>
  <si>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</si>
  <si>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</si>
  <si>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</si>
  <si>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</si>
  <si>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</si>
  <si>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</si>
  <si>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</si>
  <si>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</si>
  <si>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</si>
  <si>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</si>
  <si>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</si>
  <si>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</si>
  <si>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</si>
  <si>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</si>
  <si>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</si>
  <si>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</si>
  <si>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</si>
  <si>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</si>
  <si>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</si>
  <si>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</si>
  <si>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</si>
  <si>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</si>
  <si>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</si>
  <si>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</si>
  <si>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</si>
  <si>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</si>
  <si>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</si>
  <si>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</si>
  <si>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</si>
  <si>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</si>
  <si>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</si>
  <si>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</si>
  <si>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</si>
  <si>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</si>
  <si>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</si>
  <si>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</si>
  <si>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:041514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</si>
</sst>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46319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Clinix Central Warehouse</v>
      </c>
      <c r="T3" s="301">
        <f>+'1'!P35</f>
        <v>32923.927481694918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1930.62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11.636150847457625</v>
      </c>
      <c r="P7" s="118">
        <f>M7+N7+O7</f>
        <v>2338.8663203389824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3861.24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23.272301694915249</v>
      </c>
      <c r="P8" s="119">
        <f t="shared" ref="P8:P15" si="2">M8+N8+O8</f>
        <v>4677.7326406779648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8019.4559999999992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48.334568135593216</v>
      </c>
      <c r="P10" s="119">
        <f t="shared" si="2"/>
        <v>9715.2481952542366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5346.3040000000001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32.223045423728813</v>
      </c>
      <c r="P11" s="119">
        <f t="shared" si="2"/>
        <v>6476.8321301694914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8019.4559999999992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48.334568135593216</v>
      </c>
      <c r="P12" s="119">
        <f t="shared" si="2"/>
        <v>9715.2481952542366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440</v>
      </c>
      <c r="I16" s="114">
        <f t="shared" si="3"/>
        <v>29540.3</v>
      </c>
      <c r="J16" s="274">
        <f>SUM(J7:J15)</f>
        <v>2363.2239999999997</v>
      </c>
      <c r="K16" s="275">
        <f t="shared" si="3"/>
        <v>0</v>
      </c>
      <c r="L16" s="276">
        <f t="shared" si="3"/>
        <v>0</v>
      </c>
      <c r="M16" s="232">
        <f t="shared" si="3"/>
        <v>27177.075999999997</v>
      </c>
      <c r="N16" s="233">
        <f>SUM(N7:N15)</f>
        <v>5583.0508474576272</v>
      </c>
      <c r="O16" s="101">
        <f>SUM(O7:O15)</f>
        <v>163.80063423728814</v>
      </c>
      <c r="P16" s="234">
        <f>SUM(P7:P15)</f>
        <v>32923.927481694918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29540.3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2363.2239999999997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27177.076000000001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5583.0508474576272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32760.126847457628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163.80063423728814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32923.927481694918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32923.927481694918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8" workbookViewId="0">
      <selection activeCell="L27" sqref="L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517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46318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0</v>
      </c>
      <c r="L16" s="118">
        <f>$I16*U16</f>
        <v>0</v>
      </c>
      <c r="M16" s="229">
        <f>I16-SUM(J16:L16)</f>
        <v>1930.62</v>
      </c>
      <c r="N16" s="248">
        <f>+(G16*D16+H16)*V16</f>
        <v>396.61016949152526</v>
      </c>
      <c r="O16" s="238">
        <f>(N16+M16)*$O$15</f>
        <v>11.636150847457625</v>
      </c>
      <c r="P16" s="118">
        <f>M16+N16+O16</f>
        <v>2338.8663203389824</v>
      </c>
      <c r="Q16" s="142"/>
      <c r="S16" s="269">
        <v>0.08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0</v>
      </c>
      <c r="L17" s="119">
        <f>$I17*U17</f>
        <v>0</v>
      </c>
      <c r="M17" s="230">
        <f t="shared" ref="M17:M24" si="2">I17-SUM(J17:L17)</f>
        <v>3861.24</v>
      </c>
      <c r="N17" s="277">
        <f t="shared" ref="N17:N24" si="3">+(G17*D17+H17)*V17</f>
        <v>793.22033898305051</v>
      </c>
      <c r="O17" s="239">
        <f t="shared" ref="O17:O24" si="4">(N17+M17)*$O$15</f>
        <v>23.272301694915249</v>
      </c>
      <c r="P17" s="119">
        <f t="shared" ref="P17:P24" si="5">M17+N17+O17</f>
        <v>4677.7326406779648</v>
      </c>
      <c r="S17" s="269">
        <f>+S16</f>
        <v>0.08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697.34399999999994</v>
      </c>
      <c r="K19" s="128">
        <f t="shared" si="1"/>
        <v>0</v>
      </c>
      <c r="L19" s="119">
        <f t="shared" si="1"/>
        <v>0</v>
      </c>
      <c r="M19" s="230">
        <f t="shared" si="2"/>
        <v>8019.4559999999992</v>
      </c>
      <c r="N19" s="277">
        <f t="shared" si="3"/>
        <v>1647.4576271186443</v>
      </c>
      <c r="O19" s="239">
        <f t="shared" si="4"/>
        <v>48.334568135593216</v>
      </c>
      <c r="P19" s="119">
        <f t="shared" si="5"/>
        <v>9715.2481952542366</v>
      </c>
      <c r="S19" s="269">
        <f>+S18</f>
        <v>0.08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464.89600000000002</v>
      </c>
      <c r="K20" s="128">
        <f t="shared" si="1"/>
        <v>0</v>
      </c>
      <c r="L20" s="119">
        <f t="shared" si="1"/>
        <v>0</v>
      </c>
      <c r="M20" s="230">
        <f t="shared" si="2"/>
        <v>5346.3040000000001</v>
      </c>
      <c r="N20" s="277">
        <f t="shared" si="3"/>
        <v>1098.3050847457628</v>
      </c>
      <c r="O20" s="239">
        <f t="shared" si="4"/>
        <v>32.223045423728813</v>
      </c>
      <c r="P20" s="119">
        <f t="shared" si="5"/>
        <v>6476.8321301694914</v>
      </c>
      <c r="S20" s="269">
        <f>+S19</f>
        <v>0.08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697.34399999999994</v>
      </c>
      <c r="K21" s="128">
        <f t="shared" si="1"/>
        <v>0</v>
      </c>
      <c r="L21" s="119">
        <f t="shared" si="1"/>
        <v>0</v>
      </c>
      <c r="M21" s="230">
        <f t="shared" si="2"/>
        <v>8019.4559999999992</v>
      </c>
      <c r="N21" s="277">
        <f t="shared" si="3"/>
        <v>1647.4576271186443</v>
      </c>
      <c r="O21" s="239">
        <f t="shared" si="4"/>
        <v>48.334568135593216</v>
      </c>
      <c r="P21" s="119">
        <f t="shared" si="5"/>
        <v>9715.2481952542366</v>
      </c>
      <c r="S21" s="269">
        <f>+S20</f>
        <v>0.08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29540.3</v>
      </c>
      <c r="J25" s="274">
        <f>SUM(J16:J24)</f>
        <v>2363.2239999999997</v>
      </c>
      <c r="K25" s="275">
        <f t="shared" si="10"/>
        <v>0</v>
      </c>
      <c r="L25" s="276">
        <f t="shared" si="10"/>
        <v>0</v>
      </c>
      <c r="M25" s="232">
        <f t="shared" si="10"/>
        <v>27177.075999999997</v>
      </c>
      <c r="N25" s="233">
        <f>SUM(N16:N24)</f>
        <v>5583.0508474576272</v>
      </c>
      <c r="O25" s="101">
        <f>SUM(O16:O24)</f>
        <v>163.80063423728814</v>
      </c>
      <c r="P25" s="234">
        <f>SUM(P16:P24)</f>
        <v>32923.927481694918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29540.3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2363.2239999999997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27177.076000000001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5583.0508474576272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32760.126847457628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163.80063423728814</v>
      </c>
    </row>
    <row r="35" spans="2:16" ht="15.75" customHeight="1" thickBot="1" x14ac:dyDescent="0.4">
      <c r="N35" s="334" t="s">
        <v>88</v>
      </c>
      <c r="O35" s="335"/>
      <c r="P35" s="297">
        <f>+P33+P34</f>
        <v>32923.927481694918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46318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46319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46318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2026-10-23T11:48:11Z</dcterms:modified>
</cp:coreProperties>
</file>