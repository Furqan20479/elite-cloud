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1BA73AB-E435-4B07-AEFF-F95CB8BE5299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M20" i="43" s="1"/>
  <c r="O20" i="43" s="1"/>
  <c r="P20" i="43" s="1"/>
  <c r="L20" i="43"/>
  <c r="J20" i="43"/>
  <c r="K20" i="57"/>
  <c r="J20" i="57"/>
  <c r="L20" i="57"/>
  <c r="K20" i="61"/>
  <c r="M20" i="61" s="1"/>
  <c r="O20" i="61" s="1"/>
  <c r="P20" i="61" s="1"/>
  <c r="J20" i="6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5" i="62" l="1"/>
  <c r="M23" i="58"/>
  <c r="O23" i="58" s="1"/>
  <c r="P23" i="58" s="1"/>
  <c r="M23" i="72"/>
  <c r="O23" i="72" s="1"/>
  <c r="P23" i="72" s="1"/>
  <c r="M23" i="44"/>
  <c r="O23" i="44" s="1"/>
  <c r="P23" i="44" s="1"/>
  <c r="M24" i="44"/>
  <c r="O24" i="44" s="1"/>
  <c r="P24" i="44" s="1"/>
  <c r="M24" i="45"/>
  <c r="O24" i="45" s="1"/>
  <c r="P24" i="45" s="1"/>
  <c r="M24" i="58"/>
  <c r="M24" i="43"/>
  <c r="O24" i="43" s="1"/>
  <c r="P24" i="43" s="1"/>
  <c r="M23" i="66"/>
  <c r="O23" i="66" s="1"/>
  <c r="P23" i="66" s="1"/>
  <c r="M23" i="69"/>
  <c r="O23" i="69" s="1"/>
  <c r="P23" i="69" s="1"/>
  <c r="M23" i="53"/>
  <c r="O23" i="53" s="1"/>
  <c r="P23" i="53" s="1"/>
  <c r="M24" i="63"/>
  <c r="O24" i="63" s="1"/>
  <c r="P24" i="63" s="1"/>
  <c r="M21" i="44"/>
  <c r="O21" i="44" s="1"/>
  <c r="P21" i="44" s="1"/>
  <c r="M20" i="57"/>
  <c r="O20" i="57" s="1"/>
  <c r="P20" i="57" s="1"/>
  <c r="M21" i="52"/>
  <c r="O21" i="52" s="1"/>
  <c r="P21" i="52" s="1"/>
  <c r="M21" i="51"/>
  <c r="O21" i="51" s="1"/>
  <c r="P21" i="51" s="1"/>
  <c r="M20" i="70"/>
  <c r="O20" i="70" s="1"/>
  <c r="P20" i="70" s="1"/>
  <c r="M17" i="72"/>
  <c r="O17" i="72" s="1"/>
  <c r="P17" i="72" s="1"/>
  <c r="M16" i="64"/>
  <c r="M16" i="65"/>
  <c r="M16" i="48"/>
  <c r="O16" i="48" s="1"/>
  <c r="P16" i="48" s="1"/>
  <c r="M16" i="60"/>
  <c r="M16" i="66"/>
  <c r="M16" i="44"/>
  <c r="M16" i="72"/>
  <c r="O16" i="72" s="1"/>
  <c r="P16" i="72" s="1"/>
  <c r="M18" i="67"/>
  <c r="O18" i="67" s="1"/>
  <c r="P18" i="67" s="1"/>
  <c r="M17" i="60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5" i="62" l="1"/>
  <c r="P15" i="62" s="1"/>
  <c r="O25" i="54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<sst xmlns="http://schemas.openxmlformats.org/spreadsheetml/2006/main" count="3918" uniqueCount="517">
  <si>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</si>
  <si>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</si>
  <si>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</si>
  <si>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</si>
  <si>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</si>
  <si>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</si>
  <si>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</si>
  <si>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</si>
  <si>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</si>
  <si>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</si>
  <si>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</si>
  <si>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</si>
  <si>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</si>
  <si>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</si>
  <si>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</si>
  <si>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</si>
  <si>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</si>
  <si>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</si>
  <si>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</si>
  <si>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</si>
  <si>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</si>
  <si>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</si>
  <si>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</si>
  <si>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</si>
  <si>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</si>
  <si>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</si>
  <si>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</si>
  <si>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</si>
  <si>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</si>
  <si>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</si>
  <si>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</si>
  <si>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</si>
  <si>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</si>
  <si>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</si>
  <si>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</si>
  <si>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</si>
  <si>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</si>
  <si>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</si>
  <si>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</si>
  <si>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</si>
  <si>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</si>
  <si>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</si>
  <si>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</si>
  <si>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</si>
  <si>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</si>
  <si>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</si>
  <si>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</si>
  <si>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</si>
  <si>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</si>
  <si>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</si>
  <si>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</si>
  <si>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</si>
  <si>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</si>
  <si>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</si>
  <si>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</si>
  <si>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</si>
  <si>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</si>
  <si>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</si>
  <si>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</si>
  <si>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</si>
  <si>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</si>
  <si>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</si>
  <si>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</si>
  <si>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</si>
  <si>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</si>
  <si>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</si>
  <si>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</si>
  <si>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</si>
  <si>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</si>
  <si>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</si>
  <si>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</si>
  <si>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</si>
  <si>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</si>
  <si>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</si>
  <si>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</si>
  <si>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</si>
  <si>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</si>
  <si>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</si>
  <si>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</si>
  <si>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</si>
  <si>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</si>
  <si>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</si>
  <si>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</si>
  <si>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</si>
  <si>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</si>
  <si>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</si>
  <si>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</si>
  <si>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</si>
  <si>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</si>
  <si>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</si>
  <si>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</si>
  <si>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</si>
  <si>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</si>
  <si>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</si>
  <si>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</si>
  <si>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</si>
  <si>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</si>
  <si>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</si>
  <si>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</si>
  <si>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</si>
  <si>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</si>
  <si>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</si>
  <si>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</si>
  <si>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</si>
  <si>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</si>
  <si>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</si>
  <si>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</si>
  <si>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</si>
  <si>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</si>
  <si>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</si>
  <si>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</si>
  <si>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</si>
  <si>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</si>
  <si>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</si>
  <si>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</si>
  <si>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</si>
  <si>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</si>
  <si>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</si>
  <si>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</si>
  <si>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</si>
  <si>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</si>
  <si>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</si>
  <si>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</si>
  <si>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</si>
  <si>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</si>
  <si>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</si>
  <si>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</si>
  <si>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</si>
  <si>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</si>
  <si>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</si>
  <si>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</si>
  <si>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</si>
  <si>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</si>
  <si>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</si>
  <si>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</si>
  <si>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</si>
  <si>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</si>
  <si>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</si>
  <si>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</si>
  <si>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</si>
  <si>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</si>
  <si>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</si>
  <si>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</si>
  <si>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</si>
  <si>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</si>
  <si>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</si>
  <si>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</si>
  <si>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</si>
  <si>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</si>
  <si>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</si>
  <si>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</si>
  <si>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</si>
  <si>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</si>
  <si>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</si>
  <si>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</si>
  <si>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</si>
  <si>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</si>
  <si>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</si>
  <si>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</si>
  <si>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</si>
  <si>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</si>
  <si>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</si>
  <si>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</si>
  <si>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</si>
  <si>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</si>
  <si>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</si>
  <si>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</si>
  <si>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</si>
  <si>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</si>
  <si>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</si>
  <si>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</si>
  <si>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</si>
  <si>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</si>
  <si>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</si>
  <si>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</si>
  <si>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</si>
  <si>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</si>
  <si>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</si>
  <si>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</si>
  <si>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</si>
  <si>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</si>
  <si>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</si>
  <si>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</si>
  <si>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</si>
  <si>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</si>
  <si>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</si>
  <si>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</si>
  <si>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</si>
  <si>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</si>
  <si>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</si>
  <si>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</si>
  <si>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</si>
  <si>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</si>
  <si>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</si>
  <si>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</si>
  <si>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</si>
  <si>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</si>
  <si>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</si>
  <si>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</si>
  <si>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</si>
  <si>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</si>
  <si>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</si>
  <si>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</si>
  <si>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</si>
  <si>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</si>
  <si>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</si>
  <si>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</si>
  <si>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</si>
  <si>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</si>
  <si>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</si>
  <si>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</si>
  <si>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</si>
  <si>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</si>
  <si>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</si>
  <si>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</si>
  <si>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</si>
  <si>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</si>
  <si>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</si>
  <si>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</si>
  <si>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</si>
  <si>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</si>
  <si>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</si>
  <si>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</si>
  <si>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</si>
  <si>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</si>
  <si>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</si>
  <si>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</si>
  <si>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</si>
  <si>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</si>
  <si>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</si>
  <si>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</si>
  <si>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</si>
  <si>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</si>
  <si>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</si>
  <si>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</si>
  <si>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</si>
  <si>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</si>
  <si>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</si>
  <si>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</si>
  <si>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</si>
  <si>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</si>
  <si>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</si>
  <si>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</si>
  <si>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</si>
  <si>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</si>
  <si>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</si>
  <si>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</si>
  <si>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</si>
  <si>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</si>
  <si>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</si>
  <si>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</si>
  <si>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</si>
  <si>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</si>
  <si>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</si>
  <si>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</si>
  <si>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</si>
  <si>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</si>
  <si>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</si>
  <si>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</si>
  <si>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</si>
  <si>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</si>
  <si>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</si>
  <si>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</si>
  <si>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</si>
  <si>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</si>
  <si>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</si>
  <si>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</si>
  <si>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</si>
  <si>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</si>
  <si>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</si>
  <si>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</si>
  <si>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</si>
  <si>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</si>
  <si>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</si>
  <si>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</si>
  <si>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</si>
  <si>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</si>
  <si>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</si>
  <si>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</si>
  <si>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</si>
  <si>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</si>
  <si>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</si>
  <si>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</si>
  <si>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</si>
  <si>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</si>
  <si>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</si>
  <si>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</si>
  <si>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</si>
  <si>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</si>
  <si>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</si>
  <si>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</si>
  <si>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</si>
  <si>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</si>
  <si>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</si>
  <si>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</si>
  <si>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</si>
  <si>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</si>
  <si>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</si>
  <si>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</si>
  <si>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</si>
  <si>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</si>
  <si>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</si>
  <si>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</si>
  <si>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</si>
  <si>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</si>
  <si>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</si>
  <si>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</si>
  <si>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</si>
  <si>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</si>
  <si>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</si>
  <si>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</si>
  <si>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</si>
  <si>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</si>
  <si>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</si>
  <si>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</si>
  <si>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</si>
  <si>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</si>
  <si>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</si>
  <si>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</si>
  <si>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</si>
  <si>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</si>
  <si>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</si>
  <si>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</si>
  <si>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</si>
  <si>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</si>
  <si>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</si>
  <si>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</si>
  <si>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</si>
  <si>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</si>
  <si>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</si>
  <si>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</si>
  <si>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</si>
  <si>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</si>
  <si>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</si>
  <si>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</si>
  <si>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</si>
  <si>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</si>
  <si>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</si>
  <si>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</si>
  <si>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</si>
  <si>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</si>
  <si>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</si>
  <si>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</si>
  <si>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</si>
  <si>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</si>
  <si>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</si>
  <si>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</si>
  <si>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</si>
  <si>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</si>
  <si>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</si>
  <si>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</si>
  <si>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</si>
  <si>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</si>
  <si>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</si>
  <si>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</si>
  <si>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</si>
  <si>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</si>
  <si>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</si>
  <si>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</si>
  <si>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</si>
  <si>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</si>
  <si>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</si>
  <si>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</si>
  <si>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</si>
  <si>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</si>
  <si>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</si>
  <si>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</si>
  <si>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</si>
  <si>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</si>
  <si>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</si>
  <si>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</si>
  <si>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</si>
  <si>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</si>
  <si>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</si>
  <si>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</si>
  <si>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</si>
  <si>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</si>
  <si>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</si>
  <si>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</si>
  <si>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</si>
  <si>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</si>
  <si>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</si>
  <si>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</si>
  <si>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</si>
  <si>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</si>
  <si>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</si>
  <si>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</si>
  <si>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</si>
  <si>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</si>
  <si>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</si>
  <si>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</si>
  <si>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</si>
  <si>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</si>
  <si>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</si>
  <si>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</si>
  <si>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</si>
  <si>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</si>
  <si>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</si>
  <si>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</si>
  <si>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</si>
  <si>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</si>
  <si>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</si>
  <si>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</si>
  <si>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</si>
  <si>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</si>
  <si>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</si>
  <si>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</si>
  <si>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</si>
  <si>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</si>
  <si>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</si>
  <si>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</si>
  <si>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</si>
  <si>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</si>
  <si>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</si>
  <si>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</si>
  <si>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</si>
  <si>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</si>
  <si>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</si>
  <si>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</si>
  <si>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</si>
  <si>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</si>
  <si>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</si>
  <si>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</si>
  <si>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</si>
  <si>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</si>
  <si>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</si>
  <si>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</si>
  <si>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</si>
  <si>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</si>
  <si>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</si>
  <si>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</si>
  <si>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</si>
  <si>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</si>
  <si>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</si>
  <si>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</si>
  <si>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</si>
  <si>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</si>
  <si>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</si>
  <si>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</si>
  <si>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</si>
  <si>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</si>
  <si>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</si>
  <si>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</si>
  <si>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</si>
  <si>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</si>
  <si>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</si>
  <si>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</si>
  <si>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</si>
  <si>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</si>
  <si>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</si>
  <si>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</si>
  <si>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</si>
  <si>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</si>
  <si>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</si>
  <si>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</si>
  <si>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</si>
  <si>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</si>
  <si>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</si>
  <si>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</si>
  <si>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</si>
  <si>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</si>
  <si>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</si>
  <si>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</si>
  <si>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</si>
  <si>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</si>
  <si>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</si>
  <si>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</si>
  <si>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</si>
  <si>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</si>
  <si>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</si>
  <si>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</si>
  <si>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</si>
  <si>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</si>
  <si>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</si>
  <si>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</si>
  <si>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</si>
  <si>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</si>
  <si>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</si>
  <si>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</si>
  <si>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</si>
  <si>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</si>
  <si>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</si>
  <si>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</si>
  <si>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</si>
  <si>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</si>
  <si>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</si>
  <si>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</si>
  <si>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</si>
  <si>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</si>
  <si>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</si>
  <si>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</si>
  <si>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</si>
  <si>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</si>
  <si>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</si>
  <si>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</si>
  <si>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</si>
  <si>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</si>
  <si>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</si>
  <si>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</si>
  <si>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</si>
  <si>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</si>
  <si>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</si>
  <si>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</si>
  <si>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</si>
  <si>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</si>
  <si>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</si>
  <si>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</si>
  <si>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</si>
  <si>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</si>
  <si>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</si>
  <si>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</si>
  <si>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</si>
  <si>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</si>
  <si>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KK MART</t>
  </si>
  <si>
    <t>Invoice No # :0001</t>
  </si>
  <si>
    <t>NTN #: I978845-5</t>
  </si>
  <si>
    <t>Address: Gulberg Main Market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</si>
</sst>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46319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KK MART</v>
      </c>
      <c r="T3" s="301">
        <f>+'1'!P35</f>
        <v>132924.74541254237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KK MART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KK MART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KK MART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144</v>
      </c>
      <c r="I7" s="235">
        <f>(G7*D7)*F7+H7*F7</f>
        <v>7554.5999999999995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6799.1399999999994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1427.796610169491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41.13468305084745</v>
      </c>
      <c r="P7" s="310">
        <f>M7+N7+O7</f>
        <v>8268.0712932203387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KK MART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288</v>
      </c>
      <c r="I8" s="236">
        <f t="shared" ref="I8:I14" si="0">(G8*D8)*F8+H8*F8</f>
        <v>15109.199999999999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13598.279999999999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2855.5932203389821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82.269366101694899</v>
      </c>
      <c r="P8" s="311">
        <f t="shared" ref="P8:P15" si="2">M8+N8+O8</f>
        <v>16536.142586440677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KK MART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288</v>
      </c>
      <c r="I9" s="236">
        <f t="shared" si="0"/>
        <v>15109.199999999999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1510.92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13598.279999999999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2855.5932203389821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82.269366101694899</v>
      </c>
      <c r="P9" s="311">
        <f t="shared" si="2"/>
        <v>16536.142586440677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KK MART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432</v>
      </c>
      <c r="I10" s="236">
        <f t="shared" si="0"/>
        <v>31380.48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3138.0480000000002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28242.432000000001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5930.8474576271192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170.8663972881356</v>
      </c>
      <c r="P10" s="311">
        <f t="shared" si="2"/>
        <v>34344.145854915252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KK MART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288</v>
      </c>
      <c r="I11" s="236">
        <f t="shared" si="0"/>
        <v>20920.32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2092.0320000000002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18828.288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3953.898305084746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113.91093152542373</v>
      </c>
      <c r="P11" s="311">
        <f t="shared" si="2"/>
        <v>22896.097236610171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KK MART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432</v>
      </c>
      <c r="I12" s="236">
        <f t="shared" si="0"/>
        <v>31380.48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3138.0480000000002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28242.432000000001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5930.8474576271192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170.8663972881356</v>
      </c>
      <c r="P12" s="311">
        <f t="shared" si="2"/>
        <v>34344.145854915252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KK MART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KK MART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KK MART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KK MART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46.8</v>
      </c>
      <c r="H16" s="113">
        <f t="shared" ref="H16:M16" si="3">SUM(H7:H15)</f>
        <v>1872</v>
      </c>
      <c r="I16" s="114">
        <f t="shared" si="3"/>
        <v>121454.27999999998</v>
      </c>
      <c r="J16" s="274">
        <f>SUM(J7:J15)</f>
        <v>12145.428000000002</v>
      </c>
      <c r="K16" s="275">
        <f t="shared" si="3"/>
        <v>0</v>
      </c>
      <c r="L16" s="276">
        <f t="shared" si="3"/>
        <v>0</v>
      </c>
      <c r="M16" s="232">
        <f t="shared" si="3"/>
        <v>109308.852</v>
      </c>
      <c r="N16" s="233">
        <f>SUM(N7:N15)</f>
        <v>22954.576271186437</v>
      </c>
      <c r="O16" s="101">
        <f>SUM(O7:O15)</f>
        <v>661.31714135593211</v>
      </c>
      <c r="P16" s="113">
        <f>SUM(P7:P15)</f>
        <v>132924.74541254237</v>
      </c>
      <c r="Q16" s="128">
        <f>SUM(Q7:Q15)</f>
        <v>0</v>
      </c>
      <c r="R16" s="313">
        <v>14</v>
      </c>
      <c r="S16" s="315" t="str">
        <f>+'14'!A6:A6</f>
        <v>KK MART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KK MART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KK MART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121454.27999999998</v>
      </c>
      <c r="R19" s="299">
        <v>17</v>
      </c>
      <c r="S19" s="300" t="str">
        <f>+'17'!A6:A6</f>
        <v>KK MART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12145.428000000002</v>
      </c>
      <c r="R20" s="299">
        <v>18</v>
      </c>
      <c r="S20" s="300" t="str">
        <f>+'18'!A6:A6</f>
        <v>KK MART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>KK MART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109308.85199999998</v>
      </c>
      <c r="R22" s="299">
        <v>20</v>
      </c>
      <c r="S22" s="300" t="str">
        <f>+'20'!A6:A6</f>
        <v>KK MART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22954.576271186437</v>
      </c>
      <c r="R23" s="299">
        <v>21</v>
      </c>
      <c r="S23" s="300" t="str">
        <f>+'21'!A6:A6</f>
        <v>KK MART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132263.42827118642</v>
      </c>
      <c r="R24" s="299">
        <v>22</v>
      </c>
      <c r="S24" s="300" t="str">
        <f>+'22'!A6:A6</f>
        <v>KK MART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661.31714135593211</v>
      </c>
      <c r="R25" s="299">
        <v>23</v>
      </c>
      <c r="S25" s="300" t="str">
        <f>+'23'!A6:A6</f>
        <v>KK MART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132924.74541254237</v>
      </c>
      <c r="R26" s="299">
        <v>24</v>
      </c>
      <c r="S26" s="300" t="str">
        <f>+'24'!A6:A6</f>
        <v>KK MART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KK MART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KK MART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KK MART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KK MART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KK MART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KK MART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132924.74541254237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J8" sqref="J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144</v>
      </c>
      <c r="I16" s="235">
        <f>(G16*D16)*F16+H16*F16</f>
        <v>7554.5999999999995</v>
      </c>
      <c r="J16" s="271">
        <f>$I16*S16</f>
        <v>755.46</v>
      </c>
      <c r="K16" s="127">
        <f>$I16*T16</f>
        <v>0</v>
      </c>
      <c r="L16" s="118">
        <f>$I16*U16</f>
        <v>0</v>
      </c>
      <c r="M16" s="229">
        <f>I16-SUM(J16:L16)</f>
        <v>6799.1399999999994</v>
      </c>
      <c r="N16" s="248">
        <f>+(G16*D16+H16)*V16</f>
        <v>1427.796610169491</v>
      </c>
      <c r="O16" s="238">
        <f>(N16+M16)*$O$15</f>
        <v>41.13468305084745</v>
      </c>
      <c r="P16" s="118">
        <f>M16+N16+O16</f>
        <v>8268.0712932203387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288</v>
      </c>
      <c r="I17" s="236">
        <f t="shared" ref="I17:I23" si="0">(G17*D17)*F17+H17*F17</f>
        <v>15109.199999999999</v>
      </c>
      <c r="J17" s="272">
        <f t="shared" ref="J17:L24" si="1">$I17*S17</f>
        <v>1510.92</v>
      </c>
      <c r="K17" s="128">
        <f>$I17*T17</f>
        <v>0</v>
      </c>
      <c r="L17" s="119">
        <f>$I17*U17</f>
        <v>0</v>
      </c>
      <c r="M17" s="230">
        <f t="shared" ref="M17:M24" si="2">I17-SUM(J17:L17)</f>
        <v>13598.279999999999</v>
      </c>
      <c r="N17" s="277">
        <f t="shared" ref="N17:N24" si="3">+(G17*D17+H17)*V17</f>
        <v>2855.5932203389821</v>
      </c>
      <c r="O17" s="239">
        <f t="shared" ref="O17:O24" si="4">(N17+M17)*$O$15</f>
        <v>82.269366101694899</v>
      </c>
      <c r="P17" s="119">
        <f t="shared" ref="P17:P24" si="5">M17+N17+O17</f>
        <v>16536.142586440677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288</v>
      </c>
      <c r="I18" s="236">
        <f t="shared" ref="I18:I21" si="7">(G18*D18)*F18+H18*F18</f>
        <v>15109.199999999999</v>
      </c>
      <c r="J18" s="272">
        <f t="shared" si="1"/>
        <v>1510.92</v>
      </c>
      <c r="K18" s="128">
        <f t="shared" si="1"/>
        <v>0</v>
      </c>
      <c r="L18" s="119">
        <f t="shared" si="1"/>
        <v>0</v>
      </c>
      <c r="M18" s="230">
        <f t="shared" si="2"/>
        <v>13598.279999999999</v>
      </c>
      <c r="N18" s="277">
        <f t="shared" si="3"/>
        <v>2855.5932203389821</v>
      </c>
      <c r="O18" s="239">
        <f t="shared" si="4"/>
        <v>82.269366101694899</v>
      </c>
      <c r="P18" s="119">
        <f t="shared" si="5"/>
        <v>16536.142586440677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432</v>
      </c>
      <c r="I19" s="236">
        <f t="shared" si="7"/>
        <v>31380.48</v>
      </c>
      <c r="J19" s="272">
        <f t="shared" si="1"/>
        <v>3138.0480000000002</v>
      </c>
      <c r="K19" s="128">
        <f t="shared" si="1"/>
        <v>0</v>
      </c>
      <c r="L19" s="119">
        <f t="shared" si="1"/>
        <v>0</v>
      </c>
      <c r="M19" s="230">
        <f t="shared" si="2"/>
        <v>28242.432000000001</v>
      </c>
      <c r="N19" s="277">
        <f t="shared" si="3"/>
        <v>5930.8474576271192</v>
      </c>
      <c r="O19" s="239">
        <f t="shared" si="4"/>
        <v>170.8663972881356</v>
      </c>
      <c r="P19" s="119">
        <f t="shared" si="5"/>
        <v>34344.145854915252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288</v>
      </c>
      <c r="I20" s="236">
        <f t="shared" si="7"/>
        <v>20920.32</v>
      </c>
      <c r="J20" s="272">
        <f t="shared" si="1"/>
        <v>2092.0320000000002</v>
      </c>
      <c r="K20" s="128">
        <f t="shared" si="1"/>
        <v>0</v>
      </c>
      <c r="L20" s="119">
        <f t="shared" si="1"/>
        <v>0</v>
      </c>
      <c r="M20" s="230">
        <f t="shared" si="2"/>
        <v>18828.288</v>
      </c>
      <c r="N20" s="277">
        <f t="shared" si="3"/>
        <v>3953.898305084746</v>
      </c>
      <c r="O20" s="239">
        <f t="shared" si="4"/>
        <v>113.91093152542373</v>
      </c>
      <c r="P20" s="119">
        <f t="shared" si="5"/>
        <v>22896.097236610171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432</v>
      </c>
      <c r="I21" s="236">
        <f t="shared" si="7"/>
        <v>31380.48</v>
      </c>
      <c r="J21" s="272">
        <f t="shared" si="1"/>
        <v>3138.0480000000002</v>
      </c>
      <c r="K21" s="128">
        <f t="shared" si="1"/>
        <v>0</v>
      </c>
      <c r="L21" s="119">
        <f t="shared" si="1"/>
        <v>0</v>
      </c>
      <c r="M21" s="230">
        <f t="shared" si="2"/>
        <v>28242.432000000001</v>
      </c>
      <c r="N21" s="277">
        <f t="shared" si="3"/>
        <v>5930.8474576271192</v>
      </c>
      <c r="O21" s="239">
        <f t="shared" si="4"/>
        <v>170.8663972881356</v>
      </c>
      <c r="P21" s="119">
        <f t="shared" si="5"/>
        <v>34344.145854915252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1872</v>
      </c>
      <c r="I25" s="114">
        <f t="shared" ref="I25:M25" si="10">SUM(I16:I24)</f>
        <v>121454.27999999998</v>
      </c>
      <c r="J25" s="274">
        <f>SUM(J16:J24)</f>
        <v>12145.428000000002</v>
      </c>
      <c r="K25" s="275">
        <f t="shared" si="10"/>
        <v>0</v>
      </c>
      <c r="L25" s="276">
        <f t="shared" si="10"/>
        <v>0</v>
      </c>
      <c r="M25" s="232">
        <f t="shared" si="10"/>
        <v>109308.852</v>
      </c>
      <c r="N25" s="233">
        <f>SUM(N16:N24)</f>
        <v>22954.576271186437</v>
      </c>
      <c r="O25" s="101">
        <f>SUM(O16:O24)</f>
        <v>661.31714135593211</v>
      </c>
      <c r="P25" s="234">
        <f>SUM(P16:P24)</f>
        <v>132924.74541254237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121454.27999999998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12145.428000000002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109308.85199999998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22954.576271186437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132263.42827118642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661.31714135593211</v>
      </c>
    </row>
    <row r="35" spans="2:16" ht="15.75" customHeight="1" thickBot="1" x14ac:dyDescent="0.4">
      <c r="N35" s="346" t="s">
        <v>88</v>
      </c>
      <c r="O35" s="347"/>
      <c r="P35" s="297">
        <f>+P33+P34</f>
        <v>132924.74541254237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46319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46318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2026-10-23T11:37:26Z</dcterms:modified>
</cp:coreProperties>
</file>