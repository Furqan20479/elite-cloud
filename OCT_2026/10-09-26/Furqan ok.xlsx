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C5CF1D0-7CDF-452C-A2EC-139F3D44968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<sst xmlns="http://schemas.openxmlformats.org/spreadsheetml/2006/main" count="3948" uniqueCount="522">
  <si>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</si>
  <si>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</si>
  <si>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</si>
  <si>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</si>
  <si>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</si>
  <si>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</si>
  <si>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</si>
  <si>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</si>
  <si>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</si>
  <si>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</si>
  <si>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</si>
  <si>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</si>
  <si>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</si>
  <si>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</si>
  <si>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</si>
  <si>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</si>
  <si>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</si>
  <si>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</si>
  <si>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</si>
  <si>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</si>
  <si>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</si>
  <si>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</si>
  <si>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</si>
  <si>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</si>
  <si>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</si>
  <si>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</si>
  <si>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</si>
  <si>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</si>
  <si>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</si>
  <si>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</si>
  <si>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</si>
  <si>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</si>
  <si>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</si>
  <si>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</si>
  <si>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</si>
  <si>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</si>
  <si>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</si>
  <si>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</si>
  <si>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</si>
  <si>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</si>
  <si>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</si>
  <si>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</si>
  <si>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</si>
  <si>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</si>
  <si>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</si>
  <si>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</si>
  <si>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</si>
  <si>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</si>
  <si>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</si>
  <si>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</si>
  <si>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</si>
  <si>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</si>
  <si>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</si>
  <si>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</si>
  <si>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</si>
  <si>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</si>
  <si>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</si>
  <si>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</si>
  <si>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</si>
  <si>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</si>
  <si>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</si>
  <si>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</si>
  <si>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</si>
  <si>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</si>
  <si>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</si>
  <si>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</si>
  <si>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</si>
  <si>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</si>
  <si>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</si>
  <si>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</si>
  <si>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</si>
  <si>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</si>
  <si>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</si>
  <si>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</si>
  <si>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</si>
  <si>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</si>
  <si>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</si>
  <si>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</si>
  <si>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</si>
  <si>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</si>
  <si>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</si>
  <si>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</si>
  <si>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</si>
  <si>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</si>
  <si>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</si>
  <si>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</si>
  <si>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</si>
  <si>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</si>
  <si>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</si>
  <si>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</si>
  <si>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</si>
  <si>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</si>
  <si>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</si>
  <si>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</si>
  <si>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</si>
  <si>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</si>
  <si>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</si>
  <si>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</si>
  <si>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</si>
  <si>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</si>
  <si>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</si>
  <si>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</si>
  <si>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</si>
  <si>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</si>
  <si>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</si>
  <si>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</si>
  <si>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</si>
  <si>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</si>
  <si>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</si>
  <si>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</si>
  <si>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</si>
  <si>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</si>
  <si>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</si>
  <si>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</si>
  <si>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</si>
  <si>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</si>
  <si>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</si>
  <si>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</si>
  <si>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</si>
  <si>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</si>
  <si>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</si>
  <si>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</si>
  <si>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</si>
  <si>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</si>
  <si>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</si>
  <si>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</si>
  <si>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</si>
  <si>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</si>
  <si>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</si>
  <si>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</si>
  <si>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</si>
  <si>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</si>
  <si>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</si>
  <si>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</si>
  <si>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</si>
  <si>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</si>
  <si>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</si>
  <si>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</si>
  <si>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</si>
  <si>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</si>
  <si>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</si>
  <si>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</si>
  <si>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</si>
  <si>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</si>
  <si>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</si>
  <si>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</si>
  <si>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</si>
  <si>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</si>
  <si>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</si>
  <si>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</si>
  <si>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</si>
  <si>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</si>
  <si>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</si>
  <si>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</si>
  <si>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</si>
  <si>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</si>
  <si>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</si>
  <si>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</si>
  <si>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</si>
  <si>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</si>
  <si>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</si>
  <si>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</si>
  <si>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</si>
  <si>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</si>
  <si>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</si>
  <si>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</si>
  <si>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</si>
  <si>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</si>
  <si>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</si>
  <si>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</si>
  <si>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</si>
  <si>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</si>
  <si>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</si>
  <si>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</si>
  <si>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</si>
  <si>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</si>
  <si>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</si>
  <si>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</si>
  <si>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</si>
  <si>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</si>
  <si>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</si>
  <si>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</si>
  <si>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</si>
  <si>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</si>
  <si>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</si>
  <si>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</si>
  <si>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</si>
  <si>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</si>
  <si>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</si>
  <si>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</si>
  <si>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</si>
  <si>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</si>
  <si>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</si>
  <si>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</si>
  <si>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</si>
  <si>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</si>
  <si>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</si>
  <si>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</si>
  <si>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</si>
  <si>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</si>
  <si>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</si>
  <si>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</si>
  <si>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</si>
  <si>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</si>
  <si>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</si>
  <si>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</si>
  <si>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</si>
  <si>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</si>
  <si>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</si>
  <si>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</si>
  <si>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</si>
  <si>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</si>
  <si>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</si>
  <si>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</si>
  <si>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</si>
  <si>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</si>
  <si>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</si>
  <si>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</si>
  <si>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</si>
  <si>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</si>
  <si>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</si>
  <si>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</si>
  <si>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</si>
  <si>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</si>
  <si>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</si>
  <si>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</si>
  <si>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</si>
  <si>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</si>
  <si>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</si>
  <si>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</si>
  <si>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</si>
  <si>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</si>
  <si>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</si>
  <si>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</si>
  <si>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</si>
  <si>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</si>
  <si>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</si>
  <si>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</si>
  <si>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</si>
  <si>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</si>
  <si>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</si>
  <si>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</si>
  <si>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</si>
  <si>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</si>
  <si>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</si>
  <si>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</si>
  <si>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</si>
  <si>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</si>
  <si>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</si>
  <si>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</si>
  <si>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</si>
  <si>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</si>
  <si>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</si>
  <si>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</si>
  <si>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</si>
  <si>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</si>
  <si>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</si>
  <si>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</si>
  <si>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</si>
  <si>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</si>
  <si>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</si>
  <si>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</si>
  <si>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</si>
  <si>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</si>
  <si>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</si>
  <si>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</si>
  <si>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</si>
  <si>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</si>
  <si>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</si>
  <si>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</si>
  <si>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</si>
  <si>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</si>
  <si>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</si>
  <si>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</si>
  <si>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</si>
  <si>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</si>
  <si>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</si>
  <si>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</si>
  <si>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</si>
  <si>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</si>
  <si>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</si>
  <si>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</si>
  <si>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</si>
  <si>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</si>
  <si>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</si>
  <si>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</si>
  <si>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</si>
  <si>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</si>
  <si>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</si>
  <si>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</si>
  <si>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</si>
  <si>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</si>
  <si>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</si>
  <si>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</si>
  <si>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</si>
  <si>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</si>
  <si>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</si>
  <si>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</si>
  <si>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</si>
  <si>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</si>
  <si>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</si>
  <si>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</si>
  <si>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</si>
  <si>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</si>
  <si>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</si>
  <si>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</si>
  <si>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</si>
  <si>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</si>
  <si>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</si>
  <si>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</si>
  <si>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</si>
  <si>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</si>
  <si>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</si>
  <si>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</si>
  <si>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</si>
  <si>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</si>
  <si>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</si>
  <si>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</si>
  <si>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</si>
  <si>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</si>
  <si>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</si>
  <si>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</si>
  <si>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</si>
  <si>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</si>
  <si>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</si>
  <si>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</si>
  <si>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</si>
  <si>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</si>
  <si>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</si>
  <si>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</si>
  <si>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</si>
  <si>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</si>
  <si>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</si>
  <si>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</si>
  <si>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</si>
  <si>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</si>
  <si>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</si>
  <si>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</si>
  <si>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</si>
  <si>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</si>
  <si>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</si>
  <si>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</si>
  <si>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</si>
  <si>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</si>
  <si>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</si>
  <si>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</si>
  <si>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</si>
  <si>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</si>
  <si>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</si>
  <si>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</si>
  <si>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</si>
  <si>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</si>
  <si>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</si>
  <si>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</si>
  <si>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</si>
  <si>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</si>
  <si>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</si>
  <si>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</si>
  <si>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</si>
  <si>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</si>
  <si>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</si>
  <si>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</si>
  <si>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</si>
  <si>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</si>
  <si>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</si>
  <si>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</si>
  <si>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</si>
  <si>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</si>
  <si>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</si>
  <si>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</si>
  <si>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</si>
  <si>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</si>
  <si>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</si>
  <si>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</si>
  <si>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</si>
  <si>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</si>
  <si>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</si>
  <si>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</si>
  <si>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</si>
  <si>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</si>
  <si>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</si>
  <si>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</si>
  <si>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</si>
  <si>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</si>
  <si>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</si>
  <si>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</si>
  <si>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</si>
  <si>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</si>
  <si>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</si>
  <si>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</si>
  <si>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</si>
  <si>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</si>
  <si>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</si>
  <si>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</si>
  <si>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</si>
  <si>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</si>
  <si>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</si>
  <si>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</si>
  <si>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</si>
  <si>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</si>
  <si>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</si>
  <si>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</si>
  <si>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</si>
  <si>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</si>
  <si>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</si>
  <si>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</si>
  <si>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</si>
  <si>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</si>
  <si>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</si>
  <si>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</si>
  <si>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</si>
  <si>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</si>
  <si>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</si>
  <si>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</si>
  <si>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</si>
  <si>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</si>
  <si>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</si>
  <si>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</si>
  <si>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</si>
  <si>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</si>
  <si>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</si>
  <si>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</si>
  <si>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</si>
  <si>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</si>
  <si>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</si>
  <si>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</si>
  <si>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</si>
  <si>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</si>
  <si>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</si>
  <si>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</si>
  <si>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</si>
  <si>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</si>
  <si>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</si>
  <si>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</si>
  <si>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</si>
  <si>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</si>
  <si>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</si>
  <si>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</si>
  <si>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</si>
  <si>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</si>
  <si>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</si>
  <si>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</si>
  <si>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</si>
  <si>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</si>
  <si>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</si>
  <si>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</si>
  <si>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</si>
  <si>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</si>
  <si>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</si>
  <si>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</si>
  <si>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</si>
  <si>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</si>
  <si>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</si>
  <si>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</si>
  <si>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</si>
  <si>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</si>
  <si>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</si>
  <si>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</si>
  <si>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</si>
  <si>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</si>
  <si>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</si>
  <si>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</si>
  <si>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</si>
  <si>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</si>
  <si>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</si>
  <si>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</si>
  <si>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</si>
  <si>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</si>
  <si>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</si>
  <si>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</si>
  <si>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</si>
  <si>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</si>
  <si>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</si>
  <si>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</si>
  <si>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</si>
  <si>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</si>
  <si>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</si>
  <si>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</si>
  <si>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</si>
  <si>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</si>
  <si>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</si>
  <si>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</si>
  <si>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</si>
  <si>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</si>
  <si>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</si>
  <si>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</si>
  <si>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</si>
  <si>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</si>
  <si>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</si>
  <si>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</si>
  <si>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</si>
  <si>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</si>
  <si>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</si>
  <si>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</si>
  <si>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</si>
  <si>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</si>
  <si>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</si>
  <si>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</si>
  <si>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</si>
  <si>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</si>
  <si>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</si>
  <si>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</si>
  <si>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</si>
  <si>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</si>
  <si>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</si>
  <si>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</si>
  <si>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</si>
  <si>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</si>
  <si>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</si>
  <si>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</si>
  <si>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</si>
  <si>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</si>
  <si>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</si>
  <si>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</si>
  <si>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</si>
  <si>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Address: LDA Flats</t>
  </si>
  <si>
    <t xml:space="preserve">New Alfalah Bakers </t>
  </si>
  <si>
    <t>Rana Super Store</t>
  </si>
  <si>
    <t>Address: Qadri Colony</t>
  </si>
  <si>
    <t>Tariq Mithu Store</t>
  </si>
  <si>
    <t>Haq Bahu Store</t>
  </si>
  <si>
    <t>Address: Peer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</si>
</sst>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E31" sqref="E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New Alfalah Bakers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Rana Super Store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Tariq Mithu Store</v>
      </c>
      <c r="T5" s="301">
        <f>+'3'!P35</f>
        <v>5401.2631679237284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Haq Bahu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27</v>
      </c>
      <c r="I7" s="235">
        <f>(G7*D7)*F7+H7*F7</f>
        <v>1416.4875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113.31899999999999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49.577062500000004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1253.5914375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267.71186440677957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7.6065165095338978</v>
      </c>
      <c r="P7" s="310">
        <f>M7+N7+O7</f>
        <v>1528.9098184163136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113.31899999999999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1253.5914375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7.6065165095338978</v>
      </c>
      <c r="P9" s="311">
        <f t="shared" si="2"/>
        <v>1528.9098184163136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3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30</v>
      </c>
      <c r="I10" s="236">
        <f t="shared" si="0"/>
        <v>2179.1999999999998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76.272000000000006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1928.5919999999999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411.86440677966107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11.702282033898305</v>
      </c>
      <c r="P10" s="311">
        <f t="shared" si="2"/>
        <v>2352.1586888135594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</v>
      </c>
      <c r="I12" s="236">
        <f t="shared" si="0"/>
        <v>2179.1999999999998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174.33599999999998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76.272000000000006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1928.5919999999999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411.86440677966107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11.702282033898305</v>
      </c>
      <c r="P12" s="311">
        <f t="shared" si="2"/>
        <v>2352.1586888135594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3.6</v>
      </c>
      <c r="H16" s="113">
        <f t="shared" ref="H16:M16" si="3">SUM(H7:H15)</f>
        <v>144</v>
      </c>
      <c r="I16" s="114">
        <f t="shared" si="3"/>
        <v>9168.7999999999993</v>
      </c>
      <c r="J16" s="274">
        <f>SUM(J7:J15)</f>
        <v>733.50400000000002</v>
      </c>
      <c r="K16" s="275">
        <f t="shared" si="3"/>
        <v>320.90800000000002</v>
      </c>
      <c r="L16" s="276">
        <f t="shared" si="3"/>
        <v>0</v>
      </c>
      <c r="M16" s="232">
        <f t="shared" si="3"/>
        <v>8114.387999999999</v>
      </c>
      <c r="N16" s="233">
        <f>SUM(N7:N15)</f>
        <v>1732.8813559322032</v>
      </c>
      <c r="O16" s="101">
        <f>SUM(O7:O15)</f>
        <v>49.236346779661012</v>
      </c>
      <c r="P16" s="113">
        <f>SUM(P7:P15)</f>
        <v>9896.5057027118655</v>
      </c>
      <c r="Q16" s="128">
        <f>SUM(Q7:Q15)</f>
        <v>12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9168.7999999999993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733.50400000000002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320.90800000000002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8114.3879999999981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1732.8813559322032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9847.2693559322015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49.236346779661012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9896.5057027118619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9896.5057027118637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19" sqref="H17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2026-10-09T09:17:13Z</dcterms:modified>
</cp:coreProperties>
</file>