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80BB96-1C2C-4800-BAC3-3E00607E57B3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6" l="1"/>
  <c r="O22" i="56" s="1"/>
  <c r="P22" i="56" s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<sst xmlns="http://schemas.openxmlformats.org/spreadsheetml/2006/main" count="3949" uniqueCount="548">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</sst>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22" workbookViewId="0">
      <selection activeCell="H32" sqref="H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17" t="str">
        <f>+'1'!A6:A6</f>
        <v>Gourmet Food College Road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9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1510.9199999999998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6883.08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42.347603389830503</v>
      </c>
      <c r="P7" s="309">
        <f>M7+N7+O7</f>
        <v>8511.8682813559299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8">
        <v>5</v>
      </c>
      <c r="S7" s="320" t="str">
        <f>+'5'!A6:A6</f>
        <v>Gourmet Food Islam Pura</v>
      </c>
      <c r="T7" s="300">
        <f>+'5'!P35</f>
        <v>8020.7736005084762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8">
        <v>6</v>
      </c>
      <c r="S8" s="317" t="str">
        <f>+'6'!A6:A6</f>
        <v xml:space="preserve">Gourmet Food Jinah Hospital 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140</v>
      </c>
      <c r="I10" s="236">
        <f t="shared" si="0"/>
        <v>10169.6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1830.5279999999998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8339.0720000000001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1922.0338983050847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51.305529491525427</v>
      </c>
      <c r="P10" s="310">
        <f t="shared" si="2"/>
        <v>10312.411427796609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8">
        <v>8</v>
      </c>
      <c r="S10" s="320" t="str">
        <f>+'8'!A6:A6</f>
        <v>Gourmet Food Temple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180</v>
      </c>
      <c r="I11" s="236">
        <f t="shared" si="0"/>
        <v>13075.2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2353.5359999999996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10721.664000000001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2471.1864406779659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65.964252203389833</v>
      </c>
      <c r="P11" s="310">
        <f t="shared" si="2"/>
        <v>13258.814692881357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8">
        <v>9</v>
      </c>
      <c r="S11" s="317" t="str">
        <f>+'9'!A6:A6</f>
        <v xml:space="preserve">Gourmet Food Walton 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260</v>
      </c>
      <c r="I12" s="236">
        <f t="shared" si="0"/>
        <v>18886.400000000001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3399.5519999999992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15486.848000000002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3569.4915254237289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95.28169762711866</v>
      </c>
      <c r="P12" s="310">
        <f t="shared" si="2"/>
        <v>19151.621223050846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60</v>
      </c>
      <c r="R12" s="318">
        <v>10</v>
      </c>
      <c r="S12" s="317" t="str">
        <f>+'10'!A6:A6</f>
        <v xml:space="preserve">Gourmet Food C Block Model town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20" t="str">
        <f>+'11'!A6:A6</f>
        <v>Gourmet Food Krishan Nager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20" t="str">
        <f>+'12'!A6:A6</f>
        <v>Gourmet Food Poonch Road</v>
      </c>
      <c r="T14" s="300">
        <f>+'12'!P35</f>
        <v>10148.740670847459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20" t="str">
        <f>+'13'!A6:A6</f>
        <v>Gourmet Food Nadeem Shaheed Road</v>
      </c>
      <c r="T15" s="300">
        <f>+'13'!P35</f>
        <v>5892.8065301694915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274">
        <f>H16/40</f>
        <v>22.5</v>
      </c>
      <c r="H16" s="113">
        <f t="shared" ref="H16:M16" si="3">SUM(H7:H15)</f>
        <v>900</v>
      </c>
      <c r="I16" s="114">
        <f t="shared" si="3"/>
        <v>58919.200000000004</v>
      </c>
      <c r="J16" s="274">
        <f>SUM(J7:J15)</f>
        <v>10605.455999999998</v>
      </c>
      <c r="K16" s="275">
        <f t="shared" si="3"/>
        <v>0</v>
      </c>
      <c r="L16" s="276">
        <f t="shared" si="3"/>
        <v>0</v>
      </c>
      <c r="M16" s="232">
        <f t="shared" si="3"/>
        <v>48313.744000000006</v>
      </c>
      <c r="N16" s="233">
        <f>SUM(N7:N15)</f>
        <v>11135.593220338982</v>
      </c>
      <c r="O16" s="101">
        <f>SUM(O7:O15)</f>
        <v>297.24668610169493</v>
      </c>
      <c r="P16" s="113">
        <f>SUM(P7:P15)</f>
        <v>59746.583906440675</v>
      </c>
      <c r="Q16" s="128">
        <f>SUM(Q7:Q15)</f>
        <v>220</v>
      </c>
      <c r="R16" s="318">
        <v>14</v>
      </c>
      <c r="S16" s="320" t="str">
        <f>+'14'!A6:A6</f>
        <v xml:space="preserve">Gourmet Food Gulshan Ravi </v>
      </c>
      <c r="T16" s="300">
        <f>+'14'!P35</f>
        <v>4419.6048976271186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58919.200000000004</v>
      </c>
      <c r="R19" s="299">
        <v>17</v>
      </c>
      <c r="S19" s="317" t="str">
        <f>+'17'!A6:A6</f>
        <v>Gourmet Food Model Town Link Road</v>
      </c>
      <c r="T19" s="300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10605.455999999998</v>
      </c>
      <c r="R20" s="299">
        <v>18</v>
      </c>
      <c r="S20" s="317" t="str">
        <f>+'18'!A6:A6</f>
        <v xml:space="preserve">Gourmet Food A Block Model Town </v>
      </c>
      <c r="T20" s="300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19" t="str">
        <f>+'19'!A6:A6</f>
        <v>Gourmet Food Bata Pur</v>
      </c>
      <c r="T21" s="300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48313.744000000006</v>
      </c>
      <c r="R22" s="299">
        <v>20</v>
      </c>
      <c r="S22" s="317" t="str">
        <f>+'20'!A6:A6</f>
        <v xml:space="preserve">Gourmet Food Sadar Kachari </v>
      </c>
      <c r="T22" s="300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11135.593220338982</v>
      </c>
      <c r="R23" s="299">
        <v>21</v>
      </c>
      <c r="S23" s="317" t="str">
        <f>+'21'!A6:A6</f>
        <v xml:space="preserve">Gourmet Food Jaurey Pull </v>
      </c>
      <c r="T23" s="300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59449.337220338988</v>
      </c>
      <c r="R24" s="299">
        <v>22</v>
      </c>
      <c r="S24" s="317" t="str">
        <f>+'22'!A6:A6</f>
        <v xml:space="preserve">Gourmet Food Bhatta Chowk </v>
      </c>
      <c r="T24" s="300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297.24668610169493</v>
      </c>
      <c r="R25" s="299">
        <v>23</v>
      </c>
      <c r="S25" s="317" t="str">
        <f>+'23'!A6:A6</f>
        <v>Gourmet Food XX DHA</v>
      </c>
      <c r="T25" s="300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59746.583906440683</v>
      </c>
      <c r="R26" s="299">
        <v>24</v>
      </c>
      <c r="S26" s="317" t="str">
        <f>+'24'!A6:A6</f>
        <v>Gourmet Food H Block DHA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19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9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0</v>
      </c>
    </row>
    <row r="30" spans="1:20" ht="21.75" customHeight="1" x14ac:dyDescent="0.35">
      <c r="R30" s="299">
        <v>28</v>
      </c>
      <c r="S30" s="320" t="str">
        <f>+'28'!A6:A6</f>
        <v>Gourmet Food Riwind Road</v>
      </c>
      <c r="T30" s="300">
        <f>+'28'!P35</f>
        <v>5074.3703354237296</v>
      </c>
    </row>
    <row r="31" spans="1:20" ht="21.75" customHeight="1" x14ac:dyDescent="0.35">
      <c r="R31" s="299">
        <v>29</v>
      </c>
      <c r="S31" s="320" t="str">
        <f>+'29'!A6:A6</f>
        <v xml:space="preserve">Gourmet Food  Chung </v>
      </c>
      <c r="T31" s="300">
        <f>+'29'!P35</f>
        <v>10148.740670847459</v>
      </c>
    </row>
    <row r="32" spans="1:20" ht="21.75" customHeight="1" x14ac:dyDescent="0.35">
      <c r="R32" s="299">
        <v>30</v>
      </c>
      <c r="S32" s="320" t="str">
        <f>+'30'!A6:A6</f>
        <v>Gourmet Food Moter Way</v>
      </c>
      <c r="T32" s="300">
        <f>+'30'!P35</f>
        <v>10967.176865593221</v>
      </c>
    </row>
    <row r="33" spans="2:20" ht="21.75" customHeight="1" thickBot="1" x14ac:dyDescent="0.6">
      <c r="R33" s="302"/>
      <c r="S33" s="301" t="s">
        <v>496</v>
      </c>
      <c r="T33" s="303">
        <f>SUM(T3:T32)</f>
        <v>59746.58390644069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  <c r="F2" t="s">
        <v>517</v>
      </c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8.7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F18" sqref="F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1801.4759999999997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8206.724000000002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10098.249423728816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5" t="s">
        <v>88</v>
      </c>
      <c r="O35" s="346"/>
      <c r="P35" s="297">
        <f>+P33+P34</f>
        <v>10148.740670847459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>
        <v>20</v>
      </c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96">
        <v>20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784.51199999999994</v>
      </c>
      <c r="K25" s="275">
        <f t="shared" si="7"/>
        <v>0</v>
      </c>
      <c r="L25" s="276">
        <f t="shared" si="7"/>
        <v>0</v>
      </c>
      <c r="M25" s="232">
        <f t="shared" si="7"/>
        <v>3573.8879999999999</v>
      </c>
      <c r="N25" s="233">
        <f>SUM(N16:N24)</f>
        <v>823.72881355932213</v>
      </c>
      <c r="O25" s="101">
        <f>SUM(O16:O24)</f>
        <v>21.98808406779661</v>
      </c>
      <c r="P25" s="113">
        <f>SUM(P16:P24)</f>
        <v>4419.6048976271186</v>
      </c>
      <c r="Q25" s="128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4358.3999999999996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784.51199999999994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3573.8879999999999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4397.6168135593216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21.98808406779661</v>
      </c>
    </row>
    <row r="35" spans="2:16" ht="15.75" customHeight="1" thickBot="1" x14ac:dyDescent="0.4">
      <c r="N35" s="345" t="s">
        <v>88</v>
      </c>
      <c r="O35" s="346"/>
      <c r="P35" s="297">
        <f>+P33+P34</f>
        <v>4419.6048976271186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  <c r="S30" s="215"/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6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1801.4759999999997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8206.724000000002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10098.249423728816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5" t="s">
        <v>88</v>
      </c>
      <c r="O35" s="346"/>
      <c r="P35" s="297">
        <f>+P33+P34</f>
        <v>10148.740670847459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10815.300000000001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1946.7539999999995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8868.5460000000021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10912.613796610171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5" t="s">
        <v>88</v>
      </c>
      <c r="O35" s="346"/>
      <c r="P35" s="297">
        <f>+P33+P34</f>
        <v>10967.176865593221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2026-10-10T04:59:00Z</dcterms:modified>
</cp:coreProperties>
</file>