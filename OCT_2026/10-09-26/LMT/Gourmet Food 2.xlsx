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078C0D8-180E-4360-BA8D-55616DAEB66D}" xr6:coauthVersionLast="47" xr6:coauthVersionMax="47" xr10:uidLastSave="{00000000-0000-0000-0000-000000000000}"/>
  <bookViews>
    <workbookView xWindow="-110" yWindow="-110" windowWidth="19420" windowHeight="10420" tabRatio="87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<sst xmlns="http://schemas.openxmlformats.org/spreadsheetml/2006/main" count="3949" uniqueCount="547">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</sst>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  <font>
      <b/>
      <sz val="12"/>
      <color theme="1" tint="4.9989318521683403E-2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B1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17" t="str">
        <f>+'1'!A6:A6</f>
        <v>Gourmet Food K Block DHA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9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20" t="str">
        <f>+'5'!A6:A6</f>
        <v xml:space="preserve">Gourmet Food Rustam Park </v>
      </c>
      <c r="T7" s="300">
        <f>+'5'!P35</f>
        <v>5892.8065301694915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0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9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523.00799999999992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2382.5920000000001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14.658722711864407</v>
      </c>
      <c r="P10" s="310">
        <f t="shared" si="2"/>
        <v>2946.4032650847457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Zaraar Shaheed Road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0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>Gourmet Food Bedian Road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523.00799999999992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2382.5920000000001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14.658722711864407</v>
      </c>
      <c r="P12" s="310">
        <f t="shared" si="2"/>
        <v>2946.4032650847457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274">
        <f>H16/40</f>
        <v>2</v>
      </c>
      <c r="H16" s="113">
        <f t="shared" ref="H16:M16" si="3">SUM(H7:H15)</f>
        <v>80</v>
      </c>
      <c r="I16" s="114">
        <f t="shared" si="3"/>
        <v>5811.2</v>
      </c>
      <c r="J16" s="274">
        <f>SUM(J7:J15)</f>
        <v>1046.0159999999998</v>
      </c>
      <c r="K16" s="275">
        <f t="shared" si="3"/>
        <v>0</v>
      </c>
      <c r="L16" s="276">
        <f t="shared" si="3"/>
        <v>0</v>
      </c>
      <c r="M16" s="232">
        <f t="shared" si="3"/>
        <v>4765.1840000000002</v>
      </c>
      <c r="N16" s="233">
        <f>SUM(N7:N15)</f>
        <v>1098.3050847457628</v>
      </c>
      <c r="O16" s="101">
        <f>SUM(O7:O15)</f>
        <v>29.317445423728813</v>
      </c>
      <c r="P16" s="113">
        <f>SUM(P7:P15)</f>
        <v>5892.8065301694915</v>
      </c>
      <c r="Q16" s="128">
        <f>SUM(Q7:Q15)</f>
        <v>0</v>
      </c>
      <c r="R16" s="318">
        <v>14</v>
      </c>
      <c r="S16" s="319" t="str">
        <f>+'14'!A6:A6</f>
        <v xml:space="preserve">Gourmet Food Shadra Town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5811.2</v>
      </c>
      <c r="R19" s="299">
        <v>17</v>
      </c>
      <c r="S19" s="319" t="str">
        <f>+'17'!A6:A6</f>
        <v xml:space="preserve">Gourmet Food Killa Lakshman singh </v>
      </c>
      <c r="T19" s="300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1046.0159999999998</v>
      </c>
      <c r="R20" s="299">
        <v>18</v>
      </c>
      <c r="S20" s="319" t="str">
        <f>+'18'!A6:A6</f>
        <v>Gourmet Food Imamia Colony</v>
      </c>
      <c r="T20" s="300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4765.1840000000002</v>
      </c>
      <c r="R22" s="299">
        <v>20</v>
      </c>
      <c r="S22" s="319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1098.3050847457628</v>
      </c>
      <c r="R23" s="299">
        <v>21</v>
      </c>
      <c r="S23" s="317" t="str">
        <f>+'21'!A6:A6</f>
        <v>Gourmet Food Nadra Abad</v>
      </c>
      <c r="T23" s="300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5863.4890847457627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29.317445423728813</v>
      </c>
      <c r="R25" s="299">
        <v>23</v>
      </c>
      <c r="S25" s="317" t="str">
        <f>+'23'!A6:A6</f>
        <v>Gourmet Food FF DHA</v>
      </c>
      <c r="T25" s="300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5892.8065301694915</v>
      </c>
      <c r="R26" s="299">
        <v>24</v>
      </c>
      <c r="S26" s="317" t="str">
        <f>+'24'!A6:A6</f>
        <v>Gourmet Food Sultanpura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17" t="str">
        <f>+'25'!A6:A6</f>
        <v>Gourmet Food Militery Account</v>
      </c>
      <c r="T27" s="300">
        <f>+'25'!P35</f>
        <v>0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0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0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0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5892.8065301694915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zoomScaleNormal="10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7.2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  <c r="F2" t="s">
        <v>516</v>
      </c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8" zoomScaleNormal="100" workbookViewId="0">
      <selection activeCell="F18" sqref="F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1046.0159999999998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4765.1840000000002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5863.4890847457627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4" t="s">
        <v>88</v>
      </c>
      <c r="O35" s="375"/>
      <c r="P35" s="297">
        <f>+P33+P34</f>
        <v>5892.8065301694915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  <c r="S30" s="215"/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8.7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542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1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544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545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546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514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46296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46295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512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6">
        <v>0.18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2026-10-10T05:00:44Z</dcterms:modified>
</cp:coreProperties>
</file>