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000E1BB-8921-446B-9A51-75BBA1673C5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8" l="1"/>
  <c r="N5" i="68" s="1"/>
  <c r="N5" i="11"/>
  <c r="N4" i="51"/>
  <c r="N4" i="50"/>
  <c r="N4" i="57"/>
  <c r="N4" i="55"/>
  <c r="N4" i="59"/>
  <c r="N4" i="61"/>
  <c r="N4" i="67"/>
  <c r="N5" i="67" s="1"/>
  <c r="N4" i="46"/>
  <c r="N4" i="53"/>
  <c r="N4" i="69"/>
  <c r="N5" i="69" s="1"/>
  <c r="N4" i="58"/>
  <c r="N4" i="64"/>
  <c r="N5" i="64" s="1"/>
  <c r="N4" i="63"/>
  <c r="N4" i="70"/>
  <c r="N5" i="70" s="1"/>
  <c r="N4" i="45"/>
  <c r="N4" i="65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<sst xmlns="http://schemas.openxmlformats.org/spreadsheetml/2006/main" count="3948" uniqueCount="527">
  <si>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</si>
  <si>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</si>
  <si>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</si>
  <si>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</si>
  <si>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</si>
  <si>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</si>
  <si>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</si>
  <si>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</si>
  <si>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</si>
  <si>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</si>
  <si>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</si>
  <si>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</si>
  <si>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</si>
  <si>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</si>
  <si>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</si>
  <si>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</si>
  <si>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</si>
  <si>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</si>
  <si>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</si>
  <si>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</si>
  <si>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</si>
  <si>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</si>
  <si>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</si>
  <si>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</si>
  <si>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</si>
  <si>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</si>
  <si>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</si>
  <si>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</si>
  <si>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</si>
  <si>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</si>
  <si>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</si>
  <si>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</si>
  <si>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</si>
  <si>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</si>
  <si>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</si>
  <si>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</si>
  <si>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</si>
  <si>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</si>
  <si>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</si>
  <si>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</si>
  <si>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</si>
  <si>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</si>
  <si>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</si>
  <si>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</si>
  <si>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</si>
  <si>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</si>
  <si>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</si>
  <si>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</si>
  <si>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</si>
  <si>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</si>
  <si>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</si>
  <si>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</si>
  <si>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</si>
  <si>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</si>
  <si>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</si>
  <si>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</si>
  <si>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</si>
  <si>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</si>
  <si>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</si>
  <si>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</si>
  <si>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</si>
  <si>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</si>
  <si>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</si>
  <si>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</si>
  <si>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</si>
  <si>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</si>
  <si>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</si>
  <si>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</si>
  <si>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</si>
  <si>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</si>
  <si>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</si>
  <si>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</si>
  <si>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</si>
  <si>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</si>
  <si>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</si>
  <si>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</si>
  <si>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</si>
  <si>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</si>
  <si>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</si>
  <si>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</si>
  <si>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</si>
  <si>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</si>
  <si>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</si>
  <si>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</si>
  <si>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</si>
  <si>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</si>
  <si>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</si>
  <si>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</si>
  <si>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</si>
  <si>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</si>
  <si>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</si>
  <si>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</si>
  <si>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</si>
  <si>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</si>
  <si>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</si>
  <si>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</si>
  <si>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</si>
  <si>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</si>
  <si>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</si>
  <si>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</si>
  <si>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</si>
  <si>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</si>
  <si>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</si>
  <si>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</si>
  <si>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</si>
  <si>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</si>
  <si>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</si>
  <si>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</si>
  <si>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</si>
  <si>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</si>
  <si>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</si>
  <si>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</si>
  <si>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</si>
  <si>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</si>
  <si>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</si>
  <si>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</si>
  <si>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</si>
  <si>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</si>
  <si>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</si>
  <si>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</si>
  <si>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</si>
  <si>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</si>
  <si>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</si>
  <si>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</si>
  <si>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</si>
  <si>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</si>
  <si>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</si>
  <si>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</si>
  <si>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</si>
  <si>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</si>
  <si>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</si>
  <si>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</si>
  <si>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</si>
  <si>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</si>
  <si>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</si>
  <si>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</si>
  <si>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</si>
  <si>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</si>
  <si>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</si>
  <si>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</si>
  <si>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</si>
  <si>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</si>
  <si>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</si>
  <si>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</si>
  <si>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</si>
  <si>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</si>
  <si>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</si>
  <si>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</si>
  <si>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</si>
  <si>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</si>
  <si>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</si>
  <si>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</si>
  <si>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</si>
  <si>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</si>
  <si>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</si>
  <si>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</si>
  <si>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</si>
  <si>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</si>
  <si>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</si>
  <si>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</si>
  <si>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</si>
  <si>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</si>
  <si>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</si>
  <si>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</si>
  <si>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</si>
  <si>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</si>
  <si>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</si>
  <si>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</si>
  <si>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</si>
  <si>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</si>
  <si>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</si>
  <si>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</si>
  <si>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</si>
  <si>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</si>
  <si>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</si>
  <si>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</si>
  <si>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</si>
  <si>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</si>
  <si>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</si>
  <si>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</si>
  <si>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</si>
  <si>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</si>
  <si>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</si>
  <si>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</si>
  <si>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</si>
  <si>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</si>
  <si>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</si>
  <si>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</si>
  <si>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</si>
  <si>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</si>
  <si>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</si>
  <si>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</si>
  <si>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</si>
  <si>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</si>
  <si>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</si>
  <si>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</si>
  <si>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</si>
  <si>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</si>
  <si>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</si>
  <si>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</si>
  <si>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</si>
  <si>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</si>
  <si>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</si>
  <si>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</si>
  <si>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</si>
  <si>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</si>
  <si>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</si>
  <si>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</si>
  <si>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</si>
  <si>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</si>
  <si>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</si>
  <si>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</si>
  <si>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</si>
  <si>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</si>
  <si>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</si>
  <si>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</si>
  <si>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</si>
  <si>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</si>
  <si>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</si>
  <si>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</si>
  <si>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</si>
  <si>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</si>
  <si>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</si>
  <si>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</si>
  <si>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</si>
  <si>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</si>
  <si>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</si>
  <si>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</si>
  <si>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</si>
  <si>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</si>
  <si>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</si>
  <si>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</si>
  <si>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</si>
  <si>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</si>
  <si>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</si>
  <si>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</si>
  <si>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</si>
  <si>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</si>
  <si>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</si>
  <si>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</si>
  <si>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</si>
  <si>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</si>
  <si>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</si>
  <si>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</si>
  <si>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</si>
  <si>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</si>
  <si>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</si>
  <si>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</si>
  <si>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</si>
  <si>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</si>
  <si>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</si>
  <si>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</si>
  <si>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</si>
  <si>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</si>
  <si>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</si>
  <si>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</si>
  <si>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</si>
  <si>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</si>
  <si>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</si>
  <si>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</si>
  <si>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</si>
  <si>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</si>
  <si>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</si>
  <si>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</si>
  <si>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</si>
  <si>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</si>
  <si>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</si>
  <si>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</si>
  <si>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</si>
  <si>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</si>
  <si>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</si>
  <si>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</si>
  <si>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</si>
  <si>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</si>
  <si>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</si>
  <si>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</si>
  <si>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</si>
  <si>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</si>
  <si>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</si>
  <si>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</si>
  <si>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</si>
  <si>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</si>
  <si>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</si>
  <si>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</si>
  <si>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</si>
  <si>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</si>
  <si>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</si>
  <si>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</si>
  <si>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</si>
  <si>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</si>
  <si>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</si>
  <si>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</si>
  <si>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</si>
  <si>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</si>
  <si>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</si>
  <si>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</si>
  <si>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</si>
  <si>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</si>
  <si>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</si>
  <si>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</si>
  <si>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</si>
  <si>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</si>
  <si>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</si>
  <si>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</si>
  <si>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</si>
  <si>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</si>
  <si>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</si>
  <si>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</si>
  <si>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</si>
  <si>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</si>
  <si>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</si>
  <si>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</si>
  <si>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</si>
  <si>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</si>
  <si>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</si>
  <si>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</si>
  <si>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</si>
  <si>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</si>
  <si>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</si>
  <si>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</si>
  <si>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</si>
  <si>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</si>
  <si>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</si>
  <si>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</si>
  <si>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</si>
  <si>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</si>
  <si>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</si>
  <si>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</si>
  <si>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</si>
  <si>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</si>
  <si>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</si>
  <si>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</si>
  <si>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</si>
  <si>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</si>
  <si>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</si>
  <si>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</si>
  <si>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</si>
  <si>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</si>
  <si>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</si>
  <si>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</si>
  <si>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</si>
  <si>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</si>
  <si>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</si>
  <si>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</si>
  <si>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</si>
  <si>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</si>
  <si>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</si>
  <si>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</si>
  <si>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</si>
  <si>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</si>
  <si>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</si>
  <si>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</si>
  <si>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</si>
  <si>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</si>
  <si>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</si>
  <si>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</si>
  <si>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</si>
  <si>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</si>
  <si>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</si>
  <si>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</si>
  <si>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</si>
  <si>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</si>
  <si>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</si>
  <si>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</si>
  <si>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</si>
  <si>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</si>
  <si>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</si>
  <si>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</si>
  <si>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</si>
  <si>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</si>
  <si>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</si>
  <si>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</si>
  <si>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</si>
  <si>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</si>
  <si>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</si>
  <si>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</si>
  <si>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</si>
  <si>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</si>
  <si>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</si>
  <si>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</si>
  <si>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</si>
  <si>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</si>
  <si>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</si>
  <si>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</si>
  <si>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</si>
  <si>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</si>
  <si>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</si>
  <si>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</si>
  <si>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</si>
  <si>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</si>
  <si>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</si>
  <si>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</si>
  <si>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</si>
  <si>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</si>
  <si>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</si>
  <si>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</si>
  <si>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</si>
  <si>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</si>
  <si>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</si>
  <si>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</si>
  <si>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</si>
  <si>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</si>
  <si>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</si>
  <si>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</si>
  <si>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</si>
  <si>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</si>
  <si>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</si>
  <si>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</si>
  <si>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</si>
  <si>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</si>
  <si>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</si>
  <si>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</si>
  <si>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</si>
  <si>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</si>
  <si>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</si>
  <si>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</si>
  <si>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</si>
  <si>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</si>
  <si>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</si>
  <si>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</si>
  <si>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</si>
  <si>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</si>
  <si>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</si>
  <si>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</si>
  <si>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</si>
  <si>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</si>
  <si>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</si>
  <si>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</si>
  <si>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</si>
  <si>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</si>
  <si>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</si>
  <si>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</si>
  <si>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</si>
  <si>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</si>
  <si>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</si>
  <si>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</si>
  <si>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</si>
  <si>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</si>
  <si>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</si>
  <si>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</si>
  <si>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</si>
  <si>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</si>
  <si>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</si>
  <si>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</si>
  <si>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</si>
  <si>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</si>
  <si>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</si>
  <si>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</si>
  <si>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</si>
  <si>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</si>
  <si>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</si>
  <si>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</si>
  <si>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</si>
  <si>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</si>
  <si>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</si>
  <si>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</si>
  <si>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</si>
  <si>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</si>
  <si>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</si>
  <si>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</si>
  <si>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</si>
  <si>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</si>
  <si>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</si>
  <si>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</si>
  <si>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</si>
  <si>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</si>
  <si>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</si>
  <si>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</si>
  <si>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</si>
  <si>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</si>
  <si>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</si>
  <si>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</si>
  <si>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</si>
  <si>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</si>
  <si>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</si>
  <si>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</si>
  <si>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</si>
  <si>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</si>
  <si>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</si>
  <si>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</si>
  <si>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</si>
  <si>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</si>
  <si>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</si>
  <si>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</si>
  <si>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</si>
  <si>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</si>
  <si>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</si>
  <si>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</si>
  <si>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</si>
  <si>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</si>
  <si>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</si>
  <si>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</si>
  <si>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</si>
  <si>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</si>
  <si>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</si>
  <si>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</si>
  <si>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</si>
  <si>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</si>
  <si>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</si>
  <si>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</si>
  <si>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</si>
  <si>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</si>
  <si>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</si>
  <si>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</si>
  <si>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</si>
  <si>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</si>
  <si>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</si>
  <si>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</si>
  <si>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</si>
  <si>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</si>
  <si>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</si>
  <si>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</si>
  <si>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</si>
  <si>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</si>
  <si>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</si>
  <si>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Sheri Mart </t>
  </si>
  <si>
    <t xml:space="preserve">Address: Ali Park </t>
  </si>
  <si>
    <t>Bilal Store</t>
  </si>
  <si>
    <t>Fakhir Store</t>
  </si>
  <si>
    <t>Awan Store</t>
  </si>
  <si>
    <t xml:space="preserve">Bin Hadi </t>
  </si>
  <si>
    <t xml:space="preserve">A Mart </t>
  </si>
  <si>
    <t xml:space="preserve">H Mart </t>
  </si>
  <si>
    <t>Khan Store</t>
  </si>
  <si>
    <t xml:space="preserve">Raza Mart </t>
  </si>
  <si>
    <t>Sameer Store</t>
  </si>
  <si>
    <t>Baber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</si>
</sst>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Sheri Mart 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Bilal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Fakhir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Awan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Bin Hadi </v>
      </c>
      <c r="T7" s="301">
        <f>+'5'!P35</f>
        <v>21953.481095593219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 Mart </v>
      </c>
      <c r="T8" s="301">
        <f>+'6'!P35</f>
        <v>5401.2631679237275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 Mart 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Khan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Raza Mart 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260</v>
      </c>
      <c r="I12" s="236">
        <f t="shared" si="0"/>
        <v>18886.400000000001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1510.9120000000005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661.024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16714.464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3569.4915254237294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101.41977762711866</v>
      </c>
      <c r="P12" s="311">
        <f t="shared" si="2"/>
        <v>20385.375303050845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Sameer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Baber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11.25</v>
      </c>
      <c r="H16" s="113">
        <f t="shared" ref="H16:M16" si="3">SUM(H7:H15)</f>
        <v>450</v>
      </c>
      <c r="I16" s="114">
        <f t="shared" si="3"/>
        <v>31880.9</v>
      </c>
      <c r="J16" s="274">
        <f>SUM(J7:J15)</f>
        <v>2550.4720000000007</v>
      </c>
      <c r="K16" s="275">
        <f t="shared" si="3"/>
        <v>1115.8315</v>
      </c>
      <c r="L16" s="276">
        <f t="shared" si="3"/>
        <v>0</v>
      </c>
      <c r="M16" s="232">
        <f t="shared" si="3"/>
        <v>28214.5965</v>
      </c>
      <c r="N16" s="233">
        <f>SUM(N7:N15)</f>
        <v>6025.42372881356</v>
      </c>
      <c r="O16" s="101">
        <f>SUM(O7:O15)</f>
        <v>171.20010114406782</v>
      </c>
      <c r="P16" s="113">
        <f>SUM(P7:P15)</f>
        <v>34411.220329957621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31880.9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2550.4720000000007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1115.8315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28214.5965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6025.42372881356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34240.020228813562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171.20010114406782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34411.220329957629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34411.220329957621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0"/>
        <v>11622.4</v>
      </c>
      <c r="J21" s="272">
        <f t="shared" si="1"/>
        <v>929.79200000000003</v>
      </c>
      <c r="K21" s="128">
        <f t="shared" si="1"/>
        <v>406.78400000000005</v>
      </c>
      <c r="L21" s="119">
        <f t="shared" si="1"/>
        <v>0</v>
      </c>
      <c r="M21" s="230">
        <f t="shared" si="2"/>
        <v>10285.824000000001</v>
      </c>
      <c r="N21" s="277">
        <f t="shared" si="3"/>
        <v>2196.6101694915255</v>
      </c>
      <c r="O21" s="239">
        <f t="shared" si="4"/>
        <v>62.412170847457631</v>
      </c>
      <c r="P21" s="119">
        <f t="shared" si="5"/>
        <v>12544.846340338983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20339.199999999997</v>
      </c>
      <c r="J25" s="274">
        <f>SUM(J16:J24)</f>
        <v>1627.136</v>
      </c>
      <c r="K25" s="275">
        <f t="shared" si="7"/>
        <v>711.87200000000007</v>
      </c>
      <c r="L25" s="276">
        <f t="shared" si="7"/>
        <v>0</v>
      </c>
      <c r="M25" s="232">
        <f t="shared" si="7"/>
        <v>18000.192000000003</v>
      </c>
      <c r="N25" s="233">
        <f>SUM(N16:N24)</f>
        <v>3844.0677966101698</v>
      </c>
      <c r="O25" s="101">
        <f>SUM(O16:O24)</f>
        <v>109.22129898305086</v>
      </c>
      <c r="P25" s="234">
        <f>SUM(P16:P24)</f>
        <v>21953.481095593219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20339.199999999997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1627.136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711.87200000000007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18000.191999999999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3844.0677966101698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21844.259796610168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109.22129898305084</v>
      </c>
    </row>
    <row r="35" spans="2:16" ht="15.75" customHeight="1" thickBot="1" x14ac:dyDescent="0.4">
      <c r="N35" s="374" t="s">
        <v>88</v>
      </c>
      <c r="O35" s="375"/>
      <c r="P35" s="297">
        <f>+P33+P34</f>
        <v>21953.481095593219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5004.0999999999995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4428.6284999999989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2026-10-09T09:15:43Z</dcterms:modified>
</cp:coreProperties>
</file>