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A1806A8-CFFA-4DC9-8779-EE044CA3CA9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5">'2'!$A$1:$Q$37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3"/>
  <c r="O20" i="43" s="1"/>
  <c r="P20" i="43" s="1"/>
  <c r="R20" i="4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<sst xmlns="http://schemas.openxmlformats.org/spreadsheetml/2006/main" count="3913" uniqueCount="518">
  <si>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</si>
  <si>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</si>
  <si>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</si>
  <si>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</si>
  <si>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</si>
  <si>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</si>
  <si>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</si>
  <si>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</si>
  <si>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</si>
  <si>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</si>
  <si>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</si>
  <si>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</si>
  <si>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</si>
  <si>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</si>
  <si>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</si>
  <si>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</si>
  <si>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</si>
  <si>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</si>
  <si>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</si>
  <si>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</si>
  <si>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</si>
  <si>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</si>
  <si>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</si>
  <si>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</si>
  <si>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</si>
  <si>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</si>
  <si>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</si>
  <si>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</si>
  <si>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</si>
  <si>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</si>
  <si>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</si>
  <si>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</si>
  <si>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</si>
  <si>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</si>
  <si>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</si>
  <si>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</si>
  <si>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</si>
  <si>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</si>
  <si>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</si>
  <si>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</si>
  <si>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</si>
  <si>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</si>
  <si>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</si>
  <si>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</si>
  <si>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</si>
  <si>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</si>
  <si>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</si>
  <si>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</si>
  <si>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</si>
  <si>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</si>
  <si>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</si>
  <si>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</si>
  <si>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</si>
  <si>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</si>
  <si>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</si>
  <si>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</si>
  <si>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</si>
  <si>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</si>
  <si>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</si>
  <si>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</si>
  <si>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</si>
  <si>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</si>
  <si>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</si>
  <si>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</si>
  <si>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</si>
  <si>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</si>
  <si>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</si>
  <si>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</si>
  <si>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</si>
  <si>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</si>
  <si>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</si>
  <si>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</si>
  <si>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</si>
  <si>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</si>
  <si>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</si>
  <si>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</si>
  <si>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</si>
  <si>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</si>
  <si>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</si>
  <si>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</si>
  <si>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</si>
  <si>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</si>
  <si>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</si>
  <si>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</si>
  <si>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</si>
  <si>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</si>
  <si>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</si>
  <si>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</si>
  <si>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</si>
  <si>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</si>
  <si>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</si>
  <si>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</si>
  <si>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</si>
  <si>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</si>
  <si>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</si>
  <si>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</si>
  <si>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</si>
  <si>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</si>
  <si>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</si>
  <si>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</si>
  <si>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</si>
  <si>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</si>
  <si>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</si>
  <si>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</si>
  <si>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</si>
  <si>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</si>
  <si>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</si>
  <si>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</si>
  <si>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</si>
  <si>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</si>
  <si>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</si>
  <si>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</si>
  <si>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</si>
  <si>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</si>
  <si>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</si>
  <si>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</si>
  <si>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</si>
  <si>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</si>
  <si>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</si>
  <si>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</si>
  <si>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</si>
  <si>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</si>
  <si>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</si>
  <si>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</si>
  <si>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</si>
  <si>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</si>
  <si>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</si>
  <si>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</si>
  <si>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</si>
  <si>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</si>
  <si>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</si>
  <si>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</si>
  <si>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</si>
  <si>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</si>
  <si>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</si>
  <si>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</si>
  <si>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</si>
  <si>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</si>
  <si>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</si>
  <si>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</si>
  <si>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</si>
  <si>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</si>
  <si>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</si>
  <si>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</si>
  <si>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</si>
  <si>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</si>
  <si>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</si>
  <si>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</si>
  <si>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</si>
  <si>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</si>
  <si>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</si>
  <si>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</si>
  <si>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</si>
  <si>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</si>
  <si>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</si>
  <si>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</si>
  <si>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</si>
  <si>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</si>
  <si>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</si>
  <si>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</si>
  <si>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</si>
  <si>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</si>
  <si>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</si>
  <si>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</si>
  <si>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</si>
  <si>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</si>
  <si>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</si>
  <si>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</si>
  <si>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</si>
  <si>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</si>
  <si>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</si>
  <si>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</si>
  <si>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</si>
  <si>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</si>
  <si>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</si>
  <si>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</si>
  <si>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</si>
  <si>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</si>
  <si>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</si>
  <si>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</si>
  <si>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</si>
  <si>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</si>
  <si>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</si>
  <si>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</si>
  <si>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</si>
  <si>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</si>
  <si>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</si>
  <si>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</si>
  <si>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</si>
  <si>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</si>
  <si>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</si>
  <si>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</si>
  <si>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</si>
  <si>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</si>
  <si>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</si>
  <si>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</si>
  <si>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</si>
  <si>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</si>
  <si>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</si>
  <si>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</si>
  <si>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</si>
  <si>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</si>
  <si>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</si>
  <si>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</si>
  <si>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</si>
  <si>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</si>
  <si>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</si>
  <si>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</si>
  <si>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</si>
  <si>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</si>
  <si>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</si>
  <si>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</si>
  <si>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</si>
  <si>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</si>
  <si>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</si>
  <si>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</si>
  <si>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</si>
  <si>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</si>
  <si>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</si>
  <si>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</si>
  <si>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</si>
  <si>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</si>
  <si>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</si>
  <si>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</si>
  <si>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</si>
  <si>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</si>
  <si>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</si>
  <si>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</si>
  <si>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</si>
  <si>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</si>
  <si>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</si>
  <si>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</si>
  <si>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</si>
  <si>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</si>
  <si>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</si>
  <si>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</si>
  <si>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</si>
  <si>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</si>
  <si>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</si>
  <si>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</si>
  <si>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</si>
  <si>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</si>
  <si>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</si>
  <si>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</si>
  <si>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</si>
  <si>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</si>
  <si>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</si>
  <si>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</si>
  <si>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</si>
  <si>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</si>
  <si>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</si>
  <si>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</si>
  <si>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</si>
  <si>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</si>
  <si>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</si>
  <si>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</si>
  <si>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</si>
  <si>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</si>
  <si>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</si>
  <si>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</si>
  <si>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</si>
  <si>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</si>
  <si>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</si>
  <si>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</si>
  <si>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</si>
  <si>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</si>
  <si>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</si>
  <si>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</si>
  <si>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</si>
  <si>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</si>
  <si>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</si>
  <si>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</si>
  <si>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</si>
  <si>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</si>
  <si>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</si>
  <si>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</si>
  <si>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</si>
  <si>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</si>
  <si>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</si>
  <si>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</si>
  <si>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</si>
  <si>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</si>
  <si>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</si>
  <si>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</si>
  <si>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</si>
  <si>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</si>
  <si>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</si>
  <si>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</si>
  <si>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</si>
  <si>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</si>
  <si>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</si>
  <si>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</si>
  <si>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</si>
  <si>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</si>
  <si>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</si>
  <si>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</si>
  <si>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</si>
  <si>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</si>
  <si>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</si>
  <si>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</si>
  <si>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</si>
  <si>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</si>
  <si>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</si>
  <si>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</si>
  <si>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</si>
  <si>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</si>
  <si>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</si>
  <si>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</si>
  <si>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</si>
  <si>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</si>
  <si>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</si>
  <si>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</si>
  <si>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</si>
  <si>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</si>
  <si>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</si>
  <si>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</si>
  <si>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</si>
  <si>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</si>
  <si>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</si>
  <si>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</si>
  <si>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</si>
  <si>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</si>
  <si>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</si>
  <si>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</si>
  <si>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</si>
  <si>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</si>
  <si>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</si>
  <si>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</si>
  <si>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</si>
  <si>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</si>
  <si>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</si>
  <si>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</si>
  <si>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</si>
  <si>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</si>
  <si>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</si>
  <si>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</si>
  <si>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</si>
  <si>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</si>
  <si>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</si>
  <si>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</si>
  <si>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</si>
  <si>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</si>
  <si>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</si>
  <si>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</si>
  <si>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</si>
  <si>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</si>
  <si>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</si>
  <si>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</si>
  <si>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</si>
  <si>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</si>
  <si>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</si>
  <si>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</si>
  <si>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</si>
  <si>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</si>
  <si>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</si>
  <si>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</si>
  <si>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</si>
  <si>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</si>
  <si>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</si>
  <si>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</si>
  <si>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</si>
  <si>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</si>
  <si>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</si>
  <si>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</si>
  <si>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</si>
  <si>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</si>
  <si>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</si>
  <si>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</si>
  <si>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</si>
  <si>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</si>
  <si>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</si>
  <si>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</si>
  <si>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</si>
  <si>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</si>
  <si>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</si>
  <si>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</si>
  <si>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</si>
  <si>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</si>
  <si>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</si>
  <si>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</si>
  <si>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</si>
  <si>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</si>
  <si>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</si>
  <si>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</si>
  <si>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</si>
  <si>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</si>
  <si>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</si>
  <si>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</si>
  <si>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</si>
  <si>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</si>
  <si>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</si>
  <si>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</si>
  <si>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</si>
  <si>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</si>
  <si>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</si>
  <si>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</si>
  <si>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</si>
  <si>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</si>
  <si>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</si>
  <si>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</si>
  <si>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</si>
  <si>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</si>
  <si>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</si>
  <si>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</si>
  <si>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</si>
  <si>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</si>
  <si>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</si>
  <si>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</si>
  <si>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</si>
  <si>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</si>
  <si>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</si>
  <si>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</si>
  <si>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</si>
  <si>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</si>
  <si>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</si>
  <si>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</si>
  <si>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</si>
  <si>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</si>
  <si>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</si>
  <si>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</si>
  <si>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</si>
  <si>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</si>
  <si>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</si>
  <si>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</si>
  <si>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</si>
  <si>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</si>
  <si>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</si>
  <si>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</si>
  <si>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</si>
  <si>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</si>
  <si>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</si>
  <si>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</si>
  <si>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</si>
  <si>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</si>
  <si>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</si>
  <si>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</si>
  <si>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</si>
  <si>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</si>
  <si>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</si>
  <si>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</si>
  <si>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</si>
  <si>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</si>
  <si>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</si>
  <si>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</si>
  <si>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</si>
  <si>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</si>
  <si>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</si>
  <si>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</si>
  <si>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</si>
  <si>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</si>
  <si>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</si>
  <si>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</si>
  <si>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</si>
  <si>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</si>
  <si>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</si>
  <si>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</si>
  <si>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</si>
  <si>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</si>
  <si>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</si>
  <si>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</si>
  <si>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</si>
  <si>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</si>
  <si>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</si>
  <si>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</si>
  <si>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</si>
  <si>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</si>
  <si>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</si>
  <si>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</si>
  <si>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</si>
  <si>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</si>
  <si>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</si>
  <si>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</si>
  <si>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</si>
  <si>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</si>
  <si>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</si>
  <si>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</si>
  <si>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</si>
  <si>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</si>
  <si>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</si>
  <si>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</si>
  <si>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</si>
  <si>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</si>
  <si>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</si>
  <si>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</si>
  <si>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</si>
  <si>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</si>
  <si>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</si>
  <si>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</si>
  <si>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</si>
  <si>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</si>
  <si>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</si>
  <si>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</si>
  <si>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</si>
  <si>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</si>
  <si>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</si>
  <si>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</si>
  <si>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</si>
  <si>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</si>
  <si>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</si>
  <si>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</si>
  <si>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</si>
  <si>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</si>
  <si>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</si>
  <si>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</si>
  <si>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</si>
  <si>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</si>
  <si>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</si>
  <si>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</si>
  <si>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</si>
  <si>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</si>
  <si>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</si>
  <si>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</si>
  <si>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</si>
  <si>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</si>
  <si>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Clinix Central Warehouse</t>
  </si>
  <si>
    <t xml:space="preserve">Address:Multan Road Near Ever New </t>
  </si>
  <si>
    <t>NTN #: 0150979-9</t>
  </si>
  <si>
    <t>Invoice No # :001515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</si>
</sst>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opLeftCell="A4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506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>+'1'!N4:N4</f>
        <v>46304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Clinix Central Warehouse</v>
      </c>
      <c r="T3" s="301">
        <f>+'1'!P35</f>
        <v>64640.854860635591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Clinix Central Warehouse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503.64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5571.5174999999999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33.80674004237288</v>
      </c>
      <c r="P7" s="118">
        <f>M7+N7+O7</f>
        <v>6795.1547485169476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335.76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3714.3450000000003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22.537826694915253</v>
      </c>
      <c r="P9" s="119">
        <f t="shared" si="2"/>
        <v>4530.103165677966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929.79200000000003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10285.824000000001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62.412170847457631</v>
      </c>
      <c r="P10" s="119">
        <f t="shared" si="2"/>
        <v>12544.846340338983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7714.3679999999995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46.80912813559322</v>
      </c>
      <c r="P11" s="119">
        <f t="shared" si="2"/>
        <v>9408.6347552542375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400</v>
      </c>
      <c r="I12" s="236">
        <f t="shared" si="0"/>
        <v>29056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2324.48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1016.9600000000002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25714.560000000001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5491.5254237288136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156.03042711864407</v>
      </c>
      <c r="P12" s="119">
        <f t="shared" si="2"/>
        <v>31362.115850847458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0</v>
      </c>
      <c r="H16" s="113">
        <f t="shared" si="3"/>
        <v>880</v>
      </c>
      <c r="I16" s="114">
        <f t="shared" si="3"/>
        <v>59887.7</v>
      </c>
      <c r="J16" s="274">
        <f>SUM(J7:J15)</f>
        <v>4791.0159999999996</v>
      </c>
      <c r="K16" s="275">
        <f t="shared" si="3"/>
        <v>2096.0695000000001</v>
      </c>
      <c r="L16" s="276">
        <f t="shared" si="3"/>
        <v>0</v>
      </c>
      <c r="M16" s="232">
        <f t="shared" si="3"/>
        <v>53000.614499999996</v>
      </c>
      <c r="N16" s="233">
        <f>SUM(N7:N15)</f>
        <v>11318.644067796609</v>
      </c>
      <c r="O16" s="101">
        <f>SUM(O7:O15)</f>
        <v>321.59629283898306</v>
      </c>
      <c r="P16" s="234">
        <f>SUM(P7:P15)</f>
        <v>64640.854860635591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59887.7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4791.0159999999996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2096.0695000000001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53000.614499999996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11318.644067796609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64319.258567796605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321.59629283898306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64640.854860635591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64640.854860635591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517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v>46304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46303</v>
      </c>
      <c r="O5" s="383"/>
      <c r="P5" s="383"/>
      <c r="R5" s="85"/>
      <c r="S5" s="266"/>
    </row>
    <row r="6" spans="1:22 16383:16384" ht="17.2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503.64</v>
      </c>
      <c r="K16" s="127">
        <f>$I16*T16</f>
        <v>220.34250000000003</v>
      </c>
      <c r="L16" s="118">
        <f>$I16*U16</f>
        <v>0</v>
      </c>
      <c r="M16" s="229">
        <f>I16-SUM(J16:L16)</f>
        <v>5571.5174999999999</v>
      </c>
      <c r="N16" s="248">
        <f>+(G16*D16+H16)*V16</f>
        <v>1189.8305084745757</v>
      </c>
      <c r="O16" s="238">
        <f>(N16+M16)*$O$15</f>
        <v>33.80674004237288</v>
      </c>
      <c r="P16" s="118">
        <f>M16+N16+O16</f>
        <v>6795.1547485169476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335.76</v>
      </c>
      <c r="K18" s="128">
        <f t="shared" si="1"/>
        <v>146.89500000000001</v>
      </c>
      <c r="L18" s="119">
        <f t="shared" si="1"/>
        <v>0</v>
      </c>
      <c r="M18" s="230">
        <f t="shared" si="2"/>
        <v>3714.3450000000003</v>
      </c>
      <c r="N18" s="277">
        <f t="shared" si="3"/>
        <v>793.22033898305051</v>
      </c>
      <c r="O18" s="239">
        <f t="shared" si="4"/>
        <v>22.537826694915253</v>
      </c>
      <c r="P18" s="119">
        <f t="shared" si="5"/>
        <v>4530.103165677966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7"/>
        <v>11622.4</v>
      </c>
      <c r="J19" s="272">
        <f t="shared" si="1"/>
        <v>929.79200000000003</v>
      </c>
      <c r="K19" s="128">
        <f t="shared" si="1"/>
        <v>406.78400000000005</v>
      </c>
      <c r="L19" s="119">
        <f t="shared" si="1"/>
        <v>0</v>
      </c>
      <c r="M19" s="230">
        <f t="shared" si="2"/>
        <v>10285.824000000001</v>
      </c>
      <c r="N19" s="277">
        <f t="shared" si="3"/>
        <v>2196.6101694915255</v>
      </c>
      <c r="O19" s="239">
        <f t="shared" si="4"/>
        <v>62.412170847457631</v>
      </c>
      <c r="P19" s="119">
        <f t="shared" si="5"/>
        <v>12544.846340338983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697.34399999999994</v>
      </c>
      <c r="K20" s="128">
        <f t="shared" si="1"/>
        <v>305.08800000000002</v>
      </c>
      <c r="L20" s="119">
        <f t="shared" si="1"/>
        <v>0</v>
      </c>
      <c r="M20" s="230">
        <f t="shared" si="2"/>
        <v>7714.3679999999995</v>
      </c>
      <c r="N20" s="277">
        <f t="shared" si="3"/>
        <v>1647.4576271186443</v>
      </c>
      <c r="O20" s="239">
        <f t="shared" si="4"/>
        <v>46.80912813559322</v>
      </c>
      <c r="P20" s="119">
        <f t="shared" si="5"/>
        <v>9408.6347552542375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400</v>
      </c>
      <c r="I21" s="236">
        <f t="shared" si="7"/>
        <v>29056</v>
      </c>
      <c r="J21" s="272">
        <f t="shared" si="1"/>
        <v>2324.48</v>
      </c>
      <c r="K21" s="128">
        <f t="shared" si="1"/>
        <v>1016.9600000000002</v>
      </c>
      <c r="L21" s="119">
        <f t="shared" si="1"/>
        <v>0</v>
      </c>
      <c r="M21" s="230">
        <f t="shared" si="2"/>
        <v>25714.560000000001</v>
      </c>
      <c r="N21" s="277">
        <f t="shared" si="3"/>
        <v>5491.5254237288136</v>
      </c>
      <c r="O21" s="239">
        <f t="shared" si="4"/>
        <v>156.03042711864407</v>
      </c>
      <c r="P21" s="119">
        <f t="shared" si="5"/>
        <v>31362.115850847458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880</v>
      </c>
      <c r="I25" s="114">
        <f t="shared" ref="I25:M25" si="10">SUM(I16:I24)</f>
        <v>59887.7</v>
      </c>
      <c r="J25" s="274">
        <f>SUM(J16:J24)</f>
        <v>4791.0159999999996</v>
      </c>
      <c r="K25" s="275">
        <f t="shared" si="10"/>
        <v>2096.0695000000001</v>
      </c>
      <c r="L25" s="276">
        <f t="shared" si="10"/>
        <v>0</v>
      </c>
      <c r="M25" s="232">
        <f t="shared" si="10"/>
        <v>53000.614499999996</v>
      </c>
      <c r="N25" s="233">
        <f>SUM(N16:N24)</f>
        <v>11318.644067796609</v>
      </c>
      <c r="O25" s="101">
        <f>SUM(O16:O24)</f>
        <v>321.59629283898306</v>
      </c>
      <c r="P25" s="234">
        <f>SUM(P16:P24)</f>
        <v>64640.854860635591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59887.7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4791.0159999999996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2096.0695000000001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53000.614499999996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11318.644067796609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64319.258567796605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321.59629283898306</v>
      </c>
    </row>
    <row r="35" spans="2:16" ht="15.75" customHeight="1" thickBot="1" x14ac:dyDescent="0.4">
      <c r="N35" s="363" t="s">
        <v>88</v>
      </c>
      <c r="O35" s="364"/>
      <c r="P35" s="297">
        <f>+P33+P34</f>
        <v>64640.854860635591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v>46241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46240</v>
      </c>
      <c r="O5" s="383"/>
      <c r="P5" s="383"/>
      <c r="R5" s="85"/>
      <c r="S5" s="266"/>
    </row>
    <row r="6" spans="1:22 16383:16384" ht="1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8.7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5" customHeight="1" x14ac:dyDescent="0.4">
      <c r="A6" s="389" t="s">
        <v>504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8.75" customHeight="1" x14ac:dyDescent="0.4">
      <c r="A6" s="389" t="s">
        <v>505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46306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46305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46306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46305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2026-10-10T04:52:20Z</dcterms:modified>
</cp:coreProperties>
</file>