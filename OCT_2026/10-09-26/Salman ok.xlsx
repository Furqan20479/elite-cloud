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822CBDC-FE6F-4BF6-9FA0-9E20A84CBDE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<sst xmlns="http://schemas.openxmlformats.org/spreadsheetml/2006/main" count="3948" uniqueCount="520">
  <si>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</si>
  <si>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</si>
  <si>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</si>
  <si>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</si>
  <si>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</si>
  <si>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</si>
  <si>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</si>
  <si>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</si>
  <si>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</si>
  <si>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</si>
  <si>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</si>
  <si>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</si>
  <si>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</si>
  <si>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</si>
  <si>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</si>
  <si>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</si>
  <si>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</si>
  <si>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</si>
  <si>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</si>
  <si>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</si>
  <si>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</si>
  <si>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</si>
  <si>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</si>
  <si>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</si>
  <si>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</si>
  <si>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</si>
  <si>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</si>
  <si>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</si>
  <si>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</si>
  <si>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</si>
  <si>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</si>
  <si>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</si>
  <si>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</si>
  <si>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</si>
  <si>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</si>
  <si>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</si>
  <si>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</si>
  <si>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</si>
  <si>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</si>
  <si>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</si>
  <si>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</si>
  <si>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</si>
  <si>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</si>
  <si>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</si>
  <si>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</si>
  <si>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</si>
  <si>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</si>
  <si>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</si>
  <si>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</si>
  <si>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</si>
  <si>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</si>
  <si>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</si>
  <si>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</si>
  <si>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</si>
  <si>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</si>
  <si>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</si>
  <si>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</si>
  <si>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</si>
  <si>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</si>
  <si>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</si>
  <si>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</si>
  <si>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</si>
  <si>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</si>
  <si>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</si>
  <si>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</si>
  <si>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</si>
  <si>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</si>
  <si>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</si>
  <si>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</si>
  <si>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</si>
  <si>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</si>
  <si>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</si>
  <si>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</si>
  <si>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</si>
  <si>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</si>
  <si>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</si>
  <si>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</si>
  <si>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</si>
  <si>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</si>
  <si>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</si>
  <si>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</si>
  <si>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</si>
  <si>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</si>
  <si>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</si>
  <si>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</si>
  <si>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</si>
  <si>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</si>
  <si>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</si>
  <si>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</si>
  <si>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</si>
  <si>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</si>
  <si>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</si>
  <si>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</si>
  <si>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</si>
  <si>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</si>
  <si>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</si>
  <si>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</si>
  <si>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</si>
  <si>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</si>
  <si>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</si>
  <si>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</si>
  <si>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</si>
  <si>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</si>
  <si>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</si>
  <si>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</si>
  <si>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</si>
  <si>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</si>
  <si>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</si>
  <si>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</si>
  <si>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</si>
  <si>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</si>
  <si>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</si>
  <si>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</si>
  <si>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</si>
  <si>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</si>
  <si>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</si>
  <si>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</si>
  <si>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</si>
  <si>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</si>
  <si>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</si>
  <si>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</si>
  <si>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</si>
  <si>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</si>
  <si>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</si>
  <si>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</si>
  <si>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</si>
  <si>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</si>
  <si>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</si>
  <si>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</si>
  <si>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</si>
  <si>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</si>
  <si>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</si>
  <si>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</si>
  <si>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</si>
  <si>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</si>
  <si>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</si>
  <si>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</si>
  <si>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</si>
  <si>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</si>
  <si>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</si>
  <si>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</si>
  <si>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</si>
  <si>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</si>
  <si>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</si>
  <si>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</si>
  <si>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</si>
  <si>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</si>
  <si>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</si>
  <si>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</si>
  <si>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</si>
  <si>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</si>
  <si>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</si>
  <si>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</si>
  <si>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</si>
  <si>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</si>
  <si>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</si>
  <si>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</si>
  <si>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</si>
  <si>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</si>
  <si>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</si>
  <si>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</si>
  <si>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</si>
  <si>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</si>
  <si>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</si>
  <si>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</si>
  <si>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</si>
  <si>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</si>
  <si>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</si>
  <si>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</si>
  <si>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</si>
  <si>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</si>
  <si>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</si>
  <si>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</si>
  <si>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</si>
  <si>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</si>
  <si>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</si>
  <si>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</si>
  <si>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</si>
  <si>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</si>
  <si>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</si>
  <si>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</si>
  <si>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</si>
  <si>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</si>
  <si>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</si>
  <si>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</si>
  <si>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</si>
  <si>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</si>
  <si>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</si>
  <si>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</si>
  <si>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</si>
  <si>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</si>
  <si>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</si>
  <si>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</si>
  <si>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</si>
  <si>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</si>
  <si>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</si>
  <si>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</si>
  <si>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</si>
  <si>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</si>
  <si>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</si>
  <si>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</si>
  <si>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</si>
  <si>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</si>
  <si>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</si>
  <si>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</si>
  <si>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</si>
  <si>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</si>
  <si>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</si>
  <si>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</si>
  <si>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</si>
  <si>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</si>
  <si>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</si>
  <si>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</si>
  <si>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</si>
  <si>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</si>
  <si>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</si>
  <si>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</si>
  <si>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</si>
  <si>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</si>
  <si>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</si>
  <si>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</si>
  <si>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</si>
  <si>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</si>
  <si>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</si>
  <si>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</si>
  <si>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</si>
  <si>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</si>
  <si>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</si>
  <si>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</si>
  <si>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</si>
  <si>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</si>
  <si>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</si>
  <si>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</si>
  <si>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</si>
  <si>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</si>
  <si>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</si>
  <si>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</si>
  <si>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</si>
  <si>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</si>
  <si>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</si>
  <si>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</si>
  <si>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</si>
  <si>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</si>
  <si>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</si>
  <si>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</si>
  <si>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</si>
  <si>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</si>
  <si>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</si>
  <si>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</si>
  <si>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</si>
  <si>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</si>
  <si>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</si>
  <si>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</si>
  <si>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</si>
  <si>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</si>
  <si>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</si>
  <si>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</si>
  <si>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</si>
  <si>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</si>
  <si>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</si>
  <si>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</si>
  <si>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</si>
  <si>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</si>
  <si>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</si>
  <si>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</si>
  <si>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</si>
  <si>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</si>
  <si>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</si>
  <si>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</si>
  <si>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</si>
  <si>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</si>
  <si>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</si>
  <si>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</si>
  <si>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</si>
  <si>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</si>
  <si>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</si>
  <si>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</si>
  <si>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</si>
  <si>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</si>
  <si>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</si>
  <si>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</si>
  <si>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</si>
  <si>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</si>
  <si>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</si>
  <si>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</si>
  <si>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</si>
  <si>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</si>
  <si>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</si>
  <si>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</si>
  <si>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</si>
  <si>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</si>
  <si>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</si>
  <si>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</si>
  <si>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</si>
  <si>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</si>
  <si>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</si>
  <si>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</si>
  <si>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</si>
  <si>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</si>
  <si>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</si>
  <si>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</si>
  <si>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</si>
  <si>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</si>
  <si>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</si>
  <si>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</si>
  <si>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</si>
  <si>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</si>
  <si>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</si>
  <si>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</si>
  <si>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</si>
  <si>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</si>
  <si>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</si>
  <si>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</si>
  <si>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</si>
  <si>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</si>
  <si>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</si>
  <si>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</si>
  <si>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</si>
  <si>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</si>
  <si>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</si>
  <si>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</si>
  <si>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</si>
  <si>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</si>
  <si>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</si>
  <si>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</si>
  <si>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</si>
  <si>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</si>
  <si>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</si>
  <si>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</si>
  <si>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</si>
  <si>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</si>
  <si>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</si>
  <si>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</si>
  <si>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</si>
  <si>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</si>
  <si>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</si>
  <si>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</si>
  <si>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</si>
  <si>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</si>
  <si>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</si>
  <si>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</si>
  <si>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</si>
  <si>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</si>
  <si>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</si>
  <si>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</si>
  <si>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</si>
  <si>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</si>
  <si>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</si>
  <si>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</si>
  <si>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</si>
  <si>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</si>
  <si>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</si>
  <si>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</si>
  <si>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</si>
  <si>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</si>
  <si>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</si>
  <si>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</si>
  <si>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</si>
  <si>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</si>
  <si>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</si>
  <si>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</si>
  <si>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</si>
  <si>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</si>
  <si>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</si>
  <si>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</si>
  <si>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</si>
  <si>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</si>
  <si>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</si>
  <si>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</si>
  <si>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</si>
  <si>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</si>
  <si>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</si>
  <si>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</si>
  <si>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</si>
  <si>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</si>
  <si>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</si>
  <si>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</si>
  <si>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</si>
  <si>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</si>
  <si>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</si>
  <si>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</si>
  <si>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</si>
  <si>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</si>
  <si>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</si>
  <si>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</si>
  <si>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</si>
  <si>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</si>
  <si>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</si>
  <si>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</si>
  <si>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</si>
  <si>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</si>
  <si>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</si>
  <si>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</si>
  <si>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</si>
  <si>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</si>
  <si>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</si>
  <si>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</si>
  <si>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</si>
  <si>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</si>
  <si>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</si>
  <si>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</si>
  <si>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</si>
  <si>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</si>
  <si>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</si>
  <si>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</si>
  <si>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</si>
  <si>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</si>
  <si>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</si>
  <si>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</si>
  <si>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</si>
  <si>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</si>
  <si>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</si>
  <si>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</si>
  <si>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</si>
  <si>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</si>
  <si>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</si>
  <si>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</si>
  <si>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</si>
  <si>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</si>
  <si>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</si>
  <si>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</si>
  <si>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</si>
  <si>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</si>
  <si>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</si>
  <si>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</si>
  <si>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</si>
  <si>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</si>
  <si>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</si>
  <si>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</si>
  <si>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</si>
  <si>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</si>
  <si>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</si>
  <si>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</si>
  <si>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</si>
  <si>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</si>
  <si>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</si>
  <si>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</si>
  <si>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</si>
  <si>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</si>
  <si>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</si>
  <si>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</si>
  <si>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</si>
  <si>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</si>
  <si>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</si>
  <si>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</si>
  <si>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</si>
  <si>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</si>
  <si>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</si>
  <si>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</si>
  <si>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</si>
  <si>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</si>
  <si>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</si>
  <si>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</si>
  <si>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</si>
  <si>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</si>
  <si>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</si>
  <si>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</si>
  <si>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</si>
  <si>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</si>
  <si>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</si>
  <si>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</si>
  <si>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</si>
  <si>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</si>
  <si>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</si>
  <si>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</si>
  <si>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</si>
  <si>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</si>
  <si>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</si>
  <si>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</si>
  <si>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</si>
  <si>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</si>
  <si>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</si>
  <si>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</si>
  <si>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</si>
  <si>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</si>
  <si>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</si>
  <si>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</si>
  <si>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</si>
  <si>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</si>
  <si>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</si>
  <si>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</si>
  <si>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</si>
  <si>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</si>
  <si>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</si>
  <si>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</si>
  <si>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</si>
  <si>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</si>
  <si>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</si>
  <si>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</si>
  <si>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</si>
  <si>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</si>
  <si>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</si>
  <si>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</si>
  <si>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</si>
  <si>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</si>
  <si>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</si>
  <si>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</si>
  <si>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</si>
  <si>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</si>
  <si>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</si>
  <si>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</si>
  <si>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</si>
  <si>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</si>
  <si>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</si>
  <si>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</si>
  <si>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</si>
  <si>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</si>
  <si>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</si>
  <si>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</si>
  <si>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</si>
  <si>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</si>
  <si>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</si>
  <si>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</si>
  <si>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</si>
  <si>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</si>
  <si>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Karam Store</t>
  </si>
  <si>
    <t xml:space="preserve">Address: Tajbagh </t>
  </si>
  <si>
    <t>Zarrar Khan Super Store</t>
  </si>
  <si>
    <t>Marwa Mart 1</t>
  </si>
  <si>
    <t>Khan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</si>
</sst>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Karam Store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Zarrar Khan Super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Marwa Mart 1</v>
      </c>
      <c r="T5" s="301">
        <f>+'3'!P35</f>
        <v>12544.846340338983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Super Store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121</v>
      </c>
      <c r="I10" s="236">
        <f t="shared" si="0"/>
        <v>8789.44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703.15520000000004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307.63040000000001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7778.6544000000004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1661.1864406779662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47.199204203389833</v>
      </c>
      <c r="P10" s="311">
        <f t="shared" si="2"/>
        <v>9487.0400448813562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111</v>
      </c>
      <c r="I11" s="236">
        <f t="shared" si="0"/>
        <v>8063.04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645.04320000000007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282.20640000000003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7135.7903999999999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1523.8983050847457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43.298443525423728</v>
      </c>
      <c r="P11" s="311">
        <f t="shared" si="2"/>
        <v>8702.9871486101692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168</v>
      </c>
      <c r="I12" s="236">
        <f t="shared" si="0"/>
        <v>12203.52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976.28160000000003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427.12320000000005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10800.1152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2306.4406779661022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65.532779389830509</v>
      </c>
      <c r="P12" s="311">
        <f t="shared" si="2"/>
        <v>13172.088657355933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</v>
      </c>
      <c r="H16" s="113">
        <f t="shared" ref="H16:M16" si="3">SUM(H7:H15)</f>
        <v>400</v>
      </c>
      <c r="I16" s="114">
        <f t="shared" si="3"/>
        <v>29056</v>
      </c>
      <c r="J16" s="274">
        <f>SUM(J7:J15)</f>
        <v>2324.4800000000005</v>
      </c>
      <c r="K16" s="275">
        <f t="shared" si="3"/>
        <v>1016.96</v>
      </c>
      <c r="L16" s="276">
        <f t="shared" si="3"/>
        <v>0</v>
      </c>
      <c r="M16" s="232">
        <f t="shared" si="3"/>
        <v>25714.560000000001</v>
      </c>
      <c r="N16" s="233">
        <f>SUM(N7:N15)</f>
        <v>5491.5254237288136</v>
      </c>
      <c r="O16" s="101">
        <f>SUM(O7:O15)</f>
        <v>156.03042711864407</v>
      </c>
      <c r="P16" s="113">
        <f>SUM(P7:P15)</f>
        <v>31362.115850847458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29056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2324.4800000000005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1016.96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25714.560000000001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5491.5254237288136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31206.085423728815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156.03042711864407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31362.115850847458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31362.115850847458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11</v>
      </c>
      <c r="I19" s="236">
        <f t="shared" si="0"/>
        <v>799.04</v>
      </c>
      <c r="J19" s="272">
        <f t="shared" si="1"/>
        <v>63.923200000000001</v>
      </c>
      <c r="K19" s="128">
        <f t="shared" si="1"/>
        <v>27.9664</v>
      </c>
      <c r="L19" s="119">
        <f t="shared" si="1"/>
        <v>0</v>
      </c>
      <c r="M19" s="230">
        <f t="shared" si="2"/>
        <v>707.15039999999999</v>
      </c>
      <c r="N19" s="277">
        <f t="shared" si="3"/>
        <v>151.0169491525424</v>
      </c>
      <c r="O19" s="239">
        <f t="shared" si="4"/>
        <v>4.2908367457627117</v>
      </c>
      <c r="P19" s="119">
        <f t="shared" si="5"/>
        <v>862.45818589830503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11</v>
      </c>
      <c r="I20" s="236">
        <f t="shared" si="0"/>
        <v>799.04</v>
      </c>
      <c r="J20" s="272">
        <f t="shared" si="1"/>
        <v>63.923200000000001</v>
      </c>
      <c r="K20" s="128">
        <f t="shared" si="1"/>
        <v>27.9664</v>
      </c>
      <c r="L20" s="119">
        <f t="shared" si="1"/>
        <v>0</v>
      </c>
      <c r="M20" s="230">
        <f t="shared" si="2"/>
        <v>707.15039999999999</v>
      </c>
      <c r="N20" s="277">
        <f t="shared" si="3"/>
        <v>151.0169491525424</v>
      </c>
      <c r="O20" s="239">
        <f t="shared" si="4"/>
        <v>4.2908367457627117</v>
      </c>
      <c r="P20" s="119">
        <f t="shared" si="5"/>
        <v>862.45818589830503</v>
      </c>
      <c r="Q20" s="319"/>
      <c r="R20">
        <f>P20/21</f>
        <v>41.069437423728814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119">
        <f t="shared" si="5"/>
        <v>1411.2952132881355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15.603042711864406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</v>
      </c>
      <c r="L25" s="276">
        <f t="shared" si="7"/>
        <v>0</v>
      </c>
      <c r="M25" s="232">
        <f t="shared" si="7"/>
        <v>5142.9119999999994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2026-10-09T09:16:06Z</dcterms:modified>
</cp:coreProperties>
</file>