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CCC9EC5-4ADF-4EA3-B1B5-3A1536B4D9EA}" xr6:coauthVersionLast="47" xr6:coauthVersionMax="47" xr10:uidLastSave="{00000000-0000-0000-0000-000000000000}"/>
  <bookViews>
    <workbookView xWindow="-110" yWindow="-110" windowWidth="19420" windowHeight="10420" tabRatio="872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3" l="1"/>
  <c r="O20" i="43" s="1"/>
  <c r="P20" i="43" s="1"/>
  <c r="R20" i="43" s="1"/>
  <c r="J7" i="62"/>
  <c r="K12" i="62"/>
  <c r="M17" i="44"/>
  <c r="O17" i="44" s="1"/>
  <c r="P17" i="44" s="1"/>
  <c r="M17" i="72"/>
  <c r="O17" i="72" s="1"/>
  <c r="P17" i="72" s="1"/>
  <c r="M16" i="64"/>
  <c r="M18" i="67"/>
  <c r="O18" i="67" s="1"/>
  <c r="P18" i="67" s="1"/>
  <c r="M22" i="70"/>
  <c r="M20" i="50"/>
  <c r="O20" i="50" s="1"/>
  <c r="P20" i="50" s="1"/>
  <c r="R20" i="50" s="1"/>
  <c r="M22" i="63"/>
  <c r="O22" i="63" s="1"/>
  <c r="P22" i="63" s="1"/>
  <c r="M16" i="72"/>
  <c r="M22" i="43"/>
  <c r="M16" i="44"/>
  <c r="O16" i="44" s="1"/>
  <c r="M20" i="70"/>
  <c r="O20" i="70" s="1"/>
  <c r="P20" i="70" s="1"/>
  <c r="R20" i="70" s="1"/>
  <c r="M21" i="44"/>
  <c r="O21" i="44" s="1"/>
  <c r="P21" i="44" s="1"/>
  <c r="M21" i="47"/>
  <c r="O21" i="47" s="1"/>
  <c r="P21" i="47" s="1"/>
  <c r="M22" i="67"/>
  <c r="O22" i="67" s="1"/>
  <c r="P22" i="67" s="1"/>
  <c r="M20" i="57"/>
  <c r="O20" i="57" s="1"/>
  <c r="P20" i="57" s="1"/>
  <c r="R20" i="57" s="1"/>
  <c r="M16" i="60"/>
  <c r="M21" i="5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48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<sst xmlns="http://schemas.openxmlformats.org/spreadsheetml/2006/main" count="3950" uniqueCount="522">
  <si>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</si>
  <si>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</si>
  <si>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</si>
  <si>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</si>
  <si>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</si>
  <si>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</si>
  <si>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</si>
  <si>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</si>
  <si>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</si>
  <si>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</si>
  <si>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</si>
  <si>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</si>
  <si>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</si>
  <si>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</si>
  <si>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</si>
  <si>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</si>
  <si>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</si>
  <si>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</si>
  <si>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</si>
  <si>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</si>
  <si>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</si>
  <si>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</si>
  <si>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</si>
  <si>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</si>
  <si>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</si>
  <si>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</si>
  <si>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</si>
  <si>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</si>
  <si>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</si>
  <si>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</si>
  <si>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</si>
  <si>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</si>
  <si>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</si>
  <si>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</si>
  <si>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</si>
  <si>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</si>
  <si>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</si>
  <si>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</si>
  <si>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</si>
  <si>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</si>
  <si>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</si>
  <si>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</si>
  <si>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</si>
  <si>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</si>
  <si>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</si>
  <si>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</si>
  <si>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</si>
  <si>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</si>
  <si>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</si>
  <si>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</si>
  <si>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</si>
  <si>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</si>
  <si>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</si>
  <si>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</si>
  <si>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</si>
  <si>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</si>
  <si>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</si>
  <si>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</si>
  <si>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</si>
  <si>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</si>
  <si>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</si>
  <si>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</si>
  <si>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</si>
  <si>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</si>
  <si>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</si>
  <si>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</si>
  <si>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</si>
  <si>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</si>
  <si>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</si>
  <si>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</si>
  <si>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</si>
  <si>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</si>
  <si>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</si>
  <si>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</si>
  <si>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</si>
  <si>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</si>
  <si>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</si>
  <si>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</si>
  <si>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</si>
  <si>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</si>
  <si>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</si>
  <si>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</si>
  <si>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</si>
  <si>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</si>
  <si>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</si>
  <si>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</si>
  <si>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</si>
  <si>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</si>
  <si>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</si>
  <si>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</si>
  <si>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</si>
  <si>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</si>
  <si>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</si>
  <si>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</si>
  <si>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</si>
  <si>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</si>
  <si>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</si>
  <si>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</si>
  <si>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</si>
  <si>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</si>
  <si>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</si>
  <si>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</si>
  <si>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</si>
  <si>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</si>
  <si>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</si>
  <si>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</si>
  <si>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</si>
  <si>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</si>
  <si>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</si>
  <si>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</si>
  <si>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</si>
  <si>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</si>
  <si>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</si>
  <si>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</si>
  <si>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</si>
  <si>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</si>
  <si>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</si>
  <si>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</si>
  <si>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</si>
  <si>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</si>
  <si>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</si>
  <si>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</si>
  <si>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</si>
  <si>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</si>
  <si>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</si>
  <si>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</si>
  <si>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</si>
  <si>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</si>
  <si>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</si>
  <si>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</si>
  <si>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</si>
  <si>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</si>
  <si>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</si>
  <si>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</si>
  <si>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</si>
  <si>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</si>
  <si>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</si>
  <si>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</si>
  <si>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</si>
  <si>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</si>
  <si>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</si>
  <si>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</si>
  <si>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</si>
  <si>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</si>
  <si>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</si>
  <si>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</si>
  <si>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</si>
  <si>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</si>
  <si>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</si>
  <si>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</si>
  <si>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</si>
  <si>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</si>
  <si>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</si>
  <si>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</si>
  <si>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</si>
  <si>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</si>
  <si>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</si>
  <si>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</si>
  <si>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</si>
  <si>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</si>
  <si>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</si>
  <si>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</si>
  <si>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</si>
  <si>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</si>
  <si>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</si>
  <si>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</si>
  <si>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</si>
  <si>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</si>
  <si>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</si>
  <si>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</si>
  <si>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</si>
  <si>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</si>
  <si>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</si>
  <si>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</si>
  <si>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</si>
  <si>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</si>
  <si>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</si>
  <si>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</si>
  <si>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</si>
  <si>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</si>
  <si>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</si>
  <si>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</si>
  <si>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</si>
  <si>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</si>
  <si>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</si>
  <si>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</si>
  <si>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</si>
  <si>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</si>
  <si>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</si>
  <si>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</si>
  <si>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</si>
  <si>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</si>
  <si>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</si>
  <si>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</si>
  <si>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</si>
  <si>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</si>
  <si>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</si>
  <si>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</si>
  <si>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</si>
  <si>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</si>
  <si>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</si>
  <si>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</si>
  <si>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</si>
  <si>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</si>
  <si>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</si>
  <si>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</si>
  <si>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</si>
  <si>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</si>
  <si>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</si>
  <si>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</si>
  <si>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</si>
  <si>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</si>
  <si>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</si>
  <si>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</si>
  <si>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</si>
  <si>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</si>
  <si>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</si>
  <si>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</si>
  <si>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</si>
  <si>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</si>
  <si>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</si>
  <si>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</si>
  <si>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</si>
  <si>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</si>
  <si>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</si>
  <si>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</si>
  <si>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</si>
  <si>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</si>
  <si>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</si>
  <si>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</si>
  <si>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</si>
  <si>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</si>
  <si>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</si>
  <si>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</si>
  <si>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</si>
  <si>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</si>
  <si>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</si>
  <si>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</si>
  <si>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</si>
  <si>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</si>
  <si>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</si>
  <si>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</si>
  <si>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</si>
  <si>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</si>
  <si>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</si>
  <si>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</si>
  <si>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</si>
  <si>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</si>
  <si>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</si>
  <si>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</si>
  <si>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</si>
  <si>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</si>
  <si>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</si>
  <si>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</si>
  <si>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</si>
  <si>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</si>
  <si>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</si>
  <si>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</si>
  <si>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</si>
  <si>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</si>
  <si>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</si>
  <si>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</si>
  <si>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</si>
  <si>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</si>
  <si>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</si>
  <si>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</si>
  <si>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</si>
  <si>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</si>
  <si>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</si>
  <si>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</si>
  <si>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</si>
  <si>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</si>
  <si>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</si>
  <si>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</si>
  <si>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</si>
  <si>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</si>
  <si>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</si>
  <si>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</si>
  <si>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</si>
  <si>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</si>
  <si>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</si>
  <si>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</si>
  <si>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</si>
  <si>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</si>
  <si>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</si>
  <si>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</si>
  <si>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</si>
  <si>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</si>
  <si>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</si>
  <si>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</si>
  <si>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</si>
  <si>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</si>
  <si>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</si>
  <si>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</si>
  <si>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</si>
  <si>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</si>
  <si>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</si>
  <si>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</si>
  <si>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</si>
  <si>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</si>
  <si>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</si>
  <si>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</si>
  <si>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</si>
  <si>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</si>
  <si>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</si>
  <si>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</si>
  <si>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</si>
  <si>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</si>
  <si>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</si>
  <si>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</si>
  <si>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</si>
  <si>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</si>
  <si>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</si>
  <si>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</si>
  <si>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</si>
  <si>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</si>
  <si>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</si>
  <si>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</si>
  <si>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</si>
  <si>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</si>
  <si>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</si>
  <si>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</si>
  <si>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</si>
  <si>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</si>
  <si>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</si>
  <si>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</si>
  <si>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</si>
  <si>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</si>
  <si>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</si>
  <si>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</si>
  <si>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</si>
  <si>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</si>
  <si>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</si>
  <si>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</si>
  <si>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</si>
  <si>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</si>
  <si>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</si>
  <si>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</si>
  <si>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</si>
  <si>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</si>
  <si>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</si>
  <si>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</si>
  <si>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</si>
  <si>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</si>
  <si>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</si>
  <si>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</si>
  <si>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</si>
  <si>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</si>
  <si>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</si>
  <si>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</si>
  <si>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</si>
  <si>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</si>
  <si>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</si>
  <si>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</si>
  <si>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</si>
  <si>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</si>
  <si>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</si>
  <si>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</si>
  <si>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</si>
  <si>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</si>
  <si>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</si>
  <si>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</si>
  <si>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</si>
  <si>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</si>
  <si>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</si>
  <si>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</si>
  <si>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</si>
  <si>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</si>
  <si>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</si>
  <si>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</si>
  <si>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</si>
  <si>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</si>
  <si>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</si>
  <si>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</si>
  <si>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</si>
  <si>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</si>
  <si>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</si>
  <si>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</si>
  <si>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</si>
  <si>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</si>
  <si>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</si>
  <si>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</si>
  <si>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</si>
  <si>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</si>
  <si>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</si>
  <si>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</si>
  <si>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</si>
  <si>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</si>
  <si>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</si>
  <si>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</si>
  <si>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</si>
  <si>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</si>
  <si>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</si>
  <si>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</si>
  <si>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</si>
  <si>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</si>
  <si>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</si>
  <si>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</si>
  <si>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</si>
  <si>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</si>
  <si>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</si>
  <si>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</si>
  <si>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</si>
  <si>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</si>
  <si>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</si>
  <si>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</si>
  <si>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</si>
  <si>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</si>
  <si>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</si>
  <si>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</si>
  <si>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</si>
  <si>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</si>
  <si>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</si>
  <si>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</si>
  <si>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</si>
  <si>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</si>
  <si>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</si>
  <si>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</si>
  <si>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</si>
  <si>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</si>
  <si>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</si>
  <si>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</si>
  <si>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</si>
  <si>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</si>
  <si>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</si>
  <si>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</si>
  <si>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</si>
  <si>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</si>
  <si>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</si>
  <si>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</si>
  <si>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</si>
  <si>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</si>
  <si>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</si>
  <si>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</si>
  <si>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</si>
  <si>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</si>
  <si>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</si>
  <si>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</si>
  <si>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</si>
  <si>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</si>
  <si>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</si>
  <si>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</si>
  <si>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</si>
  <si>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</si>
  <si>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</si>
  <si>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</si>
  <si>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</si>
  <si>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</si>
  <si>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</si>
  <si>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</si>
  <si>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</si>
  <si>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</si>
  <si>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</si>
  <si>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</si>
  <si>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</si>
  <si>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</si>
  <si>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</si>
  <si>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</si>
  <si>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</si>
  <si>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</si>
  <si>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</si>
  <si>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</si>
  <si>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</si>
  <si>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</si>
  <si>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</si>
  <si>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</si>
  <si>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</si>
  <si>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</si>
  <si>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</si>
  <si>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</si>
  <si>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</si>
  <si>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</si>
  <si>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</si>
  <si>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</si>
  <si>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</si>
  <si>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</si>
  <si>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</si>
  <si>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</si>
  <si>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</si>
  <si>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</si>
  <si>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</si>
  <si>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</si>
  <si>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</si>
  <si>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</si>
  <si>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</si>
  <si>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</si>
  <si>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</si>
  <si>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</si>
  <si>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</si>
  <si>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</si>
  <si>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</si>
  <si>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</si>
  <si>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</si>
  <si>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</si>
  <si>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</si>
  <si>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</si>
  <si>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</si>
  <si>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</si>
  <si>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</si>
  <si>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</si>
  <si>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</si>
  <si>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</si>
  <si>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</si>
  <si>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</si>
  <si>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</si>
  <si>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</si>
  <si>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</si>
  <si>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</si>
  <si>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</si>
  <si>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</si>
  <si>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</si>
  <si>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</si>
  <si>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</si>
  <si>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</si>
  <si>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</si>
  <si>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Rafaqat Sons </t>
  </si>
  <si>
    <t>Address: Sabzazaar</t>
  </si>
  <si>
    <t xml:space="preserve">NTN #: 9725069-2 </t>
  </si>
  <si>
    <t>Invoice No # :0011441</t>
  </si>
  <si>
    <t>Address: Shadbag</t>
  </si>
  <si>
    <t>SB Traders</t>
  </si>
  <si>
    <t>Invoice No # :00111565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</si>
</sst>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512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46312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Rafaqat Sons </v>
      </c>
      <c r="T3" s="301">
        <f>+'1'!P35</f>
        <v>65800.178904661007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SB Traders</v>
      </c>
      <c r="T4" s="301">
        <f>+'2'!P35</f>
        <v>33558.099532627108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Rafaqat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Rafaqat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Rafaqat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280</v>
      </c>
      <c r="I8" s="236">
        <f t="shared" ref="I8:I14" si="0">(G8*D8)*F8+H8*F8</f>
        <v>14689.5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2056.5300000000002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514.13250000000005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12118.8375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2776.271186440677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74.475543432203395</v>
      </c>
      <c r="P8" s="311">
        <f t="shared" ref="P8:P15" si="2">M8+N8+O8</f>
        <v>14969.58422987288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Rafaqat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360</v>
      </c>
      <c r="I9" s="236">
        <f t="shared" si="0"/>
        <v>18886.5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2644.11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661.02750000000003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15581.362499999999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3569.4915254237276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95.754270127118644</v>
      </c>
      <c r="P9" s="311">
        <f t="shared" si="2"/>
        <v>19246.608295550846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Rafaqat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280</v>
      </c>
      <c r="I10" s="236">
        <f t="shared" si="0"/>
        <v>20339.2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2847.4880000000003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711.87200000000007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16779.84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3844.0677966101694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103.11953898305084</v>
      </c>
      <c r="P10" s="311">
        <f t="shared" si="2"/>
        <v>20727.027335593219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Rafaqat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280</v>
      </c>
      <c r="I11" s="236">
        <f t="shared" si="0"/>
        <v>20339.2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2847.4880000000003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711.87200000000007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16779.84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3844.0677966101694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103.11953898305084</v>
      </c>
      <c r="P11" s="311">
        <f t="shared" si="2"/>
        <v>20727.027335593219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Rafaqat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3254.2720000000004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19176.96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117.85090169491525</v>
      </c>
      <c r="P12" s="311">
        <f t="shared" si="2"/>
        <v>23688.031240677963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Rafaqat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Rafaqat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Rafaqat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Rafaqat Sons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38</v>
      </c>
      <c r="H16" s="113">
        <f t="shared" ref="H16:M16" si="3">SUM(H7:H15)</f>
        <v>1520</v>
      </c>
      <c r="I16" s="114">
        <f t="shared" si="3"/>
        <v>97499.199999999997</v>
      </c>
      <c r="J16" s="274">
        <f>SUM(J7:J15)</f>
        <v>13649.888000000003</v>
      </c>
      <c r="K16" s="275">
        <f t="shared" si="3"/>
        <v>3412.4720000000007</v>
      </c>
      <c r="L16" s="276">
        <f t="shared" si="3"/>
        <v>0</v>
      </c>
      <c r="M16" s="232">
        <f t="shared" si="3"/>
        <v>80436.84</v>
      </c>
      <c r="N16" s="233">
        <f>SUM(N7:N15)</f>
        <v>18427.118644067792</v>
      </c>
      <c r="O16" s="101">
        <f>SUM(O7:O15)</f>
        <v>494.31979322033902</v>
      </c>
      <c r="P16" s="113">
        <f>SUM(P7:P15)</f>
        <v>99358.278437288129</v>
      </c>
      <c r="Q16" s="128">
        <f>SUM(Q7:Q15)</f>
        <v>0</v>
      </c>
      <c r="R16" s="314">
        <v>14</v>
      </c>
      <c r="S16" s="300" t="str">
        <f>+'14'!A6:A6</f>
        <v xml:space="preserve">Rafaqat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Rafaqat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Rafaqat Sons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97499.199999999997</v>
      </c>
      <c r="R19" s="299">
        <v>17</v>
      </c>
      <c r="S19" s="300" t="str">
        <f>+'17'!A6:A6</f>
        <v xml:space="preserve">Rafaqat Sons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13649.888000000003</v>
      </c>
      <c r="R20" s="299">
        <v>18</v>
      </c>
      <c r="S20" s="300" t="str">
        <f>+'18'!A6:A6</f>
        <v xml:space="preserve">Rafaqat Sons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3412.4720000000007</v>
      </c>
      <c r="R21" s="299">
        <v>19</v>
      </c>
      <c r="S21" s="300" t="str">
        <f>+'19'!A6:A6</f>
        <v xml:space="preserve">Rafaqat Sons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80436.84</v>
      </c>
      <c r="R22" s="299">
        <v>20</v>
      </c>
      <c r="S22" s="300" t="str">
        <f>+'20'!A6:A6</f>
        <v xml:space="preserve">Rafaqat Sons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18427.118644067792</v>
      </c>
      <c r="R23" s="299">
        <v>21</v>
      </c>
      <c r="S23" s="300" t="str">
        <f>+'21'!A6:A6</f>
        <v xml:space="preserve">Rafaqat Sons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98863.958644067781</v>
      </c>
      <c r="R24" s="299">
        <v>22</v>
      </c>
      <c r="S24" s="300" t="str">
        <f>+'22'!A6:A6</f>
        <v xml:space="preserve">Rafaqat Sons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494.31979322033902</v>
      </c>
      <c r="R25" s="299">
        <v>23</v>
      </c>
      <c r="S25" s="300" t="str">
        <f>+'23'!A6:A6</f>
        <v xml:space="preserve">Rafaqat Sons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99358.278437288114</v>
      </c>
      <c r="R26" s="299">
        <v>24</v>
      </c>
      <c r="S26" s="300" t="str">
        <f>+'24'!A6:A6</f>
        <v xml:space="preserve">Rafaqat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Rafaqat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Rafaqat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Rafaqat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Rafaqat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Rafaqat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Rafaqat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99358.278437288114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46311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8656.3125</v>
      </c>
      <c r="N17" s="277">
        <f t="shared" ref="N17:N24" si="3">+(G17*D17+H17)*V17</f>
        <v>1983.0508474576263</v>
      </c>
      <c r="O17" s="239">
        <f t="shared" ref="O17:O24" si="4">(N17+M17)*$O$15</f>
        <v>53.196816737288138</v>
      </c>
      <c r="P17" s="311">
        <f t="shared" ref="P17:P24" si="5">M17+N17+O17</f>
        <v>10692.560164194916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1">
        <f t="shared" si="5"/>
        <v>14805.019525423728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1000</v>
      </c>
      <c r="I25" s="114">
        <f t="shared" ref="I25:M25" si="10">SUM(I16:I24)</f>
        <v>64569</v>
      </c>
      <c r="J25" s="274">
        <f>SUM(J16:J24)</f>
        <v>9039.6600000000017</v>
      </c>
      <c r="K25" s="275">
        <f t="shared" si="10"/>
        <v>2259.9150000000004</v>
      </c>
      <c r="L25" s="276">
        <f t="shared" si="10"/>
        <v>0</v>
      </c>
      <c r="M25" s="232">
        <f t="shared" si="10"/>
        <v>53269.424999999996</v>
      </c>
      <c r="N25" s="233">
        <f>SUM(N16:N24)</f>
        <v>12203.389830508473</v>
      </c>
      <c r="O25" s="101">
        <f>SUM(O16:O24)</f>
        <v>327.36407415254234</v>
      </c>
      <c r="P25" s="113">
        <f>SUM(P16:P24)</f>
        <v>65800.178904661021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64569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9039.6600000000017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2259.9150000000004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53269.424999999996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12203.389830508473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65472.814830508469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327.36407415254234</v>
      </c>
    </row>
    <row r="35" spans="2:16" ht="15.75" customHeight="1" thickBot="1" x14ac:dyDescent="0.4">
      <c r="N35" s="373" t="s">
        <v>88</v>
      </c>
      <c r="O35" s="374"/>
      <c r="P35" s="297">
        <f>+P33+P34</f>
        <v>65800.178904661007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521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46311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311">
        <f t="shared" ref="P17:P24" si="5">M17+N17+O17</f>
        <v>4277.0240656779661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160</v>
      </c>
      <c r="I18" s="236">
        <f t="shared" si="0"/>
        <v>8394</v>
      </c>
      <c r="J18" s="272">
        <f t="shared" si="1"/>
        <v>1175.1600000000001</v>
      </c>
      <c r="K18" s="128">
        <f t="shared" si="1"/>
        <v>293.79000000000002</v>
      </c>
      <c r="L18" s="119">
        <f t="shared" si="1"/>
        <v>0</v>
      </c>
      <c r="M18" s="230">
        <f t="shared" si="2"/>
        <v>6925.05</v>
      </c>
      <c r="N18" s="277">
        <f t="shared" si="3"/>
        <v>1586.440677966101</v>
      </c>
      <c r="O18" s="239">
        <f t="shared" si="4"/>
        <v>42.557453389830506</v>
      </c>
      <c r="P18" s="311">
        <f t="shared" si="5"/>
        <v>8554.0481313559321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311">
        <f t="shared" si="5"/>
        <v>5922.0078101694908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520</v>
      </c>
      <c r="I25" s="114">
        <f t="shared" si="7"/>
        <v>32930.199999999997</v>
      </c>
      <c r="J25" s="274">
        <f>SUM(J16:J24)</f>
        <v>4610.228000000001</v>
      </c>
      <c r="K25" s="275">
        <f t="shared" si="7"/>
        <v>1152.5570000000002</v>
      </c>
      <c r="L25" s="276">
        <f t="shared" si="7"/>
        <v>0</v>
      </c>
      <c r="M25" s="232">
        <f t="shared" si="7"/>
        <v>27167.415000000001</v>
      </c>
      <c r="N25" s="233">
        <f>SUM(N16:N24)</f>
        <v>6223.7288135593208</v>
      </c>
      <c r="O25" s="101">
        <f>SUM(O16:O24)</f>
        <v>166.95571906779659</v>
      </c>
      <c r="P25" s="113">
        <f>SUM(P16:P24)</f>
        <v>33558.099532627115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32930.199999999997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4610.228000000001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1152.5570000000002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27167.414999999994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6223.7288135593208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33391.143813559313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166.95571906779657</v>
      </c>
    </row>
    <row r="35" spans="2:16" ht="15.75" customHeight="1" thickBot="1" x14ac:dyDescent="0.4">
      <c r="N35" s="373" t="s">
        <v>88</v>
      </c>
      <c r="O35" s="374"/>
      <c r="P35" s="297">
        <f>+P33+P34</f>
        <v>33558.099532627108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46310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46309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46313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46312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2026-10-17T04:25:14Z</dcterms:modified>
</cp:coreProperties>
</file>