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28DEA31-C424-46EC-AFC2-B5F99A3F3D0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<sst xmlns="http://schemas.openxmlformats.org/spreadsheetml/2006/main" count="3948" uniqueCount="523">
  <si>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</si>
  <si>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</si>
  <si>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</si>
  <si>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</si>
  <si>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</si>
  <si>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</si>
  <si>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</si>
  <si>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</si>
  <si>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</si>
  <si>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</si>
  <si>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</si>
  <si>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</si>
  <si>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</si>
  <si>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</si>
  <si>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</si>
  <si>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</si>
  <si>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</si>
  <si>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</si>
  <si>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</si>
  <si>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</si>
  <si>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</si>
  <si>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</si>
  <si>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</si>
  <si>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</si>
  <si>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</si>
  <si>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</si>
  <si>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</si>
  <si>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</si>
  <si>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</si>
  <si>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</si>
  <si>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</si>
  <si>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</si>
  <si>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</si>
  <si>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</si>
  <si>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</si>
  <si>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</si>
  <si>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</si>
  <si>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</si>
  <si>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</si>
  <si>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</si>
  <si>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</si>
  <si>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</si>
  <si>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</si>
  <si>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</si>
  <si>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</si>
  <si>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</si>
  <si>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</si>
  <si>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</si>
  <si>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</si>
  <si>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</si>
  <si>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</si>
  <si>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</si>
  <si>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</si>
  <si>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</si>
  <si>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</si>
  <si>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</si>
  <si>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</si>
  <si>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</si>
  <si>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</si>
  <si>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</si>
  <si>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</si>
  <si>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</si>
  <si>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</si>
  <si>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</si>
  <si>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</si>
  <si>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</si>
  <si>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</si>
  <si>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</si>
  <si>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</si>
  <si>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</si>
  <si>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</si>
  <si>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</si>
  <si>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</si>
  <si>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</si>
  <si>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</si>
  <si>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</si>
  <si>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</si>
  <si>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</si>
  <si>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</si>
  <si>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</si>
  <si>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</si>
  <si>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</si>
  <si>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</si>
  <si>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</si>
  <si>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</si>
  <si>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</si>
  <si>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</si>
  <si>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</si>
  <si>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</si>
  <si>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</si>
  <si>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</si>
  <si>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</si>
  <si>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</si>
  <si>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</si>
  <si>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</si>
  <si>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</si>
  <si>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</si>
  <si>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</si>
  <si>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</si>
  <si>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</si>
  <si>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</si>
  <si>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</si>
  <si>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</si>
  <si>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</si>
  <si>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</si>
  <si>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</si>
  <si>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</si>
  <si>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</si>
  <si>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</si>
  <si>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</si>
  <si>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</si>
  <si>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</si>
  <si>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</si>
  <si>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</si>
  <si>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</si>
  <si>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</si>
  <si>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</si>
  <si>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</si>
  <si>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</si>
  <si>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</si>
  <si>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</si>
  <si>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</si>
  <si>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</si>
  <si>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</si>
  <si>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</si>
  <si>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</si>
  <si>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</si>
  <si>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</si>
  <si>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</si>
  <si>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</si>
  <si>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</si>
  <si>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</si>
  <si>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</si>
  <si>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</si>
  <si>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</si>
  <si>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</si>
  <si>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</si>
  <si>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</si>
  <si>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</si>
  <si>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</si>
  <si>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</si>
  <si>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</si>
  <si>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</si>
  <si>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</si>
  <si>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</si>
  <si>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</si>
  <si>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</si>
  <si>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</si>
  <si>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</si>
  <si>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</si>
  <si>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</si>
  <si>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</si>
  <si>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</si>
  <si>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</si>
  <si>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</si>
  <si>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</si>
  <si>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</si>
  <si>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</si>
  <si>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</si>
  <si>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</si>
  <si>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</si>
  <si>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</si>
  <si>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</si>
  <si>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</si>
  <si>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</si>
  <si>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</si>
  <si>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</si>
  <si>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</si>
  <si>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</si>
  <si>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</si>
  <si>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</si>
  <si>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</si>
  <si>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</si>
  <si>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</si>
  <si>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</si>
  <si>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</si>
  <si>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</si>
  <si>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</si>
  <si>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</si>
  <si>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</si>
  <si>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</si>
  <si>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</si>
  <si>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</si>
  <si>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</si>
  <si>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</si>
  <si>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</si>
  <si>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</si>
  <si>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</si>
  <si>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</si>
  <si>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</si>
  <si>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</si>
  <si>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</si>
  <si>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</si>
  <si>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</si>
  <si>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</si>
  <si>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</si>
  <si>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</si>
  <si>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</si>
  <si>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</si>
  <si>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</si>
  <si>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</si>
  <si>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</si>
  <si>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</si>
  <si>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</si>
  <si>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</si>
  <si>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</si>
  <si>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</si>
  <si>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</si>
  <si>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</si>
  <si>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</si>
  <si>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</si>
  <si>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</si>
  <si>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</si>
  <si>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</si>
  <si>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</si>
  <si>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</si>
  <si>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</si>
  <si>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</si>
  <si>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</si>
  <si>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</si>
  <si>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</si>
  <si>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</si>
  <si>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</si>
  <si>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</si>
  <si>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</si>
  <si>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</si>
  <si>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</si>
  <si>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</si>
  <si>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</si>
  <si>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</si>
  <si>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</si>
  <si>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</si>
  <si>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</si>
  <si>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</si>
  <si>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</si>
  <si>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</si>
  <si>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</si>
  <si>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</si>
  <si>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</si>
  <si>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</si>
  <si>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</si>
  <si>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</si>
  <si>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</si>
  <si>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</si>
  <si>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</si>
  <si>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</si>
  <si>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</si>
  <si>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</si>
  <si>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</si>
  <si>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</si>
  <si>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</si>
  <si>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</si>
  <si>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</si>
  <si>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</si>
  <si>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</si>
  <si>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</si>
  <si>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</si>
  <si>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</si>
  <si>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</si>
  <si>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</si>
  <si>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</si>
  <si>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</si>
  <si>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</si>
  <si>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</si>
  <si>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</si>
  <si>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</si>
  <si>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</si>
  <si>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</si>
  <si>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</si>
  <si>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</si>
  <si>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</si>
  <si>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</si>
  <si>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</si>
  <si>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</si>
  <si>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</si>
  <si>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</si>
  <si>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</si>
  <si>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</si>
  <si>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</si>
  <si>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</si>
  <si>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</si>
  <si>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</si>
  <si>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</si>
  <si>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</si>
  <si>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</si>
  <si>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</si>
  <si>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</si>
  <si>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</si>
  <si>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</si>
  <si>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</si>
  <si>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</si>
  <si>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</si>
  <si>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</si>
  <si>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</si>
  <si>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</si>
  <si>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</si>
  <si>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</si>
  <si>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</si>
  <si>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</si>
  <si>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</si>
  <si>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</si>
  <si>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</si>
  <si>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</si>
  <si>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</si>
  <si>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</si>
  <si>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</si>
  <si>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</si>
  <si>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</si>
  <si>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</si>
  <si>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</si>
  <si>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</si>
  <si>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</si>
  <si>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</si>
  <si>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</si>
  <si>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</si>
  <si>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</si>
  <si>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</si>
  <si>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</si>
  <si>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</si>
  <si>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</si>
  <si>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</si>
  <si>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</si>
  <si>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</si>
  <si>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</si>
  <si>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</si>
  <si>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</si>
  <si>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</si>
  <si>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</si>
  <si>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</si>
  <si>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</si>
  <si>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</si>
  <si>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</si>
  <si>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</si>
  <si>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</si>
  <si>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</si>
  <si>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</si>
  <si>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</si>
  <si>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</si>
  <si>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</si>
  <si>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</si>
  <si>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</si>
  <si>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</si>
  <si>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</si>
  <si>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</si>
  <si>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</si>
  <si>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</si>
  <si>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</si>
  <si>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</si>
  <si>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</si>
  <si>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</si>
  <si>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</si>
  <si>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</si>
  <si>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</si>
  <si>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</si>
  <si>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</si>
  <si>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</si>
  <si>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</si>
  <si>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</si>
  <si>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</si>
  <si>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</si>
  <si>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</si>
  <si>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</si>
  <si>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</si>
  <si>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</si>
  <si>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</si>
  <si>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</si>
  <si>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</si>
  <si>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</si>
  <si>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</si>
  <si>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</si>
  <si>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</si>
  <si>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</si>
  <si>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</si>
  <si>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</si>
  <si>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</si>
  <si>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</si>
  <si>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</si>
  <si>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</si>
  <si>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</si>
  <si>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</si>
  <si>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</si>
  <si>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</si>
  <si>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</si>
  <si>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</si>
  <si>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</si>
  <si>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</si>
  <si>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</si>
  <si>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</si>
  <si>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</si>
  <si>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</si>
  <si>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</si>
  <si>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</si>
  <si>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</si>
  <si>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</si>
  <si>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</si>
  <si>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</si>
  <si>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</si>
  <si>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</si>
  <si>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</si>
  <si>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</si>
  <si>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</si>
  <si>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</si>
  <si>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</si>
  <si>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</si>
  <si>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</si>
  <si>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</si>
  <si>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</si>
  <si>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</si>
  <si>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</si>
  <si>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</si>
  <si>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</si>
  <si>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</si>
  <si>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</si>
  <si>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</si>
  <si>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</si>
  <si>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</si>
  <si>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</si>
  <si>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</si>
  <si>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</si>
  <si>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</si>
  <si>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</si>
  <si>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</si>
  <si>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</si>
  <si>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</si>
  <si>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</si>
  <si>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</si>
  <si>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</si>
  <si>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</si>
  <si>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</si>
  <si>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</si>
  <si>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</si>
  <si>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</si>
  <si>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</si>
  <si>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</si>
  <si>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</si>
  <si>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</si>
  <si>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</si>
  <si>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</si>
  <si>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</si>
  <si>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</si>
  <si>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</si>
  <si>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</si>
  <si>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</si>
  <si>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</si>
  <si>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</si>
  <si>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</si>
  <si>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</si>
  <si>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</si>
  <si>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</si>
  <si>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</si>
  <si>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</si>
  <si>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</si>
  <si>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</si>
  <si>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</si>
  <si>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</si>
  <si>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</si>
  <si>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</si>
  <si>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</si>
  <si>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</si>
  <si>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</si>
  <si>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</si>
  <si>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</si>
  <si>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</si>
  <si>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</si>
  <si>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</si>
  <si>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</si>
  <si>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</si>
  <si>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</si>
  <si>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</si>
  <si>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</si>
  <si>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</si>
  <si>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</si>
  <si>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</si>
  <si>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</si>
  <si>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</si>
  <si>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</si>
  <si>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</si>
  <si>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</si>
  <si>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</si>
  <si>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</si>
  <si>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</si>
  <si>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</si>
  <si>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</si>
  <si>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</si>
  <si>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</si>
  <si>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</si>
  <si>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</si>
  <si>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</si>
  <si>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</si>
  <si>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</si>
  <si>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</si>
  <si>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</si>
  <si>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</si>
  <si>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</si>
  <si>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</si>
  <si>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</si>
  <si>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</si>
  <si>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</si>
  <si>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</si>
  <si>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</si>
  <si>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</si>
  <si>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</si>
  <si>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</si>
  <si>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</si>
  <si>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</si>
  <si>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</si>
  <si>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</si>
  <si>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</si>
  <si>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</si>
  <si>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</si>
  <si>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</si>
  <si>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</si>
  <si>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</si>
  <si>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</si>
  <si>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</si>
  <si>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Lawrance Road</t>
  </si>
  <si>
    <t xml:space="preserve">Hashim Mart </t>
  </si>
  <si>
    <t xml:space="preserve">Shell Spam </t>
  </si>
  <si>
    <t>Kwalti Store</t>
  </si>
  <si>
    <t>Lawrance Store</t>
  </si>
  <si>
    <t>Ch Store</t>
  </si>
  <si>
    <t xml:space="preserve">Shel Pump </t>
  </si>
  <si>
    <t>Address: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</si>
</sst>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Hashim Mart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Shell Spam 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Kwalti Store</v>
      </c>
      <c r="T5" s="301">
        <f>+'3'!P35</f>
        <v>3114.4459264036013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Lawrance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99</v>
      </c>
      <c r="I7" s="235">
        <f>(G7*D7)*F7+H7*F7</f>
        <v>5193.7874999999995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415.50299999999999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181.78256250000004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4596.5019374999993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981.61016949152508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27.890560534957626</v>
      </c>
      <c r="P7" s="310">
        <f>M7+N7+O7</f>
        <v>5606.0026675264817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Ch Store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Shel Pump </v>
      </c>
      <c r="T8" s="301">
        <f>+'6'!P35</f>
        <v>5401.2631679237293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Shadman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13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13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7.6749999999999998</v>
      </c>
      <c r="H16" s="113">
        <f t="shared" ref="H16:M16" si="3">SUM(H7:H15)</f>
        <v>307</v>
      </c>
      <c r="I16" s="114">
        <f t="shared" si="3"/>
        <v>18527.287499999999</v>
      </c>
      <c r="J16" s="274">
        <f>SUM(J7:J15)</f>
        <v>1482.183</v>
      </c>
      <c r="K16" s="275">
        <f t="shared" si="3"/>
        <v>648.45506250000017</v>
      </c>
      <c r="L16" s="276">
        <f t="shared" si="3"/>
        <v>0</v>
      </c>
      <c r="M16" s="232">
        <f t="shared" si="3"/>
        <v>16396.649437499997</v>
      </c>
      <c r="N16" s="233">
        <f>SUM(N7:N15)</f>
        <v>3501.6101694915251</v>
      </c>
      <c r="O16" s="101">
        <f>SUM(O7:O15)</f>
        <v>99.491298034957623</v>
      </c>
      <c r="P16" s="113">
        <f>SUM(P7:P15)</f>
        <v>19997.750905026478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18527.287499999999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1482.183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648.45506250000017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16396.649437499997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3501.6101694915251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19898.259606991523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99.491298034957623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19997.750905026482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19997.750905026485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55</v>
      </c>
      <c r="I25" s="114">
        <f t="shared" si="7"/>
        <v>2885.4375</v>
      </c>
      <c r="J25" s="274">
        <f>SUM(J16:J24)</f>
        <v>230.83499999999998</v>
      </c>
      <c r="K25" s="275">
        <f t="shared" si="7"/>
        <v>100.99031250000002</v>
      </c>
      <c r="L25" s="276">
        <f t="shared" si="7"/>
        <v>0</v>
      </c>
      <c r="M25" s="232">
        <f t="shared" si="7"/>
        <v>2553.6121874999999</v>
      </c>
      <c r="N25" s="233">
        <f>SUM(N16:N24)</f>
        <v>545.33898305084722</v>
      </c>
      <c r="O25" s="101">
        <f>SUM(O16:O24)</f>
        <v>15.494755852754237</v>
      </c>
      <c r="P25" s="234">
        <f>SUM(P16:P24)</f>
        <v>3114.4459264036013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2885.4375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230.83499999999998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100.99031250000002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2553.6121874999999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545.33898305084722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3098.9511705508471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15.494755852754237</v>
      </c>
    </row>
    <row r="35" spans="2:16" ht="15.75" customHeight="1" thickBot="1" x14ac:dyDescent="0.4">
      <c r="N35" s="374" t="s">
        <v>88</v>
      </c>
      <c r="O35" s="375"/>
      <c r="P35" s="297">
        <f>+P33+P34</f>
        <v>3114.4459264036013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50.364000000000004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50.364000000000004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393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2026-10-19T04:54:18Z</dcterms:modified>
</cp:coreProperties>
</file>