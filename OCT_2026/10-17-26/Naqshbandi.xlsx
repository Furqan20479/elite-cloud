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0D9917E-CE37-4EBF-BF6F-E2E5CE29D89B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5" l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<sst xmlns="http://schemas.openxmlformats.org/spreadsheetml/2006/main" count="3919" uniqueCount="518">
  <si>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</si>
  <si>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</si>
  <si>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</si>
  <si>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</si>
  <si>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</si>
  <si>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</si>
  <si>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</si>
  <si>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</si>
  <si>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</si>
  <si>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</si>
  <si>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</si>
  <si>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</si>
  <si>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</si>
  <si>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</si>
  <si>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</si>
  <si>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</si>
  <si>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</si>
  <si>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</si>
  <si>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</si>
  <si>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</si>
  <si>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</si>
  <si>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</si>
  <si>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</si>
  <si>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</si>
  <si>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</si>
  <si>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</si>
  <si>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</si>
  <si>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</si>
  <si>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</si>
  <si>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</si>
  <si>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</si>
  <si>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</si>
  <si>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</si>
  <si>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</si>
  <si>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</si>
  <si>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</si>
  <si>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</si>
  <si>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</si>
  <si>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</si>
  <si>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</si>
  <si>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</si>
  <si>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</si>
  <si>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</si>
  <si>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</si>
  <si>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</si>
  <si>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</si>
  <si>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</si>
  <si>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</si>
  <si>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</si>
  <si>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</si>
  <si>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</si>
  <si>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</si>
  <si>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</si>
  <si>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</si>
  <si>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</si>
  <si>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</si>
  <si>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</si>
  <si>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</si>
  <si>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</si>
  <si>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</si>
  <si>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</si>
  <si>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</si>
  <si>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</si>
  <si>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</si>
  <si>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</si>
  <si>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</si>
  <si>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</si>
  <si>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</si>
  <si>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</si>
  <si>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</si>
  <si>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</si>
  <si>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</si>
  <si>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</si>
  <si>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</si>
  <si>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</si>
  <si>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</si>
  <si>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</si>
  <si>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</si>
  <si>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</si>
  <si>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</si>
  <si>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</si>
  <si>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</si>
  <si>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</si>
  <si>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</si>
  <si>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</si>
  <si>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</si>
  <si>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</si>
  <si>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</si>
  <si>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</si>
  <si>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</si>
  <si>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</si>
  <si>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</si>
  <si>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</si>
  <si>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</si>
  <si>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</si>
  <si>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</si>
  <si>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</si>
  <si>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</si>
  <si>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</si>
  <si>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</si>
  <si>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</si>
  <si>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</si>
  <si>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</si>
  <si>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</si>
  <si>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</si>
  <si>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</si>
  <si>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</si>
  <si>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</si>
  <si>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</si>
  <si>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</si>
  <si>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</si>
  <si>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</si>
  <si>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</si>
  <si>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</si>
  <si>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</si>
  <si>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</si>
  <si>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</si>
  <si>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</si>
  <si>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</si>
  <si>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</si>
  <si>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</si>
  <si>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</si>
  <si>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</si>
  <si>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</si>
  <si>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</si>
  <si>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</si>
  <si>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</si>
  <si>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</si>
  <si>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</si>
  <si>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</si>
  <si>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</si>
  <si>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</si>
  <si>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</si>
  <si>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</si>
  <si>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</si>
  <si>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</si>
  <si>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</si>
  <si>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</si>
  <si>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</si>
  <si>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</si>
  <si>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</si>
  <si>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</si>
  <si>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</si>
  <si>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</si>
  <si>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</si>
  <si>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</si>
  <si>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</si>
  <si>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</si>
  <si>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</si>
  <si>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</si>
  <si>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</si>
  <si>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</si>
  <si>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</si>
  <si>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</si>
  <si>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</si>
  <si>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</si>
  <si>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</si>
  <si>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</si>
  <si>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</si>
  <si>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</si>
  <si>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</si>
  <si>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</si>
  <si>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</si>
  <si>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</si>
  <si>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</si>
  <si>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</si>
  <si>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</si>
  <si>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</si>
  <si>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</si>
  <si>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</si>
  <si>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</si>
  <si>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</si>
  <si>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</si>
  <si>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</si>
  <si>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</si>
  <si>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</si>
  <si>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</si>
  <si>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</si>
  <si>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</si>
  <si>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</si>
  <si>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</si>
  <si>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</si>
  <si>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</si>
  <si>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</si>
  <si>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</si>
  <si>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</si>
  <si>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</si>
  <si>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</si>
  <si>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</si>
  <si>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</si>
  <si>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</si>
  <si>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</si>
  <si>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</si>
  <si>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</si>
  <si>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</si>
  <si>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</si>
  <si>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</si>
  <si>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</si>
  <si>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</si>
  <si>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</si>
  <si>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</si>
  <si>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</si>
  <si>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</si>
  <si>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</si>
  <si>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</si>
  <si>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</si>
  <si>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</si>
  <si>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</si>
  <si>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</si>
  <si>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</si>
  <si>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</si>
  <si>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</si>
  <si>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</si>
  <si>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</si>
  <si>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</si>
  <si>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</si>
  <si>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</si>
  <si>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</si>
  <si>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</si>
  <si>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</si>
  <si>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</si>
  <si>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</si>
  <si>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</si>
  <si>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</si>
  <si>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</si>
  <si>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</si>
  <si>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</si>
  <si>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</si>
  <si>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</si>
  <si>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</si>
  <si>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</si>
  <si>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</si>
  <si>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</si>
  <si>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</si>
  <si>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</si>
  <si>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</si>
  <si>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</si>
  <si>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</si>
  <si>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</si>
  <si>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</si>
  <si>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</si>
  <si>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</si>
  <si>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</si>
  <si>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</si>
  <si>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</si>
  <si>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</si>
  <si>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</si>
  <si>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</si>
  <si>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</si>
  <si>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</si>
  <si>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</si>
  <si>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</si>
  <si>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</si>
  <si>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</si>
  <si>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</si>
  <si>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</si>
  <si>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</si>
  <si>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</si>
  <si>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</si>
  <si>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</si>
  <si>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</si>
  <si>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</si>
  <si>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</si>
  <si>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</si>
  <si>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</si>
  <si>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</si>
  <si>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</si>
  <si>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</si>
  <si>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</si>
  <si>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</si>
  <si>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</si>
  <si>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</si>
  <si>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</si>
  <si>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</si>
  <si>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</si>
  <si>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</si>
  <si>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</si>
  <si>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</si>
  <si>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</si>
  <si>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</si>
  <si>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</si>
  <si>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</si>
  <si>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</si>
  <si>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</si>
  <si>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</si>
  <si>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</si>
  <si>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</si>
  <si>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</si>
  <si>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</si>
  <si>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</si>
  <si>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</si>
  <si>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</si>
  <si>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</si>
  <si>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</si>
  <si>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</si>
  <si>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</si>
  <si>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</si>
  <si>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</si>
  <si>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</si>
  <si>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</si>
  <si>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</si>
  <si>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</si>
  <si>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</si>
  <si>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</si>
  <si>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</si>
  <si>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</si>
  <si>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</si>
  <si>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</si>
  <si>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</si>
  <si>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</si>
  <si>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</si>
  <si>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</si>
  <si>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</si>
  <si>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</si>
  <si>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</si>
  <si>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</si>
  <si>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</si>
  <si>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</si>
  <si>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</si>
  <si>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</si>
  <si>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</si>
  <si>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</si>
  <si>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</si>
  <si>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</si>
  <si>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</si>
  <si>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</si>
  <si>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</si>
  <si>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</si>
  <si>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</si>
  <si>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</si>
  <si>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</si>
  <si>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</si>
  <si>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</si>
  <si>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</si>
  <si>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</si>
  <si>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</si>
  <si>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</si>
  <si>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</si>
  <si>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</si>
  <si>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</si>
  <si>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</si>
  <si>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</si>
  <si>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</si>
  <si>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</si>
  <si>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</si>
  <si>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</si>
  <si>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</si>
  <si>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</si>
  <si>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</si>
  <si>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</si>
  <si>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</si>
  <si>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</si>
  <si>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</si>
  <si>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</si>
  <si>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</si>
  <si>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</si>
  <si>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</si>
  <si>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</si>
  <si>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</si>
  <si>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</si>
  <si>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</si>
  <si>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</si>
  <si>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</si>
  <si>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</si>
  <si>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</si>
  <si>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</si>
  <si>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</si>
  <si>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</si>
  <si>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</si>
  <si>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</si>
  <si>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</si>
  <si>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</si>
  <si>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</si>
  <si>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</si>
  <si>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</si>
  <si>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</si>
  <si>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</si>
  <si>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</si>
  <si>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</si>
  <si>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</si>
  <si>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</si>
  <si>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</si>
  <si>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</si>
  <si>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</si>
  <si>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</si>
  <si>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</si>
  <si>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</si>
  <si>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</si>
  <si>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</si>
  <si>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</si>
  <si>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</si>
  <si>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</si>
  <si>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</si>
  <si>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</si>
  <si>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</si>
  <si>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</si>
  <si>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</si>
  <si>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</si>
  <si>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</si>
  <si>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</si>
  <si>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</si>
  <si>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</si>
  <si>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</si>
  <si>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</si>
  <si>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</si>
  <si>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</si>
  <si>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</si>
  <si>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</si>
  <si>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</si>
  <si>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</si>
  <si>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</si>
  <si>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</si>
  <si>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</si>
  <si>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</si>
  <si>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</si>
  <si>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</si>
  <si>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</si>
  <si>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</si>
  <si>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</si>
  <si>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</si>
  <si>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</si>
  <si>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</si>
  <si>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</si>
  <si>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</si>
  <si>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</si>
  <si>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</si>
  <si>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</si>
  <si>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</si>
  <si>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</si>
  <si>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</si>
  <si>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</si>
  <si>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</si>
  <si>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</si>
  <si>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</si>
  <si>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</si>
  <si>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</si>
  <si>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</si>
  <si>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</si>
  <si>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</si>
  <si>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</si>
  <si>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</si>
  <si>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</si>
  <si>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</si>
  <si>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</si>
  <si>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</si>
  <si>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</si>
  <si>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</si>
  <si>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</si>
  <si>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</si>
  <si>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</si>
  <si>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</si>
  <si>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</si>
  <si>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</si>
  <si>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</si>
  <si>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</si>
  <si>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</si>
  <si>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</si>
  <si>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</si>
  <si>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</si>
  <si>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</si>
  <si>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</si>
  <si>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</si>
  <si>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</si>
  <si>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</si>
  <si>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</si>
  <si>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</si>
  <si>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</si>
  <si>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</si>
  <si>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</si>
  <si>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</si>
  <si>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</si>
  <si>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</si>
  <si>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</si>
  <si>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</si>
  <si>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</si>
  <si>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</si>
  <si>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</si>
  <si>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</si>
  <si>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</si>
  <si>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</si>
  <si>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</si>
  <si>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</si>
  <si>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</si>
  <si>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</si>
  <si>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</si>
  <si>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</si>
  <si>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</si>
  <si>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</si>
  <si>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</si>
  <si>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</si>
  <si>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</si>
  <si>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</si>
  <si>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</si>
  <si>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</si>
  <si>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</si>
  <si>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</si>
  <si>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</si>
  <si>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</si>
  <si>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</si>
  <si>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</si>
  <si>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</si>
  <si>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</si>
  <si>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</si>
  <si>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</si>
  <si>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</si>
  <si>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</si>
  <si>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</si>
  <si>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</si>
  <si>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</si>
  <si>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</si>
  <si>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</si>
  <si>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</si>
  <si>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</si>
  <si>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NTN #: 1510459-1</t>
  </si>
  <si>
    <t xml:space="preserve">Naqshbandi </t>
  </si>
  <si>
    <t>Address: Multan Road</t>
  </si>
  <si>
    <t>Shakoor</t>
  </si>
  <si>
    <t>Invoice No # : 1561566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</si>
</sst>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D4" sqref="D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46286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 xml:space="preserve">Naqshbandi </v>
      </c>
      <c r="T3" s="301">
        <f>+'1'!P35</f>
        <v>45895.643441313558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Naqshbandi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Naqshbandi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Naqshbandi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31.918090042372878</v>
      </c>
      <c r="P7" s="310">
        <f>M7+N7+O7</f>
        <v>6415.5360985169482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Naqshbandi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31.918090042372878</v>
      </c>
      <c r="P8" s="311">
        <f t="shared" ref="P8:P15" si="2">M8+N8+O8</f>
        <v>6415.5360985169482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Naqshbandi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881.37000000000012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5193.7875000000004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31.918090042372878</v>
      </c>
      <c r="P9" s="311">
        <f t="shared" si="2"/>
        <v>6415.5360985169482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Naqshbandi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311">
        <f t="shared" si="2"/>
        <v>8883.0117152542352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Naqshbandi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7191.3599999999988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44.194088135593212</v>
      </c>
      <c r="P11" s="311">
        <f t="shared" si="2"/>
        <v>8883.0117152542352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Naqshbandi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311">
        <f t="shared" si="2"/>
        <v>8883.0117152542352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Naqshbandi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Naqshbandi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Naqshbandi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Naqshbandi 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18</v>
      </c>
      <c r="H16" s="113">
        <f t="shared" ref="H16:M16" si="3">SUM(H7:H15)</f>
        <v>720</v>
      </c>
      <c r="I16" s="114">
        <f t="shared" si="3"/>
        <v>45036.899999999994</v>
      </c>
      <c r="J16" s="274">
        <f>SUM(J7:J15)</f>
        <v>6305.1660000000002</v>
      </c>
      <c r="K16" s="275">
        <f t="shared" si="3"/>
        <v>1576.2915</v>
      </c>
      <c r="L16" s="276">
        <f t="shared" si="3"/>
        <v>0</v>
      </c>
      <c r="M16" s="232">
        <f t="shared" si="3"/>
        <v>37155.442499999997</v>
      </c>
      <c r="N16" s="233">
        <f>SUM(N7:N15)</f>
        <v>8511.8644067796595</v>
      </c>
      <c r="O16" s="101">
        <f>SUM(O7:O15)</f>
        <v>228.33653453389826</v>
      </c>
      <c r="P16" s="113">
        <f>SUM(P7:P15)</f>
        <v>45895.643441313558</v>
      </c>
      <c r="Q16" s="128">
        <f>SUM(Q7:Q15)</f>
        <v>0</v>
      </c>
      <c r="R16" s="313">
        <v>14</v>
      </c>
      <c r="S16" s="315" t="str">
        <f>+'14'!A6:A6</f>
        <v xml:space="preserve">Naqshbandi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Naqshbandi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Naqshbandi 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45036.899999999994</v>
      </c>
      <c r="R19" s="299">
        <v>17</v>
      </c>
      <c r="S19" s="300" t="str">
        <f>+'17'!A6:A6</f>
        <v xml:space="preserve">Naqshbandi 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6305.1660000000002</v>
      </c>
      <c r="R20" s="299">
        <v>18</v>
      </c>
      <c r="S20" s="300" t="str">
        <f>+'18'!A6:A6</f>
        <v xml:space="preserve">Naqshbandi 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1576.2915</v>
      </c>
      <c r="R21" s="299">
        <v>19</v>
      </c>
      <c r="S21" s="300" t="str">
        <f>+'19'!A6:A6</f>
        <v xml:space="preserve">Naqshbandi 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37155.442499999997</v>
      </c>
      <c r="R22" s="299">
        <v>20</v>
      </c>
      <c r="S22" s="300" t="str">
        <f>+'20'!A6:A6</f>
        <v xml:space="preserve">Naqshbandi 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8511.8644067796595</v>
      </c>
      <c r="R23" s="299">
        <v>21</v>
      </c>
      <c r="S23" s="300" t="str">
        <f>+'21'!A6:A6</f>
        <v xml:space="preserve">Naqshbandi 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45667.30690677966</v>
      </c>
      <c r="R24" s="299">
        <v>22</v>
      </c>
      <c r="S24" s="300" t="str">
        <f>+'22'!A6:A6</f>
        <v xml:space="preserve">Naqshbandi 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228.33653453389826</v>
      </c>
      <c r="R25" s="299">
        <v>23</v>
      </c>
      <c r="S25" s="300" t="str">
        <f>+'23'!A6:A6</f>
        <v xml:space="preserve">Naqshbandi 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45895.643441313558</v>
      </c>
      <c r="R26" s="299">
        <v>24</v>
      </c>
      <c r="S26" s="300" t="str">
        <f>+'24'!A6:A6</f>
        <v xml:space="preserve">Naqshbandi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 xml:space="preserve">Naqshbandi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Naqshbandi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Naqshbandi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Naqshbandi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Naqshbandi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Naqshbandi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45895.643441313558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activeCell="S31" sqref="S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517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7.2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118">
        <f>M16+N16+O16</f>
        <v>6415.5360985169482</v>
      </c>
      <c r="Q16" s="1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Q17" s="112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120</v>
      </c>
      <c r="I18" s="236">
        <f t="shared" ref="I18:I21" si="7">(G18*D18)*F18+H18*F18</f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Q18" s="112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Q19" s="11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Q20" s="112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Q21" s="112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720</v>
      </c>
      <c r="I25" s="114">
        <f t="shared" ref="I25:M25" si="10">SUM(I16:I24)</f>
        <v>45036.899999999994</v>
      </c>
      <c r="J25" s="274">
        <f>SUM(J16:J24)</f>
        <v>6305.1660000000002</v>
      </c>
      <c r="K25" s="275">
        <f t="shared" si="10"/>
        <v>1576.2915</v>
      </c>
      <c r="L25" s="276">
        <f t="shared" si="10"/>
        <v>0</v>
      </c>
      <c r="M25" s="232">
        <f t="shared" si="10"/>
        <v>37155.442499999997</v>
      </c>
      <c r="N25" s="233">
        <f>SUM(N16:N24)</f>
        <v>8511.8644067796595</v>
      </c>
      <c r="O25" s="101">
        <f>SUM(O16:O24)</f>
        <v>228.33653453389826</v>
      </c>
      <c r="P25" s="234">
        <f>SUM(P16:P24)</f>
        <v>45895.643441313558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45036.899999999994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6305.1660000000002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1576.2915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37155.442499999997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8511.8644067796595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45667.30690677966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228.33653453389832</v>
      </c>
    </row>
    <row r="35" spans="2:16" ht="15.75" customHeight="1" thickBot="1" x14ac:dyDescent="0.4">
      <c r="N35" s="375" t="s">
        <v>88</v>
      </c>
      <c r="O35" s="376"/>
      <c r="P35" s="297">
        <f>+P33+P34</f>
        <v>45895.643441313558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8.7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8.7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46313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46312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2026-10-17T04:36:11Z</dcterms:modified>
</cp:coreProperties>
</file>