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39619AB-9503-405D-9D0E-D2B0BFA1CC88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'2'!$A$1:$Q$37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3"/>
  <c r="O20" i="43" s="1"/>
  <c r="P20" i="43" s="1"/>
  <c r="R20" i="4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<sst xmlns="http://schemas.openxmlformats.org/spreadsheetml/2006/main" count="3913" uniqueCount="518">
  <si>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</si>
  <si>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</si>
  <si>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</si>
  <si>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</si>
  <si>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</si>
  <si>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</si>
  <si>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</si>
  <si>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</si>
  <si>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</si>
  <si>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</si>
  <si>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</si>
  <si>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</si>
  <si>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</si>
  <si>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</si>
  <si>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</si>
  <si>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</si>
  <si>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</si>
  <si>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</si>
  <si>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</si>
  <si>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</si>
  <si>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</si>
  <si>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</si>
  <si>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</si>
  <si>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</si>
  <si>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</si>
  <si>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</si>
  <si>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</si>
  <si>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</si>
  <si>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</si>
  <si>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</si>
  <si>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</si>
  <si>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</si>
  <si>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</si>
  <si>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</si>
  <si>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</si>
  <si>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</si>
  <si>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</si>
  <si>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</si>
  <si>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</si>
  <si>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</si>
  <si>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</si>
  <si>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</si>
  <si>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</si>
  <si>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</si>
  <si>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</si>
  <si>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</si>
  <si>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</si>
  <si>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</si>
  <si>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</si>
  <si>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</si>
  <si>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</si>
  <si>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</si>
  <si>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</si>
  <si>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</si>
  <si>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</si>
  <si>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</si>
  <si>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</si>
  <si>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</si>
  <si>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</si>
  <si>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</si>
  <si>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</si>
  <si>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</si>
  <si>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</si>
  <si>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</si>
  <si>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</si>
  <si>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</si>
  <si>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</si>
  <si>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</si>
  <si>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</si>
  <si>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</si>
  <si>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</si>
  <si>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</si>
  <si>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</si>
  <si>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</si>
  <si>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</si>
  <si>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</si>
  <si>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</si>
  <si>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</si>
  <si>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</si>
  <si>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</si>
  <si>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</si>
  <si>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</si>
  <si>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</si>
  <si>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</si>
  <si>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</si>
  <si>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</si>
  <si>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</si>
  <si>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</si>
  <si>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</si>
  <si>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</si>
  <si>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</si>
  <si>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</si>
  <si>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</si>
  <si>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</si>
  <si>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</si>
  <si>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</si>
  <si>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</si>
  <si>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</si>
  <si>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</si>
  <si>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</si>
  <si>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</si>
  <si>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</si>
  <si>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</si>
  <si>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</si>
  <si>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</si>
  <si>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</si>
  <si>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</si>
  <si>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</si>
  <si>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</si>
  <si>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</si>
  <si>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</si>
  <si>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</si>
  <si>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</si>
  <si>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</si>
  <si>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</si>
  <si>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</si>
  <si>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</si>
  <si>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</si>
  <si>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</si>
  <si>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</si>
  <si>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</si>
  <si>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</si>
  <si>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</si>
  <si>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</si>
  <si>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</si>
  <si>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</si>
  <si>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</si>
  <si>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</si>
  <si>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</si>
  <si>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</si>
  <si>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</si>
  <si>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</si>
  <si>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</si>
  <si>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</si>
  <si>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</si>
  <si>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</si>
  <si>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</si>
  <si>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</si>
  <si>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</si>
  <si>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</si>
  <si>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</si>
  <si>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</si>
  <si>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</si>
  <si>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</si>
  <si>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</si>
  <si>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</si>
  <si>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</si>
  <si>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</si>
  <si>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</si>
  <si>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</si>
  <si>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</si>
  <si>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</si>
  <si>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</si>
  <si>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</si>
  <si>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</si>
  <si>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</si>
  <si>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</si>
  <si>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</si>
  <si>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</si>
  <si>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</si>
  <si>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</si>
  <si>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</si>
  <si>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</si>
  <si>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</si>
  <si>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</si>
  <si>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</si>
  <si>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</si>
  <si>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</si>
  <si>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</si>
  <si>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</si>
  <si>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</si>
  <si>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</si>
  <si>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</si>
  <si>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</si>
  <si>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</si>
  <si>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</si>
  <si>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</si>
  <si>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</si>
  <si>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</si>
  <si>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</si>
  <si>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</si>
  <si>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</si>
  <si>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</si>
  <si>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</si>
  <si>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</si>
  <si>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</si>
  <si>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</si>
  <si>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</si>
  <si>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</si>
  <si>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</si>
  <si>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</si>
  <si>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</si>
  <si>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</si>
  <si>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</si>
  <si>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</si>
  <si>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</si>
  <si>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</si>
  <si>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</si>
  <si>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</si>
  <si>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</si>
  <si>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</si>
  <si>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</si>
  <si>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</si>
  <si>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</si>
  <si>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</si>
  <si>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</si>
  <si>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</si>
  <si>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</si>
  <si>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</si>
  <si>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</si>
  <si>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</si>
  <si>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</si>
  <si>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</si>
  <si>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</si>
  <si>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</si>
  <si>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</si>
  <si>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</si>
  <si>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</si>
  <si>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</si>
  <si>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</si>
  <si>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</si>
  <si>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</si>
  <si>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</si>
  <si>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</si>
  <si>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</si>
  <si>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</si>
  <si>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</si>
  <si>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</si>
  <si>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</si>
  <si>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</si>
  <si>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</si>
  <si>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</si>
  <si>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</si>
  <si>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</si>
  <si>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</si>
  <si>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</si>
  <si>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</si>
  <si>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</si>
  <si>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</si>
  <si>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</si>
  <si>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</si>
  <si>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</si>
  <si>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</si>
  <si>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</si>
  <si>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</si>
  <si>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</si>
  <si>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</si>
  <si>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</si>
  <si>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</si>
  <si>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</si>
  <si>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</si>
  <si>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</si>
  <si>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</si>
  <si>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</si>
  <si>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</si>
  <si>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</si>
  <si>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</si>
  <si>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</si>
  <si>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</si>
  <si>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</si>
  <si>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</si>
  <si>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</si>
  <si>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</si>
  <si>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</si>
  <si>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</si>
  <si>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</si>
  <si>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</si>
  <si>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</si>
  <si>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</si>
  <si>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</si>
  <si>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</si>
  <si>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</si>
  <si>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</si>
  <si>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</si>
  <si>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</si>
  <si>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</si>
  <si>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</si>
  <si>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</si>
  <si>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</si>
  <si>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</si>
  <si>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</si>
  <si>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</si>
  <si>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</si>
  <si>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</si>
  <si>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</si>
  <si>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</si>
  <si>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</si>
  <si>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</si>
  <si>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</si>
  <si>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</si>
  <si>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</si>
  <si>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</si>
  <si>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</si>
  <si>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</si>
  <si>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</si>
  <si>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</si>
  <si>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</si>
  <si>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</si>
  <si>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</si>
  <si>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</si>
  <si>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</si>
  <si>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</si>
  <si>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</si>
  <si>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</si>
  <si>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</si>
  <si>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</si>
  <si>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</si>
  <si>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</si>
  <si>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</si>
  <si>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</si>
  <si>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</si>
  <si>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</si>
  <si>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</si>
  <si>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</si>
  <si>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</si>
  <si>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</si>
  <si>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</si>
  <si>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</si>
  <si>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</si>
  <si>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</si>
  <si>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</si>
  <si>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</si>
  <si>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</si>
  <si>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</si>
  <si>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</si>
  <si>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</si>
  <si>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</si>
  <si>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</si>
  <si>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</si>
  <si>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</si>
  <si>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</si>
  <si>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</si>
  <si>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</si>
  <si>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</si>
  <si>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</si>
  <si>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</si>
  <si>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</si>
  <si>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</si>
  <si>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</si>
  <si>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</si>
  <si>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</si>
  <si>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</si>
  <si>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</si>
  <si>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</si>
  <si>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</si>
  <si>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</si>
  <si>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</si>
  <si>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</si>
  <si>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</si>
  <si>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</si>
  <si>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</si>
  <si>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</si>
  <si>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</si>
  <si>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</si>
  <si>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</si>
  <si>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</si>
  <si>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</si>
  <si>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</si>
  <si>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</si>
  <si>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</si>
  <si>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</si>
  <si>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</si>
  <si>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</si>
  <si>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</si>
  <si>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</si>
  <si>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</si>
  <si>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</si>
  <si>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</si>
  <si>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</si>
  <si>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</si>
  <si>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</si>
  <si>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</si>
  <si>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</si>
  <si>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</si>
  <si>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</si>
  <si>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</si>
  <si>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</si>
  <si>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</si>
  <si>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</si>
  <si>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</si>
  <si>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</si>
  <si>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</si>
  <si>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</si>
  <si>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</si>
  <si>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</si>
  <si>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</si>
  <si>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</si>
  <si>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</si>
  <si>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</si>
  <si>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</si>
  <si>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</si>
  <si>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</si>
  <si>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</si>
  <si>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</si>
  <si>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</si>
  <si>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</si>
  <si>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</si>
  <si>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</si>
  <si>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</si>
  <si>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</si>
  <si>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</si>
  <si>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</si>
  <si>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</si>
  <si>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</si>
  <si>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</si>
  <si>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</si>
  <si>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</si>
  <si>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</si>
  <si>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</si>
  <si>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</si>
  <si>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</si>
  <si>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</si>
  <si>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</si>
  <si>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</si>
  <si>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</si>
  <si>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</si>
  <si>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</si>
  <si>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</si>
  <si>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</si>
  <si>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</si>
  <si>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</si>
  <si>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</si>
  <si>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</si>
  <si>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</si>
  <si>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</si>
  <si>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</si>
  <si>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</si>
  <si>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</si>
  <si>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</si>
  <si>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</si>
  <si>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</si>
  <si>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</si>
  <si>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</si>
  <si>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</si>
  <si>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</si>
  <si>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</si>
  <si>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</si>
  <si>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</si>
  <si>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</si>
  <si>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</si>
  <si>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</si>
  <si>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</si>
  <si>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</si>
  <si>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</si>
  <si>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</si>
  <si>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</si>
  <si>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</si>
  <si>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</si>
  <si>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</si>
  <si>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</si>
  <si>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</si>
  <si>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</si>
  <si>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</si>
  <si>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</si>
  <si>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</si>
  <si>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</si>
  <si>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</si>
  <si>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</si>
  <si>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</si>
  <si>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</si>
  <si>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</si>
  <si>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</si>
  <si>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</si>
  <si>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</si>
  <si>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</si>
  <si>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</si>
  <si>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</si>
  <si>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</si>
  <si>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</si>
  <si>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</si>
  <si>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</si>
  <si>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</si>
  <si>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</si>
  <si>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</si>
  <si>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</si>
  <si>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</si>
  <si>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</si>
  <si>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</si>
  <si>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</si>
  <si>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</si>
  <si>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</si>
  <si>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</si>
  <si>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</si>
  <si>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</si>
  <si>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</si>
  <si>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</si>
  <si>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</si>
  <si>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</si>
  <si>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</si>
  <si>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</si>
  <si>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</si>
  <si>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</si>
  <si>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</si>
  <si>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</si>
  <si>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</si>
  <si>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</si>
  <si>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</si>
  <si>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</si>
  <si>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</si>
  <si>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</si>
  <si>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</si>
  <si>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</si>
  <si>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</si>
  <si>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</si>
  <si>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</si>
  <si>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</si>
  <si>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</si>
  <si>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</si>
  <si>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</si>
  <si>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</si>
  <si>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</si>
  <si>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</si>
  <si>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</si>
  <si>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</si>
  <si>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Clinix Central Warehouse</t>
  </si>
  <si>
    <t xml:space="preserve">Address:Multan Road Near Ever New </t>
  </si>
  <si>
    <t>NTN #: 0150979-9</t>
  </si>
  <si>
    <t>Invoice No # :00151561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</si>
</sst>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506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>+'1'!N4:N4</f>
        <v>46312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>Clinix Central Warehouse</v>
      </c>
      <c r="T3" s="301">
        <f>+'1'!P35</f>
        <v>53489.900100889827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Clinix Central Warehouse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3714.3450000000003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22.537826694915253</v>
      </c>
      <c r="P7" s="118">
        <f>M7+N7+O7</f>
        <v>4530.103165677966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503.64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5571.5174999999999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33.80674004237288</v>
      </c>
      <c r="P8" s="119">
        <f t="shared" ref="P8:P15" si="2">M8+N8+O8</f>
        <v>6795.1547485169476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335.76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3714.3450000000003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22.537826694915253</v>
      </c>
      <c r="P9" s="119">
        <f t="shared" si="2"/>
        <v>4530.103165677966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7714.3679999999995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46.80912813559322</v>
      </c>
      <c r="P10" s="119">
        <f t="shared" si="2"/>
        <v>9408.6347552542375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5142.9120000000003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31.206085423728815</v>
      </c>
      <c r="P11" s="119">
        <f t="shared" si="2"/>
        <v>6272.4231701694916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280</v>
      </c>
      <c r="I12" s="236">
        <f t="shared" si="0"/>
        <v>20339.2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1627.1360000000002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711.87200000000007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18000.191999999999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3844.0677966101698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109.22129898305084</v>
      </c>
      <c r="P12" s="119">
        <f t="shared" si="2"/>
        <v>21953.481095593219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 t="shared" ref="G16:M16" si="3">SUM(G7:G15)</f>
        <v>0</v>
      </c>
      <c r="H16" s="113">
        <f t="shared" si="3"/>
        <v>760</v>
      </c>
      <c r="I16" s="114">
        <f t="shared" si="3"/>
        <v>49556.7</v>
      </c>
      <c r="J16" s="274">
        <f>SUM(J7:J15)</f>
        <v>3964.5360000000001</v>
      </c>
      <c r="K16" s="275">
        <f t="shared" si="3"/>
        <v>1734.4845000000003</v>
      </c>
      <c r="L16" s="276">
        <f t="shared" si="3"/>
        <v>0</v>
      </c>
      <c r="M16" s="232">
        <f t="shared" si="3"/>
        <v>43857.679499999998</v>
      </c>
      <c r="N16" s="233">
        <f>SUM(N7:N15)</f>
        <v>9366.1016949152527</v>
      </c>
      <c r="O16" s="101">
        <f>SUM(O7:O15)</f>
        <v>266.11890597457625</v>
      </c>
      <c r="P16" s="234">
        <f>SUM(P7:P15)</f>
        <v>53489.900100889834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49556.7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3964.5360000000001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1734.4845000000003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43857.679499999998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9366.1016949152527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53223.781194915253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266.11890597457625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53489.900100889827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53489.900100889827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517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v>46312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46311</v>
      </c>
      <c r="O5" s="359"/>
      <c r="P5" s="359"/>
      <c r="R5" s="85"/>
      <c r="S5" s="266"/>
    </row>
    <row r="6" spans="1:22 16383:16384" ht="17.2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118">
        <f>M16+N16+O16</f>
        <v>4530.103165677966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503.64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5571.5174999999999</v>
      </c>
      <c r="N17" s="277">
        <f t="shared" ref="N17:N24" si="3">+(G17*D17+H17)*V17</f>
        <v>1189.8305084745757</v>
      </c>
      <c r="O17" s="239">
        <f t="shared" ref="O17:O24" si="4">(N17+M17)*$O$15</f>
        <v>33.80674004237288</v>
      </c>
      <c r="P17" s="119">
        <f t="shared" ref="P17:P24" si="5">M17+N17+O17</f>
        <v>6795.1547485169476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335.76</v>
      </c>
      <c r="K18" s="128">
        <f t="shared" si="1"/>
        <v>146.89500000000001</v>
      </c>
      <c r="L18" s="119">
        <f t="shared" si="1"/>
        <v>0</v>
      </c>
      <c r="M18" s="230">
        <f t="shared" si="2"/>
        <v>3714.3450000000003</v>
      </c>
      <c r="N18" s="277">
        <f t="shared" si="3"/>
        <v>793.22033898305051</v>
      </c>
      <c r="O18" s="239">
        <f t="shared" si="4"/>
        <v>22.537826694915253</v>
      </c>
      <c r="P18" s="119">
        <f t="shared" si="5"/>
        <v>4530.103165677966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697.34399999999994</v>
      </c>
      <c r="K19" s="128">
        <f t="shared" si="1"/>
        <v>305.08800000000002</v>
      </c>
      <c r="L19" s="119">
        <f t="shared" si="1"/>
        <v>0</v>
      </c>
      <c r="M19" s="230">
        <f t="shared" si="2"/>
        <v>7714.3679999999995</v>
      </c>
      <c r="N19" s="277">
        <f t="shared" si="3"/>
        <v>1647.4576271186443</v>
      </c>
      <c r="O19" s="239">
        <f t="shared" si="4"/>
        <v>46.80912813559322</v>
      </c>
      <c r="P19" s="119">
        <f t="shared" si="5"/>
        <v>9408.6347552542375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119">
        <f t="shared" si="5"/>
        <v>6272.4231701694916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280</v>
      </c>
      <c r="I21" s="236">
        <f t="shared" si="7"/>
        <v>20339.2</v>
      </c>
      <c r="J21" s="272">
        <f t="shared" si="1"/>
        <v>1627.1360000000002</v>
      </c>
      <c r="K21" s="128">
        <f t="shared" si="1"/>
        <v>711.87200000000007</v>
      </c>
      <c r="L21" s="119">
        <f t="shared" si="1"/>
        <v>0</v>
      </c>
      <c r="M21" s="230">
        <f t="shared" si="2"/>
        <v>18000.191999999999</v>
      </c>
      <c r="N21" s="277">
        <f t="shared" si="3"/>
        <v>3844.0677966101698</v>
      </c>
      <c r="O21" s="239">
        <f t="shared" si="4"/>
        <v>109.22129898305084</v>
      </c>
      <c r="P21" s="119">
        <f t="shared" si="5"/>
        <v>21953.481095593219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760</v>
      </c>
      <c r="I25" s="114">
        <f t="shared" ref="I25:M25" si="10">SUM(I16:I24)</f>
        <v>49556.7</v>
      </c>
      <c r="J25" s="274">
        <f>SUM(J16:J24)</f>
        <v>3964.5360000000001</v>
      </c>
      <c r="K25" s="275">
        <f t="shared" si="10"/>
        <v>1734.4845000000003</v>
      </c>
      <c r="L25" s="276">
        <f t="shared" si="10"/>
        <v>0</v>
      </c>
      <c r="M25" s="232">
        <f t="shared" si="10"/>
        <v>43857.679499999998</v>
      </c>
      <c r="N25" s="233">
        <f>SUM(N16:N24)</f>
        <v>9366.1016949152527</v>
      </c>
      <c r="O25" s="101">
        <f>SUM(O16:O24)</f>
        <v>266.11890597457625</v>
      </c>
      <c r="P25" s="234">
        <f>SUM(P16:P24)</f>
        <v>53489.900100889834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49556.7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3964.5360000000001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1734.4845000000003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43857.679499999998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9366.1016949152527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53223.781194915253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266.11890597457625</v>
      </c>
    </row>
    <row r="35" spans="2:16" ht="15.75" customHeight="1" thickBot="1" x14ac:dyDescent="0.4">
      <c r="N35" s="334" t="s">
        <v>88</v>
      </c>
      <c r="O35" s="335"/>
      <c r="P35" s="297">
        <f>+P33+P34</f>
        <v>53489.900100889827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v>46241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46240</v>
      </c>
      <c r="O5" s="359"/>
      <c r="P5" s="359"/>
      <c r="R5" s="85"/>
      <c r="S5" s="266"/>
    </row>
    <row r="6" spans="1:22 16383:16384" ht="1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8.7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504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8.75" customHeight="1" x14ac:dyDescent="0.4">
      <c r="A6" s="388" t="s">
        <v>505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46315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46314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516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46315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46314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2026-10-19T04:47:40Z</dcterms:modified>
</cp:coreProperties>
</file>