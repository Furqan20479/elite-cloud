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73FF572-E35C-45CF-989F-D1B191F5B3A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O16" i="48" s="1"/>
  <c r="P16" i="48" s="1"/>
  <c r="J7" i="62"/>
  <c r="M20" i="47"/>
  <c r="O20" i="47" s="1"/>
  <c r="P20" i="47" s="1"/>
  <c r="M17" i="44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<sst xmlns="http://schemas.openxmlformats.org/spreadsheetml/2006/main" count="3948" uniqueCount="526">
  <si>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</si>
  <si>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</si>
  <si>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</si>
  <si>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</si>
  <si>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</si>
  <si>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</si>
  <si>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</si>
  <si>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</si>
  <si>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</si>
  <si>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</si>
  <si>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</si>
  <si>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</si>
  <si>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</si>
  <si>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</si>
  <si>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</si>
  <si>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</si>
  <si>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</si>
  <si>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</si>
  <si>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</si>
  <si>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</si>
  <si>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</si>
  <si>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</si>
  <si>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</si>
  <si>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</si>
  <si>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</si>
  <si>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</si>
  <si>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</si>
  <si>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</si>
  <si>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</si>
  <si>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</si>
  <si>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</si>
  <si>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</si>
  <si>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</si>
  <si>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</si>
  <si>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</si>
  <si>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</si>
  <si>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</si>
  <si>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</si>
  <si>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</si>
  <si>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</si>
  <si>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</si>
  <si>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</si>
  <si>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</si>
  <si>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</si>
  <si>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</si>
  <si>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</si>
  <si>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</si>
  <si>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</si>
  <si>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</si>
  <si>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</si>
  <si>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</si>
  <si>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</si>
  <si>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</si>
  <si>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</si>
  <si>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</si>
  <si>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</si>
  <si>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</si>
  <si>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</si>
  <si>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</si>
  <si>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</si>
  <si>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</si>
  <si>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</si>
  <si>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</si>
  <si>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</si>
  <si>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</si>
  <si>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</si>
  <si>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</si>
  <si>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</si>
  <si>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</si>
  <si>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</si>
  <si>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</si>
  <si>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</si>
  <si>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</si>
  <si>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</si>
  <si>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</si>
  <si>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</si>
  <si>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</si>
  <si>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</si>
  <si>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</si>
  <si>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</si>
  <si>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</si>
  <si>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</si>
  <si>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</si>
  <si>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</si>
  <si>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</si>
  <si>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</si>
  <si>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</si>
  <si>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</si>
  <si>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</si>
  <si>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</si>
  <si>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</si>
  <si>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</si>
  <si>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</si>
  <si>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</si>
  <si>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</si>
  <si>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</si>
  <si>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</si>
  <si>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</si>
  <si>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</si>
  <si>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</si>
  <si>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</si>
  <si>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</si>
  <si>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</si>
  <si>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</si>
  <si>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</si>
  <si>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</si>
  <si>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</si>
  <si>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</si>
  <si>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</si>
  <si>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</si>
  <si>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</si>
  <si>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</si>
  <si>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</si>
  <si>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</si>
  <si>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</si>
  <si>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</si>
  <si>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</si>
  <si>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</si>
  <si>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</si>
  <si>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</si>
  <si>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</si>
  <si>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</si>
  <si>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</si>
  <si>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</si>
  <si>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</si>
  <si>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</si>
  <si>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</si>
  <si>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</si>
  <si>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</si>
  <si>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</si>
  <si>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</si>
  <si>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</si>
  <si>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</si>
  <si>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</si>
  <si>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</si>
  <si>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</si>
  <si>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</si>
  <si>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</si>
  <si>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</si>
  <si>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</si>
  <si>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</si>
  <si>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</si>
  <si>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</si>
  <si>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</si>
  <si>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</si>
  <si>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</si>
  <si>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</si>
  <si>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</si>
  <si>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</si>
  <si>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</si>
  <si>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</si>
  <si>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</si>
  <si>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</si>
  <si>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</si>
  <si>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</si>
  <si>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</si>
  <si>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</si>
  <si>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</si>
  <si>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</si>
  <si>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</si>
  <si>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</si>
  <si>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</si>
  <si>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</si>
  <si>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</si>
  <si>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</si>
  <si>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</si>
  <si>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</si>
  <si>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</si>
  <si>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</si>
  <si>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</si>
  <si>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</si>
  <si>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</si>
  <si>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</si>
  <si>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</si>
  <si>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</si>
  <si>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</si>
  <si>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</si>
  <si>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</si>
  <si>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</si>
  <si>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</si>
  <si>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</si>
  <si>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</si>
  <si>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</si>
  <si>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</si>
  <si>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</si>
  <si>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</si>
  <si>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</si>
  <si>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</si>
  <si>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</si>
  <si>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</si>
  <si>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</si>
  <si>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</si>
  <si>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</si>
  <si>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</si>
  <si>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</si>
  <si>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</si>
  <si>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</si>
  <si>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</si>
  <si>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</si>
  <si>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</si>
  <si>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</si>
  <si>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</si>
  <si>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</si>
  <si>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</si>
  <si>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</si>
  <si>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</si>
  <si>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</si>
  <si>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</si>
  <si>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</si>
  <si>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</si>
  <si>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</si>
  <si>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</si>
  <si>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</si>
  <si>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</si>
  <si>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</si>
  <si>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</si>
  <si>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</si>
  <si>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</si>
  <si>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</si>
  <si>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</si>
  <si>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</si>
  <si>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</si>
  <si>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</si>
  <si>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</si>
  <si>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</si>
  <si>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</si>
  <si>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</si>
  <si>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</si>
  <si>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</si>
  <si>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</si>
  <si>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</si>
  <si>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</si>
  <si>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</si>
  <si>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</si>
  <si>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</si>
  <si>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</si>
  <si>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</si>
  <si>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</si>
  <si>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</si>
  <si>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</si>
  <si>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</si>
  <si>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</si>
  <si>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</si>
  <si>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</si>
  <si>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</si>
  <si>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</si>
  <si>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</si>
  <si>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</si>
  <si>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</si>
  <si>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</si>
  <si>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</si>
  <si>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</si>
  <si>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</si>
  <si>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</si>
  <si>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</si>
  <si>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</si>
  <si>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</si>
  <si>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</si>
  <si>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</si>
  <si>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</si>
  <si>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</si>
  <si>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</si>
  <si>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</si>
  <si>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</si>
  <si>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</si>
  <si>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</si>
  <si>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</si>
  <si>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</si>
  <si>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</si>
  <si>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</si>
  <si>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</si>
  <si>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</si>
  <si>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</si>
  <si>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</si>
  <si>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</si>
  <si>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</si>
  <si>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</si>
  <si>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</si>
  <si>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</si>
  <si>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</si>
  <si>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</si>
  <si>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</si>
  <si>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</si>
  <si>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</si>
  <si>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</si>
  <si>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</si>
  <si>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</si>
  <si>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</si>
  <si>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</si>
  <si>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</si>
  <si>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</si>
  <si>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</si>
  <si>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</si>
  <si>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</si>
  <si>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</si>
  <si>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</si>
  <si>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</si>
  <si>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</si>
  <si>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</si>
  <si>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</si>
  <si>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</si>
  <si>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</si>
  <si>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</si>
  <si>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</si>
  <si>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</si>
  <si>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</si>
  <si>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</si>
  <si>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</si>
  <si>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</si>
  <si>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</si>
  <si>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</si>
  <si>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</si>
  <si>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</si>
  <si>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</si>
  <si>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</si>
  <si>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</si>
  <si>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</si>
  <si>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</si>
  <si>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</si>
  <si>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</si>
  <si>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</si>
  <si>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</si>
  <si>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</si>
  <si>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</si>
  <si>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</si>
  <si>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</si>
  <si>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</si>
  <si>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</si>
  <si>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</si>
  <si>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</si>
  <si>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</si>
  <si>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</si>
  <si>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</si>
  <si>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</si>
  <si>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</si>
  <si>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</si>
  <si>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</si>
  <si>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</si>
  <si>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</si>
  <si>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</si>
  <si>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</si>
  <si>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</si>
  <si>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</si>
  <si>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</si>
  <si>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</si>
  <si>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</si>
  <si>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</si>
  <si>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</si>
  <si>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</si>
  <si>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</si>
  <si>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</si>
  <si>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</si>
  <si>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</si>
  <si>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</si>
  <si>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</si>
  <si>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</si>
  <si>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</si>
  <si>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</si>
  <si>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</si>
  <si>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</si>
  <si>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</si>
  <si>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</si>
  <si>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</si>
  <si>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</si>
  <si>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</si>
  <si>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</si>
  <si>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</si>
  <si>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</si>
  <si>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</si>
  <si>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</si>
  <si>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</si>
  <si>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</si>
  <si>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</si>
  <si>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</si>
  <si>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</si>
  <si>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</si>
  <si>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</si>
  <si>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</si>
  <si>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</si>
  <si>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</si>
  <si>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</si>
  <si>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</si>
  <si>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</si>
  <si>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</si>
  <si>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</si>
  <si>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</si>
  <si>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</si>
  <si>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</si>
  <si>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</si>
  <si>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</si>
  <si>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</si>
  <si>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</si>
  <si>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</si>
  <si>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</si>
  <si>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</si>
  <si>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</si>
  <si>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</si>
  <si>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</si>
  <si>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</si>
  <si>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</si>
  <si>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</si>
  <si>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</si>
  <si>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</si>
  <si>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</si>
  <si>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</si>
  <si>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</si>
  <si>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</si>
  <si>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</si>
  <si>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</si>
  <si>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</si>
  <si>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</si>
  <si>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</si>
  <si>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</si>
  <si>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</si>
  <si>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</si>
  <si>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</si>
  <si>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</si>
  <si>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</si>
  <si>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</si>
  <si>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</si>
  <si>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</si>
  <si>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</si>
  <si>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</si>
  <si>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</si>
  <si>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</si>
  <si>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</si>
  <si>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</si>
  <si>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</si>
  <si>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</si>
  <si>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</si>
  <si>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</si>
  <si>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</si>
  <si>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</si>
  <si>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</si>
  <si>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</si>
  <si>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</si>
  <si>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</si>
  <si>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</si>
  <si>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</si>
  <si>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</si>
  <si>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</si>
  <si>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</si>
  <si>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</si>
  <si>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</si>
  <si>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</si>
  <si>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</si>
  <si>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</si>
  <si>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</si>
  <si>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</si>
  <si>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</si>
  <si>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</si>
  <si>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</si>
  <si>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</si>
  <si>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</si>
  <si>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</si>
  <si>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</si>
  <si>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</si>
  <si>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</si>
  <si>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</si>
  <si>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</si>
  <si>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</si>
  <si>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</si>
  <si>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</si>
  <si>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</si>
  <si>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</si>
  <si>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</si>
  <si>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</si>
  <si>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</si>
  <si>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</si>
  <si>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</si>
  <si>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</si>
  <si>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</si>
  <si>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</si>
  <si>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</si>
  <si>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</si>
  <si>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</si>
  <si>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</si>
  <si>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</si>
  <si>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</si>
  <si>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</si>
  <si>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</si>
  <si>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</si>
  <si>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</si>
  <si>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</si>
  <si>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</si>
  <si>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</si>
  <si>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</si>
  <si>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</si>
  <si>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</si>
  <si>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</si>
  <si>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</si>
  <si>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</si>
  <si>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</si>
  <si>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</si>
  <si>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</si>
  <si>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</si>
  <si>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</si>
  <si>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</si>
  <si>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</si>
  <si>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</si>
  <si>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</si>
  <si>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</si>
  <si>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</si>
  <si>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</si>
  <si>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</si>
  <si>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</si>
  <si>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</si>
  <si>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</si>
  <si>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</si>
  <si>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</si>
  <si>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</si>
  <si>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</si>
  <si>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</si>
  <si>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</si>
  <si>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</si>
  <si>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DHA</t>
  </si>
  <si>
    <t>Al Ghani Store</t>
  </si>
  <si>
    <t>Hafiz Store</t>
  </si>
  <si>
    <t>Groccer Store</t>
  </si>
  <si>
    <t xml:space="preserve">Smart Mart </t>
  </si>
  <si>
    <t>Rehmat Cash N Carry</t>
  </si>
  <si>
    <t>Ajwa Store</t>
  </si>
  <si>
    <t>Marwa Store</t>
  </si>
  <si>
    <t>786 Store</t>
  </si>
  <si>
    <t>Shareef Store</t>
  </si>
  <si>
    <t>Abdullah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</si>
</sst>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E3" sqref="E3: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Ghani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Groccer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Smart Mart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209.84999999999997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310">
        <f>M7+N7+O7</f>
        <v>2831.3144785487284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Rehmat Cash N Carry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>Ajwa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30</v>
      </c>
      <c r="I9" s="236">
        <f t="shared" si="0"/>
        <v>1573.875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125.91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55.085625000000007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1392.879375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297.45762711864393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8.45168501059322</v>
      </c>
      <c r="P9" s="311">
        <f t="shared" si="2"/>
        <v>1698.7886871292369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>Marwa Store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85</v>
      </c>
      <c r="I10" s="236">
        <f t="shared" si="0"/>
        <v>6174.4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493.952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216.10400000000001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5464.3439999999991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1166.949152542373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33.156465762711868</v>
      </c>
      <c r="P10" s="311">
        <f t="shared" si="2"/>
        <v>6664.4496183050842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786 Store</v>
      </c>
      <c r="T10" s="301">
        <f>+'8'!P35</f>
        <v>5401.2631679237284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Shareef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311">
        <f t="shared" si="2"/>
        <v>6664.4496183050842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Abdullah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8</v>
      </c>
      <c r="H16" s="113">
        <f t="shared" ref="H16:M16" si="3">SUM(H7:H15)</f>
        <v>320</v>
      </c>
      <c r="I16" s="114">
        <f t="shared" si="3"/>
        <v>20823.5</v>
      </c>
      <c r="J16" s="274">
        <f>SUM(J7:J15)</f>
        <v>1665.8799999999999</v>
      </c>
      <c r="K16" s="275">
        <f t="shared" si="3"/>
        <v>728.8225000000001</v>
      </c>
      <c r="L16" s="276">
        <f t="shared" si="3"/>
        <v>0</v>
      </c>
      <c r="M16" s="232">
        <f t="shared" si="3"/>
        <v>18428.797500000001</v>
      </c>
      <c r="N16" s="233">
        <f>SUM(N7:N15)</f>
        <v>3935.593220338983</v>
      </c>
      <c r="O16" s="101">
        <f>SUM(O7:O15)</f>
        <v>111.82195360169493</v>
      </c>
      <c r="P16" s="113">
        <f>SUM(P7:P15)</f>
        <v>22476.212673940674</v>
      </c>
      <c r="Q16" s="128">
        <f>SUM(Q7:Q15)</f>
        <v>140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20823.5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1665.8799999999999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728.8225000000001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18428.797500000001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3935.593220338983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22364.390720338983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111.82195360169493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22476.212673940678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22476.212673940678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T25" sqref="T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activeCell="H16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2026-10-19T04:29:51Z</dcterms:modified>
</cp:coreProperties>
</file>