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8B455D7-3BEF-4F08-B7E5-9A8435F0066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2" i="63"/>
  <c r="O22" i="63" s="1"/>
  <c r="P22" i="63" s="1"/>
  <c r="M20" i="53"/>
  <c r="O20" i="53" s="1"/>
  <c r="P20" i="53" s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<sst xmlns="http://schemas.openxmlformats.org/spreadsheetml/2006/main" count="3948" uniqueCount="537">
  <si>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</si>
  <si>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</si>
  <si>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</si>
  <si>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</si>
  <si>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</si>
  <si>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</si>
  <si>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</si>
  <si>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</si>
  <si>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</si>
  <si>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</si>
  <si>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</si>
  <si>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</si>
  <si>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</si>
  <si>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</si>
  <si>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</si>
  <si>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</si>
  <si>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</si>
  <si>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</si>
  <si>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</si>
  <si>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</si>
  <si>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</si>
  <si>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</si>
  <si>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</si>
  <si>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</si>
  <si>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</si>
  <si>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</si>
  <si>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</si>
  <si>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</si>
  <si>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</si>
  <si>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</si>
  <si>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</si>
  <si>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</si>
  <si>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</si>
  <si>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</si>
  <si>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</si>
  <si>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</si>
  <si>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</si>
  <si>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</si>
  <si>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</si>
  <si>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</si>
  <si>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</si>
  <si>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</si>
  <si>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</si>
  <si>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</si>
  <si>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</si>
  <si>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</si>
  <si>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</si>
  <si>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</si>
  <si>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</si>
  <si>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</si>
  <si>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</si>
  <si>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</si>
  <si>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</si>
  <si>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</si>
  <si>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</si>
  <si>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</si>
  <si>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</si>
  <si>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</si>
  <si>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</si>
  <si>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</si>
  <si>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</si>
  <si>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</si>
  <si>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</si>
  <si>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</si>
  <si>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</si>
  <si>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</si>
  <si>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</si>
  <si>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</si>
  <si>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</si>
  <si>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</si>
  <si>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</si>
  <si>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</si>
  <si>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</si>
  <si>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</si>
  <si>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</si>
  <si>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</si>
  <si>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</si>
  <si>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</si>
  <si>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</si>
  <si>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</si>
  <si>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</si>
  <si>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</si>
  <si>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</si>
  <si>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</si>
  <si>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</si>
  <si>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</si>
  <si>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</si>
  <si>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</si>
  <si>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</si>
  <si>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</si>
  <si>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</si>
  <si>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</si>
  <si>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</si>
  <si>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</si>
  <si>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</si>
  <si>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</si>
  <si>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</si>
  <si>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</si>
  <si>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</si>
  <si>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</si>
  <si>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</si>
  <si>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</si>
  <si>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</si>
  <si>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</si>
  <si>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</si>
  <si>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</si>
  <si>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</si>
  <si>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</si>
  <si>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</si>
  <si>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</si>
  <si>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</si>
  <si>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</si>
  <si>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</si>
  <si>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</si>
  <si>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</si>
  <si>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</si>
  <si>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</si>
  <si>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</si>
  <si>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</si>
  <si>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</si>
  <si>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</si>
  <si>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</si>
  <si>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</si>
  <si>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</si>
  <si>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</si>
  <si>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</si>
  <si>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</si>
  <si>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</si>
  <si>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</si>
  <si>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</si>
  <si>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</si>
  <si>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</si>
  <si>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</si>
  <si>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</si>
  <si>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</si>
  <si>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</si>
  <si>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</si>
  <si>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</si>
  <si>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</si>
  <si>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</si>
  <si>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</si>
  <si>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</si>
  <si>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</si>
  <si>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</si>
  <si>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</si>
  <si>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</si>
  <si>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</si>
  <si>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</si>
  <si>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</si>
  <si>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</si>
  <si>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</si>
  <si>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</si>
  <si>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</si>
  <si>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</si>
  <si>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</si>
  <si>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</si>
  <si>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</si>
  <si>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</si>
  <si>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</si>
  <si>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</si>
  <si>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</si>
  <si>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</si>
  <si>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</si>
  <si>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</si>
  <si>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</si>
  <si>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</si>
  <si>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</si>
  <si>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</si>
  <si>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</si>
  <si>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</si>
  <si>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</si>
  <si>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</si>
  <si>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</si>
  <si>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</si>
  <si>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</si>
  <si>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</si>
  <si>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</si>
  <si>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</si>
  <si>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</si>
  <si>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</si>
  <si>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</si>
  <si>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</si>
  <si>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</si>
  <si>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</si>
  <si>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</si>
  <si>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</si>
  <si>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</si>
  <si>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</si>
  <si>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</si>
  <si>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</si>
  <si>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</si>
  <si>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</si>
  <si>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</si>
  <si>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</si>
  <si>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</si>
  <si>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</si>
  <si>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</si>
  <si>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</si>
  <si>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</si>
  <si>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</si>
  <si>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</si>
  <si>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</si>
  <si>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</si>
  <si>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</si>
  <si>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</si>
  <si>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</si>
  <si>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</si>
  <si>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</si>
  <si>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</si>
  <si>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</si>
  <si>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</si>
  <si>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</si>
  <si>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</si>
  <si>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</si>
  <si>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</si>
  <si>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</si>
  <si>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</si>
  <si>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</si>
  <si>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</si>
  <si>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</si>
  <si>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</si>
  <si>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</si>
  <si>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</si>
  <si>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</si>
  <si>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</si>
  <si>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</si>
  <si>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</si>
  <si>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</si>
  <si>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</si>
  <si>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</si>
  <si>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</si>
  <si>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</si>
  <si>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</si>
  <si>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</si>
  <si>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</si>
  <si>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</si>
  <si>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</si>
  <si>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</si>
  <si>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</si>
  <si>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</si>
  <si>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</si>
  <si>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</si>
  <si>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</si>
  <si>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</si>
  <si>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</si>
  <si>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</si>
  <si>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</si>
  <si>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</si>
  <si>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</si>
  <si>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</si>
  <si>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</si>
  <si>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</si>
  <si>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</si>
  <si>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</si>
  <si>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</si>
  <si>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</si>
  <si>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</si>
  <si>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</si>
  <si>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</si>
  <si>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</si>
  <si>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</si>
  <si>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</si>
  <si>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</si>
  <si>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</si>
  <si>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</si>
  <si>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</si>
  <si>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</si>
  <si>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</si>
  <si>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</si>
  <si>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</si>
  <si>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</si>
  <si>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</si>
  <si>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</si>
  <si>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</si>
  <si>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</si>
  <si>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</si>
  <si>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</si>
  <si>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</si>
  <si>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</si>
  <si>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</si>
  <si>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</si>
  <si>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</si>
  <si>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</si>
  <si>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</si>
  <si>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</si>
  <si>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</si>
  <si>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</si>
  <si>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</si>
  <si>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</si>
  <si>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</si>
  <si>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</si>
  <si>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</si>
  <si>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</si>
  <si>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</si>
  <si>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</si>
  <si>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</si>
  <si>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</si>
  <si>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</si>
  <si>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</si>
  <si>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</si>
  <si>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</si>
  <si>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</si>
  <si>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</si>
  <si>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</si>
  <si>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</si>
  <si>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</si>
  <si>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</si>
  <si>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</si>
  <si>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</si>
  <si>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</si>
  <si>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</si>
  <si>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</si>
  <si>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</si>
  <si>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</si>
  <si>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</si>
  <si>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</si>
  <si>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</si>
  <si>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</si>
  <si>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</si>
  <si>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</si>
  <si>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</si>
  <si>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</si>
  <si>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</si>
  <si>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</si>
  <si>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</si>
  <si>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</si>
  <si>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</si>
  <si>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</si>
  <si>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</si>
  <si>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</si>
  <si>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</si>
  <si>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</si>
  <si>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</si>
  <si>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</si>
  <si>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</si>
  <si>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</si>
  <si>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</si>
  <si>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</si>
  <si>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</si>
  <si>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</si>
  <si>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</si>
  <si>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</si>
  <si>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</si>
  <si>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</si>
  <si>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</si>
  <si>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</si>
  <si>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</si>
  <si>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</si>
  <si>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</si>
  <si>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</si>
  <si>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</si>
  <si>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</si>
  <si>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</si>
  <si>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</si>
  <si>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</si>
  <si>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</si>
  <si>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</si>
  <si>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</si>
  <si>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</si>
  <si>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</si>
  <si>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</si>
  <si>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</si>
  <si>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</si>
  <si>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</si>
  <si>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</si>
  <si>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</si>
  <si>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</si>
  <si>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</si>
  <si>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</si>
  <si>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</si>
  <si>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</si>
  <si>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</si>
  <si>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</si>
  <si>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</si>
  <si>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</si>
  <si>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</si>
  <si>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</si>
  <si>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</si>
  <si>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</si>
  <si>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</si>
  <si>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</si>
  <si>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</si>
  <si>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</si>
  <si>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</si>
  <si>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</si>
  <si>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</si>
  <si>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</si>
  <si>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</si>
  <si>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</si>
  <si>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</si>
  <si>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</si>
  <si>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</si>
  <si>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</si>
  <si>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</si>
  <si>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</si>
  <si>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</si>
  <si>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</si>
  <si>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</si>
  <si>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</si>
  <si>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</si>
  <si>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</si>
  <si>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</si>
  <si>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</si>
  <si>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</si>
  <si>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</si>
  <si>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</si>
  <si>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</si>
  <si>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</si>
  <si>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</si>
  <si>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</si>
  <si>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</si>
  <si>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</si>
  <si>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</si>
  <si>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</si>
  <si>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</si>
  <si>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</si>
  <si>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</si>
  <si>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</si>
  <si>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</si>
  <si>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</si>
  <si>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</si>
  <si>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</si>
  <si>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</si>
  <si>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</si>
  <si>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</si>
  <si>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</si>
  <si>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</si>
  <si>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</si>
  <si>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</si>
  <si>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</si>
  <si>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</si>
  <si>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</si>
  <si>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</si>
  <si>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</si>
  <si>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</si>
  <si>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</si>
  <si>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</si>
  <si>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</si>
  <si>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</si>
  <si>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</si>
  <si>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</si>
  <si>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</si>
  <si>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</si>
  <si>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</si>
  <si>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</si>
  <si>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</si>
  <si>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</si>
  <si>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</si>
  <si>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</si>
  <si>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</si>
  <si>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</si>
  <si>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</si>
  <si>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</si>
  <si>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</si>
  <si>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</si>
  <si>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</si>
  <si>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</si>
  <si>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</si>
  <si>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</si>
  <si>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</si>
  <si>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</si>
  <si>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</si>
  <si>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</si>
  <si>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</si>
  <si>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</si>
  <si>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</si>
  <si>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</si>
  <si>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</si>
  <si>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</si>
  <si>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</si>
  <si>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</si>
  <si>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</si>
  <si>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</si>
  <si>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</si>
  <si>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</si>
  <si>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</si>
  <si>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</si>
  <si>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</si>
  <si>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</si>
  <si>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</si>
  <si>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</si>
  <si>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</si>
  <si>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</si>
  <si>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</si>
  <si>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</si>
  <si>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</si>
  <si>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</si>
  <si>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</si>
  <si>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</si>
  <si>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</si>
  <si>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</si>
  <si>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</si>
  <si>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</si>
  <si>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</si>
  <si>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</si>
  <si>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</si>
  <si>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</si>
  <si>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</si>
  <si>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</si>
  <si>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</si>
  <si>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</si>
  <si>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</si>
  <si>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</si>
  <si>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</si>
  <si>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</si>
  <si>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</si>
  <si>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</si>
  <si>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</si>
  <si>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</si>
  <si>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</si>
  <si>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</si>
  <si>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</si>
  <si>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</si>
  <si>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</si>
  <si>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</si>
  <si>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Address: Cantt</t>
  </si>
  <si>
    <t xml:space="preserve">Shaheen Bakers </t>
  </si>
  <si>
    <t>Farman Khan Store</t>
  </si>
  <si>
    <t>Cant Store</t>
  </si>
  <si>
    <t>Qazi Store</t>
  </si>
  <si>
    <t>Tahir Store</t>
  </si>
  <si>
    <t>Imran Store</t>
  </si>
  <si>
    <t>Mashallah Store</t>
  </si>
  <si>
    <t>Makkah Store</t>
  </si>
  <si>
    <t>Aiub Store</t>
  </si>
  <si>
    <t>Ramiz Store</t>
  </si>
  <si>
    <t>Shah g Store</t>
  </si>
  <si>
    <t>Bismillah Store</t>
  </si>
  <si>
    <t>Fazal Store</t>
  </si>
  <si>
    <t>Ali GS</t>
  </si>
  <si>
    <t>Bilal Store</t>
  </si>
  <si>
    <t>Muna Store</t>
  </si>
  <si>
    <t>Iftakhar Store</t>
  </si>
  <si>
    <t>Tashi Store</t>
  </si>
  <si>
    <t>Zargham Store</t>
  </si>
  <si>
    <t>Ahmad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</si>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</sst>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16"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Shaheen Bakers </v>
      </c>
      <c r="T3" s="301">
        <f>+'1'!P35</f>
        <v>6272.4231701694916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Farman Khan Store</v>
      </c>
      <c r="T4" s="301">
        <f>+'2'!P35</f>
        <v>4530.103165677966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Cant Store</v>
      </c>
      <c r="T5" s="301">
        <f>+'3'!P35</f>
        <v>10802.526335847459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Qazi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503.64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220.34250000000003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5571.5174999999999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1189.8305084745757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33.80674004237288</v>
      </c>
      <c r="P7" s="310">
        <f>M7+N7+O7</f>
        <v>6795.1547485169476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Tahir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311">
        <f t="shared" ref="P8:P15" si="2">M8+N8+O8</f>
        <v>4530.103165677966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Imran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</v>
      </c>
      <c r="I9" s="236">
        <f t="shared" si="0"/>
        <v>52.462499999999999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4.1970000000000001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1.8361875000000001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46.429312499999995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9.9152542372881314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0.28172283368644063</v>
      </c>
      <c r="P9" s="311">
        <f t="shared" si="2"/>
        <v>56.626289570974564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Mashallah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39.007606779661025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Makkah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39.007606779661025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Aiub Store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5142.9119999999994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31.206085423728812</v>
      </c>
      <c r="P12" s="311">
        <f t="shared" si="2"/>
        <v>6272.4231701694907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Ramiz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Shah g Store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Bismillah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Fazal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12.025</v>
      </c>
      <c r="H16" s="113">
        <f t="shared" ref="H16:M16" si="3">SUM(H7:H15)</f>
        <v>481</v>
      </c>
      <c r="I16" s="114">
        <f t="shared" si="3"/>
        <v>30884.162500000002</v>
      </c>
      <c r="J16" s="274">
        <f>SUM(J7:J15)</f>
        <v>2470.7330000000002</v>
      </c>
      <c r="K16" s="275">
        <f t="shared" si="3"/>
        <v>1080.9456875000001</v>
      </c>
      <c r="L16" s="276">
        <f t="shared" si="3"/>
        <v>0</v>
      </c>
      <c r="M16" s="232">
        <f t="shared" si="3"/>
        <v>27332.483812499999</v>
      </c>
      <c r="N16" s="233">
        <f>SUM(N7:N15)</f>
        <v>5837.0338983050842</v>
      </c>
      <c r="O16" s="101">
        <f>SUM(O7:O15)</f>
        <v>165.84758855402544</v>
      </c>
      <c r="P16" s="113">
        <f>SUM(P7:P15)</f>
        <v>33335.365299359109</v>
      </c>
      <c r="Q16" s="128">
        <f>SUM(Q7:Q15)</f>
        <v>0</v>
      </c>
      <c r="R16" s="313">
        <v>14</v>
      </c>
      <c r="S16" s="315" t="str">
        <f>+'14'!A6:A6</f>
        <v>Ali GS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Muna Store</v>
      </c>
      <c r="T18" s="301">
        <f>+'16'!P35</f>
        <v>566.26289570974575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30884.162500000002</v>
      </c>
      <c r="R19" s="299">
        <v>17</v>
      </c>
      <c r="S19" s="300" t="str">
        <f>+'17'!A6:A6</f>
        <v>Iftakhar Store</v>
      </c>
      <c r="T19" s="301">
        <f>+'17'!P35</f>
        <v>566.26289570974575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2470.7330000000002</v>
      </c>
      <c r="R20" s="299">
        <v>18</v>
      </c>
      <c r="S20" s="300" t="str">
        <f>+'18'!A6:A6</f>
        <v>Tashi Store</v>
      </c>
      <c r="T20" s="301">
        <f>+'18'!P35</f>
        <v>566.26289570974575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1080.9456875000001</v>
      </c>
      <c r="R21" s="299">
        <v>19</v>
      </c>
      <c r="S21" s="300" t="str">
        <f>+'19'!A6:A6</f>
        <v>Zargham Store</v>
      </c>
      <c r="T21" s="301">
        <f>+'19'!P35</f>
        <v>566.26289570974575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27332.483812500002</v>
      </c>
      <c r="R22" s="299">
        <v>20</v>
      </c>
      <c r="S22" s="300" t="str">
        <f>+'20'!A6:A6</f>
        <v>Ahmad Store</v>
      </c>
      <c r="T22" s="301">
        <f>+'20'!P35</f>
        <v>56.626289570974564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5837.0338983050842</v>
      </c>
      <c r="R23" s="299">
        <v>21</v>
      </c>
      <c r="S23" s="300" t="str">
        <f>+'21'!A6:A6</f>
        <v>Khan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33169.517710805085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165.84758855402544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33335.365299359109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33335.365299359109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5811.2</v>
      </c>
      <c r="J25" s="274">
        <f>SUM(J16:J24)</f>
        <v>464.89600000000002</v>
      </c>
      <c r="K25" s="275">
        <f t="shared" si="10"/>
        <v>203.39200000000002</v>
      </c>
      <c r="L25" s="276">
        <f t="shared" si="10"/>
        <v>0</v>
      </c>
      <c r="M25" s="232">
        <f t="shared" si="10"/>
        <v>5142.9120000000003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800.65599999999995</v>
      </c>
      <c r="K25" s="275">
        <f t="shared" si="7"/>
        <v>350.28700000000003</v>
      </c>
      <c r="L25" s="276">
        <f t="shared" si="7"/>
        <v>0</v>
      </c>
      <c r="M25" s="232">
        <f t="shared" si="7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800.65599999999995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8857.2570000000014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8.7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</v>
      </c>
      <c r="I18" s="236">
        <f t="shared" si="0"/>
        <v>52.462499999999999</v>
      </c>
      <c r="J18" s="272">
        <f t="shared" si="1"/>
        <v>4.1970000000000001</v>
      </c>
      <c r="K18" s="128">
        <f t="shared" si="1"/>
        <v>1.8361875000000001</v>
      </c>
      <c r="L18" s="119">
        <f t="shared" si="1"/>
        <v>0</v>
      </c>
      <c r="M18" s="230">
        <f t="shared" si="2"/>
        <v>46.429312499999995</v>
      </c>
      <c r="N18" s="277">
        <f t="shared" si="3"/>
        <v>9.9152542372881314</v>
      </c>
      <c r="O18" s="239">
        <f t="shared" si="4"/>
        <v>0.28172283368644063</v>
      </c>
      <c r="P18" s="119">
        <f t="shared" si="5"/>
        <v>56.626289570974564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</v>
      </c>
      <c r="I25" s="114">
        <f t="shared" si="7"/>
        <v>52.462499999999999</v>
      </c>
      <c r="J25" s="274">
        <f>SUM(J16:J24)</f>
        <v>4.1970000000000001</v>
      </c>
      <c r="K25" s="275">
        <f t="shared" si="7"/>
        <v>1.8361875000000001</v>
      </c>
      <c r="L25" s="276">
        <f t="shared" si="7"/>
        <v>0</v>
      </c>
      <c r="M25" s="232">
        <f t="shared" si="7"/>
        <v>46.429312499999995</v>
      </c>
      <c r="N25" s="233">
        <f>SUM(N16:N24)</f>
        <v>9.9152542372881314</v>
      </c>
      <c r="O25" s="101">
        <f>SUM(O16:O24)</f>
        <v>0.28172283368644063</v>
      </c>
      <c r="P25" s="234">
        <f>SUM(P16:P24)</f>
        <v>56.626289570974564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52.462499999999999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4.1970000000000001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1.8361875000000001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46.429312499999995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9.9152542372881314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56.344566737288126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0.28172283368644063</v>
      </c>
    </row>
    <row r="35" spans="2:16" ht="15.75" customHeight="1" thickBot="1" x14ac:dyDescent="0.4">
      <c r="N35" s="374" t="s">
        <v>88</v>
      </c>
      <c r="O35" s="375"/>
      <c r="P35" s="297">
        <f>+P33+P34</f>
        <v>56.626289570974564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46314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2026-10-19T04:58:52Z</dcterms:modified>
</cp:coreProperties>
</file>