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D883AA3-149A-4B68-994B-8EA9CF4A45B1}" xr6:coauthVersionLast="47" xr6:coauthVersionMax="47" xr10:uidLastSave="{00000000-0000-0000-0000-000000000000}"/>
  <bookViews>
    <workbookView xWindow="-110" yWindow="-110" windowWidth="19420" windowHeight="10420" tabRatio="948" firstSheet="3" activeTab="10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7" l="1"/>
  <c r="O20" i="47" s="1"/>
  <c r="P20" i="47" s="1"/>
  <c r="M16" i="44"/>
  <c r="O16" i="44" s="1"/>
  <c r="J7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<sst xmlns="http://schemas.openxmlformats.org/spreadsheetml/2006/main" count="3948" uniqueCount="522">
  <si>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</si>
  <si>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</si>
  <si>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</si>
  <si>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</si>
  <si>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</si>
  <si>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</si>
  <si>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</si>
  <si>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</si>
  <si>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</si>
  <si>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</si>
  <si>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</si>
  <si>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</si>
  <si>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</si>
  <si>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</si>
  <si>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</si>
  <si>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</si>
  <si>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</si>
  <si>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</si>
  <si>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</si>
  <si>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</si>
  <si>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</si>
  <si>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</si>
  <si>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</si>
  <si>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</si>
  <si>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</si>
  <si>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</si>
  <si>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</si>
  <si>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</si>
  <si>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</si>
  <si>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</si>
  <si>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</si>
  <si>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</si>
  <si>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</si>
  <si>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</si>
  <si>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</si>
  <si>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</si>
  <si>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</si>
  <si>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</si>
  <si>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</si>
  <si>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</si>
  <si>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</si>
  <si>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</si>
  <si>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</si>
  <si>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</si>
  <si>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</si>
  <si>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</si>
  <si>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</si>
  <si>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</si>
  <si>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</si>
  <si>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</si>
  <si>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</si>
  <si>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</si>
  <si>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</si>
  <si>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</si>
  <si>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</si>
  <si>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</si>
  <si>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</si>
  <si>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</si>
  <si>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</si>
  <si>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</si>
  <si>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</si>
  <si>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</si>
  <si>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</si>
  <si>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</si>
  <si>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</si>
  <si>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</si>
  <si>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</si>
  <si>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</si>
  <si>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</si>
  <si>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</si>
  <si>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</si>
  <si>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</si>
  <si>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</si>
  <si>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</si>
  <si>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</si>
  <si>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</si>
  <si>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</si>
  <si>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</si>
  <si>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</si>
  <si>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</si>
  <si>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</si>
  <si>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</si>
  <si>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</si>
  <si>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</si>
  <si>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</si>
  <si>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</si>
  <si>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</si>
  <si>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</si>
  <si>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</si>
  <si>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</si>
  <si>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</si>
  <si>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</si>
  <si>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</si>
  <si>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</si>
  <si>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</si>
  <si>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</si>
  <si>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</si>
  <si>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</si>
  <si>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</si>
  <si>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</si>
  <si>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</si>
  <si>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</si>
  <si>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</si>
  <si>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</si>
  <si>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</si>
  <si>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</si>
  <si>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</si>
  <si>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</si>
  <si>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</si>
  <si>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</si>
  <si>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</si>
  <si>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</si>
  <si>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</si>
  <si>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</si>
  <si>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</si>
  <si>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</si>
  <si>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</si>
  <si>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</si>
  <si>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</si>
  <si>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</si>
  <si>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</si>
  <si>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</si>
  <si>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</si>
  <si>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</si>
  <si>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</si>
  <si>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</si>
  <si>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</si>
  <si>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</si>
  <si>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</si>
  <si>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</si>
  <si>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</si>
  <si>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</si>
  <si>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</si>
  <si>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</si>
  <si>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</si>
  <si>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</si>
  <si>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</si>
  <si>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</si>
  <si>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</si>
  <si>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</si>
  <si>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</si>
  <si>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</si>
  <si>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</si>
  <si>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</si>
  <si>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</si>
  <si>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</si>
  <si>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</si>
  <si>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</si>
  <si>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</si>
  <si>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</si>
  <si>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</si>
  <si>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</si>
  <si>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</si>
  <si>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</si>
  <si>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</si>
  <si>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</si>
  <si>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</si>
  <si>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</si>
  <si>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</si>
  <si>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</si>
  <si>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</si>
  <si>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</si>
  <si>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</si>
  <si>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</si>
  <si>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</si>
  <si>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</si>
  <si>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</si>
  <si>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</si>
  <si>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</si>
  <si>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</si>
  <si>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</si>
  <si>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</si>
  <si>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</si>
  <si>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</si>
  <si>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</si>
  <si>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</si>
  <si>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</si>
  <si>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</si>
  <si>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</si>
  <si>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</si>
  <si>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</si>
  <si>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</si>
  <si>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</si>
  <si>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</si>
  <si>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</si>
  <si>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</si>
  <si>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</si>
  <si>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</si>
  <si>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</si>
  <si>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</si>
  <si>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</si>
  <si>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</si>
  <si>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</si>
  <si>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</si>
  <si>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</si>
  <si>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</si>
  <si>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</si>
  <si>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</si>
  <si>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</si>
  <si>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</si>
  <si>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</si>
  <si>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</si>
  <si>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</si>
  <si>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</si>
  <si>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</si>
  <si>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</si>
  <si>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</si>
  <si>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</si>
  <si>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</si>
  <si>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</si>
  <si>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</si>
  <si>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</si>
  <si>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</si>
  <si>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</si>
  <si>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</si>
  <si>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</si>
  <si>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</si>
  <si>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</si>
  <si>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</si>
  <si>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</si>
  <si>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</si>
  <si>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</si>
  <si>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</si>
  <si>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</si>
  <si>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</si>
  <si>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</si>
  <si>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</si>
  <si>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</si>
  <si>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</si>
  <si>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</si>
  <si>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</si>
  <si>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</si>
  <si>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</si>
  <si>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</si>
  <si>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</si>
  <si>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</si>
  <si>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</si>
  <si>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</si>
  <si>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</si>
  <si>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</si>
  <si>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</si>
  <si>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</si>
  <si>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</si>
  <si>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</si>
  <si>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</si>
  <si>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</si>
  <si>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</si>
  <si>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</si>
  <si>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</si>
  <si>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</si>
  <si>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</si>
  <si>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</si>
  <si>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</si>
  <si>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</si>
  <si>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</si>
  <si>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</si>
  <si>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</si>
  <si>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</si>
  <si>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</si>
  <si>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</si>
  <si>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</si>
  <si>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</si>
  <si>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</si>
  <si>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</si>
  <si>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</si>
  <si>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</si>
  <si>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</si>
  <si>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</si>
  <si>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</si>
  <si>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</si>
  <si>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</si>
  <si>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</si>
  <si>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</si>
  <si>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</si>
  <si>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</si>
  <si>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</si>
  <si>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</si>
  <si>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</si>
  <si>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</si>
  <si>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</si>
  <si>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</si>
  <si>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</si>
  <si>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</si>
  <si>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</si>
  <si>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</si>
  <si>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</si>
  <si>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</si>
  <si>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</si>
  <si>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</si>
  <si>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</si>
  <si>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</si>
  <si>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</si>
  <si>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</si>
  <si>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</si>
  <si>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</si>
  <si>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</si>
  <si>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</si>
  <si>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</si>
  <si>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</si>
  <si>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</si>
  <si>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</si>
  <si>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</si>
  <si>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</si>
  <si>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</si>
  <si>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</si>
  <si>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</si>
  <si>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</si>
  <si>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</si>
  <si>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</si>
  <si>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</si>
  <si>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</si>
  <si>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</si>
  <si>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</si>
  <si>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</si>
  <si>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</si>
  <si>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</si>
  <si>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</si>
  <si>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</si>
  <si>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</si>
  <si>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</si>
  <si>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</si>
  <si>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</si>
  <si>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</si>
  <si>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</si>
  <si>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</si>
  <si>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</si>
  <si>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</si>
  <si>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</si>
  <si>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</si>
  <si>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</si>
  <si>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</si>
  <si>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</si>
  <si>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</si>
  <si>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</si>
  <si>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</si>
  <si>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</si>
  <si>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</si>
  <si>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</si>
  <si>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</si>
  <si>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</si>
  <si>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</si>
  <si>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</si>
  <si>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</si>
  <si>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</si>
  <si>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</si>
  <si>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</si>
  <si>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</si>
  <si>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</si>
  <si>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</si>
  <si>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</si>
  <si>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</si>
  <si>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</si>
  <si>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</si>
  <si>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</si>
  <si>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</si>
  <si>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</si>
  <si>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</si>
  <si>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</si>
  <si>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</si>
  <si>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</si>
  <si>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</si>
  <si>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</si>
  <si>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</si>
  <si>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</si>
  <si>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</si>
  <si>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</si>
  <si>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</si>
  <si>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</si>
  <si>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</si>
  <si>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</si>
  <si>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</si>
  <si>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</si>
  <si>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</si>
  <si>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</si>
  <si>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</si>
  <si>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</si>
  <si>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</si>
  <si>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</si>
  <si>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</si>
  <si>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</si>
  <si>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</si>
  <si>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</si>
  <si>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</si>
  <si>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</si>
  <si>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</si>
  <si>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</si>
  <si>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</si>
  <si>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</si>
  <si>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</si>
  <si>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</si>
  <si>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</si>
  <si>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</si>
  <si>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</si>
  <si>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</si>
  <si>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</si>
  <si>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</si>
  <si>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</si>
  <si>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</si>
  <si>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</si>
  <si>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</si>
  <si>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</si>
  <si>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</si>
  <si>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</si>
  <si>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</si>
  <si>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</si>
  <si>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</si>
  <si>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</si>
  <si>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</si>
  <si>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</si>
  <si>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</si>
  <si>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</si>
  <si>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</si>
  <si>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</si>
  <si>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</si>
  <si>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</si>
  <si>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</si>
  <si>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</si>
  <si>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</si>
  <si>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</si>
  <si>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</si>
  <si>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</si>
  <si>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</si>
  <si>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</si>
  <si>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</si>
  <si>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</si>
  <si>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</si>
  <si>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</si>
  <si>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</si>
  <si>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</si>
  <si>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</si>
  <si>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</si>
  <si>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</si>
  <si>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</si>
  <si>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</si>
  <si>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</si>
  <si>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</si>
  <si>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</si>
  <si>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</si>
  <si>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</si>
  <si>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</si>
  <si>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</si>
  <si>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</si>
  <si>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</si>
  <si>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</si>
  <si>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</si>
  <si>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</si>
  <si>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</si>
  <si>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</si>
  <si>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</si>
  <si>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</si>
  <si>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</si>
  <si>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</si>
  <si>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</si>
  <si>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</si>
  <si>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</si>
  <si>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</si>
  <si>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</si>
  <si>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</si>
  <si>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</si>
  <si>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</si>
  <si>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</si>
  <si>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</si>
  <si>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</si>
  <si>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</si>
  <si>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</si>
  <si>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</si>
  <si>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</si>
  <si>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</si>
  <si>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</si>
  <si>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</si>
  <si>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</si>
  <si>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</si>
  <si>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</si>
  <si>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</si>
  <si>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</si>
  <si>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</si>
  <si>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</si>
  <si>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</si>
  <si>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</si>
  <si>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</si>
  <si>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</si>
  <si>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</si>
  <si>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</si>
  <si>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</si>
  <si>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</si>
  <si>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</si>
  <si>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</si>
  <si>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</si>
  <si>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</si>
  <si>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</si>
  <si>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</si>
  <si>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</si>
  <si>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</si>
  <si>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</si>
  <si>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</si>
  <si>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</si>
  <si>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</si>
  <si>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</si>
  <si>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</si>
  <si>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</si>
  <si>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</si>
  <si>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</si>
  <si>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</si>
  <si>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</si>
  <si>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</si>
  <si>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</si>
  <si>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</si>
  <si>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</si>
  <si>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</si>
  <si>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</si>
  <si>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</si>
  <si>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</si>
  <si>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</si>
  <si>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</si>
  <si>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</si>
  <si>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 xml:space="preserve">Address:Pak Arab Society  </t>
  </si>
  <si>
    <t xml:space="preserve">Al Noor Cash &amp; Carry </t>
  </si>
  <si>
    <t xml:space="preserve">Chohan Bakery </t>
  </si>
  <si>
    <t>Ali Store</t>
  </si>
  <si>
    <t xml:space="preserve">Panda Mart </t>
  </si>
  <si>
    <t xml:space="preserve">Itfaq Cash &amp; Carry </t>
  </si>
  <si>
    <t xml:space="preserve">Premier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</si>
</sst>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46312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Al Noor Cash &amp; Carry </v>
      </c>
      <c r="T3" s="301">
        <f>+'1'!P35</f>
        <v>15902.042273771185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Chohan Bakery </v>
      </c>
      <c r="T4" s="301">
        <f>+'2'!P35</f>
        <v>2265.051582838983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Ali Store</v>
      </c>
      <c r="T5" s="301">
        <f>+'3'!P35</f>
        <v>1019.2732122775423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Panda Mart </v>
      </c>
      <c r="T6" s="301">
        <f>+'4'!P35</f>
        <v>18817.269510508475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96</v>
      </c>
      <c r="I7" s="235">
        <f>(G7*D7)*F7+H7*F7</f>
        <v>5036.3999999999996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486.85200000000003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176.274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4373.2739999999994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951.86440677966061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26.625692033898304</v>
      </c>
      <c r="P7" s="310">
        <f>M7+N7+O7</f>
        <v>5351.7640988135581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Itfaq Cash &amp; Carry </v>
      </c>
      <c r="T7" s="301">
        <f>+'5'!P35</f>
        <v>15902.042273771185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96</v>
      </c>
      <c r="I8" s="236">
        <f t="shared" ref="I8:I14" si="0">(G8*D8)*F8+H8*F8</f>
        <v>5036.3999999999996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486.85200000000003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176.274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4373.2739999999994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951.86440677966061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26.625692033898304</v>
      </c>
      <c r="P8" s="311">
        <f t="shared" ref="P8:P15" si="2">M8+N8+O8</f>
        <v>5351.7640988135581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Premier Mart </v>
      </c>
      <c r="T8" s="301">
        <f>+'6'!P35</f>
        <v>9145.8232352542364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106</v>
      </c>
      <c r="I9" s="236">
        <f t="shared" si="0"/>
        <v>5561.0249999999996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528.82200000000012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194.635875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4837.5671249999996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1051.0169491525419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29.442920370762707</v>
      </c>
      <c r="P9" s="311">
        <f t="shared" si="2"/>
        <v>5918.026994523304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Ali Store</v>
      </c>
      <c r="T9" s="301">
        <f>+'7'!P35</f>
        <v>1568.1057925423729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200</v>
      </c>
      <c r="I10" s="236">
        <f t="shared" si="0"/>
        <v>14528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1365.6320000000001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508.48000000000008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12653.887999999999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76.998253559322038</v>
      </c>
      <c r="P10" s="311">
        <f t="shared" si="2"/>
        <v>15476.648965423728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1365.6320000000001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12653.887999999999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76.998253559322038</v>
      </c>
      <c r="P11" s="311">
        <f t="shared" si="2"/>
        <v>15476.648965423728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220</v>
      </c>
      <c r="I12" s="236">
        <f t="shared" si="0"/>
        <v>15980.8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1481.856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559.32800000000009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13939.615999999998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3020.3389830508477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84.799774915254247</v>
      </c>
      <c r="P12" s="311">
        <f t="shared" si="2"/>
        <v>17044.7547579661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22.95</v>
      </c>
      <c r="H16" s="113">
        <f t="shared" ref="H16:M16" si="3">SUM(H7:H15)</f>
        <v>918</v>
      </c>
      <c r="I16" s="114">
        <f t="shared" si="3"/>
        <v>60670.625</v>
      </c>
      <c r="J16" s="274">
        <f>SUM(J7:J15)</f>
        <v>5715.6460000000006</v>
      </c>
      <c r="K16" s="275">
        <f t="shared" si="3"/>
        <v>2123.4718750000002</v>
      </c>
      <c r="L16" s="276">
        <f t="shared" si="3"/>
        <v>0</v>
      </c>
      <c r="M16" s="232">
        <f t="shared" si="3"/>
        <v>52831.507124999989</v>
      </c>
      <c r="N16" s="233">
        <f>SUM(N7:N15)</f>
        <v>11466.610169491525</v>
      </c>
      <c r="O16" s="101">
        <f>SUM(O7:O15)</f>
        <v>321.49058647245766</v>
      </c>
      <c r="P16" s="113">
        <f>SUM(P7:P15)</f>
        <v>64619.607880963973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60670.625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5715.6460000000006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2123.4718750000002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52831.507124999996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11466.610169491525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64298.117294491523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321.49058647245766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64619.60788096398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64619.60788096398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209.85000000000002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1815.2024999999999</v>
      </c>
      <c r="N18" s="277">
        <f t="shared" si="3"/>
        <v>396.61016949152526</v>
      </c>
      <c r="O18" s="239">
        <f t="shared" si="4"/>
        <v>11.059063347457625</v>
      </c>
      <c r="P18" s="119">
        <f t="shared" si="5"/>
        <v>2222.8717328389826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1501.23</v>
      </c>
      <c r="K25" s="275">
        <f t="shared" si="10"/>
        <v>525.43050000000005</v>
      </c>
      <c r="L25" s="276">
        <f t="shared" si="10"/>
        <v>0</v>
      </c>
      <c r="M25" s="232">
        <f t="shared" si="10"/>
        <v>12985.639500000001</v>
      </c>
      <c r="N25" s="233">
        <f>SUM(N16:N24)</f>
        <v>2837.2881355932195</v>
      </c>
      <c r="O25" s="101">
        <f>SUM(O16:O24)</f>
        <v>79.1146381779661</v>
      </c>
      <c r="P25" s="234">
        <f>SUM(P16:P24)</f>
        <v>15902.042273771183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1501.23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525.43050000000005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12985.639500000001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15822.92763559322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79.1146381779661</v>
      </c>
    </row>
    <row r="35" spans="2:16" ht="15.75" customHeight="1" thickBot="1" x14ac:dyDescent="0.4">
      <c r="N35" s="345" t="s">
        <v>88</v>
      </c>
      <c r="O35" s="346"/>
      <c r="P35" s="297">
        <f>+P33+P34</f>
        <v>15902.042273771185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2098.5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167.88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73.447500000000005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1857.1724999999999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2253.7826694915252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45" t="s">
        <v>88</v>
      </c>
      <c r="O35" s="346"/>
      <c r="P35" s="297">
        <f>+P33+P34</f>
        <v>2265.051582838983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944.32499999999993</v>
      </c>
      <c r="J25" s="274">
        <f>SUM(J16:J24)</f>
        <v>75.545999999999992</v>
      </c>
      <c r="K25" s="275">
        <f t="shared" si="7"/>
        <v>33.051375</v>
      </c>
      <c r="L25" s="276">
        <f t="shared" si="7"/>
        <v>0</v>
      </c>
      <c r="M25" s="232">
        <f t="shared" si="7"/>
        <v>835.72762499999999</v>
      </c>
      <c r="N25" s="233">
        <f>SUM(N16:N24)</f>
        <v>178.47457627118638</v>
      </c>
      <c r="O25" s="101">
        <f>SUM(O16:O24)</f>
        <v>5.0710110063559313</v>
      </c>
      <c r="P25" s="234">
        <f>SUM(P16:P24)</f>
        <v>1019.2732122775424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944.32499999999993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75.545999999999992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33.051375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835.72762499999999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1014.2022012711864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45" t="s">
        <v>88</v>
      </c>
      <c r="O35" s="346"/>
      <c r="P35" s="297">
        <f>+P33+P34</f>
        <v>1019.2732122775423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464.89600000000002</v>
      </c>
      <c r="K19" s="128">
        <f t="shared" si="1"/>
        <v>203.39200000000002</v>
      </c>
      <c r="L19" s="119">
        <f t="shared" si="1"/>
        <v>0</v>
      </c>
      <c r="M19" s="230">
        <f t="shared" si="2"/>
        <v>5142.9120000000003</v>
      </c>
      <c r="N19" s="277">
        <f t="shared" si="3"/>
        <v>1098.3050847457628</v>
      </c>
      <c r="O19" s="239">
        <f t="shared" si="4"/>
        <v>31.206085423728815</v>
      </c>
      <c r="P19" s="119">
        <f t="shared" si="5"/>
        <v>6272.4231701694916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464.89600000000002</v>
      </c>
      <c r="K20" s="128">
        <f t="shared" si="1"/>
        <v>203.39200000000002</v>
      </c>
      <c r="L20" s="119">
        <f t="shared" si="1"/>
        <v>0</v>
      </c>
      <c r="M20" s="230">
        <f t="shared" si="2"/>
        <v>5142.9120000000003</v>
      </c>
      <c r="N20" s="277">
        <f t="shared" si="3"/>
        <v>1098.3050847457628</v>
      </c>
      <c r="O20" s="239">
        <f t="shared" si="4"/>
        <v>31.206085423728815</v>
      </c>
      <c r="P20" s="119">
        <f t="shared" si="5"/>
        <v>6272.4231701694916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240</v>
      </c>
      <c r="I25" s="114">
        <f t="shared" si="7"/>
        <v>17433.599999999999</v>
      </c>
      <c r="J25" s="274">
        <f>SUM(J16:J24)</f>
        <v>1394.6880000000001</v>
      </c>
      <c r="K25" s="275">
        <f t="shared" si="7"/>
        <v>610.17600000000004</v>
      </c>
      <c r="L25" s="276">
        <f t="shared" si="7"/>
        <v>0</v>
      </c>
      <c r="M25" s="232">
        <f t="shared" si="7"/>
        <v>15428.736000000001</v>
      </c>
      <c r="N25" s="233">
        <f>SUM(N16:N24)</f>
        <v>3294.9152542372885</v>
      </c>
      <c r="O25" s="101">
        <f>SUM(O16:O24)</f>
        <v>93.618256271186453</v>
      </c>
      <c r="P25" s="234">
        <f>SUM(P16:P24)</f>
        <v>18817.269510508475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17433.599999999999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1394.6880000000001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610.17600000000004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15428.735999999999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3294.9152542372885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18723.651254237288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93.618256271186439</v>
      </c>
    </row>
    <row r="35" spans="2:16" ht="15.75" customHeight="1" thickBot="1" x14ac:dyDescent="0.4">
      <c r="N35" s="345" t="s">
        <v>88</v>
      </c>
      <c r="O35" s="346"/>
      <c r="P35" s="297">
        <f>+P33+P34</f>
        <v>18817.269510508475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209.85000000000002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1815.2024999999999</v>
      </c>
      <c r="N18" s="277">
        <f t="shared" si="3"/>
        <v>396.61016949152526</v>
      </c>
      <c r="O18" s="239">
        <f t="shared" si="4"/>
        <v>11.059063347457625</v>
      </c>
      <c r="P18" s="119">
        <f t="shared" si="5"/>
        <v>2222.8717328389826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1501.23</v>
      </c>
      <c r="K25" s="275">
        <f t="shared" si="7"/>
        <v>525.43050000000005</v>
      </c>
      <c r="L25" s="276">
        <f t="shared" si="7"/>
        <v>0</v>
      </c>
      <c r="M25" s="232">
        <f t="shared" si="7"/>
        <v>12985.639500000001</v>
      </c>
      <c r="N25" s="233">
        <f>SUM(N16:N24)</f>
        <v>2837.2881355932195</v>
      </c>
      <c r="O25" s="101">
        <f>SUM(O16:O24)</f>
        <v>79.1146381779661</v>
      </c>
      <c r="P25" s="234">
        <f>SUM(P16:P24)</f>
        <v>15902.042273771183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1501.23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525.43050000000005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12985.639500000001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15822.92763559322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79.1146381779661</v>
      </c>
    </row>
    <row r="35" spans="2:16" ht="15.75" customHeight="1" thickBot="1" x14ac:dyDescent="0.4">
      <c r="N35" s="345" t="s">
        <v>88</v>
      </c>
      <c r="O35" s="346"/>
      <c r="P35" s="297">
        <f>+P33+P34</f>
        <v>15902.042273771185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319.61599999999999</v>
      </c>
      <c r="K19" s="128">
        <f t="shared" si="1"/>
        <v>101.69600000000001</v>
      </c>
      <c r="L19" s="119">
        <f t="shared" si="1"/>
        <v>0</v>
      </c>
      <c r="M19" s="230">
        <f t="shared" si="2"/>
        <v>2484.288</v>
      </c>
      <c r="N19" s="277">
        <f t="shared" si="3"/>
        <v>549.15254237288138</v>
      </c>
      <c r="O19" s="239">
        <f t="shared" si="4"/>
        <v>15.167202711864407</v>
      </c>
      <c r="P19" s="119">
        <f t="shared" si="5"/>
        <v>3048.6077450847456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319.61599999999999</v>
      </c>
      <c r="K20" s="128">
        <f t="shared" si="1"/>
        <v>101.69600000000001</v>
      </c>
      <c r="L20" s="119">
        <f t="shared" si="1"/>
        <v>0</v>
      </c>
      <c r="M20" s="230">
        <f t="shared" si="2"/>
        <v>2484.288</v>
      </c>
      <c r="N20" s="277">
        <f t="shared" si="3"/>
        <v>549.15254237288138</v>
      </c>
      <c r="O20" s="239">
        <f t="shared" si="4"/>
        <v>15.167202711864407</v>
      </c>
      <c r="P20" s="119">
        <f t="shared" si="5"/>
        <v>3048.6077450847456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319.61599999999999</v>
      </c>
      <c r="K21" s="128">
        <f t="shared" si="1"/>
        <v>101.69600000000001</v>
      </c>
      <c r="L21" s="119">
        <f t="shared" si="1"/>
        <v>0</v>
      </c>
      <c r="M21" s="230">
        <f t="shared" si="2"/>
        <v>2484.288</v>
      </c>
      <c r="N21" s="277">
        <f t="shared" si="3"/>
        <v>549.15254237288138</v>
      </c>
      <c r="O21" s="239">
        <f t="shared" si="4"/>
        <v>15.167202711864407</v>
      </c>
      <c r="P21" s="119">
        <f t="shared" si="5"/>
        <v>3048.6077450847456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958.84799999999996</v>
      </c>
      <c r="K25" s="275">
        <f t="shared" si="7"/>
        <v>305.08800000000002</v>
      </c>
      <c r="L25" s="276">
        <f t="shared" si="7"/>
        <v>0</v>
      </c>
      <c r="M25" s="232">
        <f t="shared" si="7"/>
        <v>7452.8639999999996</v>
      </c>
      <c r="N25" s="233">
        <f>SUM(N16:N24)</f>
        <v>1647.4576271186443</v>
      </c>
      <c r="O25" s="101">
        <f>SUM(O16:O24)</f>
        <v>45.501608135593223</v>
      </c>
      <c r="P25" s="234">
        <f>SUM(P16:P24)</f>
        <v>9145.8232352542364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958.84799999999996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7452.8639999999996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9100.3216271186429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45.501608135593216</v>
      </c>
    </row>
    <row r="35" spans="2:16" ht="15.75" customHeight="1" thickBot="1" x14ac:dyDescent="0.4">
      <c r="N35" s="345" t="s">
        <v>88</v>
      </c>
      <c r="O35" s="346"/>
      <c r="P35" s="297">
        <f>+P33+P34</f>
        <v>9145.8232352542364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abSelected="1" topLeftCell="A4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2026-10-17T06:54:35Z</dcterms:modified>
</cp:coreProperties>
</file>