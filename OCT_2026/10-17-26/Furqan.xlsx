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C3DD548-6741-48B1-AE39-E756305668A7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M16" i="44"/>
  <c r="O16" i="44" s="1"/>
  <c r="J7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<sst xmlns="http://schemas.openxmlformats.org/spreadsheetml/2006/main" count="3948" uniqueCount="522">
  <si>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</si>
  <si>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</si>
  <si>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</si>
  <si>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</si>
  <si>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</si>
  <si>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</si>
  <si>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</si>
  <si>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</si>
  <si>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</si>
  <si>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</si>
  <si>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</si>
  <si>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</si>
  <si>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</si>
  <si>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</si>
  <si>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</si>
  <si>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</si>
  <si>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</si>
  <si>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</si>
  <si>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</si>
  <si>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</si>
  <si>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</si>
  <si>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</si>
  <si>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</si>
  <si>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</si>
  <si>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</si>
  <si>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</si>
  <si>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</si>
  <si>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</si>
  <si>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</si>
  <si>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</si>
  <si>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</si>
  <si>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</si>
  <si>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</si>
  <si>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</si>
  <si>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</si>
  <si>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</si>
  <si>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</si>
  <si>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</si>
  <si>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</si>
  <si>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</si>
  <si>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</si>
  <si>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</si>
  <si>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</si>
  <si>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</si>
  <si>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</si>
  <si>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</si>
  <si>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</si>
  <si>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</si>
  <si>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</si>
  <si>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</si>
  <si>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</si>
  <si>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</si>
  <si>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</si>
  <si>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</si>
  <si>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</si>
  <si>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</si>
  <si>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</si>
  <si>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</si>
  <si>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</si>
  <si>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</si>
  <si>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</si>
  <si>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</si>
  <si>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</si>
  <si>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</si>
  <si>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</si>
  <si>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</si>
  <si>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</si>
  <si>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</si>
  <si>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</si>
  <si>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</si>
  <si>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</si>
  <si>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</si>
  <si>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</si>
  <si>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</si>
  <si>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</si>
  <si>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</si>
  <si>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</si>
  <si>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</si>
  <si>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</si>
  <si>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</si>
  <si>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</si>
  <si>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</si>
  <si>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</si>
  <si>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</si>
  <si>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</si>
  <si>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</si>
  <si>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</si>
  <si>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</si>
  <si>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</si>
  <si>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</si>
  <si>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</si>
  <si>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</si>
  <si>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</si>
  <si>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</si>
  <si>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</si>
  <si>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</si>
  <si>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</si>
  <si>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</si>
  <si>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</si>
  <si>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</si>
  <si>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</si>
  <si>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</si>
  <si>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</si>
  <si>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</si>
  <si>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</si>
  <si>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</si>
  <si>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</si>
  <si>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</si>
  <si>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</si>
  <si>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</si>
  <si>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</si>
  <si>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</si>
  <si>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</si>
  <si>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</si>
  <si>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</si>
  <si>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</si>
  <si>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</si>
  <si>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</si>
  <si>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</si>
  <si>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</si>
  <si>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</si>
  <si>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</si>
  <si>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</si>
  <si>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</si>
  <si>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</si>
  <si>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</si>
  <si>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</si>
  <si>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</si>
  <si>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</si>
  <si>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</si>
  <si>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</si>
  <si>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</si>
  <si>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</si>
  <si>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</si>
  <si>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</si>
  <si>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</si>
  <si>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</si>
  <si>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</si>
  <si>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</si>
  <si>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</si>
  <si>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</si>
  <si>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</si>
  <si>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</si>
  <si>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</si>
  <si>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</si>
  <si>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</si>
  <si>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</si>
  <si>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</si>
  <si>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</si>
  <si>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</si>
  <si>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</si>
  <si>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</si>
  <si>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</si>
  <si>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</si>
  <si>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</si>
  <si>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</si>
  <si>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</si>
  <si>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</si>
  <si>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</si>
  <si>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</si>
  <si>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</si>
  <si>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</si>
  <si>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</si>
  <si>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</si>
  <si>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</si>
  <si>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</si>
  <si>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</si>
  <si>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</si>
  <si>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</si>
  <si>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</si>
  <si>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</si>
  <si>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</si>
  <si>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</si>
  <si>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</si>
  <si>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</si>
  <si>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</si>
  <si>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</si>
  <si>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</si>
  <si>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</si>
  <si>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</si>
  <si>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</si>
  <si>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</si>
  <si>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</si>
  <si>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</si>
  <si>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</si>
  <si>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</si>
  <si>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</si>
  <si>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</si>
  <si>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</si>
  <si>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</si>
  <si>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</si>
  <si>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</si>
  <si>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</si>
  <si>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</si>
  <si>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</si>
  <si>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</si>
  <si>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</si>
  <si>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</si>
  <si>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</si>
  <si>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</si>
  <si>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</si>
  <si>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</si>
  <si>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</si>
  <si>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</si>
  <si>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</si>
  <si>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</si>
  <si>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</si>
  <si>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</si>
  <si>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</si>
  <si>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</si>
  <si>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</si>
  <si>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</si>
  <si>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</si>
  <si>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</si>
  <si>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</si>
  <si>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</si>
  <si>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</si>
  <si>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</si>
  <si>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</si>
  <si>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</si>
  <si>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</si>
  <si>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</si>
  <si>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</si>
  <si>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</si>
  <si>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</si>
  <si>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</si>
  <si>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</si>
  <si>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</si>
  <si>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</si>
  <si>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</si>
  <si>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</si>
  <si>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</si>
  <si>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</si>
  <si>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</si>
  <si>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</si>
  <si>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</si>
  <si>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</si>
  <si>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</si>
  <si>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</si>
  <si>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</si>
  <si>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</si>
  <si>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</si>
  <si>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</si>
  <si>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</si>
  <si>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</si>
  <si>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</si>
  <si>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</si>
  <si>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</si>
  <si>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</si>
  <si>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</si>
  <si>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</si>
  <si>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</si>
  <si>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</si>
  <si>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</si>
  <si>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</si>
  <si>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</si>
  <si>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</si>
  <si>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</si>
  <si>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</si>
  <si>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</si>
  <si>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</si>
  <si>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</si>
  <si>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</si>
  <si>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</si>
  <si>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</si>
  <si>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</si>
  <si>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</si>
  <si>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</si>
  <si>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</si>
  <si>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</si>
  <si>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</si>
  <si>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</si>
  <si>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</si>
  <si>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</si>
  <si>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</si>
  <si>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</si>
  <si>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</si>
  <si>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</si>
  <si>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</si>
  <si>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</si>
  <si>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</si>
  <si>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</si>
  <si>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</si>
  <si>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</si>
  <si>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</si>
  <si>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</si>
  <si>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</si>
  <si>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</si>
  <si>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</si>
  <si>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</si>
  <si>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</si>
  <si>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</si>
  <si>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</si>
  <si>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</si>
  <si>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</si>
  <si>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</si>
  <si>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</si>
  <si>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</si>
  <si>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</si>
  <si>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</si>
  <si>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</si>
  <si>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</si>
  <si>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</si>
  <si>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</si>
  <si>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</si>
  <si>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</si>
  <si>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</si>
  <si>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</si>
  <si>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</si>
  <si>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</si>
  <si>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</si>
  <si>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</si>
  <si>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</si>
  <si>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</si>
  <si>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</si>
  <si>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</si>
  <si>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</si>
  <si>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</si>
  <si>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</si>
  <si>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</si>
  <si>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</si>
  <si>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</si>
  <si>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</si>
  <si>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</si>
  <si>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</si>
  <si>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</si>
  <si>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</si>
  <si>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</si>
  <si>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</si>
  <si>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</si>
  <si>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</si>
  <si>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</si>
  <si>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</si>
  <si>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</si>
  <si>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</si>
  <si>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</si>
  <si>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</si>
  <si>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</si>
  <si>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</si>
  <si>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</si>
  <si>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</si>
  <si>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</si>
  <si>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</si>
  <si>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</si>
  <si>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</si>
  <si>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</si>
  <si>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</si>
  <si>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</si>
  <si>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</si>
  <si>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</si>
  <si>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</si>
  <si>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</si>
  <si>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</si>
  <si>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</si>
  <si>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</si>
  <si>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</si>
  <si>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</si>
  <si>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</si>
  <si>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</si>
  <si>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</si>
  <si>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</si>
  <si>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</si>
  <si>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</si>
  <si>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</si>
  <si>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</si>
  <si>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</si>
  <si>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</si>
  <si>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</si>
  <si>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</si>
  <si>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</si>
  <si>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</si>
  <si>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</si>
  <si>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</si>
  <si>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</si>
  <si>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</si>
  <si>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</si>
  <si>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</si>
  <si>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</si>
  <si>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</si>
  <si>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</si>
  <si>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</si>
  <si>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</si>
  <si>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</si>
  <si>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</si>
  <si>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</si>
  <si>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</si>
  <si>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</si>
  <si>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</si>
  <si>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</si>
  <si>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</si>
  <si>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</si>
  <si>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</si>
  <si>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</si>
  <si>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</si>
  <si>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</si>
  <si>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</si>
  <si>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</si>
  <si>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</si>
  <si>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</si>
  <si>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</si>
  <si>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</si>
  <si>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</si>
  <si>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</si>
  <si>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</si>
  <si>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</si>
  <si>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</si>
  <si>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</si>
  <si>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</si>
  <si>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</si>
  <si>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</si>
  <si>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</si>
  <si>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</si>
  <si>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</si>
  <si>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</si>
  <si>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</si>
  <si>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</si>
  <si>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</si>
  <si>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</si>
  <si>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</si>
  <si>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</si>
  <si>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</si>
  <si>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</si>
  <si>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</si>
  <si>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</si>
  <si>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</si>
  <si>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</si>
  <si>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</si>
  <si>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</si>
  <si>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</si>
  <si>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</si>
  <si>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</si>
  <si>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</si>
  <si>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</si>
  <si>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</si>
  <si>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</si>
  <si>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</si>
  <si>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</si>
  <si>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</si>
  <si>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</si>
  <si>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</si>
  <si>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</si>
  <si>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</si>
  <si>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</si>
  <si>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</si>
  <si>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</si>
  <si>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</si>
  <si>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</si>
  <si>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</si>
  <si>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</si>
  <si>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</si>
  <si>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</si>
  <si>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</si>
  <si>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</si>
  <si>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</si>
  <si>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</si>
  <si>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</si>
  <si>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</si>
  <si>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</si>
  <si>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</si>
  <si>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</si>
  <si>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</si>
  <si>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</si>
  <si>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</si>
  <si>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</si>
  <si>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</si>
  <si>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</si>
  <si>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</si>
  <si>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</si>
  <si>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</si>
  <si>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</si>
  <si>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</si>
  <si>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</si>
  <si>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</si>
  <si>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</si>
  <si>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</si>
  <si>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</si>
  <si>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</si>
  <si>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</si>
  <si>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</si>
  <si>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</si>
  <si>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</si>
  <si>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</si>
  <si>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</si>
  <si>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</si>
  <si>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</si>
  <si>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</si>
  <si>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</si>
  <si>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</si>
  <si>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</si>
  <si>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</si>
  <si>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</si>
  <si>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</si>
  <si>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</si>
  <si>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</si>
  <si>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</si>
  <si>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</si>
  <si>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</si>
  <si>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</si>
  <si>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</si>
  <si>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</si>
  <si>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</si>
  <si>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</si>
  <si>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</si>
  <si>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</si>
  <si>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</si>
  <si>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</si>
  <si>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</si>
  <si>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</si>
  <si>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</si>
  <si>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</si>
  <si>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</si>
  <si>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</si>
  <si>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</si>
  <si>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</si>
  <si>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</si>
  <si>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 xml:space="preserve">Address:Pak Arab Society  </t>
  </si>
  <si>
    <t xml:space="preserve">Al Noor Cash &amp; Carry </t>
  </si>
  <si>
    <t xml:space="preserve">Chohan Bakery </t>
  </si>
  <si>
    <t>Ali Store</t>
  </si>
  <si>
    <t xml:space="preserve">Panda Mart </t>
  </si>
  <si>
    <t xml:space="preserve">Itfaq Cash &amp; Carry </t>
  </si>
  <si>
    <t xml:space="preserve">Premier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</si>
</sst>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Al Noor Cash &amp; Carry </v>
      </c>
      <c r="T3" s="301">
        <f>+'1'!P35</f>
        <v>15902.042273771185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Chohan Bakery 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Ali Store</v>
      </c>
      <c r="T5" s="301">
        <f>+'3'!P35</f>
        <v>1019.2732122775423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Panda Mart </v>
      </c>
      <c r="T6" s="301">
        <f>+'4'!P35</f>
        <v>18817.269510508475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96</v>
      </c>
      <c r="I7" s="235">
        <f>(G7*D7)*F7+H7*F7</f>
        <v>5036.3999999999996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486.85200000000003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176.274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4373.2739999999994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951.86440677966061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26.625692033898304</v>
      </c>
      <c r="P7" s="310">
        <f>M7+N7+O7</f>
        <v>5351.7640988135581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Itfaq Cash &amp; Carry </v>
      </c>
      <c r="T7" s="301">
        <f>+'5'!P35</f>
        <v>15902.042273771185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96</v>
      </c>
      <c r="I8" s="236">
        <f t="shared" ref="I8:I14" si="0">(G8*D8)*F8+H8*F8</f>
        <v>5036.3999999999996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486.85200000000003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176.274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4373.2739999999994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951.86440677966061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26.625692033898304</v>
      </c>
      <c r="P8" s="311">
        <f t="shared" ref="P8:P15" si="2">M8+N8+O8</f>
        <v>5351.7640988135581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Premier Mart </v>
      </c>
      <c r="T8" s="301">
        <f>+'6'!P35</f>
        <v>9145.8232352542364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106</v>
      </c>
      <c r="I9" s="236">
        <f t="shared" si="0"/>
        <v>5561.0249999999996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528.82200000000012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194.635875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4837.5671249999996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1051.0169491525419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29.442920370762707</v>
      </c>
      <c r="P9" s="311">
        <f t="shared" si="2"/>
        <v>5918.026994523304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1365.6320000000001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12653.887999999999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76.998253559322038</v>
      </c>
      <c r="P10" s="311">
        <f t="shared" si="2"/>
        <v>15476.648965423728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1365.6320000000001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12653.887999999999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76.998253559322038</v>
      </c>
      <c r="P11" s="311">
        <f t="shared" si="2"/>
        <v>15476.648965423728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1365.6320000000001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12653.887999999999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76.998253559322038</v>
      </c>
      <c r="P12" s="311">
        <f t="shared" si="2"/>
        <v>15476.648965423728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22.45</v>
      </c>
      <c r="H16" s="113">
        <f t="shared" ref="H16:M16" si="3">SUM(H7:H15)</f>
        <v>898</v>
      </c>
      <c r="I16" s="114">
        <f t="shared" si="3"/>
        <v>59217.824999999997</v>
      </c>
      <c r="J16" s="274">
        <f>SUM(J7:J15)</f>
        <v>5599.4220000000005</v>
      </c>
      <c r="K16" s="275">
        <f t="shared" si="3"/>
        <v>2072.6238750000002</v>
      </c>
      <c r="L16" s="276">
        <f t="shared" si="3"/>
        <v>0</v>
      </c>
      <c r="M16" s="232">
        <f t="shared" si="3"/>
        <v>51545.779124999994</v>
      </c>
      <c r="N16" s="233">
        <f>SUM(N7:N15)</f>
        <v>11192.033898305084</v>
      </c>
      <c r="O16" s="101">
        <f>SUM(O7:O15)</f>
        <v>313.68906511652546</v>
      </c>
      <c r="P16" s="113">
        <f>SUM(P7:P15)</f>
        <v>63051.502088421606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59217.824999999997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5599.4220000000005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2072.6238750000002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51545.779125000001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11192.033898305084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62737.813023305083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313.68906511652546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63051.502088421606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63051.502088421606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5" sqref="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525.43050000000005</v>
      </c>
      <c r="L25" s="276">
        <f t="shared" si="10"/>
        <v>0</v>
      </c>
      <c r="M25" s="232">
        <f t="shared" si="10"/>
        <v>12985.639500000001</v>
      </c>
      <c r="N25" s="233">
        <f>SUM(N16:N24)</f>
        <v>2837.2881355932195</v>
      </c>
      <c r="O25" s="101">
        <f>SUM(O16:O24)</f>
        <v>79.1146381779661</v>
      </c>
      <c r="P25" s="234">
        <f>SUM(P16:P24)</f>
        <v>15902.042273771183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1501.23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12985.639500000001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15822.92763559322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74" t="s">
        <v>88</v>
      </c>
      <c r="O35" s="375"/>
      <c r="P35" s="297">
        <f>+P33+P34</f>
        <v>15902.042273771185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H5" sqref="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H5" sqref="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944.32499999999993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75.545999999999992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33.051375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835.72762499999999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1014.2022012711864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74" t="s">
        <v>88</v>
      </c>
      <c r="O35" s="375"/>
      <c r="P35" s="297">
        <f>+P33+P34</f>
        <v>1019.2732122775423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topLeftCell="A3" workbookViewId="0">
      <selection activeCell="H5" sqref="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17433.599999999999</v>
      </c>
      <c r="J25" s="274">
        <f>SUM(J16:J24)</f>
        <v>1394.6880000000001</v>
      </c>
      <c r="K25" s="275">
        <f t="shared" si="7"/>
        <v>610.17600000000004</v>
      </c>
      <c r="L25" s="276">
        <f t="shared" si="7"/>
        <v>0</v>
      </c>
      <c r="M25" s="232">
        <f t="shared" si="7"/>
        <v>15428.736000000001</v>
      </c>
      <c r="N25" s="233">
        <f>SUM(N16:N24)</f>
        <v>3294.9152542372885</v>
      </c>
      <c r="O25" s="101">
        <f>SUM(O16:O24)</f>
        <v>93.618256271186453</v>
      </c>
      <c r="P25" s="234">
        <f>SUM(P16:P24)</f>
        <v>18817.269510508475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17433.599999999999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1394.6880000000001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610.17600000000004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15428.735999999999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18723.651254237288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93.618256271186439</v>
      </c>
    </row>
    <row r="35" spans="2:16" ht="15.75" customHeight="1" thickBot="1" x14ac:dyDescent="0.4">
      <c r="N35" s="374" t="s">
        <v>88</v>
      </c>
      <c r="O35" s="375"/>
      <c r="P35" s="297">
        <f>+P33+P34</f>
        <v>18817.269510508475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3" workbookViewId="0">
      <selection activeCell="H5" sqref="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1501.23</v>
      </c>
      <c r="K25" s="275">
        <f t="shared" si="7"/>
        <v>525.43050000000005</v>
      </c>
      <c r="L25" s="276">
        <f t="shared" si="7"/>
        <v>0</v>
      </c>
      <c r="M25" s="232">
        <f t="shared" si="7"/>
        <v>12985.639500000001</v>
      </c>
      <c r="N25" s="233">
        <f>SUM(N16:N24)</f>
        <v>2837.2881355932195</v>
      </c>
      <c r="O25" s="101">
        <f>SUM(O16:O24)</f>
        <v>79.1146381779661</v>
      </c>
      <c r="P25" s="234">
        <f>SUM(P16:P24)</f>
        <v>15902.042273771183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1501.23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12985.639500000001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15822.92763559322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74" t="s">
        <v>88</v>
      </c>
      <c r="O35" s="375"/>
      <c r="P35" s="297">
        <f>+P33+P34</f>
        <v>15902.042273771185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3" workbookViewId="0">
      <selection activeCell="H5" sqref="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319.61599999999999</v>
      </c>
      <c r="K19" s="128">
        <f t="shared" si="1"/>
        <v>101.69600000000001</v>
      </c>
      <c r="L19" s="119">
        <f t="shared" si="1"/>
        <v>0</v>
      </c>
      <c r="M19" s="230">
        <f t="shared" si="2"/>
        <v>2484.288</v>
      </c>
      <c r="N19" s="277">
        <f t="shared" si="3"/>
        <v>549.15254237288138</v>
      </c>
      <c r="O19" s="239">
        <f t="shared" si="4"/>
        <v>15.167202711864407</v>
      </c>
      <c r="P19" s="119">
        <f t="shared" si="5"/>
        <v>3048.6077450847456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319.61599999999999</v>
      </c>
      <c r="K20" s="128">
        <f t="shared" si="1"/>
        <v>101.69600000000001</v>
      </c>
      <c r="L20" s="119">
        <f t="shared" si="1"/>
        <v>0</v>
      </c>
      <c r="M20" s="230">
        <f t="shared" si="2"/>
        <v>2484.288</v>
      </c>
      <c r="N20" s="277">
        <f t="shared" si="3"/>
        <v>549.15254237288138</v>
      </c>
      <c r="O20" s="239">
        <f t="shared" si="4"/>
        <v>15.167202711864407</v>
      </c>
      <c r="P20" s="119">
        <f t="shared" si="5"/>
        <v>3048.6077450847456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119">
        <f t="shared" si="5"/>
        <v>3048.6077450847456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958.84799999999996</v>
      </c>
      <c r="K25" s="275">
        <f t="shared" si="7"/>
        <v>305.08800000000002</v>
      </c>
      <c r="L25" s="276">
        <f t="shared" si="7"/>
        <v>0</v>
      </c>
      <c r="M25" s="232">
        <f t="shared" si="7"/>
        <v>7452.8639999999996</v>
      </c>
      <c r="N25" s="233">
        <f>SUM(N16:N24)</f>
        <v>1647.4576271186443</v>
      </c>
      <c r="O25" s="101">
        <f>SUM(O16:O24)</f>
        <v>45.501608135593223</v>
      </c>
      <c r="P25" s="234">
        <f>SUM(P16:P24)</f>
        <v>9145.8232352542364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958.84799999999996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7452.8639999999996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9100.3216271186429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45.501608135593216</v>
      </c>
    </row>
    <row r="35" spans="2:16" ht="15.75" customHeight="1" thickBot="1" x14ac:dyDescent="0.4">
      <c r="N35" s="374" t="s">
        <v>88</v>
      </c>
      <c r="O35" s="375"/>
      <c r="P35" s="297">
        <f>+P33+P34</f>
        <v>9145.8232352542364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2026-10-16T11:36:38Z</dcterms:modified>
</cp:coreProperties>
</file>