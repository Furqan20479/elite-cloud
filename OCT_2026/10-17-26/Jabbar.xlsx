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7329B89-69F5-4DD0-938E-75B7D1F37BA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<sst xmlns="http://schemas.openxmlformats.org/spreadsheetml/2006/main" count="3948" uniqueCount="523">
  <si>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</si>
  <si>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</si>
  <si>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</si>
  <si>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</si>
  <si>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</si>
  <si>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</si>
  <si>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</si>
  <si>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</si>
  <si>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</si>
  <si>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</si>
  <si>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</si>
  <si>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</si>
  <si>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</si>
  <si>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</si>
  <si>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</si>
  <si>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</si>
  <si>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</si>
  <si>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</si>
  <si>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</si>
  <si>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</si>
  <si>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</si>
  <si>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</si>
  <si>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</si>
  <si>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</si>
  <si>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</si>
  <si>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</si>
  <si>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</si>
  <si>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</si>
  <si>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</si>
  <si>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</si>
  <si>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</si>
  <si>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</si>
  <si>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</si>
  <si>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</si>
  <si>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</si>
  <si>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</si>
  <si>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</si>
  <si>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</si>
  <si>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</si>
  <si>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</si>
  <si>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</si>
  <si>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</si>
  <si>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</si>
  <si>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</si>
  <si>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</si>
  <si>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</si>
  <si>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</si>
  <si>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</si>
  <si>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</si>
  <si>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</si>
  <si>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</si>
  <si>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</si>
  <si>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</si>
  <si>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</si>
  <si>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</si>
  <si>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</si>
  <si>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</si>
  <si>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</si>
  <si>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</si>
  <si>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</si>
  <si>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</si>
  <si>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</si>
  <si>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</si>
  <si>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</si>
  <si>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</si>
  <si>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</si>
  <si>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</si>
  <si>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</si>
  <si>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</si>
  <si>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</si>
  <si>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</si>
  <si>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</si>
  <si>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</si>
  <si>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</si>
  <si>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</si>
  <si>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</si>
  <si>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</si>
  <si>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</si>
  <si>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</si>
  <si>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</si>
  <si>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</si>
  <si>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</si>
  <si>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</si>
  <si>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</si>
  <si>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</si>
  <si>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</si>
  <si>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</si>
  <si>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</si>
  <si>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</si>
  <si>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</si>
  <si>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</si>
  <si>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</si>
  <si>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</si>
  <si>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</si>
  <si>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</si>
  <si>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</si>
  <si>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</si>
  <si>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</si>
  <si>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</si>
  <si>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</si>
  <si>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</si>
  <si>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</si>
  <si>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</si>
  <si>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</si>
  <si>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</si>
  <si>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</si>
  <si>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</si>
  <si>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</si>
  <si>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</si>
  <si>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</si>
  <si>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</si>
  <si>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</si>
  <si>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</si>
  <si>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</si>
  <si>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</si>
  <si>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</si>
  <si>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</si>
  <si>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</si>
  <si>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</si>
  <si>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</si>
  <si>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</si>
  <si>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</si>
  <si>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</si>
  <si>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</si>
  <si>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</si>
  <si>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</si>
  <si>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</si>
  <si>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</si>
  <si>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</si>
  <si>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</si>
  <si>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</si>
  <si>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</si>
  <si>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</si>
  <si>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</si>
  <si>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</si>
  <si>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</si>
  <si>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</si>
  <si>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</si>
  <si>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</si>
  <si>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</si>
  <si>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</si>
  <si>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</si>
  <si>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</si>
  <si>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</si>
  <si>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</si>
  <si>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</si>
  <si>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</si>
  <si>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</si>
  <si>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</si>
  <si>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</si>
  <si>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</si>
  <si>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</si>
  <si>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</si>
  <si>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</si>
  <si>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</si>
  <si>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</si>
  <si>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</si>
  <si>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</si>
  <si>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</si>
  <si>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</si>
  <si>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</si>
  <si>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</si>
  <si>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</si>
  <si>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</si>
  <si>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</si>
  <si>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</si>
  <si>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</si>
  <si>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</si>
  <si>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</si>
  <si>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</si>
  <si>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</si>
  <si>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</si>
  <si>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</si>
  <si>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</si>
  <si>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</si>
  <si>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</si>
  <si>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</si>
  <si>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</si>
  <si>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</si>
  <si>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</si>
  <si>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</si>
  <si>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</si>
  <si>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</si>
  <si>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</si>
  <si>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</si>
  <si>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</si>
  <si>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</si>
  <si>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</si>
  <si>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</si>
  <si>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</si>
  <si>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</si>
  <si>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</si>
  <si>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</si>
  <si>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</si>
  <si>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</si>
  <si>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</si>
  <si>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</si>
  <si>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</si>
  <si>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</si>
  <si>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</si>
  <si>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</si>
  <si>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</si>
  <si>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</si>
  <si>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</si>
  <si>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</si>
  <si>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</si>
  <si>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</si>
  <si>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</si>
  <si>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</si>
  <si>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</si>
  <si>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</si>
  <si>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</si>
  <si>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</si>
  <si>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</si>
  <si>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</si>
  <si>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</si>
  <si>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</si>
  <si>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</si>
  <si>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</si>
  <si>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</si>
  <si>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</si>
  <si>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</si>
  <si>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</si>
  <si>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</si>
  <si>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</si>
  <si>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</si>
  <si>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</si>
  <si>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</si>
  <si>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</si>
  <si>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</si>
  <si>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</si>
  <si>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</si>
  <si>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</si>
  <si>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</si>
  <si>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</si>
  <si>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</si>
  <si>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</si>
  <si>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</si>
  <si>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</si>
  <si>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</si>
  <si>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</si>
  <si>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</si>
  <si>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</si>
  <si>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</si>
  <si>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</si>
  <si>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</si>
  <si>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</si>
  <si>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</si>
  <si>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</si>
  <si>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</si>
  <si>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</si>
  <si>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</si>
  <si>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</si>
  <si>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</si>
  <si>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</si>
  <si>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</si>
  <si>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</si>
  <si>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</si>
  <si>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</si>
  <si>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</si>
  <si>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</si>
  <si>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</si>
  <si>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</si>
  <si>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</si>
  <si>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</si>
  <si>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</si>
  <si>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</si>
  <si>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</si>
  <si>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</si>
  <si>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</si>
  <si>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</si>
  <si>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</si>
  <si>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</si>
  <si>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</si>
  <si>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</si>
  <si>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</si>
  <si>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</si>
  <si>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</si>
  <si>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</si>
  <si>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</si>
  <si>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</si>
  <si>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</si>
  <si>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</si>
  <si>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</si>
  <si>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</si>
  <si>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</si>
  <si>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</si>
  <si>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</si>
  <si>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</si>
  <si>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</si>
  <si>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</si>
  <si>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</si>
  <si>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</si>
  <si>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</si>
  <si>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</si>
  <si>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</si>
  <si>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</si>
  <si>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</si>
  <si>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</si>
  <si>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</si>
  <si>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</si>
  <si>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</si>
  <si>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</si>
  <si>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</si>
  <si>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</si>
  <si>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</si>
  <si>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</si>
  <si>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</si>
  <si>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</si>
  <si>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</si>
  <si>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</si>
  <si>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</si>
  <si>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</si>
  <si>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</si>
  <si>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</si>
  <si>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</si>
  <si>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</si>
  <si>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</si>
  <si>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</si>
  <si>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</si>
  <si>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</si>
  <si>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</si>
  <si>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</si>
  <si>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</si>
  <si>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</si>
  <si>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</si>
  <si>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</si>
  <si>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</si>
  <si>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</si>
  <si>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</si>
  <si>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</si>
  <si>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</si>
  <si>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</si>
  <si>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</si>
  <si>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</si>
  <si>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</si>
  <si>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</si>
  <si>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</si>
  <si>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</si>
  <si>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</si>
  <si>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</si>
  <si>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</si>
  <si>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</si>
  <si>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</si>
  <si>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</si>
  <si>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</si>
  <si>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</si>
  <si>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</si>
  <si>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</si>
  <si>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</si>
  <si>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</si>
  <si>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</si>
  <si>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</si>
  <si>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</si>
  <si>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</si>
  <si>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</si>
  <si>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</si>
  <si>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</si>
  <si>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</si>
  <si>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</si>
  <si>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</si>
  <si>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</si>
  <si>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</si>
  <si>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</si>
  <si>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</si>
  <si>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</si>
  <si>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</si>
  <si>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</si>
  <si>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</si>
  <si>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</si>
  <si>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</si>
  <si>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</si>
  <si>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</si>
  <si>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</si>
  <si>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</si>
  <si>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</si>
  <si>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</si>
  <si>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</si>
  <si>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</si>
  <si>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</si>
  <si>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</si>
  <si>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</si>
  <si>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</si>
  <si>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</si>
  <si>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</si>
  <si>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</si>
  <si>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</si>
  <si>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</si>
  <si>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</si>
  <si>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</si>
  <si>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</si>
  <si>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</si>
  <si>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</si>
  <si>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</si>
  <si>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</si>
  <si>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</si>
  <si>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</si>
  <si>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</si>
  <si>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</si>
  <si>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</si>
  <si>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</si>
  <si>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</si>
  <si>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</si>
  <si>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</si>
  <si>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</si>
  <si>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</si>
  <si>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</si>
  <si>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</si>
  <si>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</si>
  <si>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</si>
  <si>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</si>
  <si>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</si>
  <si>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</si>
  <si>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</si>
  <si>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</si>
  <si>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</si>
  <si>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</si>
  <si>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</si>
  <si>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</si>
  <si>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</si>
  <si>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</si>
  <si>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</si>
  <si>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</si>
  <si>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</si>
  <si>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</si>
  <si>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</si>
  <si>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</si>
  <si>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</si>
  <si>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</si>
  <si>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</si>
  <si>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</si>
  <si>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</si>
  <si>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</si>
  <si>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</si>
  <si>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</si>
  <si>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</si>
  <si>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</si>
  <si>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</si>
  <si>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</si>
  <si>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</si>
  <si>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</si>
  <si>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</si>
  <si>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</si>
  <si>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</si>
  <si>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</si>
  <si>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</si>
  <si>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</si>
  <si>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</si>
  <si>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</si>
  <si>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</si>
  <si>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</si>
  <si>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</si>
  <si>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</si>
  <si>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</si>
  <si>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</si>
  <si>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</si>
  <si>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</si>
  <si>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</si>
  <si>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</si>
  <si>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</si>
  <si>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</si>
  <si>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</si>
  <si>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</si>
  <si>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</si>
  <si>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</si>
  <si>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</si>
  <si>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</si>
  <si>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</si>
  <si>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</si>
  <si>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</si>
  <si>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</si>
  <si>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</si>
  <si>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</si>
  <si>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</si>
  <si>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</si>
  <si>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</si>
  <si>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</si>
  <si>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</si>
  <si>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</si>
  <si>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</si>
  <si>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</si>
  <si>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</si>
  <si>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</si>
  <si>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</si>
  <si>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</si>
  <si>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</si>
  <si>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</si>
  <si>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</si>
  <si>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</si>
  <si>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</si>
  <si>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</si>
  <si>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</si>
  <si>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</si>
  <si>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</si>
  <si>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</si>
  <si>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</si>
  <si>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</si>
  <si>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</si>
  <si>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</si>
  <si>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</si>
  <si>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</si>
  <si>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</si>
  <si>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</si>
  <si>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</si>
  <si>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</si>
  <si>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</si>
  <si>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</si>
  <si>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</si>
  <si>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</si>
  <si>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</si>
  <si>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</si>
  <si>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</si>
  <si>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</si>
  <si>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</si>
  <si>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</si>
  <si>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Address: Lawrance Road</t>
  </si>
  <si>
    <t xml:space="preserve">Hashim Mart </t>
  </si>
  <si>
    <t xml:space="preserve">Shell Spam </t>
  </si>
  <si>
    <t>Kwalti Store</t>
  </si>
  <si>
    <t>Lawrance Store</t>
  </si>
  <si>
    <t>Ch Store</t>
  </si>
  <si>
    <t xml:space="preserve">Shel Pump </t>
  </si>
  <si>
    <t>Address: Ferozpur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</si>
</sst>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C1" sqref="C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Hashim Mart </v>
      </c>
      <c r="T3" s="301">
        <f>+'1'!P35</f>
        <v>3136.2115850847463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Shell Spam </v>
      </c>
      <c r="T4" s="301">
        <f>+'2'!P35</f>
        <v>5401.2631679237293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Kwalti Store</v>
      </c>
      <c r="T5" s="301">
        <f>+'3'!P35</f>
        <v>3114.4459264036013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Lawrance Store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99</v>
      </c>
      <c r="I7" s="235">
        <f>(G7*D7)*F7+H7*F7</f>
        <v>5193.7874999999995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415.50299999999999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181.78256250000004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4596.5019374999993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981.61016949152508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27.890560534957626</v>
      </c>
      <c r="P7" s="310">
        <f>M7+N7+O7</f>
        <v>5606.0026675264817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Ch Store</v>
      </c>
      <c r="T7" s="301">
        <f>+'5'!P35</f>
        <v>679.51547485169476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</v>
      </c>
      <c r="I8" s="236">
        <f t="shared" ref="I8:I14" si="0">(G8*D8)*F8+H8*F8</f>
        <v>1259.0999999999999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100.72799999999999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44.0685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1114.3035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237.96610169491515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6.7613480084745756</v>
      </c>
      <c r="P8" s="311">
        <f t="shared" ref="P8:P15" si="2">M8+N8+O8</f>
        <v>1359.0309497033898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Shel Pump </v>
      </c>
      <c r="T8" s="301">
        <f>+'6'!P35</f>
        <v>5401.2631679237293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64</v>
      </c>
      <c r="I9" s="236">
        <f t="shared" si="0"/>
        <v>3357.6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268.608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117.51600000000002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2971.4759999999997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634.57627118644041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18.030261355932204</v>
      </c>
      <c r="P9" s="311">
        <f t="shared" si="2"/>
        <v>3624.0825325423721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Shadman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53</v>
      </c>
      <c r="I10" s="236">
        <f t="shared" si="0"/>
        <v>3849.92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307.99360000000001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134.74720000000002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3407.1792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727.62711864406788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20.674031593220342</v>
      </c>
      <c r="P10" s="311">
        <f t="shared" si="2"/>
        <v>4155.4803502372879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</v>
      </c>
      <c r="I11" s="236">
        <f t="shared" si="0"/>
        <v>944.32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75.545600000000007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33.051200000000001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835.72320000000002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178.47457627118644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5.070988881355933</v>
      </c>
      <c r="P11" s="311">
        <f t="shared" si="2"/>
        <v>1019.2687651525424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94</v>
      </c>
      <c r="I12" s="236">
        <f t="shared" si="0"/>
        <v>6828.16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546.25279999999998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238.98560000000003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6042.9215999999997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1290.5084745762713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36.667150372881359</v>
      </c>
      <c r="P12" s="311">
        <f t="shared" si="2"/>
        <v>7370.0972249491524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8.6750000000000007</v>
      </c>
      <c r="H16" s="113">
        <f t="shared" ref="H16:M16" si="3">SUM(H7:H15)</f>
        <v>347</v>
      </c>
      <c r="I16" s="114">
        <f t="shared" si="3"/>
        <v>21432.887499999997</v>
      </c>
      <c r="J16" s="274">
        <f>SUM(J7:J15)</f>
        <v>1714.6309999999999</v>
      </c>
      <c r="K16" s="275">
        <f t="shared" si="3"/>
        <v>750.15106250000008</v>
      </c>
      <c r="L16" s="276">
        <f t="shared" si="3"/>
        <v>0</v>
      </c>
      <c r="M16" s="232">
        <f t="shared" si="3"/>
        <v>18968.105437499999</v>
      </c>
      <c r="N16" s="233">
        <f>SUM(N7:N15)</f>
        <v>4050.7627118644059</v>
      </c>
      <c r="O16" s="101">
        <f>SUM(O7:O15)</f>
        <v>115.09434074682204</v>
      </c>
      <c r="P16" s="113">
        <f>SUM(P7:P15)</f>
        <v>23133.962490111226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21432.887499999997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1714.6309999999999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750.15106250000008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18968.105437499995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4050.7627118644059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23018.8681493644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115.09434074682204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23133.962490111222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23133.962490111233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7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2905.6000000000004</v>
      </c>
      <c r="J25" s="274">
        <f>SUM(J16:J24)</f>
        <v>232.44800000000004</v>
      </c>
      <c r="K25" s="275">
        <f t="shared" si="10"/>
        <v>101.696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55</v>
      </c>
      <c r="I25" s="114">
        <f t="shared" si="7"/>
        <v>2885.4375</v>
      </c>
      <c r="J25" s="274">
        <f>SUM(J16:J24)</f>
        <v>230.83499999999998</v>
      </c>
      <c r="K25" s="275">
        <f t="shared" si="7"/>
        <v>100.99031250000002</v>
      </c>
      <c r="L25" s="276">
        <f t="shared" si="7"/>
        <v>0</v>
      </c>
      <c r="M25" s="232">
        <f t="shared" si="7"/>
        <v>2553.6121874999999</v>
      </c>
      <c r="N25" s="233">
        <f>SUM(N16:N24)</f>
        <v>545.33898305084722</v>
      </c>
      <c r="O25" s="101">
        <f>SUM(O16:O24)</f>
        <v>15.494755852754237</v>
      </c>
      <c r="P25" s="234">
        <f>SUM(P16:P24)</f>
        <v>3114.4459264036013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2885.4375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230.83499999999998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100.99031250000002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2553.6121874999999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545.33898305084722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3098.9511705508471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15.494755852754237</v>
      </c>
    </row>
    <row r="35" spans="2:16" ht="15.75" customHeight="1" thickBot="1" x14ac:dyDescent="0.4">
      <c r="N35" s="374" t="s">
        <v>88</v>
      </c>
      <c r="O35" s="375"/>
      <c r="P35" s="297">
        <f>+P33+P34</f>
        <v>3114.4459264036013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50.364000000000004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393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2026-10-16T12:08:51Z</dcterms:modified>
</cp:coreProperties>
</file>