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EA4E24B-6F34-4159-AF38-2E775E824F9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M16" i="44"/>
  <c r="O16" i="44" s="1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<sst xmlns="http://schemas.openxmlformats.org/spreadsheetml/2006/main" count="3948" uniqueCount="522">
  <si>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</si>
  <si>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</si>
  <si>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</si>
  <si>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</si>
  <si>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</si>
  <si>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</si>
  <si>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</si>
  <si>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</si>
  <si>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</si>
  <si>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</si>
  <si>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</si>
  <si>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</si>
  <si>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</si>
  <si>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</si>
  <si>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</si>
  <si>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</si>
  <si>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</si>
  <si>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</si>
  <si>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</si>
  <si>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</si>
  <si>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</si>
  <si>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</si>
  <si>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</si>
  <si>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</si>
  <si>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</si>
  <si>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</si>
  <si>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</si>
  <si>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</si>
  <si>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</si>
  <si>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</si>
  <si>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</si>
  <si>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</si>
  <si>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</si>
  <si>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</si>
  <si>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</si>
  <si>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</si>
  <si>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</si>
  <si>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</si>
  <si>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</si>
  <si>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</si>
  <si>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</si>
  <si>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</si>
  <si>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</si>
  <si>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</si>
  <si>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</si>
  <si>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</si>
  <si>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</si>
  <si>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</si>
  <si>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</si>
  <si>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</si>
  <si>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</si>
  <si>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</si>
  <si>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</si>
  <si>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</si>
  <si>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</si>
  <si>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</si>
  <si>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</si>
  <si>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</si>
  <si>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</si>
  <si>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</si>
  <si>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</si>
  <si>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</si>
  <si>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</si>
  <si>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</si>
  <si>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</si>
  <si>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</si>
  <si>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</si>
  <si>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</si>
  <si>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</si>
  <si>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</si>
  <si>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</si>
  <si>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</si>
  <si>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</si>
  <si>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</si>
  <si>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</si>
  <si>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</si>
  <si>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</si>
  <si>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</si>
  <si>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</si>
  <si>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</si>
  <si>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</si>
  <si>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</si>
  <si>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</si>
  <si>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</si>
  <si>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</si>
  <si>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</si>
  <si>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</si>
  <si>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</si>
  <si>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</si>
  <si>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</si>
  <si>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</si>
  <si>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</si>
  <si>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</si>
  <si>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</si>
  <si>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</si>
  <si>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</si>
  <si>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</si>
  <si>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</si>
  <si>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</si>
  <si>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</si>
  <si>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</si>
  <si>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</si>
  <si>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</si>
  <si>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</si>
  <si>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</si>
  <si>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</si>
  <si>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</si>
  <si>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</si>
  <si>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</si>
  <si>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</si>
  <si>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</si>
  <si>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</si>
  <si>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</si>
  <si>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</si>
  <si>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</si>
  <si>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</si>
  <si>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</si>
  <si>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</si>
  <si>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</si>
  <si>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</si>
  <si>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</si>
  <si>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</si>
  <si>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</si>
  <si>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</si>
  <si>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</si>
  <si>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</si>
  <si>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</si>
  <si>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</si>
  <si>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</si>
  <si>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</si>
  <si>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</si>
  <si>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</si>
  <si>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</si>
  <si>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</si>
  <si>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</si>
  <si>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</si>
  <si>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</si>
  <si>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</si>
  <si>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</si>
  <si>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</si>
  <si>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</si>
  <si>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</si>
  <si>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</si>
  <si>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</si>
  <si>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</si>
  <si>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</si>
  <si>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</si>
  <si>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</si>
  <si>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</si>
  <si>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</si>
  <si>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</si>
  <si>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</si>
  <si>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</si>
  <si>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</si>
  <si>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</si>
  <si>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</si>
  <si>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</si>
  <si>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</si>
  <si>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</si>
  <si>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</si>
  <si>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</si>
  <si>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</si>
  <si>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</si>
  <si>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</si>
  <si>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</si>
  <si>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</si>
  <si>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</si>
  <si>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</si>
  <si>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</si>
  <si>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</si>
  <si>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</si>
  <si>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</si>
  <si>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</si>
  <si>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</si>
  <si>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</si>
  <si>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</si>
  <si>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</si>
  <si>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</si>
  <si>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</si>
  <si>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</si>
  <si>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</si>
  <si>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</si>
  <si>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</si>
  <si>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</si>
  <si>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</si>
  <si>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</si>
  <si>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</si>
  <si>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</si>
  <si>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</si>
  <si>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</si>
  <si>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</si>
  <si>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</si>
  <si>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</si>
  <si>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</si>
  <si>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</si>
  <si>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</si>
  <si>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</si>
  <si>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</si>
  <si>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</si>
  <si>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</si>
  <si>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</si>
  <si>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</si>
  <si>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</si>
  <si>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</si>
  <si>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</si>
  <si>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</si>
  <si>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</si>
  <si>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</si>
  <si>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</si>
  <si>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</si>
  <si>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</si>
  <si>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</si>
  <si>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</si>
  <si>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</si>
  <si>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</si>
  <si>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</si>
  <si>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</si>
  <si>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</si>
  <si>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</si>
  <si>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</si>
  <si>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</si>
  <si>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</si>
  <si>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</si>
  <si>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</si>
  <si>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</si>
  <si>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</si>
  <si>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</si>
  <si>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</si>
  <si>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</si>
  <si>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</si>
  <si>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</si>
  <si>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</si>
  <si>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</si>
  <si>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</si>
  <si>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</si>
  <si>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</si>
  <si>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</si>
  <si>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</si>
  <si>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</si>
  <si>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</si>
  <si>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</si>
  <si>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</si>
  <si>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</si>
  <si>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</si>
  <si>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</si>
  <si>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</si>
  <si>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</si>
  <si>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</si>
  <si>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</si>
  <si>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</si>
  <si>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</si>
  <si>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</si>
  <si>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</si>
  <si>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</si>
  <si>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</si>
  <si>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</si>
  <si>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</si>
  <si>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</si>
  <si>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</si>
  <si>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</si>
  <si>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</si>
  <si>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</si>
  <si>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</si>
  <si>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</si>
  <si>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</si>
  <si>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</si>
  <si>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</si>
  <si>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</si>
  <si>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</si>
  <si>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</si>
  <si>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</si>
  <si>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</si>
  <si>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</si>
  <si>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</si>
  <si>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</si>
  <si>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</si>
  <si>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</si>
  <si>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</si>
  <si>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</si>
  <si>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</si>
  <si>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</si>
  <si>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</si>
  <si>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</si>
  <si>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</si>
  <si>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</si>
  <si>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</si>
  <si>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</si>
  <si>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</si>
  <si>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</si>
  <si>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</si>
  <si>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</si>
  <si>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</si>
  <si>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</si>
  <si>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</si>
  <si>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</si>
  <si>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</si>
  <si>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</si>
  <si>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</si>
  <si>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</si>
  <si>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</si>
  <si>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</si>
  <si>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</si>
  <si>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</si>
  <si>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</si>
  <si>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</si>
  <si>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</si>
  <si>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</si>
  <si>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</si>
  <si>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</si>
  <si>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</si>
  <si>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</si>
  <si>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</si>
  <si>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</si>
  <si>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</si>
  <si>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</si>
  <si>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</si>
  <si>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</si>
  <si>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</si>
  <si>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</si>
  <si>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</si>
  <si>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</si>
  <si>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</si>
  <si>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</si>
  <si>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</si>
  <si>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</si>
  <si>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</si>
  <si>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</si>
  <si>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</si>
  <si>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</si>
  <si>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</si>
  <si>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</si>
  <si>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</si>
  <si>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</si>
  <si>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</si>
  <si>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</si>
  <si>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</si>
  <si>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</si>
  <si>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</si>
  <si>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</si>
  <si>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</si>
  <si>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</si>
  <si>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</si>
  <si>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</si>
  <si>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</si>
  <si>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</si>
  <si>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</si>
  <si>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</si>
  <si>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</si>
  <si>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</si>
  <si>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</si>
  <si>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</si>
  <si>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</si>
  <si>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</si>
  <si>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</si>
  <si>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</si>
  <si>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</si>
  <si>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</si>
  <si>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</si>
  <si>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</si>
  <si>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</si>
  <si>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</si>
  <si>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</si>
  <si>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</si>
  <si>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</si>
  <si>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</si>
  <si>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</si>
  <si>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</si>
  <si>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</si>
  <si>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</si>
  <si>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</si>
  <si>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</si>
  <si>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</si>
  <si>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</si>
  <si>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</si>
  <si>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</si>
  <si>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</si>
  <si>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</si>
  <si>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</si>
  <si>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</si>
  <si>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</si>
  <si>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</si>
  <si>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</si>
  <si>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</si>
  <si>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</si>
  <si>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</si>
  <si>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</si>
  <si>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</si>
  <si>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</si>
  <si>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</si>
  <si>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</si>
  <si>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</si>
  <si>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</si>
  <si>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</si>
  <si>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</si>
  <si>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</si>
  <si>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</si>
  <si>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</si>
  <si>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</si>
  <si>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</si>
  <si>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</si>
  <si>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</si>
  <si>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</si>
  <si>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</si>
  <si>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</si>
  <si>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</si>
  <si>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</si>
  <si>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</si>
  <si>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</si>
  <si>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</si>
  <si>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</si>
  <si>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</si>
  <si>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</si>
  <si>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</si>
  <si>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</si>
  <si>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</si>
  <si>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</si>
  <si>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</si>
  <si>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</si>
  <si>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</si>
  <si>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</si>
  <si>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</si>
  <si>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</si>
  <si>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</si>
  <si>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</si>
  <si>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</si>
  <si>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</si>
  <si>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</si>
  <si>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</si>
  <si>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</si>
  <si>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</si>
  <si>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</si>
  <si>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</si>
  <si>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</si>
  <si>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</si>
  <si>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</si>
  <si>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</si>
  <si>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</si>
  <si>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</si>
  <si>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</si>
  <si>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</si>
  <si>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</si>
  <si>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</si>
  <si>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</si>
  <si>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</si>
  <si>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</si>
  <si>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</si>
  <si>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</si>
  <si>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</si>
  <si>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</si>
  <si>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</si>
  <si>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</si>
  <si>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</si>
  <si>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</si>
  <si>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</si>
  <si>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</si>
  <si>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</si>
  <si>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</si>
  <si>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</si>
  <si>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</si>
  <si>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</si>
  <si>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</si>
  <si>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</si>
  <si>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</si>
  <si>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</si>
  <si>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</si>
  <si>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</si>
  <si>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</si>
  <si>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</si>
  <si>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</si>
  <si>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</si>
  <si>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</si>
  <si>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</si>
  <si>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</si>
  <si>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</si>
  <si>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</si>
  <si>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</si>
  <si>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</si>
  <si>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</si>
  <si>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</si>
  <si>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</si>
  <si>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</si>
  <si>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</si>
  <si>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</si>
  <si>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</si>
  <si>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</si>
  <si>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</si>
  <si>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</si>
  <si>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</si>
  <si>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</si>
  <si>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</si>
  <si>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</si>
  <si>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</si>
  <si>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</si>
  <si>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</si>
  <si>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</si>
  <si>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</si>
  <si>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</si>
  <si>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</si>
  <si>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</si>
  <si>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</si>
  <si>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</si>
  <si>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</si>
  <si>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</si>
  <si>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</si>
  <si>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</si>
  <si>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</si>
  <si>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</si>
  <si>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</si>
  <si>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</si>
  <si>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</si>
  <si>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</si>
  <si>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</si>
  <si>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</si>
  <si>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</si>
  <si>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</si>
  <si>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Address:Pak Arab Society  </t>
  </si>
  <si>
    <t xml:space="preserve">Al Noor Cash &amp; Carry </t>
  </si>
  <si>
    <t xml:space="preserve">Chohan Bakery </t>
  </si>
  <si>
    <t>Ali Store</t>
  </si>
  <si>
    <t xml:space="preserve">Panda Mart </t>
  </si>
  <si>
    <t xml:space="preserve">Itfaq Cash &amp; Carry 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</si>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</sst>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Al Noor Cash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Chohan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Ali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Panda Mart </v>
      </c>
      <c r="T6" s="301">
        <f>+'4'!P35</f>
        <v>15681.057925423729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2279.495625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13.876291684322032</v>
      </c>
      <c r="P7" s="310">
        <f>M7+N7+O7</f>
        <v>2789.1346285487284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46</v>
      </c>
      <c r="R7" s="313">
        <v>5</v>
      </c>
      <c r="S7" s="300" t="str">
        <f>+'5'!A6:A6</f>
        <v xml:space="preserve">Itfaq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2279.495625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13.876291684322032</v>
      </c>
      <c r="P8" s="311">
        <f t="shared" ref="P8:P15" si="2">M8+N8+O8</f>
        <v>2789.1346285487284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46</v>
      </c>
      <c r="R8" s="313">
        <v>6</v>
      </c>
      <c r="S8" s="300" t="str">
        <f>+'6'!A6:A6</f>
        <v xml:space="preserve">Premier Mart </v>
      </c>
      <c r="T8" s="301">
        <f>+'6'!P35</f>
        <v>9145.8232352542364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2743.7887499999997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16.693520021186437</v>
      </c>
      <c r="P9" s="311">
        <f t="shared" si="2"/>
        <v>3355.3975242584738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46</v>
      </c>
      <c r="R9" s="313">
        <v>7</v>
      </c>
      <c r="S9" s="300" t="str">
        <f>+'7'!A6:A6</f>
        <v>Ali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842.62400000000002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7569.0879999999997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46.082728135593221</v>
      </c>
      <c r="P10" s="311">
        <f t="shared" si="2"/>
        <v>9262.6283552542372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1075.0720000000001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10140.544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61.685770847457626</v>
      </c>
      <c r="P11" s="311">
        <f t="shared" si="2"/>
        <v>12398.839940338983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1075.0720000000001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10140.544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61.685770847457626</v>
      </c>
      <c r="P12" s="311">
        <f t="shared" si="2"/>
        <v>12398.839940338983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15</v>
      </c>
      <c r="H16" s="113">
        <f t="shared" ref="H16:M16" si="3">SUM(H7:H15)</f>
        <v>600</v>
      </c>
      <c r="I16" s="114">
        <f t="shared" si="3"/>
        <v>40355.599999999999</v>
      </c>
      <c r="J16" s="274">
        <f>SUM(J7:J15)</f>
        <v>3790.1980000000003</v>
      </c>
      <c r="K16" s="275">
        <f t="shared" si="3"/>
        <v>1412.4460000000001</v>
      </c>
      <c r="L16" s="276">
        <f t="shared" si="3"/>
        <v>0</v>
      </c>
      <c r="M16" s="232">
        <f t="shared" si="3"/>
        <v>35152.955999999998</v>
      </c>
      <c r="N16" s="233">
        <f>SUM(N7:N15)</f>
        <v>7627.1186440677957</v>
      </c>
      <c r="O16" s="101">
        <f>SUM(O7:O15)</f>
        <v>213.90037322033899</v>
      </c>
      <c r="P16" s="113">
        <f>SUM(P7:P15)</f>
        <v>42993.975017288139</v>
      </c>
      <c r="Q16" s="128">
        <f>SUM(Q7:Q15)</f>
        <v>318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40355.599999999999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3790.1980000000003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1412.4460000000001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35152.955999999998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7627.1186440677957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42780.07464406779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213.90037322033899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42993.975017288132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42993.975017288132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1501.23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12985.639500000001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15822.92763559322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5" t="s">
        <v>88</v>
      </c>
      <c r="O35" s="346"/>
      <c r="P35" s="297">
        <f>+P33+P34</f>
        <v>15902.042273771185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1162.24</v>
      </c>
      <c r="K25" s="275">
        <f t="shared" si="7"/>
        <v>508.48</v>
      </c>
      <c r="L25" s="276">
        <f t="shared" si="7"/>
        <v>0</v>
      </c>
      <c r="M25" s="232">
        <f t="shared" si="7"/>
        <v>12857.28</v>
      </c>
      <c r="N25" s="233">
        <f>SUM(N16:N24)</f>
        <v>2745.7627118644068</v>
      </c>
      <c r="O25" s="101">
        <f>SUM(O16:O24)</f>
        <v>78.015213559322035</v>
      </c>
      <c r="P25" s="234">
        <f>SUM(P16:P24)</f>
        <v>15681.057925423729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1162.24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508.48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12857.28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15603.042711864407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45" t="s">
        <v>88</v>
      </c>
      <c r="O35" s="346"/>
      <c r="P35" s="297">
        <f>+P33+P34</f>
        <v>15681.057925423729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40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40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40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45.501608135593223</v>
      </c>
      <c r="P25" s="234">
        <f>SUM(P16:P24)</f>
        <v>9145.8232352542364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958.84799999999996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7452.8639999999996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9100.3216271186429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45" t="s">
        <v>88</v>
      </c>
      <c r="O35" s="346"/>
      <c r="P35" s="297">
        <f>+P33+P34</f>
        <v>9145.8232352542364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2026-10-19T04:53:51Z</dcterms:modified>
</cp:coreProperties>
</file>