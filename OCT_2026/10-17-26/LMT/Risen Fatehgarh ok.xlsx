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E6550DE-5741-43A6-8614-31CC66786F88}" xr6:coauthVersionLast="47" xr6:coauthVersionMax="47" xr10:uidLastSave="{00000000-0000-0000-0000-000000000000}"/>
  <bookViews>
    <workbookView xWindow="-110" yWindow="-110" windowWidth="19420" windowHeight="10420" tabRatio="872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20" i="43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R20" i="43" s="1"/>
  <c r="J7" i="62"/>
  <c r="K12" i="62"/>
  <c r="M17" i="44"/>
  <c r="O17" i="44" s="1"/>
  <c r="P17" i="44" s="1"/>
  <c r="M17" i="72"/>
  <c r="O17" i="72" s="1"/>
  <c r="P17" i="72" s="1"/>
  <c r="M16" i="64"/>
  <c r="M18" i="67"/>
  <c r="O18" i="67" s="1"/>
  <c r="P18" i="67" s="1"/>
  <c r="M22" i="70"/>
  <c r="M20" i="50"/>
  <c r="O20" i="50" s="1"/>
  <c r="P20" i="50" s="1"/>
  <c r="R20" i="50" s="1"/>
  <c r="M22" i="63"/>
  <c r="O22" i="63" s="1"/>
  <c r="P22" i="63" s="1"/>
  <c r="M16" i="72"/>
  <c r="M22" i="43"/>
  <c r="M16" i="44"/>
  <c r="O16" i="44" s="1"/>
  <c r="M20" i="70"/>
  <c r="O20" i="70" s="1"/>
  <c r="P20" i="70" s="1"/>
  <c r="R20" i="70" s="1"/>
  <c r="M21" i="44"/>
  <c r="O21" i="44" s="1"/>
  <c r="P21" i="44" s="1"/>
  <c r="M21" i="47"/>
  <c r="O21" i="47" s="1"/>
  <c r="P21" i="47" s="1"/>
  <c r="M22" i="67"/>
  <c r="O22" i="67" s="1"/>
  <c r="P22" i="67" s="1"/>
  <c r="M20" i="57"/>
  <c r="O20" i="57" s="1"/>
  <c r="P20" i="57" s="1"/>
  <c r="R20" i="57" s="1"/>
  <c r="M16" i="60"/>
  <c r="M21" i="51"/>
  <c r="M21" i="68"/>
  <c r="O21" i="68" s="1"/>
  <c r="P21" i="68" s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<sst xmlns="http://schemas.openxmlformats.org/spreadsheetml/2006/main" count="3950" uniqueCount="521">
  <si>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</si>
  <si>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</si>
  <si>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</si>
  <si>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</si>
  <si>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</si>
  <si>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</si>
  <si>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</si>
  <si>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</si>
  <si>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</si>
  <si>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</si>
  <si>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</si>
  <si>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</si>
  <si>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</si>
  <si>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</si>
  <si>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</si>
  <si>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</si>
  <si>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</si>
  <si>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</si>
  <si>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</si>
  <si>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</si>
  <si>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</si>
  <si>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</si>
  <si>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</si>
  <si>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</si>
  <si>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</si>
  <si>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</si>
  <si>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</si>
  <si>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</si>
  <si>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</si>
  <si>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</si>
  <si>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</si>
  <si>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</si>
  <si>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</si>
  <si>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</si>
  <si>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</si>
  <si>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</si>
  <si>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</si>
  <si>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</si>
  <si>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</si>
  <si>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</si>
  <si>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</si>
  <si>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</si>
  <si>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</si>
  <si>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</si>
  <si>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</si>
  <si>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</si>
  <si>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</si>
  <si>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</si>
  <si>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</si>
  <si>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</si>
  <si>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</si>
  <si>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</si>
  <si>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</si>
  <si>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</si>
  <si>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</si>
  <si>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</si>
  <si>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</si>
  <si>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</si>
  <si>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</si>
  <si>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</si>
  <si>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</si>
  <si>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</si>
  <si>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</si>
  <si>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</si>
  <si>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</si>
  <si>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</si>
  <si>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</si>
  <si>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</si>
  <si>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</si>
  <si>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</si>
  <si>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</si>
  <si>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</si>
  <si>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</si>
  <si>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</si>
  <si>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</si>
  <si>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</si>
  <si>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</si>
  <si>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</si>
  <si>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</si>
  <si>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</si>
  <si>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</si>
  <si>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</si>
  <si>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</si>
  <si>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</si>
  <si>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</si>
  <si>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</si>
  <si>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</si>
  <si>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</si>
  <si>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</si>
  <si>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</si>
  <si>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</si>
  <si>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</si>
  <si>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</si>
  <si>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</si>
  <si>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</si>
  <si>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</si>
  <si>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</si>
  <si>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</si>
  <si>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</si>
  <si>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</si>
  <si>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</si>
  <si>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</si>
  <si>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</si>
  <si>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</si>
  <si>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</si>
  <si>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</si>
  <si>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</si>
  <si>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</si>
  <si>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</si>
  <si>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</si>
  <si>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</si>
  <si>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</si>
  <si>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</si>
  <si>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</si>
  <si>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</si>
  <si>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</si>
  <si>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</si>
  <si>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</si>
  <si>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</si>
  <si>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</si>
  <si>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</si>
  <si>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</si>
  <si>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</si>
  <si>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</si>
  <si>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</si>
  <si>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</si>
  <si>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</si>
  <si>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</si>
  <si>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</si>
  <si>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</si>
  <si>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</si>
  <si>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</si>
  <si>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</si>
  <si>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</si>
  <si>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</si>
  <si>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</si>
  <si>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</si>
  <si>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</si>
  <si>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</si>
  <si>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</si>
  <si>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</si>
  <si>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</si>
  <si>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</si>
  <si>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</si>
  <si>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</si>
  <si>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</si>
  <si>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</si>
  <si>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</si>
  <si>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</si>
  <si>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</si>
  <si>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</si>
  <si>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</si>
  <si>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</si>
  <si>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</si>
  <si>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</si>
  <si>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</si>
  <si>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</si>
  <si>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</si>
  <si>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</si>
  <si>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</si>
  <si>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</si>
  <si>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</si>
  <si>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</si>
  <si>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</si>
  <si>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</si>
  <si>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</si>
  <si>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</si>
  <si>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</si>
  <si>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</si>
  <si>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</si>
  <si>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</si>
  <si>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</si>
  <si>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</si>
  <si>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</si>
  <si>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</si>
  <si>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</si>
  <si>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</si>
  <si>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</si>
  <si>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</si>
  <si>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</si>
  <si>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</si>
  <si>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</si>
  <si>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</si>
  <si>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</si>
  <si>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</si>
  <si>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</si>
  <si>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</si>
  <si>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</si>
  <si>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</si>
  <si>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</si>
  <si>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</si>
  <si>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</si>
  <si>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</si>
  <si>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</si>
  <si>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</si>
  <si>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</si>
  <si>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</si>
  <si>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</si>
  <si>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</si>
  <si>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</si>
  <si>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</si>
  <si>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</si>
  <si>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</si>
  <si>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</si>
  <si>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</si>
  <si>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</si>
  <si>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</si>
  <si>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</si>
  <si>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</si>
  <si>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</si>
  <si>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</si>
  <si>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</si>
  <si>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</si>
  <si>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</si>
  <si>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</si>
  <si>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</si>
  <si>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</si>
  <si>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</si>
  <si>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</si>
  <si>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</si>
  <si>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</si>
  <si>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</si>
  <si>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</si>
  <si>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</si>
  <si>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</si>
  <si>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</si>
  <si>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</si>
  <si>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</si>
  <si>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</si>
  <si>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</si>
  <si>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</si>
  <si>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</si>
  <si>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</si>
  <si>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</si>
  <si>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</si>
  <si>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</si>
  <si>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</si>
  <si>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</si>
  <si>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</si>
  <si>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</si>
  <si>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</si>
  <si>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</si>
  <si>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</si>
  <si>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</si>
  <si>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</si>
  <si>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</si>
  <si>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</si>
  <si>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</si>
  <si>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</si>
  <si>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</si>
  <si>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</si>
  <si>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</si>
  <si>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</si>
  <si>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</si>
  <si>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</si>
  <si>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</si>
  <si>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</si>
  <si>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</si>
  <si>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</si>
  <si>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</si>
  <si>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</si>
  <si>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</si>
  <si>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</si>
  <si>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</si>
  <si>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</si>
  <si>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</si>
  <si>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</si>
  <si>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</si>
  <si>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</si>
  <si>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</si>
  <si>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</si>
  <si>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</si>
  <si>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</si>
  <si>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</si>
  <si>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</si>
  <si>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</si>
  <si>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</si>
  <si>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</si>
  <si>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</si>
  <si>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</si>
  <si>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</si>
  <si>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</si>
  <si>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</si>
  <si>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</si>
  <si>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</si>
  <si>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</si>
  <si>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</si>
  <si>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</si>
  <si>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</si>
  <si>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</si>
  <si>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</si>
  <si>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</si>
  <si>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</si>
  <si>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</si>
  <si>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</si>
  <si>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</si>
  <si>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</si>
  <si>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</si>
  <si>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</si>
  <si>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</si>
  <si>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</si>
  <si>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</si>
  <si>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</si>
  <si>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</si>
  <si>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</si>
  <si>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</si>
  <si>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</si>
  <si>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</si>
  <si>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</si>
  <si>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</si>
  <si>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</si>
  <si>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</si>
  <si>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</si>
  <si>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</si>
  <si>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</si>
  <si>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</si>
  <si>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</si>
  <si>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</si>
  <si>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</si>
  <si>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</si>
  <si>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</si>
  <si>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</si>
  <si>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</si>
  <si>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</si>
  <si>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</si>
  <si>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</si>
  <si>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</si>
  <si>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</si>
  <si>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</si>
  <si>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</si>
  <si>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</si>
  <si>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</si>
  <si>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</si>
  <si>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</si>
  <si>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</si>
  <si>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</si>
  <si>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</si>
  <si>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</si>
  <si>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</si>
  <si>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</si>
  <si>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</si>
  <si>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</si>
  <si>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</si>
  <si>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</si>
  <si>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</si>
  <si>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</si>
  <si>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</si>
  <si>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</si>
  <si>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</si>
  <si>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</si>
  <si>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</si>
  <si>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</si>
  <si>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</si>
  <si>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</si>
  <si>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</si>
  <si>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</si>
  <si>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</si>
  <si>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</si>
  <si>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</si>
  <si>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</si>
  <si>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</si>
  <si>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</si>
  <si>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</si>
  <si>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</si>
  <si>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</si>
  <si>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</si>
  <si>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</si>
  <si>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</si>
  <si>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</si>
  <si>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</si>
  <si>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</si>
  <si>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</si>
  <si>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</si>
  <si>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</si>
  <si>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</si>
  <si>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</si>
  <si>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</si>
  <si>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</si>
  <si>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</si>
  <si>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</si>
  <si>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</si>
  <si>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</si>
  <si>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</si>
  <si>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</si>
  <si>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</si>
  <si>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</si>
  <si>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</si>
  <si>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</si>
  <si>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</si>
  <si>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</si>
  <si>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</si>
  <si>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</si>
  <si>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</si>
  <si>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</si>
  <si>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</si>
  <si>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</si>
  <si>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</si>
  <si>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</si>
  <si>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</si>
  <si>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</si>
  <si>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</si>
  <si>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</si>
  <si>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</si>
  <si>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</si>
  <si>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</si>
  <si>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</si>
  <si>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</si>
  <si>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</si>
  <si>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</si>
  <si>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</si>
  <si>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</si>
  <si>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</si>
  <si>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</si>
  <si>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</si>
  <si>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</si>
  <si>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</si>
  <si>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</si>
  <si>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</si>
  <si>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</si>
  <si>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</si>
  <si>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</si>
  <si>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</si>
  <si>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</si>
  <si>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</si>
  <si>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</si>
  <si>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</si>
  <si>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</si>
  <si>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</si>
  <si>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</si>
  <si>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</si>
  <si>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</si>
  <si>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</si>
  <si>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</si>
  <si>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</si>
  <si>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</si>
  <si>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</si>
  <si>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</si>
  <si>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</si>
  <si>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</si>
  <si>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</si>
  <si>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</si>
  <si>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</si>
  <si>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</si>
  <si>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</si>
  <si>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</si>
  <si>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</si>
  <si>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</si>
  <si>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</si>
  <si>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</si>
  <si>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</si>
  <si>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</si>
  <si>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</si>
  <si>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</si>
  <si>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</si>
  <si>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</si>
  <si>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</si>
  <si>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</si>
  <si>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</si>
  <si>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</si>
  <si>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</si>
  <si>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</si>
  <si>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</si>
  <si>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</si>
  <si>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</si>
  <si>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</si>
  <si>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</si>
  <si>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</si>
  <si>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</si>
  <si>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</si>
  <si>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</si>
  <si>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</si>
  <si>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</si>
  <si>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</si>
  <si>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</si>
  <si>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</si>
  <si>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</si>
  <si>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</si>
  <si>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</si>
  <si>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</si>
  <si>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</si>
  <si>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</si>
  <si>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</si>
  <si>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</si>
  <si>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</si>
  <si>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</si>
  <si>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</si>
  <si>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</si>
  <si>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</si>
  <si>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</si>
  <si>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</si>
  <si>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</si>
  <si>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</si>
  <si>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</si>
  <si>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</si>
  <si>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</si>
  <si>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</si>
  <si>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</si>
  <si>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</si>
  <si>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</si>
  <si>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</si>
  <si>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</si>
  <si>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</si>
  <si>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</si>
  <si>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</si>
  <si>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</si>
  <si>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</si>
  <si>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</si>
  <si>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</si>
  <si>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</si>
  <si>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</si>
  <si>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</si>
  <si>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</si>
  <si>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Rafaqat Sons</t>
  </si>
  <si>
    <t>Number</t>
  </si>
  <si>
    <t>327787628553-1</t>
  </si>
  <si>
    <t xml:space="preserve">Rafaqat Sons </t>
  </si>
  <si>
    <t>Address: Sabzazaar</t>
  </si>
  <si>
    <t xml:space="preserve">NTN #: 9725069-2 </t>
  </si>
  <si>
    <t>Invoice No # :0011441</t>
  </si>
  <si>
    <t>Address: Fatehgher</t>
  </si>
  <si>
    <t>Invoice No # :00111564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</si>
</sst>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7" sqref="B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512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46314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Rafaqat Sons </v>
      </c>
      <c r="T3" s="301">
        <f>+'1'!P35</f>
        <v>65800.178904661007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Rafaqat Sons </v>
      </c>
      <c r="T4" s="301">
        <f>+'2'!P35</f>
        <v>11695.965425084745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Rafaqat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Rafaqat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Rafaqat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8656.3125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53.196816737288138</v>
      </c>
      <c r="P8" s="311">
        <f t="shared" ref="P8:P15" si="2">M8+N8+O8</f>
        <v>10692.560164194916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Rafaqat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311">
        <f t="shared" si="2"/>
        <v>10692.560164194916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Rafaqat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2033.9200000000003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11985.599999999999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73.656813559322032</v>
      </c>
      <c r="P10" s="311">
        <f t="shared" si="2"/>
        <v>14805.019525423728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Rafaqat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358</v>
      </c>
      <c r="I11" s="236">
        <f t="shared" si="0"/>
        <v>26005.119999999999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3640.7168000000006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910.17920000000015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21454.223999999998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4914.9152542372885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131.84569627118645</v>
      </c>
      <c r="P11" s="311">
        <f t="shared" si="2"/>
        <v>26500.984950508471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</v>
      </c>
      <c r="R11" s="314">
        <v>9</v>
      </c>
      <c r="S11" s="300" t="str">
        <f>+'9'!A6:A6</f>
        <v xml:space="preserve">Rafaqat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Rafaqat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Rafaqat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Rafaqat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Rafaqat Sons 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28.95</v>
      </c>
      <c r="H16" s="113">
        <f t="shared" ref="H16:M16" si="3">SUM(H7:H15)</f>
        <v>1158</v>
      </c>
      <c r="I16" s="114">
        <f t="shared" si="3"/>
        <v>76046.12</v>
      </c>
      <c r="J16" s="274">
        <f>SUM(J7:J15)</f>
        <v>10646.456800000002</v>
      </c>
      <c r="K16" s="275">
        <f t="shared" si="3"/>
        <v>2661.6142000000004</v>
      </c>
      <c r="L16" s="276">
        <f t="shared" si="3"/>
        <v>0</v>
      </c>
      <c r="M16" s="232">
        <f t="shared" si="3"/>
        <v>62738.048999999992</v>
      </c>
      <c r="N16" s="233">
        <f>SUM(N7:N15)</f>
        <v>14372.542372881355</v>
      </c>
      <c r="O16" s="101">
        <f>SUM(O7:O15)</f>
        <v>385.55295686440678</v>
      </c>
      <c r="P16" s="113">
        <f>SUM(P7:P15)</f>
        <v>77496.144329745759</v>
      </c>
      <c r="Q16" s="128">
        <f>SUM(Q7:Q15)</f>
        <v>2</v>
      </c>
      <c r="R16" s="314">
        <v>14</v>
      </c>
      <c r="S16" s="300" t="str">
        <f>+'14'!A6:A6</f>
        <v xml:space="preserve">Rafaqat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Rafaqat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Rafaqat Sons 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76046.12</v>
      </c>
      <c r="R19" s="299">
        <v>17</v>
      </c>
      <c r="S19" s="300" t="str">
        <f>+'17'!A6:A6</f>
        <v xml:space="preserve">Rafaqat Sons 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10646.456800000002</v>
      </c>
      <c r="R20" s="299">
        <v>18</v>
      </c>
      <c r="S20" s="300" t="str">
        <f>+'18'!A6:A6</f>
        <v xml:space="preserve">Rafaqat Sons 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2661.6142000000004</v>
      </c>
      <c r="R21" s="299">
        <v>19</v>
      </c>
      <c r="S21" s="300" t="str">
        <f>+'19'!A6:A6</f>
        <v xml:space="preserve">Rafaqat Sons 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62738.048999999992</v>
      </c>
      <c r="R22" s="299">
        <v>20</v>
      </c>
      <c r="S22" s="300" t="str">
        <f>+'20'!A6:A6</f>
        <v xml:space="preserve">Rafaqat Sons 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14372.542372881355</v>
      </c>
      <c r="R23" s="299">
        <v>21</v>
      </c>
      <c r="S23" s="300" t="str">
        <f>+'21'!A6:A6</f>
        <v xml:space="preserve">Rafaqat Sons 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77110.591372881347</v>
      </c>
      <c r="R24" s="299">
        <v>22</v>
      </c>
      <c r="S24" s="300" t="str">
        <f>+'22'!A6:A6</f>
        <v xml:space="preserve">Rafaqat Sons 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385.55295686440678</v>
      </c>
      <c r="R25" s="299">
        <v>23</v>
      </c>
      <c r="S25" s="300" t="str">
        <f>+'23'!A6:A6</f>
        <v xml:space="preserve">Rafaqat Sons 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77496.144329745759</v>
      </c>
      <c r="R26" s="299">
        <v>24</v>
      </c>
      <c r="S26" s="300" t="str">
        <f>+'24'!A6:A6</f>
        <v xml:space="preserve">Rafaqat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 xml:space="preserve">Rafaqat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Rafaqat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Rafaqat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Rafaqat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Rafaqat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Rafaqat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77496.144329745759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46311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513</v>
      </c>
      <c r="B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1468.95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8656.3125</v>
      </c>
      <c r="N17" s="277">
        <f t="shared" ref="N17:N24" si="3">+(G17*D17+H17)*V17</f>
        <v>1983.0508474576263</v>
      </c>
      <c r="O17" s="239">
        <f t="shared" ref="O17:O24" si="4">(N17+M17)*$O$15</f>
        <v>53.196816737288138</v>
      </c>
      <c r="P17" s="311">
        <f t="shared" ref="P17:P24" si="5">M17+N17+O17</f>
        <v>10692.560164194916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311">
        <f t="shared" si="5"/>
        <v>10692.560164194916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311">
        <f t="shared" si="5"/>
        <v>14805.019525423728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311">
        <f t="shared" si="5"/>
        <v>14805.019525423728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1">
        <f t="shared" si="5"/>
        <v>14805.019525423728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1000</v>
      </c>
      <c r="I25" s="114">
        <f t="shared" ref="I25:M25" si="10">SUM(I16:I24)</f>
        <v>64569</v>
      </c>
      <c r="J25" s="274">
        <f>SUM(J16:J24)</f>
        <v>9039.6600000000017</v>
      </c>
      <c r="K25" s="275">
        <f t="shared" si="10"/>
        <v>2259.9150000000004</v>
      </c>
      <c r="L25" s="276">
        <f t="shared" si="10"/>
        <v>0</v>
      </c>
      <c r="M25" s="232">
        <f t="shared" si="10"/>
        <v>53269.424999999996</v>
      </c>
      <c r="N25" s="233">
        <f>SUM(N16:N24)</f>
        <v>12203.389830508473</v>
      </c>
      <c r="O25" s="101">
        <f>SUM(O16:O24)</f>
        <v>327.36407415254234</v>
      </c>
      <c r="P25" s="113">
        <f>SUM(P16:P24)</f>
        <v>65800.178904661021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64569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9039.6600000000017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2259.9150000000004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53269.424999999996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12203.389830508473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65472.814830508469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327.36407415254234</v>
      </c>
    </row>
    <row r="35" spans="2:16" ht="15.75" customHeight="1" thickBot="1" x14ac:dyDescent="0.4">
      <c r="N35" s="373" t="s">
        <v>88</v>
      </c>
      <c r="O35" s="374"/>
      <c r="P35" s="297">
        <f>+P33+P34</f>
        <v>65800.178904661007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3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520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513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f>160-2</f>
        <v>158</v>
      </c>
      <c r="I20" s="236">
        <f t="shared" si="0"/>
        <v>11477.12</v>
      </c>
      <c r="J20" s="272">
        <f t="shared" si="1"/>
        <v>1606.7968000000003</v>
      </c>
      <c r="K20" s="128">
        <f t="shared" si="1"/>
        <v>401.69920000000008</v>
      </c>
      <c r="L20" s="119">
        <f t="shared" si="1"/>
        <v>0</v>
      </c>
      <c r="M20" s="230">
        <f t="shared" si="2"/>
        <v>9468.6239999999998</v>
      </c>
      <c r="N20" s="277">
        <f t="shared" si="3"/>
        <v>2169.1525423728813</v>
      </c>
      <c r="O20" s="239">
        <f t="shared" si="4"/>
        <v>58.188882711864409</v>
      </c>
      <c r="P20" s="311">
        <f t="shared" si="5"/>
        <v>11695.965425084745</v>
      </c>
      <c r="Q20" s="156">
        <v>2</v>
      </c>
      <c r="R20">
        <f>P20/21</f>
        <v>556.95073452784504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158</v>
      </c>
      <c r="I25" s="114">
        <f t="shared" si="7"/>
        <v>11477.12</v>
      </c>
      <c r="J25" s="274">
        <f>SUM(J16:J24)</f>
        <v>1606.7968000000003</v>
      </c>
      <c r="K25" s="275">
        <f t="shared" si="7"/>
        <v>401.69920000000008</v>
      </c>
      <c r="L25" s="276">
        <f t="shared" si="7"/>
        <v>0</v>
      </c>
      <c r="M25" s="232">
        <f t="shared" si="7"/>
        <v>9468.6239999999998</v>
      </c>
      <c r="N25" s="233">
        <f>SUM(N16:N24)</f>
        <v>2169.1525423728813</v>
      </c>
      <c r="O25" s="101">
        <f>SUM(O16:O24)</f>
        <v>58.188882711864409</v>
      </c>
      <c r="P25" s="113">
        <f>SUM(P16:P24)</f>
        <v>11695.965425084745</v>
      </c>
      <c r="Q25" s="128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11477.12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1606.7968000000003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401.69920000000008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9468.6239999999998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2169.1525423728813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11637.776542372882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58.188882711864409</v>
      </c>
    </row>
    <row r="35" spans="2:16" ht="15.75" customHeight="1" thickBot="1" x14ac:dyDescent="0.4">
      <c r="N35" s="373" t="s">
        <v>88</v>
      </c>
      <c r="O35" s="374"/>
      <c r="P35" s="297">
        <f>+P33+P34</f>
        <v>11695.965425084745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46315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46314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2026-10-19T04:52:32Z</dcterms:modified>
</cp:coreProperties>
</file>