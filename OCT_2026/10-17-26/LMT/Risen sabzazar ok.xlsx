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85D0201-4266-4A48-97B1-ED6A50842FC4}" xr6:coauthVersionLast="47" xr6:coauthVersionMax="47" xr10:uidLastSave="{00000000-0000-0000-0000-000000000000}"/>
  <bookViews>
    <workbookView xWindow="-110" yWindow="-110" windowWidth="19420" windowHeight="10420" tabRatio="872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R20" i="43" s="1"/>
  <c r="J7" i="62"/>
  <c r="K12" i="62"/>
  <c r="M17" i="44"/>
  <c r="O17" i="44" s="1"/>
  <c r="P17" i="44" s="1"/>
  <c r="M17" i="72"/>
  <c r="O17" i="72" s="1"/>
  <c r="P17" i="72" s="1"/>
  <c r="M16" i="64"/>
  <c r="M18" i="67"/>
  <c r="O18" i="67" s="1"/>
  <c r="P18" i="67" s="1"/>
  <c r="M22" i="70"/>
  <c r="M20" i="50"/>
  <c r="O20" i="50" s="1"/>
  <c r="P20" i="50" s="1"/>
  <c r="R20" i="50" s="1"/>
  <c r="M22" i="63"/>
  <c r="O22" i="63" s="1"/>
  <c r="P22" i="63" s="1"/>
  <c r="M16" i="72"/>
  <c r="M22" i="43"/>
  <c r="M16" i="44"/>
  <c r="O16" i="44" s="1"/>
  <c r="M20" i="70"/>
  <c r="O20" i="70" s="1"/>
  <c r="P20" i="70" s="1"/>
  <c r="R20" i="70" s="1"/>
  <c r="M21" i="44"/>
  <c r="O21" i="44" s="1"/>
  <c r="P21" i="44" s="1"/>
  <c r="M21" i="47"/>
  <c r="O21" i="47" s="1"/>
  <c r="P21" i="47" s="1"/>
  <c r="M22" i="67"/>
  <c r="O22" i="67" s="1"/>
  <c r="P22" i="67" s="1"/>
  <c r="M20" i="57"/>
  <c r="O20" i="57" s="1"/>
  <c r="P20" i="57" s="1"/>
  <c r="R20" i="57" s="1"/>
  <c r="M16" i="60"/>
  <c r="M21" i="5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<sst xmlns="http://schemas.openxmlformats.org/spreadsheetml/2006/main" count="3950" uniqueCount="522">
  <si>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</si>
  <si>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</si>
  <si>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</si>
  <si>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</si>
  <si>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</si>
  <si>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</si>
  <si>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</si>
  <si>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</si>
  <si>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</si>
  <si>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</si>
  <si>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</si>
  <si>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</si>
  <si>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</si>
  <si>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</si>
  <si>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</si>
  <si>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</si>
  <si>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</si>
  <si>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</si>
  <si>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</si>
  <si>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</si>
  <si>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</si>
  <si>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</si>
  <si>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</si>
  <si>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</si>
  <si>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</si>
  <si>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</si>
  <si>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</si>
  <si>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</si>
  <si>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</si>
  <si>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</si>
  <si>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</si>
  <si>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</si>
  <si>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</si>
  <si>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</si>
  <si>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</si>
  <si>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</si>
  <si>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</si>
  <si>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</si>
  <si>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</si>
  <si>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</si>
  <si>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</si>
  <si>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</si>
  <si>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</si>
  <si>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</si>
  <si>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</si>
  <si>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</si>
  <si>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</si>
  <si>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</si>
  <si>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</si>
  <si>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</si>
  <si>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</si>
  <si>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</si>
  <si>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</si>
  <si>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</si>
  <si>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</si>
  <si>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</si>
  <si>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</si>
  <si>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</si>
  <si>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</si>
  <si>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</si>
  <si>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</si>
  <si>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</si>
  <si>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</si>
  <si>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</si>
  <si>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</si>
  <si>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</si>
  <si>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</si>
  <si>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</si>
  <si>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</si>
  <si>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</si>
  <si>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</si>
  <si>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</si>
  <si>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</si>
  <si>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</si>
  <si>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</si>
  <si>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</si>
  <si>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</si>
  <si>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</si>
  <si>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</si>
  <si>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</si>
  <si>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</si>
  <si>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</si>
  <si>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</si>
  <si>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</si>
  <si>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</si>
  <si>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</si>
  <si>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</si>
  <si>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</si>
  <si>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</si>
  <si>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</si>
  <si>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</si>
  <si>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</si>
  <si>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</si>
  <si>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</si>
  <si>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</si>
  <si>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</si>
  <si>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</si>
  <si>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</si>
  <si>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</si>
  <si>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</si>
  <si>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</si>
  <si>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</si>
  <si>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</si>
  <si>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</si>
  <si>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</si>
  <si>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</si>
  <si>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</si>
  <si>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</si>
  <si>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</si>
  <si>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</si>
  <si>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</si>
  <si>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</si>
  <si>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</si>
  <si>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</si>
  <si>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</si>
  <si>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</si>
  <si>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</si>
  <si>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</si>
  <si>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</si>
  <si>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</si>
  <si>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</si>
  <si>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</si>
  <si>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</si>
  <si>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</si>
  <si>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</si>
  <si>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</si>
  <si>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</si>
  <si>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</si>
  <si>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</si>
  <si>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</si>
  <si>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</si>
  <si>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</si>
  <si>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</si>
  <si>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</si>
  <si>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</si>
  <si>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</si>
  <si>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</si>
  <si>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</si>
  <si>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</si>
  <si>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</si>
  <si>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</si>
  <si>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</si>
  <si>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</si>
  <si>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</si>
  <si>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</si>
  <si>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</si>
  <si>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</si>
  <si>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</si>
  <si>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</si>
  <si>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</si>
  <si>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</si>
  <si>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</si>
  <si>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</si>
  <si>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</si>
  <si>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</si>
  <si>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</si>
  <si>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</si>
  <si>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</si>
  <si>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</si>
  <si>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</si>
  <si>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</si>
  <si>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</si>
  <si>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</si>
  <si>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</si>
  <si>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</si>
  <si>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</si>
  <si>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</si>
  <si>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</si>
  <si>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</si>
  <si>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</si>
  <si>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</si>
  <si>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</si>
  <si>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</si>
  <si>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</si>
  <si>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</si>
  <si>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</si>
  <si>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</si>
  <si>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</si>
  <si>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</si>
  <si>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</si>
  <si>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</si>
  <si>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</si>
  <si>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</si>
  <si>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</si>
  <si>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</si>
  <si>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</si>
  <si>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</si>
  <si>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</si>
  <si>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</si>
  <si>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</si>
  <si>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</si>
  <si>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</si>
  <si>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</si>
  <si>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</si>
  <si>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</si>
  <si>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</si>
  <si>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</si>
  <si>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</si>
  <si>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</si>
  <si>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</si>
  <si>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</si>
  <si>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</si>
  <si>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</si>
  <si>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</si>
  <si>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</si>
  <si>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</si>
  <si>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</si>
  <si>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</si>
  <si>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</si>
  <si>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</si>
  <si>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</si>
  <si>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</si>
  <si>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</si>
  <si>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</si>
  <si>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</si>
  <si>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</si>
  <si>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</si>
  <si>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</si>
  <si>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</si>
  <si>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</si>
  <si>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</si>
  <si>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</si>
  <si>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</si>
  <si>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</si>
  <si>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</si>
  <si>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</si>
  <si>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</si>
  <si>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</si>
  <si>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</si>
  <si>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</si>
  <si>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</si>
  <si>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</si>
  <si>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</si>
  <si>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</si>
  <si>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</si>
  <si>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</si>
  <si>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</si>
  <si>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</si>
  <si>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</si>
  <si>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</si>
  <si>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</si>
  <si>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</si>
  <si>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</si>
  <si>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</si>
  <si>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</si>
  <si>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</si>
  <si>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</si>
  <si>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</si>
  <si>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</si>
  <si>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</si>
  <si>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</si>
  <si>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</si>
  <si>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</si>
  <si>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</si>
  <si>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</si>
  <si>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</si>
  <si>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</si>
  <si>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</si>
  <si>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</si>
  <si>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</si>
  <si>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</si>
  <si>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</si>
  <si>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</si>
  <si>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</si>
  <si>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</si>
  <si>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</si>
  <si>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</si>
  <si>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</si>
  <si>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</si>
  <si>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</si>
  <si>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</si>
  <si>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</si>
  <si>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</si>
  <si>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</si>
  <si>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</si>
  <si>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</si>
  <si>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</si>
  <si>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</si>
  <si>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</si>
  <si>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</si>
  <si>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</si>
  <si>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</si>
  <si>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</si>
  <si>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</si>
  <si>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</si>
  <si>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</si>
  <si>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</si>
  <si>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</si>
  <si>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</si>
  <si>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</si>
  <si>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</si>
  <si>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</si>
  <si>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</si>
  <si>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</si>
  <si>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</si>
  <si>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</si>
  <si>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</si>
  <si>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</si>
  <si>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</si>
  <si>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</si>
  <si>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</si>
  <si>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</si>
  <si>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</si>
  <si>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</si>
  <si>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</si>
  <si>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</si>
  <si>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</si>
  <si>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</si>
  <si>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</si>
  <si>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</si>
  <si>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</si>
  <si>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</si>
  <si>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</si>
  <si>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</si>
  <si>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</si>
  <si>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</si>
  <si>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</si>
  <si>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</si>
  <si>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</si>
  <si>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</si>
  <si>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</si>
  <si>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</si>
  <si>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</si>
  <si>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</si>
  <si>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</si>
  <si>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</si>
  <si>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</si>
  <si>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</si>
  <si>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</si>
  <si>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</si>
  <si>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</si>
  <si>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</si>
  <si>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</si>
  <si>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</si>
  <si>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</si>
  <si>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</si>
  <si>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</si>
  <si>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</si>
  <si>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</si>
  <si>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</si>
  <si>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</si>
  <si>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</si>
  <si>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</si>
  <si>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</si>
  <si>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</si>
  <si>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</si>
  <si>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</si>
  <si>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</si>
  <si>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</si>
  <si>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</si>
  <si>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</si>
  <si>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</si>
  <si>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</si>
  <si>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</si>
  <si>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</si>
  <si>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</si>
  <si>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</si>
  <si>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</si>
  <si>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</si>
  <si>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</si>
  <si>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</si>
  <si>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</si>
  <si>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</si>
  <si>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</si>
  <si>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</si>
  <si>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</si>
  <si>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</si>
  <si>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</si>
  <si>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</si>
  <si>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</si>
  <si>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</si>
  <si>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</si>
  <si>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</si>
  <si>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</si>
  <si>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</si>
  <si>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</si>
  <si>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</si>
  <si>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</si>
  <si>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</si>
  <si>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</si>
  <si>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</si>
  <si>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</si>
  <si>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</si>
  <si>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</si>
  <si>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</si>
  <si>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</si>
  <si>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</si>
  <si>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</si>
  <si>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</si>
  <si>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</si>
  <si>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</si>
  <si>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</si>
  <si>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</si>
  <si>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</si>
  <si>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</si>
  <si>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</si>
  <si>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</si>
  <si>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</si>
  <si>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</si>
  <si>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</si>
  <si>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</si>
  <si>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</si>
  <si>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</si>
  <si>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</si>
  <si>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</si>
  <si>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</si>
  <si>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</si>
  <si>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</si>
  <si>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</si>
  <si>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</si>
  <si>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</si>
  <si>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</si>
  <si>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</si>
  <si>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</si>
  <si>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</si>
  <si>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</si>
  <si>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</si>
  <si>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</si>
  <si>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</si>
  <si>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</si>
  <si>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</si>
  <si>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</si>
  <si>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</si>
  <si>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</si>
  <si>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</si>
  <si>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</si>
  <si>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</si>
  <si>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</si>
  <si>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</si>
  <si>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</si>
  <si>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</si>
  <si>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</si>
  <si>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</si>
  <si>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</si>
  <si>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</si>
  <si>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</si>
  <si>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</si>
  <si>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</si>
  <si>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</si>
  <si>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</si>
  <si>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</si>
  <si>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</si>
  <si>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</si>
  <si>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</si>
  <si>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</si>
  <si>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</si>
  <si>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</si>
  <si>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</si>
  <si>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</si>
  <si>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</si>
  <si>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</si>
  <si>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</si>
  <si>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</si>
  <si>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</si>
  <si>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</si>
  <si>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</si>
  <si>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</si>
  <si>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</si>
  <si>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</si>
  <si>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</si>
  <si>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</si>
  <si>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</si>
  <si>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</si>
  <si>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</si>
  <si>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</si>
  <si>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</si>
  <si>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</si>
  <si>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</si>
  <si>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</si>
  <si>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</si>
  <si>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</si>
  <si>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</si>
  <si>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</si>
  <si>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</si>
  <si>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</si>
  <si>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</si>
  <si>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</si>
  <si>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</si>
  <si>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</si>
  <si>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</si>
  <si>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</si>
  <si>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</si>
  <si>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</si>
  <si>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</si>
  <si>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</si>
  <si>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</si>
  <si>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</si>
  <si>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</si>
  <si>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</si>
  <si>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</si>
  <si>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</si>
  <si>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</si>
  <si>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</si>
  <si>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</si>
  <si>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</si>
  <si>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</si>
  <si>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</si>
  <si>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</si>
  <si>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</si>
  <si>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</si>
  <si>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</si>
  <si>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</si>
  <si>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</si>
  <si>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</si>
  <si>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</si>
  <si>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</si>
  <si>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</si>
  <si>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</si>
  <si>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</si>
  <si>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</si>
  <si>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</si>
  <si>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</si>
  <si>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</si>
  <si>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</si>
  <si>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</si>
  <si>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Rafaqat Sons </t>
  </si>
  <si>
    <t>Address: Sabzazaar</t>
  </si>
  <si>
    <t xml:space="preserve">NTN #: 9725069-2 </t>
  </si>
  <si>
    <t>Invoice No # :0011441</t>
  </si>
  <si>
    <t>Address: Shadbag</t>
  </si>
  <si>
    <t>SB Traders</t>
  </si>
  <si>
    <t>Invoice No # :00111565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</si>
</sst>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512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46314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Rafaqat Sons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SB Traders</v>
      </c>
      <c r="T4" s="301">
        <f>+'2'!P35</f>
        <v>33558.099532627108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Rafaqat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Rafaqat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Rafaqat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Rafaqat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1175.1600000000001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6925.05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42.557453389830506</v>
      </c>
      <c r="P9" s="311">
        <f t="shared" si="2"/>
        <v>8554.0481313559321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Rafaqat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311">
        <f t="shared" si="2"/>
        <v>5922.0078101694908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Rafaqat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Rafaqat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1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Rafaqat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Rafaqat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Rafaqat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Rafaqat Sons 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13</v>
      </c>
      <c r="H16" s="113">
        <f t="shared" ref="H16:M16" si="3">SUM(H7:H15)</f>
        <v>520</v>
      </c>
      <c r="I16" s="114">
        <f t="shared" si="3"/>
        <v>32930.199999999997</v>
      </c>
      <c r="J16" s="274">
        <f>SUM(J7:J15)</f>
        <v>4610.228000000001</v>
      </c>
      <c r="K16" s="275">
        <f t="shared" si="3"/>
        <v>1152.5570000000002</v>
      </c>
      <c r="L16" s="276">
        <f t="shared" si="3"/>
        <v>0</v>
      </c>
      <c r="M16" s="232">
        <f t="shared" si="3"/>
        <v>27167.415000000001</v>
      </c>
      <c r="N16" s="233">
        <f>SUM(N7:N15)</f>
        <v>6223.7288135593208</v>
      </c>
      <c r="O16" s="101">
        <f>SUM(O7:O15)</f>
        <v>166.95571906779659</v>
      </c>
      <c r="P16" s="113">
        <f>SUM(P7:P15)</f>
        <v>33558.099532627115</v>
      </c>
      <c r="Q16" s="128">
        <f>SUM(Q7:Q15)</f>
        <v>0</v>
      </c>
      <c r="R16" s="314">
        <v>14</v>
      </c>
      <c r="S16" s="300" t="str">
        <f>+'14'!A6:A6</f>
        <v xml:space="preserve">Rafaqat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Rafaqat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Rafaqat Sons 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32930.199999999997</v>
      </c>
      <c r="R19" s="299">
        <v>17</v>
      </c>
      <c r="S19" s="300" t="str">
        <f>+'17'!A6:A6</f>
        <v xml:space="preserve">Rafaqat Sons 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4610.228000000001</v>
      </c>
      <c r="R20" s="299">
        <v>18</v>
      </c>
      <c r="S20" s="300" t="str">
        <f>+'18'!A6:A6</f>
        <v xml:space="preserve">Rafaqat Sons 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1152.5570000000002</v>
      </c>
      <c r="R21" s="299">
        <v>19</v>
      </c>
      <c r="S21" s="300" t="str">
        <f>+'19'!A6:A6</f>
        <v xml:space="preserve">Rafaqat Sons 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27167.414999999994</v>
      </c>
      <c r="R22" s="299">
        <v>20</v>
      </c>
      <c r="S22" s="300" t="str">
        <f>+'20'!A6:A6</f>
        <v xml:space="preserve">Rafaqat Sons 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6223.7288135593208</v>
      </c>
      <c r="R23" s="299">
        <v>21</v>
      </c>
      <c r="S23" s="300" t="str">
        <f>+'21'!A6:A6</f>
        <v xml:space="preserve">Rafaqat Sons 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33391.143813559313</v>
      </c>
      <c r="R24" s="299">
        <v>22</v>
      </c>
      <c r="S24" s="300" t="str">
        <f>+'22'!A6:A6</f>
        <v xml:space="preserve">Rafaqat Sons 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166.95571906779659</v>
      </c>
      <c r="R25" s="299">
        <v>23</v>
      </c>
      <c r="S25" s="300" t="str">
        <f>+'23'!A6:A6</f>
        <v xml:space="preserve">Rafaqat Sons 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33558.099532627108</v>
      </c>
      <c r="R26" s="299">
        <v>24</v>
      </c>
      <c r="S26" s="300" t="str">
        <f>+'24'!A6:A6</f>
        <v xml:space="preserve">Rafaqat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 xml:space="preserve">Rafaqat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Rafaqat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Rafaqat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Rafaqat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Rafaqat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Rafaqat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33558.099532627108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activeCell="H16" sqref="H16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46311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319">
        <v>3.5000000000000003E-2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3" workbookViewId="0">
      <selection activeCell="I10" sqref="I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46311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311">
        <f t="shared" ref="P17:P24" si="5">M17+N17+O17</f>
        <v>4277.0240656779661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si="0"/>
        <v>8394</v>
      </c>
      <c r="J18" s="272">
        <f t="shared" si="1"/>
        <v>1175.1600000000001</v>
      </c>
      <c r="K18" s="128">
        <f t="shared" si="1"/>
        <v>293.79000000000002</v>
      </c>
      <c r="L18" s="119">
        <f t="shared" si="1"/>
        <v>0</v>
      </c>
      <c r="M18" s="230">
        <f t="shared" si="2"/>
        <v>6925.05</v>
      </c>
      <c r="N18" s="277">
        <f t="shared" si="3"/>
        <v>1586.440677966101</v>
      </c>
      <c r="O18" s="239">
        <f t="shared" si="4"/>
        <v>42.557453389830506</v>
      </c>
      <c r="P18" s="311">
        <f t="shared" si="5"/>
        <v>8554.0481313559321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311">
        <f t="shared" si="5"/>
        <v>5922.0078101694908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520</v>
      </c>
      <c r="I25" s="114">
        <f t="shared" si="7"/>
        <v>32930.199999999997</v>
      </c>
      <c r="J25" s="274">
        <f>SUM(J16:J24)</f>
        <v>4610.228000000001</v>
      </c>
      <c r="K25" s="275">
        <f t="shared" si="7"/>
        <v>1152.5570000000002</v>
      </c>
      <c r="L25" s="276">
        <f t="shared" si="7"/>
        <v>0</v>
      </c>
      <c r="M25" s="232">
        <f t="shared" si="7"/>
        <v>27167.415000000001</v>
      </c>
      <c r="N25" s="233">
        <f>SUM(N16:N24)</f>
        <v>6223.7288135593208</v>
      </c>
      <c r="O25" s="101">
        <f>SUM(O16:O24)</f>
        <v>166.95571906779659</v>
      </c>
      <c r="P25" s="113">
        <f>SUM(P16:P24)</f>
        <v>33558.099532627115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32930.199999999997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4610.228000000001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1152.5570000000002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27167.414999999994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6223.7288135593208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33391.143813559313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166.95571906779657</v>
      </c>
    </row>
    <row r="35" spans="2:16" ht="15.75" customHeight="1" thickBot="1" x14ac:dyDescent="0.4">
      <c r="N35" s="344" t="s">
        <v>88</v>
      </c>
      <c r="O35" s="345"/>
      <c r="P35" s="297">
        <f>+P33+P34</f>
        <v>33558.099532627108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46315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46314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2026-10-19T04:58:49Z</dcterms:modified>
</cp:coreProperties>
</file>