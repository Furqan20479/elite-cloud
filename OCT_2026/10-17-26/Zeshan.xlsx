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438DD6-1D0A-4BB2-B904-A969A18EC44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O16" i="48" s="1"/>
  <c r="P16" i="48" s="1"/>
  <c r="J7" i="62"/>
  <c r="M20" i="47"/>
  <c r="O20" i="47" s="1"/>
  <c r="P20" i="47" s="1"/>
  <c r="M17" i="44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<sst xmlns="http://schemas.openxmlformats.org/spreadsheetml/2006/main" count="3948" uniqueCount="526">
  <si>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</si>
  <si>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</si>
  <si>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</si>
  <si>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</si>
  <si>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</si>
  <si>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</si>
  <si>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</si>
  <si>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</si>
  <si>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</si>
  <si>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</si>
  <si>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</si>
  <si>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</si>
  <si>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</si>
  <si>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</si>
  <si>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</si>
  <si>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</si>
  <si>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</si>
  <si>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</si>
  <si>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</si>
  <si>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</si>
  <si>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</si>
  <si>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</si>
  <si>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</si>
  <si>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</si>
  <si>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</si>
  <si>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</si>
  <si>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</si>
  <si>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</si>
  <si>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</si>
  <si>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</si>
  <si>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</si>
  <si>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</si>
  <si>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</si>
  <si>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</si>
  <si>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</si>
  <si>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</si>
  <si>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</si>
  <si>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</si>
  <si>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</si>
  <si>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</si>
  <si>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</si>
  <si>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</si>
  <si>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</si>
  <si>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</si>
  <si>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</si>
  <si>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</si>
  <si>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</si>
  <si>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</si>
  <si>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</si>
  <si>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</si>
  <si>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</si>
  <si>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</si>
  <si>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</si>
  <si>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</si>
  <si>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</si>
  <si>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</si>
  <si>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</si>
  <si>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</si>
  <si>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</si>
  <si>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</si>
  <si>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</si>
  <si>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</si>
  <si>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</si>
  <si>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</si>
  <si>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</si>
  <si>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</si>
  <si>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</si>
  <si>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</si>
  <si>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</si>
  <si>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</si>
  <si>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</si>
  <si>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</si>
  <si>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</si>
  <si>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</si>
  <si>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</si>
  <si>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</si>
  <si>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</si>
  <si>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</si>
  <si>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</si>
  <si>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</si>
  <si>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</si>
  <si>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</si>
  <si>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</si>
  <si>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</si>
  <si>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</si>
  <si>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</si>
  <si>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</si>
  <si>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</si>
  <si>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</si>
  <si>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</si>
  <si>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</si>
  <si>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</si>
  <si>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</si>
  <si>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</si>
  <si>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</si>
  <si>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</si>
  <si>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</si>
  <si>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</si>
  <si>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</si>
  <si>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</si>
  <si>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</si>
  <si>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</si>
  <si>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</si>
  <si>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</si>
  <si>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</si>
  <si>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</si>
  <si>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</si>
  <si>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</si>
  <si>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</si>
  <si>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</si>
  <si>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</si>
  <si>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</si>
  <si>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</si>
  <si>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</si>
  <si>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</si>
  <si>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</si>
  <si>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</si>
  <si>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</si>
  <si>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</si>
  <si>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</si>
  <si>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</si>
  <si>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</si>
  <si>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</si>
  <si>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</si>
  <si>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</si>
  <si>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</si>
  <si>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</si>
  <si>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</si>
  <si>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</si>
  <si>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</si>
  <si>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</si>
  <si>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</si>
  <si>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</si>
  <si>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</si>
  <si>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</si>
  <si>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</si>
  <si>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</si>
  <si>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</si>
  <si>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</si>
  <si>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</si>
  <si>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</si>
  <si>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</si>
  <si>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</si>
  <si>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</si>
  <si>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</si>
  <si>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</si>
  <si>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</si>
  <si>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</si>
  <si>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</si>
  <si>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</si>
  <si>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</si>
  <si>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</si>
  <si>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</si>
  <si>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</si>
  <si>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</si>
  <si>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</si>
  <si>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</si>
  <si>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</si>
  <si>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</si>
  <si>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</si>
  <si>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</si>
  <si>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</si>
  <si>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</si>
  <si>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</si>
  <si>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</si>
  <si>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</si>
  <si>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</si>
  <si>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</si>
  <si>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</si>
  <si>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</si>
  <si>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</si>
  <si>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</si>
  <si>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</si>
  <si>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</si>
  <si>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</si>
  <si>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</si>
  <si>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</si>
  <si>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</si>
  <si>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</si>
  <si>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</si>
  <si>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</si>
  <si>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</si>
  <si>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</si>
  <si>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</si>
  <si>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</si>
  <si>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</si>
  <si>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</si>
  <si>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</si>
  <si>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</si>
  <si>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</si>
  <si>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</si>
  <si>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</si>
  <si>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</si>
  <si>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</si>
  <si>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</si>
  <si>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</si>
  <si>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</si>
  <si>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</si>
  <si>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</si>
  <si>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</si>
  <si>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</si>
  <si>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</si>
  <si>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</si>
  <si>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</si>
  <si>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</si>
  <si>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</si>
  <si>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</si>
  <si>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</si>
  <si>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</si>
  <si>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</si>
  <si>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</si>
  <si>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</si>
  <si>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</si>
  <si>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</si>
  <si>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</si>
  <si>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</si>
  <si>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</si>
  <si>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</si>
  <si>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</si>
  <si>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</si>
  <si>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</si>
  <si>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</si>
  <si>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</si>
  <si>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</si>
  <si>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</si>
  <si>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</si>
  <si>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</si>
  <si>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</si>
  <si>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</si>
  <si>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</si>
  <si>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</si>
  <si>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</si>
  <si>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</si>
  <si>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</si>
  <si>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</si>
  <si>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</si>
  <si>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</si>
  <si>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</si>
  <si>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</si>
  <si>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</si>
  <si>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</si>
  <si>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</si>
  <si>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</si>
  <si>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</si>
  <si>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</si>
  <si>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</si>
  <si>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</si>
  <si>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</si>
  <si>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</si>
  <si>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</si>
  <si>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</si>
  <si>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</si>
  <si>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</si>
  <si>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</si>
  <si>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</si>
  <si>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</si>
  <si>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</si>
  <si>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</si>
  <si>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</si>
  <si>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</si>
  <si>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</si>
  <si>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</si>
  <si>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</si>
  <si>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</si>
  <si>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</si>
  <si>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</si>
  <si>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</si>
  <si>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</si>
  <si>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</si>
  <si>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</si>
  <si>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</si>
  <si>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</si>
  <si>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</si>
  <si>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</si>
  <si>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</si>
  <si>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</si>
  <si>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</si>
  <si>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</si>
  <si>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</si>
  <si>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</si>
  <si>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</si>
  <si>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</si>
  <si>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</si>
  <si>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</si>
  <si>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</si>
  <si>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</si>
  <si>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</si>
  <si>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</si>
  <si>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</si>
  <si>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</si>
  <si>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</si>
  <si>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</si>
  <si>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</si>
  <si>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</si>
  <si>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</si>
  <si>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</si>
  <si>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</si>
  <si>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</si>
  <si>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</si>
  <si>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</si>
  <si>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</si>
  <si>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</si>
  <si>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</si>
  <si>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</si>
  <si>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</si>
  <si>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</si>
  <si>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</si>
  <si>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</si>
  <si>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</si>
  <si>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</si>
  <si>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</si>
  <si>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</si>
  <si>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</si>
  <si>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</si>
  <si>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</si>
  <si>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</si>
  <si>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</si>
  <si>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</si>
  <si>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</si>
  <si>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</si>
  <si>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</si>
  <si>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</si>
  <si>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</si>
  <si>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</si>
  <si>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</si>
  <si>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</si>
  <si>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</si>
  <si>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</si>
  <si>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</si>
  <si>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</si>
  <si>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</si>
  <si>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</si>
  <si>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</si>
  <si>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</si>
  <si>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</si>
  <si>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</si>
  <si>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</si>
  <si>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</si>
  <si>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</si>
  <si>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</si>
  <si>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</si>
  <si>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</si>
  <si>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</si>
  <si>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</si>
  <si>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</si>
  <si>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</si>
  <si>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</si>
  <si>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</si>
  <si>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</si>
  <si>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</si>
  <si>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</si>
  <si>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</si>
  <si>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</si>
  <si>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</si>
  <si>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</si>
  <si>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</si>
  <si>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</si>
  <si>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</si>
  <si>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</si>
  <si>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</si>
  <si>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</si>
  <si>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</si>
  <si>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</si>
  <si>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</si>
  <si>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</si>
  <si>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</si>
  <si>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</si>
  <si>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</si>
  <si>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</si>
  <si>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</si>
  <si>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</si>
  <si>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</si>
  <si>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</si>
  <si>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</si>
  <si>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</si>
  <si>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</si>
  <si>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</si>
  <si>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</si>
  <si>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</si>
  <si>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</si>
  <si>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</si>
  <si>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</si>
  <si>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</si>
  <si>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</si>
  <si>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</si>
  <si>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</si>
  <si>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</si>
  <si>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</si>
  <si>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</si>
  <si>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</si>
  <si>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</si>
  <si>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</si>
  <si>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</si>
  <si>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</si>
  <si>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</si>
  <si>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</si>
  <si>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</si>
  <si>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</si>
  <si>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</si>
  <si>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</si>
  <si>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</si>
  <si>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</si>
  <si>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</si>
  <si>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</si>
  <si>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</si>
  <si>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</si>
  <si>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</si>
  <si>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</si>
  <si>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</si>
  <si>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</si>
  <si>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</si>
  <si>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</si>
  <si>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</si>
  <si>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</si>
  <si>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</si>
  <si>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</si>
  <si>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</si>
  <si>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</si>
  <si>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</si>
  <si>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</si>
  <si>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</si>
  <si>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</si>
  <si>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</si>
  <si>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</si>
  <si>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</si>
  <si>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</si>
  <si>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</si>
  <si>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</si>
  <si>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</si>
  <si>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</si>
  <si>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</si>
  <si>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</si>
  <si>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</si>
  <si>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</si>
  <si>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</si>
  <si>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</si>
  <si>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</si>
  <si>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</si>
  <si>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</si>
  <si>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</si>
  <si>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</si>
  <si>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</si>
  <si>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</si>
  <si>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</si>
  <si>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</si>
  <si>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</si>
  <si>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</si>
  <si>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</si>
  <si>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</si>
  <si>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</si>
  <si>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</si>
  <si>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</si>
  <si>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</si>
  <si>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</si>
  <si>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</si>
  <si>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</si>
  <si>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</si>
  <si>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</si>
  <si>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</si>
  <si>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</si>
  <si>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</si>
  <si>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</si>
  <si>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</si>
  <si>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</si>
  <si>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</si>
  <si>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</si>
  <si>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</si>
  <si>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</si>
  <si>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</si>
  <si>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</si>
  <si>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</si>
  <si>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</si>
  <si>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</si>
  <si>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</si>
  <si>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</si>
  <si>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</si>
  <si>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</si>
  <si>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</si>
  <si>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</si>
  <si>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</si>
  <si>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</si>
  <si>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</si>
  <si>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</si>
  <si>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</si>
  <si>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</si>
  <si>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</si>
  <si>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</si>
  <si>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</si>
  <si>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</si>
  <si>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</si>
  <si>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</si>
  <si>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</si>
  <si>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</si>
  <si>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</si>
  <si>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</si>
  <si>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</si>
  <si>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</si>
  <si>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</si>
  <si>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</si>
  <si>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</si>
  <si>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</si>
  <si>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</si>
  <si>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</si>
  <si>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</si>
  <si>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</si>
  <si>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</si>
  <si>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</si>
  <si>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</si>
  <si>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</si>
  <si>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</si>
  <si>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</si>
  <si>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</si>
  <si>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</si>
  <si>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</si>
  <si>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</si>
  <si>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</si>
  <si>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 Ghani Store</t>
  </si>
  <si>
    <t>Hafiz Store</t>
  </si>
  <si>
    <t>Groccer Store</t>
  </si>
  <si>
    <t xml:space="preserve">Smart Mart </t>
  </si>
  <si>
    <t>Rehmat Cash N Carry</t>
  </si>
  <si>
    <t>Ajwa Store</t>
  </si>
  <si>
    <t>Marwa Store</t>
  </si>
  <si>
    <t>786 Store</t>
  </si>
  <si>
    <t>Shareef Store</t>
  </si>
  <si>
    <t>Abdullah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</si>
</sst>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D3" sqref="D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Ghani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Groccer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Smart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90</v>
      </c>
      <c r="I7" s="235">
        <f>(G7*D7)*F7+H7*F7</f>
        <v>4721.625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377.72999999999996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165.25687500000004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4178.6381249999995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892.37288135593178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25.35505503177966</v>
      </c>
      <c r="P7" s="310">
        <f>M7+N7+O7</f>
        <v>5096.3660613877109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Rehmat Cash N Carry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Ajwa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293.78999999999996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3250.0518750000001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19.720598358050847</v>
      </c>
      <c r="P9" s="311">
        <f t="shared" si="2"/>
        <v>3963.8402699682201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Marwa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85</v>
      </c>
      <c r="I10" s="236">
        <f t="shared" si="0"/>
        <v>6174.4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493.952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216.10400000000001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5464.3439999999991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1166.949152542373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33.156465762711868</v>
      </c>
      <c r="P10" s="311">
        <f t="shared" si="2"/>
        <v>6664.4496183050842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786 Store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Shareef Store</v>
      </c>
      <c r="T11" s="301">
        <f>+'9'!P35</f>
        <v>1568.1057925423729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Abdullah Store</v>
      </c>
      <c r="T12" s="301">
        <f>+'10'!P35</f>
        <v>6795.1547485169476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11.5</v>
      </c>
      <c r="H16" s="113">
        <f t="shared" ref="H16:M16" si="3">SUM(H7:H15)</f>
        <v>460</v>
      </c>
      <c r="I16" s="114">
        <f t="shared" si="3"/>
        <v>28571.800000000003</v>
      </c>
      <c r="J16" s="274">
        <f>SUM(J7:J15)</f>
        <v>2285.7439999999997</v>
      </c>
      <c r="K16" s="275">
        <f t="shared" si="3"/>
        <v>1000.0130000000001</v>
      </c>
      <c r="L16" s="276">
        <f t="shared" si="3"/>
        <v>0</v>
      </c>
      <c r="M16" s="232">
        <f t="shared" si="3"/>
        <v>25286.042999999998</v>
      </c>
      <c r="N16" s="233">
        <f>SUM(N7:N15)</f>
        <v>5399.9999999999982</v>
      </c>
      <c r="O16" s="101">
        <f>SUM(O7:O15)</f>
        <v>153.430215</v>
      </c>
      <c r="P16" s="113">
        <f>SUM(P7:P15)</f>
        <v>30839.473214999995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28571.800000000003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2285.7439999999997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1000.0130000000001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25286.043000000005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5399.9999999999982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30686.043000000005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153.430215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30839.473215000005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30839.473214999998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topLeftCell="A4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3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6295.5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503.64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220.34250000000003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5571.5174999999999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6761.3480084745752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74" t="s">
        <v>88</v>
      </c>
      <c r="O35" s="375"/>
      <c r="P35" s="297">
        <f>+P33+P34</f>
        <v>6795.1547485169476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2026-10-17T04:43:05Z</dcterms:modified>
</cp:coreProperties>
</file>