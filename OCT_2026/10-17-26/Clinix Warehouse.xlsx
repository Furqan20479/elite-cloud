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D53C389-C4DD-4AC4-ADF4-BF036C237E09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  <definedName name="_xlnm.Print_Area" localSheetId="5">'2'!$A$1:$Q$37</definedName>
  </definedNames>
  <calcPr calcId="191029"/>
</workbook>
</file>

<file path=xl/calcChain.xml><?xml version="1.0" encoding="utf-8"?>
<calcChain xmlns="http://schemas.openxmlformats.org/spreadsheetml/2006/main">
  <c r="H15" i="62" l="1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G16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M21" i="43" s="1"/>
  <c r="O21" i="43" s="1"/>
  <c r="P21" i="43" s="1"/>
  <c r="J21" i="43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3"/>
  <c r="O20" i="43" s="1"/>
  <c r="P20" i="43" s="1"/>
  <c r="R20" i="4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<sst xmlns="http://schemas.openxmlformats.org/spreadsheetml/2006/main" count="3913" uniqueCount="518">
  <si>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</si>
  <si>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</si>
  <si>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</si>
  <si>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</si>
  <si>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</si>
  <si>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</si>
  <si>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</si>
  <si>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</si>
  <si>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</si>
  <si>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</si>
  <si>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</si>
  <si>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</si>
  <si>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</si>
  <si>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</si>
  <si>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</si>
  <si>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</si>
  <si>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</si>
  <si>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</si>
  <si>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</si>
  <si>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</si>
  <si>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</si>
  <si>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</si>
  <si>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</si>
  <si>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</si>
  <si>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</si>
  <si>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</si>
  <si>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</si>
  <si>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</si>
  <si>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</si>
  <si>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</si>
  <si>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</si>
  <si>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</si>
  <si>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</si>
  <si>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</si>
  <si>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</si>
  <si>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</si>
  <si>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</si>
  <si>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</si>
  <si>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</si>
  <si>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</si>
  <si>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</si>
  <si>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</si>
  <si>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</si>
  <si>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</si>
  <si>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</si>
  <si>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</si>
  <si>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</si>
  <si>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</si>
  <si>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</si>
  <si>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</si>
  <si>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</si>
  <si>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</si>
  <si>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</si>
  <si>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</si>
  <si>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</si>
  <si>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</si>
  <si>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</si>
  <si>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</si>
  <si>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</si>
  <si>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</si>
  <si>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</si>
  <si>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</si>
  <si>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</si>
  <si>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</si>
  <si>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</si>
  <si>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</si>
  <si>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</si>
  <si>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</si>
  <si>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</si>
  <si>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</si>
  <si>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</si>
  <si>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</si>
  <si>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</si>
  <si>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</si>
  <si>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</si>
  <si>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</si>
  <si>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</si>
  <si>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</si>
  <si>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</si>
  <si>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</si>
  <si>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</si>
  <si>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</si>
  <si>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</si>
  <si>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</si>
  <si>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</si>
  <si>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</si>
  <si>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</si>
  <si>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</si>
  <si>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</si>
  <si>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</si>
  <si>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</si>
  <si>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</si>
  <si>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</si>
  <si>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</si>
  <si>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</si>
  <si>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</si>
  <si>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</si>
  <si>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</si>
  <si>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</si>
  <si>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</si>
  <si>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</si>
  <si>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</si>
  <si>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</si>
  <si>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</si>
  <si>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</si>
  <si>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</si>
  <si>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</si>
  <si>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</si>
  <si>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</si>
  <si>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</si>
  <si>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</si>
  <si>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</si>
  <si>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</si>
  <si>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</si>
  <si>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</si>
  <si>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</si>
  <si>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</si>
  <si>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</si>
  <si>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</si>
  <si>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</si>
  <si>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</si>
  <si>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</si>
  <si>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</si>
  <si>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</si>
  <si>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</si>
  <si>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</si>
  <si>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</si>
  <si>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</si>
  <si>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</si>
  <si>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</si>
  <si>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</si>
  <si>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</si>
  <si>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</si>
  <si>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</si>
  <si>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</si>
  <si>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</si>
  <si>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</si>
  <si>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</si>
  <si>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</si>
  <si>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</si>
  <si>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</si>
  <si>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</si>
  <si>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</si>
  <si>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</si>
  <si>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</si>
  <si>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</si>
  <si>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</si>
  <si>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</si>
  <si>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</si>
  <si>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</si>
  <si>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</si>
  <si>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</si>
  <si>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</si>
  <si>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</si>
  <si>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</si>
  <si>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</si>
  <si>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</si>
  <si>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</si>
  <si>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</si>
  <si>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</si>
  <si>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</si>
  <si>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</si>
  <si>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</si>
  <si>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</si>
  <si>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</si>
  <si>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</si>
  <si>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</si>
  <si>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</si>
  <si>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</si>
  <si>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</si>
  <si>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</si>
  <si>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</si>
  <si>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</si>
  <si>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</si>
  <si>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</si>
  <si>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</si>
  <si>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</si>
  <si>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</si>
  <si>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</si>
  <si>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</si>
  <si>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</si>
  <si>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</si>
  <si>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</si>
  <si>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</si>
  <si>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</si>
  <si>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</si>
  <si>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</si>
  <si>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</si>
  <si>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</si>
  <si>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</si>
  <si>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</si>
  <si>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</si>
  <si>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</si>
  <si>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</si>
  <si>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</si>
  <si>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</si>
  <si>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</si>
  <si>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</si>
  <si>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</si>
  <si>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</si>
  <si>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</si>
  <si>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</si>
  <si>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</si>
  <si>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</si>
  <si>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</si>
  <si>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</si>
  <si>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</si>
  <si>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</si>
  <si>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</si>
  <si>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</si>
  <si>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</si>
  <si>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</si>
  <si>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</si>
  <si>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</si>
  <si>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</si>
  <si>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</si>
  <si>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</si>
  <si>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</si>
  <si>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</si>
  <si>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</si>
  <si>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</si>
  <si>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</si>
  <si>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</si>
  <si>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</si>
  <si>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</si>
  <si>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</si>
  <si>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</si>
  <si>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</si>
  <si>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</si>
  <si>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</si>
  <si>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</si>
  <si>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</si>
  <si>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</si>
  <si>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</si>
  <si>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</si>
  <si>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</si>
  <si>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</si>
  <si>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</si>
  <si>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</si>
  <si>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</si>
  <si>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</si>
  <si>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</si>
  <si>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</si>
  <si>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</si>
  <si>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</si>
  <si>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</si>
  <si>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</si>
  <si>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</si>
  <si>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</si>
  <si>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</si>
  <si>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</si>
  <si>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</si>
  <si>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</si>
  <si>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</si>
  <si>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</si>
  <si>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</si>
  <si>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</si>
  <si>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</si>
  <si>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</si>
  <si>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</si>
  <si>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</si>
  <si>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</si>
  <si>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</si>
  <si>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</si>
  <si>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</si>
  <si>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</si>
  <si>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</si>
  <si>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</si>
  <si>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</si>
  <si>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</si>
  <si>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</si>
  <si>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</si>
  <si>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</si>
  <si>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</si>
  <si>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</si>
  <si>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</si>
  <si>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</si>
  <si>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</si>
  <si>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</si>
  <si>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</si>
  <si>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</si>
  <si>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</si>
  <si>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</si>
  <si>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</si>
  <si>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</si>
  <si>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</si>
  <si>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</si>
  <si>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</si>
  <si>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</si>
  <si>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</si>
  <si>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</si>
  <si>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</si>
  <si>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</si>
  <si>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</si>
  <si>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</si>
  <si>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</si>
  <si>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</si>
  <si>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</si>
  <si>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</si>
  <si>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</si>
  <si>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</si>
  <si>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</si>
  <si>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</si>
  <si>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</si>
  <si>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</si>
  <si>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</si>
  <si>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</si>
  <si>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</si>
  <si>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</si>
  <si>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</si>
  <si>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</si>
  <si>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</si>
  <si>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</si>
  <si>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</si>
  <si>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</si>
  <si>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</si>
  <si>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</si>
  <si>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</si>
  <si>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</si>
  <si>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</si>
  <si>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</si>
  <si>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</si>
  <si>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</si>
  <si>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</si>
  <si>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</si>
  <si>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</si>
  <si>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</si>
  <si>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</si>
  <si>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</si>
  <si>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</si>
  <si>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</si>
  <si>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</si>
  <si>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</si>
  <si>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</si>
  <si>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</si>
  <si>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</si>
  <si>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</si>
  <si>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</si>
  <si>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</si>
  <si>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</si>
  <si>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</si>
  <si>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</si>
  <si>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</si>
  <si>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</si>
  <si>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</si>
  <si>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</si>
  <si>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</si>
  <si>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</si>
  <si>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</si>
  <si>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</si>
  <si>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</si>
  <si>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</si>
  <si>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</si>
  <si>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</si>
  <si>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</si>
  <si>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</si>
  <si>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</si>
  <si>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</si>
  <si>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</si>
  <si>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</si>
  <si>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</si>
  <si>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</si>
  <si>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</si>
  <si>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</si>
  <si>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</si>
  <si>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</si>
  <si>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</si>
  <si>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</si>
  <si>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</si>
  <si>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</si>
  <si>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</si>
  <si>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</si>
  <si>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</si>
  <si>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</si>
  <si>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</si>
  <si>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</si>
  <si>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</si>
  <si>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</si>
  <si>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</si>
  <si>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</si>
  <si>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</si>
  <si>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</si>
  <si>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</si>
  <si>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</si>
  <si>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</si>
  <si>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</si>
  <si>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</si>
  <si>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</si>
  <si>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</si>
  <si>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</si>
  <si>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</si>
  <si>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</si>
  <si>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</si>
  <si>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</si>
  <si>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</si>
  <si>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</si>
  <si>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</si>
  <si>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</si>
  <si>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</si>
  <si>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</si>
  <si>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</si>
  <si>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</si>
  <si>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</si>
  <si>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</si>
  <si>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</si>
  <si>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</si>
  <si>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</si>
  <si>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</si>
  <si>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</si>
  <si>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</si>
  <si>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</si>
  <si>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</si>
  <si>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</si>
  <si>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</si>
  <si>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</si>
  <si>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</si>
  <si>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</si>
  <si>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</si>
  <si>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</si>
  <si>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</si>
  <si>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</si>
  <si>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</si>
  <si>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</si>
  <si>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</si>
  <si>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</si>
  <si>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</si>
  <si>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</si>
  <si>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</si>
  <si>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</si>
  <si>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</si>
  <si>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</si>
  <si>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</si>
  <si>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</si>
  <si>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</si>
  <si>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</si>
  <si>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</si>
  <si>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</si>
  <si>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</si>
  <si>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</si>
  <si>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</si>
  <si>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</si>
  <si>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</si>
  <si>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</si>
  <si>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</si>
  <si>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</si>
  <si>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</si>
  <si>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</si>
  <si>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</si>
  <si>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</si>
  <si>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</si>
  <si>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</si>
  <si>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</si>
  <si>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</si>
  <si>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</si>
  <si>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</si>
  <si>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</si>
  <si>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</si>
  <si>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</si>
  <si>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</si>
  <si>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</si>
  <si>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</si>
  <si>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</si>
  <si>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</si>
  <si>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</si>
  <si>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</si>
  <si>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</si>
  <si>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</si>
  <si>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</si>
  <si>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</si>
  <si>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</si>
  <si>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</si>
  <si>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</si>
  <si>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</si>
  <si>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</si>
  <si>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</si>
  <si>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</si>
  <si>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</si>
  <si>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</si>
  <si>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</si>
  <si>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</si>
  <si>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</si>
  <si>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</si>
  <si>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</si>
  <si>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</si>
  <si>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</si>
  <si>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</si>
  <si>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</si>
  <si>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</si>
  <si>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</si>
  <si>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</si>
  <si>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</si>
  <si>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</si>
  <si>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</si>
  <si>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</si>
  <si>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</si>
  <si>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</si>
  <si>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</si>
  <si>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</si>
  <si>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</si>
  <si>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</si>
  <si>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</si>
  <si>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 xml:space="preserve">Mart Cash </t>
  </si>
  <si>
    <t>Golden Cash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</si>
  <si>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</si>
  <si>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</si>
  <si>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</si>
  <si>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</si>
  <si>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</si>
  <si>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</si>
  <si>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</si>
  <si>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</si>
  <si>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</si>
  <si>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</si>
  <si>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</si>
  <si>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Clinix Central Warehouse</t>
  </si>
  <si>
    <t xml:space="preserve">Address:Multan Road Near Ever New </t>
  </si>
  <si>
    <t>NTN #: 0150979-9</t>
  </si>
  <si>
    <t>Invoice No # :00151561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</si>
</sst>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48"/>
  <sheetViews>
    <sheetView topLeftCell="A4" workbookViewId="0">
      <selection activeCell="F11" sqref="F1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82" t="s">
        <v>91</v>
      </c>
      <c r="B2" s="382"/>
      <c r="C2" s="382"/>
      <c r="E2" s="374" t="s">
        <v>499</v>
      </c>
      <c r="F2" s="375"/>
      <c r="G2" s="375"/>
      <c r="H2" s="372" t="s">
        <v>506</v>
      </c>
      <c r="I2" s="372"/>
      <c r="J2" s="373"/>
      <c r="R2" s="369" t="s">
        <v>498</v>
      </c>
      <c r="S2" s="370"/>
      <c r="T2" s="371"/>
    </row>
    <row r="3" spans="1:20 16377:16378" ht="21.75" customHeight="1" thickBot="1" x14ac:dyDescent="0.4">
      <c r="A3" s="383" t="s">
        <v>92</v>
      </c>
      <c r="B3" s="383"/>
      <c r="C3" s="383"/>
      <c r="E3" s="378" t="s">
        <v>500</v>
      </c>
      <c r="F3" s="379"/>
      <c r="G3" s="379"/>
      <c r="H3" s="376">
        <f>+'1'!N4:N4</f>
        <v>46312</v>
      </c>
      <c r="I3" s="376"/>
      <c r="J3" s="377"/>
      <c r="K3" s="384" t="s">
        <v>43</v>
      </c>
      <c r="L3" s="384"/>
      <c r="M3" s="384"/>
      <c r="N3" s="383"/>
      <c r="O3" s="383"/>
      <c r="P3" s="383"/>
      <c r="R3" s="299">
        <v>1</v>
      </c>
      <c r="S3" s="300" t="str">
        <f>+'1'!A6:A6</f>
        <v>Clinix Central Warehouse</v>
      </c>
      <c r="T3" s="301">
        <f>+'1'!P35</f>
        <v>53489.900100889827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Clinix Central Warehouse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34" t="s">
        <v>51</v>
      </c>
      <c r="B5" s="335"/>
      <c r="C5" s="338" t="s">
        <v>90</v>
      </c>
      <c r="D5" s="115" t="s">
        <v>52</v>
      </c>
      <c r="E5" s="340" t="s">
        <v>58</v>
      </c>
      <c r="F5" s="341"/>
      <c r="G5" s="342" t="s">
        <v>54</v>
      </c>
      <c r="H5" s="343"/>
      <c r="I5" s="344" t="s">
        <v>77</v>
      </c>
      <c r="J5" s="381" t="s">
        <v>55</v>
      </c>
      <c r="K5" s="342"/>
      <c r="L5" s="343"/>
      <c r="M5" s="335" t="s">
        <v>84</v>
      </c>
      <c r="N5" s="380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 xml:space="preserve">Mart Cash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36"/>
      <c r="B6" s="337"/>
      <c r="C6" s="33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45"/>
      <c r="J6" s="143" t="s">
        <v>59</v>
      </c>
      <c r="K6" s="144" t="s">
        <v>39</v>
      </c>
      <c r="L6" s="145" t="s">
        <v>493</v>
      </c>
      <c r="M6" s="337"/>
      <c r="N6" s="345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Fine Dedical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335.76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3714.3450000000003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22.537826694915253</v>
      </c>
      <c r="P7" s="118">
        <f>M7+N7+O7</f>
        <v>4530.103165677966</v>
      </c>
      <c r="Q7" s="142"/>
      <c r="R7" s="299">
        <v>5</v>
      </c>
      <c r="S7" s="300" t="str">
        <f>+'5'!A6:A6</f>
        <v>Golden Cash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120</v>
      </c>
      <c r="I8" s="236">
        <f t="shared" ref="I8:I14" si="0">(G8*D8)*F8+H8*F8</f>
        <v>6295.5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503.64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220.34250000000003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5571.5174999999999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1189.8305084745757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33.80674004237288</v>
      </c>
      <c r="P8" s="119">
        <f t="shared" ref="P8:P15" si="2">M8+N8+O8</f>
        <v>6795.1547485169476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335.76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3714.3450000000003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22.537826694915253</v>
      </c>
      <c r="P9" s="119">
        <f t="shared" si="2"/>
        <v>4530.103165677966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120</v>
      </c>
      <c r="I10" s="236">
        <f t="shared" si="0"/>
        <v>8716.7999999999993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697.34399999999994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305.08800000000002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7714.3679999999995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1647.4576271186443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46.80912813559322</v>
      </c>
      <c r="P10" s="119">
        <f t="shared" si="2"/>
        <v>9408.6347552542375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464.89600000000002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5142.9120000000003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31.206085423728815</v>
      </c>
      <c r="P11" s="119">
        <f t="shared" si="2"/>
        <v>6272.4231701694916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280</v>
      </c>
      <c r="I12" s="236">
        <f t="shared" si="0"/>
        <v>20339.2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1627.1360000000002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711.87200000000007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18000.191999999999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3844.0677966101698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109.22129898305084</v>
      </c>
      <c r="P12" s="119">
        <f t="shared" si="2"/>
        <v>21953.481095593219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119">
        <f t="shared" si="2"/>
        <v>0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85">
        <f>COUNT(A7:A15)</f>
        <v>0</v>
      </c>
      <c r="B16" s="346"/>
      <c r="C16" s="346" t="s">
        <v>40</v>
      </c>
      <c r="D16" s="346"/>
      <c r="E16" s="346"/>
      <c r="F16" s="347"/>
      <c r="G16" s="117">
        <f t="shared" ref="G16:M16" si="3">SUM(G7:G15)</f>
        <v>0</v>
      </c>
      <c r="H16" s="113">
        <f t="shared" si="3"/>
        <v>760</v>
      </c>
      <c r="I16" s="114">
        <f t="shared" si="3"/>
        <v>49556.7</v>
      </c>
      <c r="J16" s="274">
        <f>SUM(J7:J15)</f>
        <v>3964.5360000000001</v>
      </c>
      <c r="K16" s="275">
        <f t="shared" si="3"/>
        <v>1734.4845000000003</v>
      </c>
      <c r="L16" s="276">
        <f t="shared" si="3"/>
        <v>0</v>
      </c>
      <c r="M16" s="232">
        <f t="shared" si="3"/>
        <v>43857.679499999998</v>
      </c>
      <c r="N16" s="233">
        <f>SUM(N7:N15)</f>
        <v>9366.1016949152527</v>
      </c>
      <c r="O16" s="101">
        <f>SUM(O7:O15)</f>
        <v>266.11890597457625</v>
      </c>
      <c r="P16" s="234">
        <f>SUM(P7:P15)</f>
        <v>53489.900100889834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48" t="s">
        <v>64</v>
      </c>
      <c r="C19" s="349"/>
      <c r="D19" s="349"/>
      <c r="E19" s="349"/>
      <c r="F19" s="349"/>
      <c r="G19" s="349"/>
      <c r="H19" s="349"/>
      <c r="I19" s="349"/>
      <c r="J19" s="349"/>
      <c r="K19" s="349"/>
      <c r="L19" s="350"/>
      <c r="N19" s="357" t="s">
        <v>60</v>
      </c>
      <c r="O19" s="358"/>
      <c r="P19" s="139">
        <f>I16</f>
        <v>49556.7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51"/>
      <c r="C20" s="352"/>
      <c r="D20" s="352"/>
      <c r="E20" s="352"/>
      <c r="F20" s="352"/>
      <c r="G20" s="352"/>
      <c r="H20" s="352"/>
      <c r="I20" s="352"/>
      <c r="J20" s="352"/>
      <c r="K20" s="352"/>
      <c r="L20" s="353"/>
      <c r="N20" s="359" t="s">
        <v>85</v>
      </c>
      <c r="O20" s="360"/>
      <c r="P20" s="140">
        <f>+J16</f>
        <v>3964.5360000000001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51"/>
      <c r="C21" s="352"/>
      <c r="D21" s="352"/>
      <c r="E21" s="352"/>
      <c r="F21" s="352"/>
      <c r="G21" s="352"/>
      <c r="H21" s="352"/>
      <c r="I21" s="352"/>
      <c r="J21" s="352"/>
      <c r="K21" s="352"/>
      <c r="L21" s="353"/>
      <c r="N21" s="359" t="s">
        <v>86</v>
      </c>
      <c r="O21" s="360"/>
      <c r="P21" s="140">
        <f>+K16+L16</f>
        <v>1734.4845000000003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51"/>
      <c r="C22" s="352"/>
      <c r="D22" s="352"/>
      <c r="E22" s="352"/>
      <c r="F22" s="352"/>
      <c r="G22" s="352"/>
      <c r="H22" s="352"/>
      <c r="I22" s="352"/>
      <c r="J22" s="352"/>
      <c r="K22" s="352"/>
      <c r="L22" s="353"/>
      <c r="M22" s="131"/>
      <c r="N22" s="359" t="s">
        <v>87</v>
      </c>
      <c r="O22" s="360"/>
      <c r="P22" s="140">
        <f>P19-P20-P21</f>
        <v>43857.679499999998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51"/>
      <c r="C23" s="352"/>
      <c r="D23" s="352"/>
      <c r="E23" s="352"/>
      <c r="F23" s="352"/>
      <c r="G23" s="352"/>
      <c r="H23" s="352"/>
      <c r="I23" s="352"/>
      <c r="J23" s="352"/>
      <c r="K23" s="352"/>
      <c r="L23" s="353"/>
      <c r="M23" s="131"/>
      <c r="N23" s="136" t="s">
        <v>61</v>
      </c>
      <c r="O23" s="133">
        <v>0.18</v>
      </c>
      <c r="P23" s="140">
        <f>+N16</f>
        <v>9366.1016949152527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51"/>
      <c r="C24" s="352"/>
      <c r="D24" s="352"/>
      <c r="E24" s="352"/>
      <c r="F24" s="352"/>
      <c r="G24" s="352"/>
      <c r="H24" s="352"/>
      <c r="I24" s="352"/>
      <c r="J24" s="352"/>
      <c r="K24" s="352"/>
      <c r="L24" s="353"/>
      <c r="M24" s="131"/>
      <c r="N24" s="361" t="s">
        <v>76</v>
      </c>
      <c r="O24" s="362"/>
      <c r="P24" s="140">
        <f>P22+P23</f>
        <v>53223.781194915253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54"/>
      <c r="C25" s="355"/>
      <c r="D25" s="355"/>
      <c r="E25" s="355"/>
      <c r="F25" s="355"/>
      <c r="G25" s="355"/>
      <c r="H25" s="355"/>
      <c r="I25" s="355"/>
      <c r="J25" s="355"/>
      <c r="K25" s="355"/>
      <c r="L25" s="356"/>
      <c r="M25" s="99"/>
      <c r="N25" s="138" t="s">
        <v>83</v>
      </c>
      <c r="O25" s="137" t="e">
        <f>IF(#REF!="Filer",0.5%,2.5%)</f>
        <v>#REF!</v>
      </c>
      <c r="P25" s="140">
        <f>+O16</f>
        <v>266.11890597457625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63" t="s">
        <v>88</v>
      </c>
      <c r="O26" s="364"/>
      <c r="P26" s="297">
        <f>+P24+P25</f>
        <v>53489.900100889827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65"/>
      <c r="D27" s="365"/>
      <c r="E27" s="365"/>
      <c r="F27" s="365"/>
      <c r="G27" s="365"/>
      <c r="H27" s="365"/>
      <c r="I27" s="366"/>
      <c r="J27" s="367"/>
      <c r="K27" s="368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53489.900100889827</v>
      </c>
    </row>
    <row r="44" spans="2:20" x14ac:dyDescent="0.35">
      <c r="B44" t="s">
        <v>508</v>
      </c>
    </row>
    <row r="45" spans="2:20" x14ac:dyDescent="0.35">
      <c r="B45" t="s">
        <v>509</v>
      </c>
    </row>
    <row r="46" spans="2:20" x14ac:dyDescent="0.35">
      <c r="B46" t="s">
        <v>510</v>
      </c>
    </row>
    <row r="47" spans="2:20" x14ac:dyDescent="0.35">
      <c r="B47" t="s">
        <v>511</v>
      </c>
    </row>
    <row r="48" spans="2:20" x14ac:dyDescent="0.35">
      <c r="B48" t="s">
        <v>512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workbookViewId="0">
      <selection activeCell="F6" sqref="F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517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46312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46311</v>
      </c>
      <c r="O5" s="383"/>
      <c r="P5" s="383"/>
      <c r="R5" s="85"/>
      <c r="S5" s="266"/>
    </row>
    <row r="6" spans="1:22 16383:16384" ht="17.2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335.76</v>
      </c>
      <c r="K16" s="127">
        <f>$I16*T16</f>
        <v>146.89500000000001</v>
      </c>
      <c r="L16" s="118">
        <f>$I16*U16</f>
        <v>0</v>
      </c>
      <c r="M16" s="229">
        <f>I16-SUM(J16:L16)</f>
        <v>3714.3450000000003</v>
      </c>
      <c r="N16" s="248">
        <f>+(G16*D16+H16)*V16</f>
        <v>793.22033898305051</v>
      </c>
      <c r="O16" s="238">
        <f>(N16+M16)*$O$15</f>
        <v>22.537826694915253</v>
      </c>
      <c r="P16" s="118">
        <f>M16+N16+O16</f>
        <v>4530.103165677966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120</v>
      </c>
      <c r="I17" s="236">
        <f t="shared" ref="I17:I23" si="0">(G17*D17)*F17+H17*F17</f>
        <v>6295.5</v>
      </c>
      <c r="J17" s="272">
        <f t="shared" ref="J17:L24" si="1">$I17*S17</f>
        <v>503.64</v>
      </c>
      <c r="K17" s="128">
        <f>$I17*T17</f>
        <v>220.34250000000003</v>
      </c>
      <c r="L17" s="119">
        <f>$I17*U17</f>
        <v>0</v>
      </c>
      <c r="M17" s="230">
        <f t="shared" ref="M17:M24" si="2">I17-SUM(J17:L17)</f>
        <v>5571.5174999999999</v>
      </c>
      <c r="N17" s="277">
        <f t="shared" ref="N17:N24" si="3">+(G17*D17+H17)*V17</f>
        <v>1189.8305084745757</v>
      </c>
      <c r="O17" s="239">
        <f t="shared" ref="O17:O24" si="4">(N17+M17)*$O$15</f>
        <v>33.80674004237288</v>
      </c>
      <c r="P17" s="119">
        <f t="shared" ref="P17:P24" si="5">M17+N17+O17</f>
        <v>6795.1547485169476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335.76</v>
      </c>
      <c r="K18" s="128">
        <f t="shared" si="1"/>
        <v>146.89500000000001</v>
      </c>
      <c r="L18" s="119">
        <f t="shared" si="1"/>
        <v>0</v>
      </c>
      <c r="M18" s="230">
        <f t="shared" si="2"/>
        <v>3714.3450000000003</v>
      </c>
      <c r="N18" s="277">
        <f t="shared" si="3"/>
        <v>793.22033898305051</v>
      </c>
      <c r="O18" s="239">
        <f t="shared" si="4"/>
        <v>22.537826694915253</v>
      </c>
      <c r="P18" s="119">
        <f t="shared" si="5"/>
        <v>4530.103165677966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120</v>
      </c>
      <c r="I19" s="236">
        <f t="shared" si="7"/>
        <v>8716.7999999999993</v>
      </c>
      <c r="J19" s="272">
        <f t="shared" si="1"/>
        <v>697.34399999999994</v>
      </c>
      <c r="K19" s="128">
        <f t="shared" si="1"/>
        <v>305.08800000000002</v>
      </c>
      <c r="L19" s="119">
        <f t="shared" si="1"/>
        <v>0</v>
      </c>
      <c r="M19" s="230">
        <f t="shared" si="2"/>
        <v>7714.3679999999995</v>
      </c>
      <c r="N19" s="277">
        <f t="shared" si="3"/>
        <v>1647.4576271186443</v>
      </c>
      <c r="O19" s="239">
        <f t="shared" si="4"/>
        <v>46.80912813559322</v>
      </c>
      <c r="P19" s="119">
        <f t="shared" si="5"/>
        <v>9408.6347552542375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280</v>
      </c>
      <c r="I21" s="236">
        <f t="shared" si="7"/>
        <v>20339.2</v>
      </c>
      <c r="J21" s="272">
        <f t="shared" si="1"/>
        <v>1627.1360000000002</v>
      </c>
      <c r="K21" s="128">
        <f t="shared" si="1"/>
        <v>711.87200000000007</v>
      </c>
      <c r="L21" s="119">
        <f t="shared" si="1"/>
        <v>0</v>
      </c>
      <c r="M21" s="230">
        <f t="shared" si="2"/>
        <v>18000.191999999999</v>
      </c>
      <c r="N21" s="277">
        <f t="shared" si="3"/>
        <v>3844.0677966101698</v>
      </c>
      <c r="O21" s="239">
        <f t="shared" si="4"/>
        <v>109.22129898305084</v>
      </c>
      <c r="P21" s="119">
        <f t="shared" si="5"/>
        <v>21953.481095593219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" si="8">SUM(G16:G24)</f>
        <v>0</v>
      </c>
      <c r="H25" s="113">
        <f t="shared" ref="H25" si="9">SUM(H16:H24)</f>
        <v>760</v>
      </c>
      <c r="I25" s="114">
        <f t="shared" ref="I25:M25" si="10">SUM(I16:I24)</f>
        <v>49556.7</v>
      </c>
      <c r="J25" s="274">
        <f>SUM(J16:J24)</f>
        <v>3964.5360000000001</v>
      </c>
      <c r="K25" s="275">
        <f t="shared" si="10"/>
        <v>1734.4845000000003</v>
      </c>
      <c r="L25" s="276">
        <f t="shared" si="10"/>
        <v>0</v>
      </c>
      <c r="M25" s="232">
        <f t="shared" si="10"/>
        <v>43857.679499999998</v>
      </c>
      <c r="N25" s="233">
        <f>SUM(N16:N24)</f>
        <v>9366.1016949152527</v>
      </c>
      <c r="O25" s="101">
        <f>SUM(O16:O24)</f>
        <v>266.11890597457625</v>
      </c>
      <c r="P25" s="234">
        <f>SUM(P16:P24)</f>
        <v>53489.900100889834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49556.7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3964.5360000000001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1734.4845000000003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43857.679499999998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9366.1016949152527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53223.781194915253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266.11890597457625</v>
      </c>
    </row>
    <row r="35" spans="2:16" ht="15.75" customHeight="1" thickBot="1" x14ac:dyDescent="0.4">
      <c r="N35" s="363" t="s">
        <v>88</v>
      </c>
      <c r="O35" s="364"/>
      <c r="P35" s="297">
        <f>+P33+P34</f>
        <v>53489.900100889827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7.3632812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v>46241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>N4-1</f>
        <v>46240</v>
      </c>
      <c r="O5" s="383"/>
      <c r="P5" s="383"/>
      <c r="R5" s="85"/>
      <c r="S5" s="266"/>
    </row>
    <row r="6" spans="1:22 16383:16384" ht="15" customHeight="1" x14ac:dyDescent="0.4">
      <c r="A6" s="389" t="s">
        <v>514</v>
      </c>
      <c r="B6" s="389"/>
      <c r="C6" s="389"/>
      <c r="F6" s="85"/>
      <c r="G6" s="86"/>
      <c r="K6" s="384" t="s">
        <v>69</v>
      </c>
      <c r="L6" s="384"/>
      <c r="M6" s="384"/>
      <c r="N6" s="386" t="s">
        <v>508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515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86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8.75" customHeight="1" x14ac:dyDescent="0.4">
      <c r="A6" s="389" t="s">
        <v>501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502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503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504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8.75" customHeight="1" x14ac:dyDescent="0.4">
      <c r="A6" s="389" t="s">
        <v>505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F8" sqref="F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82" t="s">
        <v>91</v>
      </c>
      <c r="B2" s="382"/>
      <c r="C2" s="382"/>
    </row>
    <row r="3" spans="1:22 16383:16384" ht="15" customHeight="1" x14ac:dyDescent="0.35">
      <c r="A3" s="383" t="s">
        <v>92</v>
      </c>
      <c r="B3" s="383"/>
      <c r="C3" s="383"/>
      <c r="F3" s="85"/>
      <c r="G3" s="1"/>
      <c r="K3" s="384" t="s">
        <v>43</v>
      </c>
      <c r="L3" s="384"/>
      <c r="M3" s="384"/>
      <c r="N3" s="383"/>
      <c r="O3" s="383"/>
      <c r="P3" s="38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83" t="s">
        <v>507</v>
      </c>
      <c r="B4" s="383"/>
      <c r="C4" s="383"/>
      <c r="F4" s="85"/>
      <c r="G4" s="1"/>
      <c r="K4" s="384" t="s">
        <v>44</v>
      </c>
      <c r="L4" s="384"/>
      <c r="M4" s="384"/>
      <c r="N4" s="387">
        <f ca="1">TODAY()+1</f>
        <v>46313</v>
      </c>
      <c r="O4" s="387"/>
      <c r="P4" s="38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8" t="s">
        <v>492</v>
      </c>
      <c r="B5" s="388"/>
      <c r="C5" s="388"/>
      <c r="F5" s="85"/>
      <c r="G5" s="1"/>
      <c r="K5" s="384" t="s">
        <v>45</v>
      </c>
      <c r="L5" s="384"/>
      <c r="M5" s="384"/>
      <c r="N5" s="387">
        <f ca="1">N4-1</f>
        <v>46312</v>
      </c>
      <c r="O5" s="383"/>
      <c r="P5" s="383"/>
      <c r="R5" s="85"/>
      <c r="S5" s="266"/>
    </row>
    <row r="6" spans="1:22 16383:16384" ht="15" customHeight="1" x14ac:dyDescent="0.4">
      <c r="A6" s="389" t="s">
        <v>496</v>
      </c>
      <c r="B6" s="389"/>
      <c r="C6" s="389"/>
      <c r="F6" s="85"/>
      <c r="G6" s="86"/>
      <c r="K6" s="384" t="s">
        <v>69</v>
      </c>
      <c r="L6" s="384"/>
      <c r="M6" s="384"/>
      <c r="N6" s="386" t="s">
        <v>62</v>
      </c>
      <c r="O6" s="386"/>
      <c r="P6" s="38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84" t="s">
        <v>516</v>
      </c>
      <c r="B7" s="384"/>
      <c r="C7" s="384"/>
      <c r="F7" s="85"/>
      <c r="G7" s="86"/>
      <c r="K7" s="384" t="s">
        <v>66</v>
      </c>
      <c r="L7" s="384"/>
      <c r="M7" s="384"/>
      <c r="N7" s="386" t="s">
        <v>513</v>
      </c>
      <c r="O7" s="386"/>
      <c r="P7" s="38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0" t="s">
        <v>95</v>
      </c>
      <c r="B8" s="390"/>
      <c r="C8" s="390"/>
      <c r="F8" s="85"/>
      <c r="G8" s="86"/>
      <c r="K8" s="384" t="s">
        <v>67</v>
      </c>
      <c r="L8" s="384"/>
      <c r="M8" s="384"/>
      <c r="N8" s="386" t="s">
        <v>513</v>
      </c>
      <c r="O8" s="386"/>
      <c r="P8" s="386"/>
      <c r="R8" s="85"/>
      <c r="S8" s="267"/>
    </row>
    <row r="9" spans="1:22 16383:16384" x14ac:dyDescent="0.35">
      <c r="A9" s="390" t="s">
        <v>96</v>
      </c>
      <c r="B9" s="390"/>
      <c r="C9" s="390"/>
      <c r="F9" s="85"/>
      <c r="G9" s="86"/>
      <c r="K9" s="384" t="s">
        <v>68</v>
      </c>
      <c r="L9" s="384"/>
      <c r="M9" s="384"/>
      <c r="N9" s="386" t="s">
        <v>104</v>
      </c>
      <c r="O9" s="386"/>
      <c r="P9" s="386"/>
      <c r="R9" s="85"/>
      <c r="S9" s="267"/>
      <c r="XFD9" t="s">
        <v>49</v>
      </c>
    </row>
    <row r="10" spans="1:22 16383:16384" x14ac:dyDescent="0.35">
      <c r="A10" s="390" t="s">
        <v>97</v>
      </c>
      <c r="B10" s="390"/>
      <c r="C10" s="390"/>
      <c r="F10" s="85"/>
      <c r="G10" s="1"/>
      <c r="K10" s="384" t="s">
        <v>46</v>
      </c>
      <c r="L10" s="384"/>
      <c r="M10" s="384"/>
      <c r="N10" s="383" t="s">
        <v>47</v>
      </c>
      <c r="O10" s="383"/>
      <c r="P10" s="38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84" t="s">
        <v>48</v>
      </c>
      <c r="L11" s="384"/>
      <c r="M11" s="384"/>
      <c r="N11" s="386" t="s">
        <v>49</v>
      </c>
      <c r="O11" s="386"/>
      <c r="P11" s="38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84" t="s">
        <v>50</v>
      </c>
      <c r="L12" s="384"/>
      <c r="M12" s="384"/>
      <c r="N12" s="383"/>
      <c r="O12" s="383"/>
      <c r="P12" s="38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34" t="s">
        <v>51</v>
      </c>
      <c r="B14" s="335"/>
      <c r="C14" s="338" t="s">
        <v>90</v>
      </c>
      <c r="D14" s="115" t="s">
        <v>52</v>
      </c>
      <c r="E14" s="340" t="s">
        <v>58</v>
      </c>
      <c r="F14" s="341"/>
      <c r="G14" s="342" t="s">
        <v>54</v>
      </c>
      <c r="H14" s="343"/>
      <c r="I14" s="344" t="s">
        <v>77</v>
      </c>
      <c r="J14" s="381" t="s">
        <v>55</v>
      </c>
      <c r="K14" s="342"/>
      <c r="L14" s="343"/>
      <c r="M14" s="335" t="s">
        <v>84</v>
      </c>
      <c r="N14" s="380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36"/>
      <c r="B15" s="337"/>
      <c r="C15" s="33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45"/>
      <c r="J15" s="143" t="s">
        <v>59</v>
      </c>
      <c r="K15" s="144" t="s">
        <v>39</v>
      </c>
      <c r="L15" s="145" t="s">
        <v>493</v>
      </c>
      <c r="M15" s="337"/>
      <c r="N15" s="345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49"/>
      <c r="L28" s="350"/>
      <c r="N28" s="357" t="s">
        <v>60</v>
      </c>
      <c r="O28" s="358"/>
      <c r="P28" s="139">
        <f>I25</f>
        <v>0</v>
      </c>
    </row>
    <row r="29" spans="1:22 16384:16384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2"/>
      <c r="L29" s="353"/>
      <c r="N29" s="359" t="s">
        <v>85</v>
      </c>
      <c r="O29" s="360"/>
      <c r="P29" s="140">
        <f>+J25</f>
        <v>0</v>
      </c>
    </row>
    <row r="30" spans="1:22 16384:16384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2"/>
      <c r="L30" s="353"/>
      <c r="N30" s="359" t="s">
        <v>86</v>
      </c>
      <c r="O30" s="360"/>
      <c r="P30" s="140">
        <f>+K25+L25</f>
        <v>0</v>
      </c>
    </row>
    <row r="31" spans="1:22 16384:16384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2"/>
      <c r="L31" s="353"/>
      <c r="M31" s="131"/>
      <c r="N31" s="359" t="s">
        <v>87</v>
      </c>
      <c r="O31" s="360"/>
      <c r="P31" s="140">
        <f>P28-P29-P30</f>
        <v>0</v>
      </c>
    </row>
    <row r="32" spans="1:22 16384:16384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2"/>
      <c r="L32" s="35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2"/>
      <c r="L33" s="353"/>
      <c r="M33" s="131"/>
      <c r="N33" s="361" t="s">
        <v>76</v>
      </c>
      <c r="O33" s="362"/>
      <c r="P33" s="140">
        <f>P31+P32</f>
        <v>0</v>
      </c>
    </row>
    <row r="34" spans="2:16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5"/>
      <c r="L34" s="35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63" t="s">
        <v>88</v>
      </c>
      <c r="O35" s="364"/>
      <c r="P35" s="297">
        <f>+P33+P34</f>
        <v>0</v>
      </c>
    </row>
    <row r="36" spans="2:16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367"/>
      <c r="K36" s="36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82" t="s">
        <v>91</v>
      </c>
      <c r="B2" s="382"/>
      <c r="C2" s="382"/>
    </row>
    <row r="3" spans="1:18 16382:16383" ht="15" customHeight="1" x14ac:dyDescent="0.35">
      <c r="A3" s="383" t="s">
        <v>92</v>
      </c>
      <c r="B3" s="383"/>
      <c r="C3" s="383"/>
      <c r="F3" s="85"/>
      <c r="G3" s="1"/>
      <c r="J3" s="384" t="s">
        <v>43</v>
      </c>
      <c r="K3" s="384"/>
      <c r="L3" s="384"/>
      <c r="M3" s="383"/>
      <c r="N3" s="383"/>
      <c r="O3" s="38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83" t="s">
        <v>65</v>
      </c>
      <c r="B4" s="383"/>
      <c r="C4" s="383"/>
      <c r="F4" s="85"/>
      <c r="G4" s="1"/>
      <c r="J4" s="384" t="s">
        <v>44</v>
      </c>
      <c r="K4" s="384"/>
      <c r="L4" s="384"/>
      <c r="M4" s="387">
        <f ca="1">TODAY()+1</f>
        <v>46313</v>
      </c>
      <c r="N4" s="387"/>
      <c r="O4" s="38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8" t="s">
        <v>93</v>
      </c>
      <c r="B5" s="388"/>
      <c r="C5" s="388"/>
      <c r="F5" s="85"/>
      <c r="G5" s="1"/>
      <c r="J5" s="384" t="s">
        <v>45</v>
      </c>
      <c r="K5" s="384"/>
      <c r="L5" s="384"/>
      <c r="M5" s="387">
        <f ca="1">M4-1</f>
        <v>46312</v>
      </c>
      <c r="N5" s="383"/>
      <c r="O5" s="383"/>
      <c r="Q5" s="85"/>
      <c r="R5" s="1"/>
    </row>
    <row r="6" spans="1:18 16382:16383" ht="15" customHeight="1" x14ac:dyDescent="0.35">
      <c r="A6" s="384" t="s">
        <v>94</v>
      </c>
      <c r="B6" s="384"/>
      <c r="C6" s="384"/>
      <c r="F6" s="85"/>
      <c r="G6" s="86"/>
      <c r="J6" s="384" t="s">
        <v>69</v>
      </c>
      <c r="K6" s="384"/>
      <c r="L6" s="384"/>
      <c r="M6" s="386" t="s">
        <v>62</v>
      </c>
      <c r="N6" s="386"/>
      <c r="O6" s="38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84" t="s">
        <v>73</v>
      </c>
      <c r="B7" s="384"/>
      <c r="C7" s="384"/>
      <c r="F7" s="85"/>
      <c r="G7" s="86"/>
      <c r="J7" s="384" t="s">
        <v>66</v>
      </c>
      <c r="K7" s="384"/>
      <c r="L7" s="384"/>
      <c r="M7" s="386" t="s">
        <v>70</v>
      </c>
      <c r="N7" s="386"/>
      <c r="O7" s="38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0" t="s">
        <v>95</v>
      </c>
      <c r="B8" s="390"/>
      <c r="C8" s="390"/>
      <c r="F8" s="85"/>
      <c r="G8" s="86"/>
      <c r="J8" s="384" t="s">
        <v>67</v>
      </c>
      <c r="K8" s="384"/>
      <c r="L8" s="384"/>
      <c r="M8" s="386" t="s">
        <v>71</v>
      </c>
      <c r="N8" s="386"/>
      <c r="O8" s="386"/>
      <c r="Q8" s="85"/>
      <c r="R8" s="86"/>
    </row>
    <row r="9" spans="1:18 16382:16383" x14ac:dyDescent="0.35">
      <c r="A9" s="390" t="s">
        <v>96</v>
      </c>
      <c r="B9" s="390"/>
      <c r="C9" s="390"/>
      <c r="F9" s="85"/>
      <c r="G9" s="86"/>
      <c r="J9" s="384" t="s">
        <v>68</v>
      </c>
      <c r="K9" s="384"/>
      <c r="L9" s="384"/>
      <c r="M9" s="386" t="s">
        <v>104</v>
      </c>
      <c r="N9" s="386"/>
      <c r="O9" s="386"/>
      <c r="Q9" s="85"/>
      <c r="R9" s="86"/>
      <c r="XFC9" t="s">
        <v>49</v>
      </c>
    </row>
    <row r="10" spans="1:18 16382:16383" x14ac:dyDescent="0.35">
      <c r="A10" s="390" t="s">
        <v>97</v>
      </c>
      <c r="B10" s="390"/>
      <c r="C10" s="390"/>
      <c r="F10" s="85"/>
      <c r="G10" s="1"/>
      <c r="J10" s="384" t="s">
        <v>46</v>
      </c>
      <c r="K10" s="384"/>
      <c r="L10" s="384"/>
      <c r="M10" s="383" t="s">
        <v>47</v>
      </c>
      <c r="N10" s="383"/>
      <c r="O10" s="38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84" t="s">
        <v>48</v>
      </c>
      <c r="K11" s="384"/>
      <c r="L11" s="384"/>
      <c r="M11" s="383" t="s">
        <v>49</v>
      </c>
      <c r="N11" s="383"/>
      <c r="O11" s="38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84" t="s">
        <v>50</v>
      </c>
      <c r="K12" s="384"/>
      <c r="L12" s="384"/>
      <c r="M12" s="383"/>
      <c r="N12" s="383"/>
      <c r="O12" s="38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34" t="s">
        <v>51</v>
      </c>
      <c r="B14" s="335"/>
      <c r="C14" s="338" t="s">
        <v>90</v>
      </c>
      <c r="D14" s="88" t="s">
        <v>52</v>
      </c>
      <c r="E14" s="95" t="s">
        <v>74</v>
      </c>
      <c r="F14" s="115" t="s">
        <v>53</v>
      </c>
      <c r="G14" s="381" t="s">
        <v>54</v>
      </c>
      <c r="H14" s="343"/>
      <c r="I14" s="344" t="s">
        <v>77</v>
      </c>
      <c r="J14" s="342" t="s">
        <v>55</v>
      </c>
      <c r="K14" s="343"/>
      <c r="L14" s="34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36"/>
      <c r="B15" s="337"/>
      <c r="C15" s="33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45"/>
      <c r="J15" s="144" t="s">
        <v>39</v>
      </c>
      <c r="K15" s="145" t="s">
        <v>59</v>
      </c>
      <c r="L15" s="34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85">
        <f>COUNT(A16:A24)</f>
        <v>0</v>
      </c>
      <c r="B25" s="346"/>
      <c r="C25" s="346" t="s">
        <v>40</v>
      </c>
      <c r="D25" s="346"/>
      <c r="E25" s="346"/>
      <c r="F25" s="34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48" t="s">
        <v>64</v>
      </c>
      <c r="C28" s="349"/>
      <c r="D28" s="349"/>
      <c r="E28" s="349"/>
      <c r="F28" s="349"/>
      <c r="G28" s="349"/>
      <c r="H28" s="349"/>
      <c r="I28" s="349"/>
      <c r="J28" s="349"/>
      <c r="K28" s="350"/>
      <c r="M28" s="357" t="s">
        <v>60</v>
      </c>
      <c r="N28" s="358"/>
      <c r="O28" s="139">
        <f>I25</f>
        <v>1452.8</v>
      </c>
    </row>
    <row r="29" spans="1:18 16383:16383" ht="15" customHeight="1" x14ac:dyDescent="0.35">
      <c r="B29" s="351"/>
      <c r="C29" s="352"/>
      <c r="D29" s="352"/>
      <c r="E29" s="352"/>
      <c r="F29" s="352"/>
      <c r="G29" s="352"/>
      <c r="H29" s="352"/>
      <c r="I29" s="352"/>
      <c r="J29" s="352"/>
      <c r="K29" s="353"/>
      <c r="M29" s="359" t="s">
        <v>85</v>
      </c>
      <c r="N29" s="360"/>
      <c r="O29" s="140">
        <f>K25</f>
        <v>0</v>
      </c>
    </row>
    <row r="30" spans="1:18 16383:16383" ht="15" customHeight="1" x14ac:dyDescent="0.35">
      <c r="B30" s="351"/>
      <c r="C30" s="352"/>
      <c r="D30" s="352"/>
      <c r="E30" s="352"/>
      <c r="F30" s="352"/>
      <c r="G30" s="352"/>
      <c r="H30" s="352"/>
      <c r="I30" s="352"/>
      <c r="J30" s="352"/>
      <c r="K30" s="353"/>
      <c r="M30" s="359" t="s">
        <v>86</v>
      </c>
      <c r="N30" s="360"/>
      <c r="O30" s="140">
        <f>J25</f>
        <v>50.848000000000006</v>
      </c>
    </row>
    <row r="31" spans="1:18 16383:16383" ht="15" customHeight="1" x14ac:dyDescent="0.35">
      <c r="B31" s="351"/>
      <c r="C31" s="352"/>
      <c r="D31" s="352"/>
      <c r="E31" s="352"/>
      <c r="F31" s="352"/>
      <c r="G31" s="352"/>
      <c r="H31" s="352"/>
      <c r="I31" s="352"/>
      <c r="J31" s="352"/>
      <c r="K31" s="353"/>
      <c r="L31" s="131"/>
      <c r="M31" s="359" t="s">
        <v>87</v>
      </c>
      <c r="N31" s="360"/>
      <c r="O31" s="140">
        <f>O28-O29-O30</f>
        <v>1401.952</v>
      </c>
    </row>
    <row r="32" spans="1:18 16383:16383" ht="15" customHeight="1" x14ac:dyDescent="0.35">
      <c r="B32" s="351"/>
      <c r="C32" s="352"/>
      <c r="D32" s="352"/>
      <c r="E32" s="352"/>
      <c r="F32" s="352"/>
      <c r="G32" s="352"/>
      <c r="H32" s="352"/>
      <c r="I32" s="352"/>
      <c r="J32" s="352"/>
      <c r="K32" s="35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51"/>
      <c r="C33" s="352"/>
      <c r="D33" s="352"/>
      <c r="E33" s="352"/>
      <c r="F33" s="352"/>
      <c r="G33" s="352"/>
      <c r="H33" s="352"/>
      <c r="I33" s="352"/>
      <c r="J33" s="352"/>
      <c r="K33" s="353"/>
      <c r="L33" s="131"/>
      <c r="M33" s="361" t="s">
        <v>76</v>
      </c>
      <c r="N33" s="362"/>
      <c r="O33" s="140">
        <f>O31+O32</f>
        <v>1710.3814400000001</v>
      </c>
    </row>
    <row r="34" spans="2:15" ht="15" customHeight="1" thickBot="1" x14ac:dyDescent="0.4">
      <c r="B34" s="354"/>
      <c r="C34" s="355"/>
      <c r="D34" s="355"/>
      <c r="E34" s="355"/>
      <c r="F34" s="355"/>
      <c r="G34" s="355"/>
      <c r="H34" s="355"/>
      <c r="I34" s="355"/>
      <c r="J34" s="355"/>
      <c r="K34" s="35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63" t="s">
        <v>88</v>
      </c>
      <c r="N35" s="364"/>
      <c r="O35" s="141">
        <f>O28-O29+O31+O34</f>
        <v>2897.511536</v>
      </c>
    </row>
    <row r="36" spans="2:15" ht="15" thickBot="1" x14ac:dyDescent="0.4">
      <c r="B36" s="121" t="s">
        <v>63</v>
      </c>
      <c r="C36" s="365"/>
      <c r="D36" s="365"/>
      <c r="E36" s="365"/>
      <c r="F36" s="365"/>
      <c r="G36" s="365"/>
      <c r="H36" s="365"/>
      <c r="I36" s="36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4" t="s">
        <v>439</v>
      </c>
      <c r="E1" s="326" t="s">
        <v>58</v>
      </c>
      <c r="F1" s="326"/>
      <c r="G1" s="327" t="s">
        <v>440</v>
      </c>
      <c r="H1" s="327"/>
      <c r="I1" s="395" t="s">
        <v>441</v>
      </c>
      <c r="J1" s="395"/>
      <c r="K1" s="395" t="s">
        <v>442</v>
      </c>
      <c r="L1" s="395"/>
      <c r="M1" s="391" t="s">
        <v>484</v>
      </c>
      <c r="N1" s="392"/>
      <c r="O1" s="393"/>
    </row>
    <row r="2" spans="3:24" ht="29" x14ac:dyDescent="0.35">
      <c r="C2" s="326"/>
      <c r="D2" s="39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6" t="s">
        <v>476</v>
      </c>
      <c r="D6" s="396"/>
      <c r="E6" s="396"/>
      <c r="F6" s="396"/>
      <c r="G6" s="396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8" t="s">
        <v>58</v>
      </c>
      <c r="F7" s="398"/>
      <c r="G7" s="399" t="s">
        <v>440</v>
      </c>
      <c r="H7" s="327"/>
      <c r="I7" s="328" t="s">
        <v>441</v>
      </c>
      <c r="J7" s="329"/>
      <c r="K7" s="328" t="s">
        <v>442</v>
      </c>
      <c r="L7" s="329"/>
      <c r="M7" s="391" t="s">
        <v>484</v>
      </c>
      <c r="N7" s="392"/>
      <c r="O7" s="393"/>
      <c r="P7" s="256" t="s">
        <v>475</v>
      </c>
      <c r="Q7" s="242" t="s">
        <v>473</v>
      </c>
      <c r="R7" s="394" t="s">
        <v>475</v>
      </c>
      <c r="S7" s="394" t="s">
        <v>485</v>
      </c>
      <c r="T7" s="400" t="s">
        <v>486</v>
      </c>
      <c r="U7" s="400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4"/>
      <c r="S8" s="394"/>
      <c r="T8" s="399"/>
      <c r="U8" s="39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7" t="s">
        <v>477</v>
      </c>
      <c r="D12" s="397"/>
      <c r="E12" s="397"/>
      <c r="F12" s="397"/>
      <c r="G12" s="397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1" t="s">
        <v>484</v>
      </c>
      <c r="N13" s="392"/>
      <c r="O13" s="393"/>
      <c r="P13" s="256" t="s">
        <v>475</v>
      </c>
      <c r="Q13" s="242" t="s">
        <v>473</v>
      </c>
      <c r="R13" s="394" t="s">
        <v>475</v>
      </c>
      <c r="S13" s="394" t="s">
        <v>485</v>
      </c>
      <c r="T13" s="400" t="s">
        <v>486</v>
      </c>
      <c r="U13" s="400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4"/>
      <c r="S14" s="394"/>
      <c r="T14" s="399"/>
      <c r="U14" s="39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6" t="s">
        <v>478</v>
      </c>
      <c r="D19" s="396"/>
      <c r="E19" s="396"/>
      <c r="F19" s="396"/>
      <c r="G19" s="396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1" t="s">
        <v>484</v>
      </c>
      <c r="N20" s="392"/>
      <c r="O20" s="393"/>
      <c r="P20" s="256" t="s">
        <v>475</v>
      </c>
      <c r="Q20" s="242" t="s">
        <v>473</v>
      </c>
      <c r="R20" s="394" t="s">
        <v>475</v>
      </c>
      <c r="S20" s="394" t="s">
        <v>485</v>
      </c>
      <c r="T20" s="400" t="s">
        <v>486</v>
      </c>
      <c r="U20" s="400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4"/>
      <c r="S21" s="394"/>
      <c r="T21" s="399"/>
      <c r="U21" s="39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6" t="s">
        <v>479</v>
      </c>
      <c r="D26" s="396"/>
      <c r="E26" s="396"/>
      <c r="F26" s="396"/>
      <c r="G26" s="396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1" t="s">
        <v>484</v>
      </c>
      <c r="N27" s="392"/>
      <c r="O27" s="393"/>
      <c r="P27" s="256" t="s">
        <v>475</v>
      </c>
      <c r="Q27" s="242" t="s">
        <v>473</v>
      </c>
      <c r="R27" s="394" t="s">
        <v>475</v>
      </c>
      <c r="S27" s="394" t="s">
        <v>485</v>
      </c>
      <c r="T27" s="400" t="s">
        <v>486</v>
      </c>
      <c r="U27" s="400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4"/>
      <c r="S28" s="394"/>
      <c r="T28" s="399"/>
      <c r="U28" s="39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4" t="s">
        <v>439</v>
      </c>
      <c r="D1" s="326" t="s">
        <v>58</v>
      </c>
      <c r="E1" s="326"/>
      <c r="F1" s="327" t="s">
        <v>440</v>
      </c>
      <c r="G1" s="327"/>
      <c r="H1" s="395" t="s">
        <v>441</v>
      </c>
      <c r="I1" s="395"/>
      <c r="J1" s="395" t="s">
        <v>442</v>
      </c>
      <c r="K1" s="395"/>
      <c r="L1" s="391" t="s">
        <v>484</v>
      </c>
      <c r="M1" s="392"/>
      <c r="N1" s="393"/>
    </row>
    <row r="2" spans="2:17" ht="29" x14ac:dyDescent="0.35">
      <c r="B2" s="326"/>
      <c r="C2" s="39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3"/>
      <c r="G60" s="160" t="s">
        <v>195</v>
      </c>
      <c r="H60" s="161" t="s">
        <v>100</v>
      </c>
    </row>
    <row r="61" spans="5:8" x14ac:dyDescent="0.35">
      <c r="E61" s="159" t="s">
        <v>192</v>
      </c>
      <c r="F61" s="403"/>
      <c r="G61" s="160" t="s">
        <v>196</v>
      </c>
      <c r="H61" s="161" t="s">
        <v>98</v>
      </c>
    </row>
    <row r="62" spans="5:8" x14ac:dyDescent="0.35">
      <c r="E62" s="159" t="s">
        <v>192</v>
      </c>
      <c r="F62" s="403"/>
      <c r="G62" s="160" t="s">
        <v>197</v>
      </c>
      <c r="H62" s="161" t="s">
        <v>101</v>
      </c>
    </row>
    <row r="63" spans="5:8" x14ac:dyDescent="0.35">
      <c r="E63" s="159" t="s">
        <v>192</v>
      </c>
      <c r="F63" s="403"/>
      <c r="G63" s="160" t="s">
        <v>198</v>
      </c>
      <c r="H63" s="161" t="s">
        <v>102</v>
      </c>
    </row>
    <row r="64" spans="5:8" x14ac:dyDescent="0.35">
      <c r="E64" s="159" t="s">
        <v>192</v>
      </c>
      <c r="F64" s="403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3"/>
      <c r="G121" s="160" t="s">
        <v>273</v>
      </c>
      <c r="H121" s="161" t="s">
        <v>98</v>
      </c>
    </row>
    <row r="122" spans="5:8" x14ac:dyDescent="0.35">
      <c r="E122" s="159" t="s">
        <v>269</v>
      </c>
      <c r="F122" s="40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3"/>
      <c r="G241" s="160" t="s">
        <v>432</v>
      </c>
      <c r="H241" s="161" t="s">
        <v>98</v>
      </c>
    </row>
    <row r="242" spans="5:8" x14ac:dyDescent="0.35">
      <c r="E242" s="159" t="s">
        <v>428</v>
      </c>
      <c r="F242" s="40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1</vt:i4>
      </vt:variant>
    </vt:vector>
  </HeadingPairs>
  <TitlesOfParts>
    <vt:vector size="39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  <vt:lpstr>'2'!Print_Area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2026-10-17T04:26:26Z</dcterms:modified>
</cp:coreProperties>
</file>