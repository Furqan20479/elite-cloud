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DB35A21-37A9-4988-9BDE-088F3B28320D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J16" i="11" s="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7" i="62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<sst xmlns="http://schemas.openxmlformats.org/spreadsheetml/2006/main" count="3948" uniqueCount="517">
  <si>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</si>
  <si>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</si>
  <si>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</si>
  <si>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</si>
  <si>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</si>
  <si>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</si>
  <si>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</si>
  <si>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</si>
  <si>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</si>
  <si>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</si>
  <si>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</si>
  <si>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</si>
  <si>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</si>
  <si>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</si>
  <si>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</si>
  <si>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</si>
  <si>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</si>
  <si>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</si>
  <si>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</si>
  <si>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</si>
  <si>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</si>
  <si>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</si>
  <si>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</si>
  <si>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</si>
  <si>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</si>
  <si>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</si>
  <si>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</si>
  <si>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</si>
  <si>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</si>
  <si>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</si>
  <si>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</si>
  <si>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</si>
  <si>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</si>
  <si>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</si>
  <si>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</si>
  <si>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</si>
  <si>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</si>
  <si>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</si>
  <si>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</si>
  <si>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</si>
  <si>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</si>
  <si>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</si>
  <si>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</si>
  <si>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</si>
  <si>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</si>
  <si>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</si>
  <si>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</si>
  <si>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</si>
  <si>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</si>
  <si>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</si>
  <si>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</si>
  <si>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</si>
  <si>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</si>
  <si>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</si>
  <si>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</si>
  <si>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</si>
  <si>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</si>
  <si>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</si>
  <si>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</si>
  <si>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</si>
  <si>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</si>
  <si>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</si>
  <si>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</si>
  <si>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</si>
  <si>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</si>
  <si>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</si>
  <si>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</si>
  <si>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</si>
  <si>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</si>
  <si>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</si>
  <si>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</si>
  <si>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</si>
  <si>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</si>
  <si>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</si>
  <si>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</si>
  <si>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</si>
  <si>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</si>
  <si>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</si>
  <si>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</si>
  <si>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</si>
  <si>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</si>
  <si>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</si>
  <si>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</si>
  <si>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</si>
  <si>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</si>
  <si>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</si>
  <si>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</si>
  <si>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</si>
  <si>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</si>
  <si>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</si>
  <si>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</si>
  <si>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</si>
  <si>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</si>
  <si>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</si>
  <si>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</si>
  <si>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</si>
  <si>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</si>
  <si>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</si>
  <si>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</si>
  <si>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</si>
  <si>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</si>
  <si>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</si>
  <si>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</si>
  <si>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</si>
  <si>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</si>
  <si>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</si>
  <si>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</si>
  <si>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</si>
  <si>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</si>
  <si>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</si>
  <si>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</si>
  <si>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</si>
  <si>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</si>
  <si>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</si>
  <si>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</si>
  <si>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</si>
  <si>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</si>
  <si>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</si>
  <si>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</si>
  <si>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</si>
  <si>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</si>
  <si>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</si>
  <si>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</si>
  <si>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</si>
  <si>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</si>
  <si>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</si>
  <si>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</si>
  <si>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</si>
  <si>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</si>
  <si>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</si>
  <si>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</si>
  <si>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</si>
  <si>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</si>
  <si>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</si>
  <si>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</si>
  <si>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</si>
  <si>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</si>
  <si>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</si>
  <si>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</si>
  <si>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</si>
  <si>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</si>
  <si>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</si>
  <si>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</si>
  <si>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</si>
  <si>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</si>
  <si>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</si>
  <si>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</si>
  <si>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</si>
  <si>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</si>
  <si>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</si>
  <si>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</si>
  <si>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</si>
  <si>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</si>
  <si>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</si>
  <si>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</si>
  <si>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</si>
  <si>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</si>
  <si>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</si>
  <si>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</si>
  <si>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</si>
  <si>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</si>
  <si>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</si>
  <si>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</si>
  <si>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</si>
  <si>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</si>
  <si>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</si>
  <si>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</si>
  <si>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</si>
  <si>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</si>
  <si>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</si>
  <si>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</si>
  <si>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</si>
  <si>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</si>
  <si>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</si>
  <si>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</si>
  <si>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</si>
  <si>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</si>
  <si>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</si>
  <si>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</si>
  <si>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</si>
  <si>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</si>
  <si>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</si>
  <si>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</si>
  <si>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</si>
  <si>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</si>
  <si>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</si>
  <si>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</si>
  <si>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</si>
  <si>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</si>
  <si>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</si>
  <si>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</si>
  <si>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</si>
  <si>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</si>
  <si>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</si>
  <si>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</si>
  <si>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</si>
  <si>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</si>
  <si>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</si>
  <si>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</si>
  <si>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</si>
  <si>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</si>
  <si>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</si>
  <si>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</si>
  <si>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</si>
  <si>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</si>
  <si>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</si>
  <si>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</si>
  <si>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</si>
  <si>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</si>
  <si>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</si>
  <si>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</si>
  <si>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</si>
  <si>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</si>
  <si>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</si>
  <si>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</si>
  <si>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</si>
  <si>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</si>
  <si>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</si>
  <si>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</si>
  <si>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</si>
  <si>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</si>
  <si>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</si>
  <si>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</si>
  <si>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</si>
  <si>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</si>
  <si>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</si>
  <si>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</si>
  <si>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</si>
  <si>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</si>
  <si>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</si>
  <si>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</si>
  <si>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</si>
  <si>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</si>
  <si>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</si>
  <si>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</si>
  <si>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</si>
  <si>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</si>
  <si>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</si>
  <si>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</si>
  <si>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</si>
  <si>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</si>
  <si>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</si>
  <si>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</si>
  <si>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</si>
  <si>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</si>
  <si>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</si>
  <si>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</si>
  <si>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</si>
  <si>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</si>
  <si>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</si>
  <si>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</si>
  <si>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</si>
  <si>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</si>
  <si>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</si>
  <si>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</si>
  <si>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</si>
  <si>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</si>
  <si>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</si>
  <si>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</si>
  <si>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</si>
  <si>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</si>
  <si>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</si>
  <si>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</si>
  <si>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</si>
  <si>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</si>
  <si>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</si>
  <si>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</si>
  <si>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</si>
  <si>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</si>
  <si>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</si>
  <si>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</si>
  <si>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</si>
  <si>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</si>
  <si>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</si>
  <si>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</si>
  <si>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</si>
  <si>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</si>
  <si>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</si>
  <si>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</si>
  <si>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</si>
  <si>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</si>
  <si>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</si>
  <si>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</si>
  <si>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</si>
  <si>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</si>
  <si>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</si>
  <si>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</si>
  <si>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</si>
  <si>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</si>
  <si>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</si>
  <si>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</si>
  <si>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</si>
  <si>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</si>
  <si>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</si>
  <si>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</si>
  <si>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</si>
  <si>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</si>
  <si>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</si>
  <si>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</si>
  <si>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</si>
  <si>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</si>
  <si>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</si>
  <si>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</si>
  <si>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</si>
  <si>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</si>
  <si>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</si>
  <si>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</si>
  <si>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</si>
  <si>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</si>
  <si>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</si>
  <si>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</si>
  <si>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</si>
  <si>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</si>
  <si>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</si>
  <si>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</si>
  <si>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</si>
  <si>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</si>
  <si>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</si>
  <si>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</si>
  <si>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</si>
  <si>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</si>
  <si>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</si>
  <si>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</si>
  <si>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</si>
  <si>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</si>
  <si>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</si>
  <si>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</si>
  <si>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</si>
  <si>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</si>
  <si>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</si>
  <si>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</si>
  <si>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</si>
  <si>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</si>
  <si>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</si>
  <si>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</si>
  <si>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</si>
  <si>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</si>
  <si>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</si>
  <si>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</si>
  <si>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</si>
  <si>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</si>
  <si>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</si>
  <si>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</si>
  <si>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</si>
  <si>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</si>
  <si>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</si>
  <si>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</si>
  <si>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</si>
  <si>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</si>
  <si>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</si>
  <si>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</si>
  <si>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</si>
  <si>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</si>
  <si>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</si>
  <si>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</si>
  <si>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</si>
  <si>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</si>
  <si>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</si>
  <si>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</si>
  <si>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</si>
  <si>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</si>
  <si>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</si>
  <si>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</si>
  <si>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</si>
  <si>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</si>
  <si>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</si>
  <si>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</si>
  <si>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</si>
  <si>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</si>
  <si>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</si>
  <si>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</si>
  <si>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</si>
  <si>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</si>
  <si>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</si>
  <si>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</si>
  <si>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</si>
  <si>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</si>
  <si>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</si>
  <si>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</si>
  <si>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</si>
  <si>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</si>
  <si>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</si>
  <si>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</si>
  <si>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</si>
  <si>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</si>
  <si>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</si>
  <si>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</si>
  <si>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</si>
  <si>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</si>
  <si>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</si>
  <si>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</si>
  <si>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</si>
  <si>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</si>
  <si>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</si>
  <si>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</si>
  <si>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</si>
  <si>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</si>
  <si>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</si>
  <si>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</si>
  <si>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</si>
  <si>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</si>
  <si>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</si>
  <si>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</si>
  <si>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</si>
  <si>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</si>
  <si>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</si>
  <si>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</si>
  <si>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</si>
  <si>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</si>
  <si>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</si>
  <si>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</si>
  <si>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</si>
  <si>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</si>
  <si>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</si>
  <si>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</si>
  <si>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</si>
  <si>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</si>
  <si>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</si>
  <si>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</si>
  <si>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</si>
  <si>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</si>
  <si>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</si>
  <si>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</si>
  <si>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</si>
  <si>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</si>
  <si>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</si>
  <si>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</si>
  <si>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</si>
  <si>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</si>
  <si>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</si>
  <si>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</si>
  <si>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</si>
  <si>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</si>
  <si>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</si>
  <si>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</si>
  <si>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</si>
  <si>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</si>
  <si>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</si>
  <si>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</si>
  <si>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</si>
  <si>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</si>
  <si>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</si>
  <si>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</si>
  <si>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</si>
  <si>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</si>
  <si>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</si>
  <si>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</si>
  <si>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</si>
  <si>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</si>
  <si>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</si>
  <si>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</si>
  <si>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</si>
  <si>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</si>
  <si>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</si>
  <si>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</si>
  <si>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</si>
  <si>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</si>
  <si>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</si>
  <si>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</si>
  <si>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</si>
  <si>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</si>
  <si>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</si>
  <si>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</si>
  <si>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</si>
  <si>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</si>
  <si>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</si>
  <si>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</si>
  <si>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</si>
  <si>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</si>
  <si>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</si>
  <si>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</si>
  <si>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</si>
  <si>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</si>
  <si>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</si>
  <si>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</si>
  <si>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</si>
  <si>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</si>
  <si>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</si>
  <si>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</si>
  <si>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</si>
  <si>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</si>
  <si>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</si>
  <si>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</si>
  <si>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</si>
  <si>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</si>
  <si>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</si>
  <si>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</si>
  <si>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</si>
  <si>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</si>
  <si>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</si>
  <si>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</si>
  <si>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</si>
  <si>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</si>
  <si>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</si>
  <si>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</si>
  <si>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</si>
  <si>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</si>
  <si>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</si>
  <si>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</si>
  <si>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</si>
  <si>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</si>
  <si>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</si>
  <si>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</si>
  <si>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</si>
  <si>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</si>
  <si>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</si>
  <si>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</si>
  <si>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</si>
  <si>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</si>
  <si>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</si>
  <si>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</si>
  <si>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</si>
  <si>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Raheem</t>
  </si>
  <si>
    <t>Raheem Store</t>
  </si>
  <si>
    <t xml:space="preserve">Address: Iqbal Town </t>
  </si>
  <si>
    <t xml:space="preserve">NTN : // : A244322-8 </t>
  </si>
  <si>
    <t>Invoice No # : 132154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</si>
</sst>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512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46312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Raheem Store</v>
      </c>
      <c r="T3" s="301">
        <f>+'1'!P35</f>
        <v>63168.138583474574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310">
        <f>M7+N7+O7</f>
        <v>4277.0240656779661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1175.1600000000001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6925.05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42.557453389830506</v>
      </c>
      <c r="P9" s="311">
        <f t="shared" si="2"/>
        <v>8554.0481313559321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1627.1360000000002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9588.48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58.925450847457626</v>
      </c>
      <c r="P10" s="311">
        <f t="shared" si="2"/>
        <v>11844.015620338982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2033.9200000000003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11985.599999999999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73.656813559322032</v>
      </c>
      <c r="P11" s="311">
        <f t="shared" si="2"/>
        <v>14805.019525423728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320</v>
      </c>
      <c r="I12" s="236">
        <f t="shared" si="0"/>
        <v>23244.799999999999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3254.2720000000004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813.5680000000001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19176.96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4393.2203389830511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117.85090169491525</v>
      </c>
      <c r="P12" s="311">
        <f t="shared" si="2"/>
        <v>23688.031240677963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23</v>
      </c>
      <c r="H16" s="113">
        <f t="shared" ref="H16:M16" si="3">SUM(H7:H15)</f>
        <v>920</v>
      </c>
      <c r="I16" s="114">
        <f t="shared" si="3"/>
        <v>61986.2</v>
      </c>
      <c r="J16" s="274">
        <f>SUM(J7:J15)</f>
        <v>8678.0680000000011</v>
      </c>
      <c r="K16" s="275">
        <f t="shared" si="3"/>
        <v>2169.5170000000003</v>
      </c>
      <c r="L16" s="276">
        <f t="shared" si="3"/>
        <v>0</v>
      </c>
      <c r="M16" s="232">
        <f t="shared" si="3"/>
        <v>51138.614999999998</v>
      </c>
      <c r="N16" s="233">
        <f>SUM(N7:N15)</f>
        <v>11715.254237288136</v>
      </c>
      <c r="O16" s="101">
        <f>SUM(O7:O15)</f>
        <v>314.26934618644066</v>
      </c>
      <c r="P16" s="113">
        <f>SUM(P7:P15)</f>
        <v>63168.138583474567</v>
      </c>
      <c r="Q16" s="128">
        <f>SUM(Q7:Q15)</f>
        <v>0</v>
      </c>
      <c r="R16" s="314">
        <v>14</v>
      </c>
      <c r="S16" s="300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61986.2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8678.0680000000011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2169.5170000000003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51138.614999999998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11715.254237288136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62853.869237288134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314.26934618644066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63168.138583474574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63168.138583474574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46311</v>
      </c>
      <c r="O5" s="368"/>
      <c r="P5" s="368"/>
      <c r="R5" s="85"/>
      <c r="S5" s="266"/>
    </row>
    <row r="6" spans="1:22 16383:16384" ht="17.2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310">
        <f>M16+N16+O16</f>
        <v>4277.0240656779661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0</v>
      </c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ref="I18:I21" si="7">(G18*D18)*F18+H18*F18</f>
        <v>8394</v>
      </c>
      <c r="J18" s="272">
        <f t="shared" si="1"/>
        <v>1175.1600000000001</v>
      </c>
      <c r="K18" s="128">
        <f t="shared" si="1"/>
        <v>293.79000000000002</v>
      </c>
      <c r="L18" s="119">
        <f t="shared" si="1"/>
        <v>0</v>
      </c>
      <c r="M18" s="230">
        <f t="shared" si="2"/>
        <v>6925.05</v>
      </c>
      <c r="N18" s="277">
        <f t="shared" si="3"/>
        <v>1586.440677966101</v>
      </c>
      <c r="O18" s="239">
        <f t="shared" si="4"/>
        <v>42.557453389830506</v>
      </c>
      <c r="P18" s="311">
        <f t="shared" si="5"/>
        <v>8554.0481313559321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1627.1360000000002</v>
      </c>
      <c r="K19" s="128">
        <f t="shared" si="1"/>
        <v>406.78400000000005</v>
      </c>
      <c r="L19" s="119">
        <f t="shared" si="1"/>
        <v>0</v>
      </c>
      <c r="M19" s="230">
        <f t="shared" si="2"/>
        <v>9588.48</v>
      </c>
      <c r="N19" s="277">
        <f t="shared" si="3"/>
        <v>2196.6101694915255</v>
      </c>
      <c r="O19" s="239">
        <f t="shared" si="4"/>
        <v>58.925450847457626</v>
      </c>
      <c r="P19" s="311">
        <f t="shared" si="5"/>
        <v>11844.015620338982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311">
        <f t="shared" si="5"/>
        <v>14805.019525423728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320</v>
      </c>
      <c r="I21" s="236">
        <f t="shared" si="7"/>
        <v>23244.799999999999</v>
      </c>
      <c r="J21" s="272">
        <f t="shared" si="1"/>
        <v>3254.2720000000004</v>
      </c>
      <c r="K21" s="128">
        <f t="shared" si="1"/>
        <v>813.5680000000001</v>
      </c>
      <c r="L21" s="119">
        <f t="shared" si="1"/>
        <v>0</v>
      </c>
      <c r="M21" s="230">
        <f t="shared" si="2"/>
        <v>19176.96</v>
      </c>
      <c r="N21" s="277">
        <f t="shared" si="3"/>
        <v>4393.2203389830511</v>
      </c>
      <c r="O21" s="239">
        <f t="shared" si="4"/>
        <v>117.85090169491525</v>
      </c>
      <c r="P21" s="311">
        <f t="shared" si="5"/>
        <v>23688.031240677963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920</v>
      </c>
      <c r="I25" s="114">
        <f t="shared" ref="I25:M25" si="10">SUM(I16:I24)</f>
        <v>61986.2</v>
      </c>
      <c r="J25" s="274">
        <f>SUM(J16:J24)</f>
        <v>8678.0680000000011</v>
      </c>
      <c r="K25" s="275">
        <f t="shared" si="10"/>
        <v>2169.5170000000003</v>
      </c>
      <c r="L25" s="276">
        <f t="shared" si="10"/>
        <v>0</v>
      </c>
      <c r="M25" s="232">
        <f t="shared" si="10"/>
        <v>51138.614999999998</v>
      </c>
      <c r="N25" s="233">
        <f>SUM(N16:N24)</f>
        <v>11715.254237288136</v>
      </c>
      <c r="O25" s="101">
        <f>SUM(O16:O24)</f>
        <v>314.26934618644066</v>
      </c>
      <c r="P25" s="113">
        <f>SUM(P16:P24)</f>
        <v>63168.138583474567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61986.2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8678.0680000000011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2169.5170000000003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51138.614999999998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11715.254237288136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62853.869237288134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314.26934618644066</v>
      </c>
    </row>
    <row r="35" spans="2:16" ht="15.75" customHeight="1" thickBot="1" x14ac:dyDescent="0.4">
      <c r="N35" s="343" t="s">
        <v>88</v>
      </c>
      <c r="O35" s="344"/>
      <c r="P35" s="297">
        <f>+P33+P34</f>
        <v>63168.138583474574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8.7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46237</v>
      </c>
      <c r="O5" s="368"/>
      <c r="P5" s="368"/>
      <c r="R5" s="85"/>
      <c r="S5" s="266"/>
    </row>
    <row r="6" spans="1:22 16383:16384" ht="15" customHeight="1" x14ac:dyDescent="0.4">
      <c r="A6" s="397" t="s">
        <v>513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46313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46312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2026-10-17T04:30:30Z</dcterms:modified>
</cp:coreProperties>
</file>