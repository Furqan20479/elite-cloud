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75285DD-EA5A-4B67-8BCE-6A63C91A970D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M20" i="43" s="1"/>
  <c r="O20" i="43" s="1"/>
  <c r="P20" i="43" s="1"/>
  <c r="R20" i="43" s="1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<sst xmlns="http://schemas.openxmlformats.org/spreadsheetml/2006/main" count="3950" uniqueCount="519">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</sst>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46302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SB Traders </v>
      </c>
      <c r="T3" s="301">
        <f>+'1'!P35</f>
        <v>23688.031240677963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SB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</v>
      </c>
      <c r="H16" s="113">
        <f t="shared" ref="H16:M16" si="3">SUM(H7:H15)</f>
        <v>320</v>
      </c>
      <c r="I16" s="114">
        <f t="shared" si="3"/>
        <v>23244.799999999999</v>
      </c>
      <c r="J16" s="274">
        <f>SUM(J7:J15)</f>
        <v>3254.2719999999999</v>
      </c>
      <c r="K16" s="275">
        <f t="shared" si="3"/>
        <v>813.56799999999998</v>
      </c>
      <c r="L16" s="276">
        <f t="shared" si="3"/>
        <v>0</v>
      </c>
      <c r="M16" s="232">
        <f t="shared" si="3"/>
        <v>19176.96</v>
      </c>
      <c r="N16" s="233">
        <f>SUM(N7:N15)</f>
        <v>4393.2203389830511</v>
      </c>
      <c r="O16" s="101">
        <f>SUM(O7:O15)</f>
        <v>117.85090169491522</v>
      </c>
      <c r="P16" s="113">
        <f>SUM(P7:P15)</f>
        <v>23688.031240677963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23244.799999999999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3254.2719999999999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813.56799999999998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19176.96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4393.2203389830511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23570.180338983049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117.85090169491522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23688.031240677963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23688.031240677963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23244.799999999999</v>
      </c>
      <c r="J25" s="274">
        <f>SUM(J16:J24)</f>
        <v>3254.2719999999999</v>
      </c>
      <c r="K25" s="275">
        <f t="shared" si="10"/>
        <v>813.56799999999998</v>
      </c>
      <c r="L25" s="276">
        <f t="shared" si="10"/>
        <v>0</v>
      </c>
      <c r="M25" s="232">
        <f t="shared" si="10"/>
        <v>19176.96</v>
      </c>
      <c r="N25" s="233">
        <f>SUM(N16:N24)</f>
        <v>4393.2203389830511</v>
      </c>
      <c r="O25" s="101">
        <f>SUM(O16:O24)</f>
        <v>117.85090169491522</v>
      </c>
      <c r="P25" s="113">
        <f>SUM(P16:P24)</f>
        <v>23688.031240677963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23244.799999999999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3254.2719999999999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813.56799999999998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19176.96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4393.2203389830511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23570.180338983049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117.85090169491525</v>
      </c>
    </row>
    <row r="35" spans="2:16" ht="15.75" customHeight="1" thickBot="1" x14ac:dyDescent="0.4">
      <c r="N35" s="373" t="s">
        <v>88</v>
      </c>
      <c r="O35" s="374"/>
      <c r="P35" s="297">
        <f>+P33+P34</f>
        <v>23688.031240677963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516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2026-10-07T04:59:54Z</dcterms:modified>
</cp:coreProperties>
</file>