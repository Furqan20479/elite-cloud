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7599994-E655-403C-BB23-A2710EFA0FA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<sst xmlns="http://schemas.openxmlformats.org/spreadsheetml/2006/main" count="3948" uniqueCount="527">
  <si>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</si>
  <si>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</si>
  <si>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</si>
  <si>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</si>
  <si>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</si>
  <si>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</si>
  <si>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</si>
  <si>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</si>
  <si>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</si>
  <si>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</si>
  <si>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</si>
  <si>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</si>
  <si>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</si>
  <si>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</si>
  <si>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</si>
  <si>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</si>
  <si>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</si>
  <si>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</si>
  <si>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</si>
  <si>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</si>
  <si>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</si>
  <si>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</si>
  <si>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</si>
  <si>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</si>
  <si>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</si>
  <si>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</si>
  <si>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</si>
  <si>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</si>
  <si>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</si>
  <si>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</si>
  <si>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</si>
  <si>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</si>
  <si>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</si>
  <si>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</si>
  <si>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</si>
  <si>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</si>
  <si>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</si>
  <si>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</si>
  <si>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</si>
  <si>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</si>
  <si>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</si>
  <si>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</si>
  <si>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</si>
  <si>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</si>
  <si>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</si>
  <si>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</si>
  <si>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</si>
  <si>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</si>
  <si>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</si>
  <si>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</si>
  <si>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</si>
  <si>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</si>
  <si>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</si>
  <si>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</si>
  <si>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</si>
  <si>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</si>
  <si>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</si>
  <si>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</si>
  <si>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</si>
  <si>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</si>
  <si>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</si>
  <si>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</si>
  <si>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</si>
  <si>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</si>
  <si>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</si>
  <si>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</si>
  <si>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</si>
  <si>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</si>
  <si>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</si>
  <si>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</si>
  <si>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</si>
  <si>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</si>
  <si>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</si>
  <si>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</si>
  <si>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</si>
  <si>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</si>
  <si>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</si>
  <si>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</si>
  <si>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</si>
  <si>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</si>
  <si>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</si>
  <si>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</si>
  <si>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</si>
  <si>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</si>
  <si>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</si>
  <si>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</si>
  <si>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</si>
  <si>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</si>
  <si>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</si>
  <si>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</si>
  <si>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</si>
  <si>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</si>
  <si>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</si>
  <si>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</si>
  <si>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</si>
  <si>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</si>
  <si>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</si>
  <si>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</si>
  <si>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</si>
  <si>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</si>
  <si>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</si>
  <si>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</si>
  <si>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</si>
  <si>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</si>
  <si>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</si>
  <si>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</si>
  <si>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</si>
  <si>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</si>
  <si>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</si>
  <si>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</si>
  <si>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</si>
  <si>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</si>
  <si>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</si>
  <si>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</si>
  <si>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</si>
  <si>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</si>
  <si>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</si>
  <si>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</si>
  <si>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</si>
  <si>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</si>
  <si>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</si>
  <si>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</si>
  <si>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</si>
  <si>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</si>
  <si>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</si>
  <si>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</si>
  <si>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</si>
  <si>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</si>
  <si>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</si>
  <si>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</si>
  <si>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</si>
  <si>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</si>
  <si>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</si>
  <si>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</si>
  <si>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</si>
  <si>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</si>
  <si>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</si>
  <si>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</si>
  <si>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</si>
  <si>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</si>
  <si>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</si>
  <si>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</si>
  <si>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</si>
  <si>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</si>
  <si>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</si>
  <si>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</si>
  <si>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</si>
  <si>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</si>
  <si>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</si>
  <si>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</si>
  <si>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</si>
  <si>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</si>
  <si>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</si>
  <si>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</si>
  <si>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</si>
  <si>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</si>
  <si>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</si>
  <si>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</si>
  <si>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</si>
  <si>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</si>
  <si>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</si>
  <si>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</si>
  <si>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</si>
  <si>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</si>
  <si>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</si>
  <si>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</si>
  <si>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</si>
  <si>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</si>
  <si>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</si>
  <si>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</si>
  <si>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</si>
  <si>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</si>
  <si>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</si>
  <si>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</si>
  <si>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</si>
  <si>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</si>
  <si>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</si>
  <si>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</si>
  <si>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</si>
  <si>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</si>
  <si>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</si>
  <si>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</si>
  <si>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</si>
  <si>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</si>
  <si>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</si>
  <si>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</si>
  <si>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</si>
  <si>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</si>
  <si>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</si>
  <si>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</si>
  <si>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</si>
  <si>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</si>
  <si>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</si>
  <si>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</si>
  <si>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</si>
  <si>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</si>
  <si>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</si>
  <si>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</si>
  <si>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</si>
  <si>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</si>
  <si>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</si>
  <si>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</si>
  <si>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</si>
  <si>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</si>
  <si>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</si>
  <si>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</si>
  <si>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</si>
  <si>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</si>
  <si>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</si>
  <si>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</si>
  <si>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</si>
  <si>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</si>
  <si>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</si>
  <si>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</si>
  <si>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</si>
  <si>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</si>
  <si>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</si>
  <si>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</si>
  <si>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</si>
  <si>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</si>
  <si>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</si>
  <si>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</si>
  <si>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</si>
  <si>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</si>
  <si>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</si>
  <si>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</si>
  <si>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</si>
  <si>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</si>
  <si>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</si>
  <si>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</si>
  <si>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</si>
  <si>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</si>
  <si>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</si>
  <si>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</si>
  <si>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</si>
  <si>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</si>
  <si>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</si>
  <si>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</si>
  <si>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</si>
  <si>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</si>
  <si>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</si>
  <si>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</si>
  <si>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</si>
  <si>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</si>
  <si>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</si>
  <si>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</si>
  <si>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</si>
  <si>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</si>
  <si>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</si>
  <si>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</si>
  <si>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</si>
  <si>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</si>
  <si>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</si>
  <si>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</si>
  <si>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</si>
  <si>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</si>
  <si>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</si>
  <si>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</si>
  <si>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</si>
  <si>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</si>
  <si>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</si>
  <si>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</si>
  <si>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</si>
  <si>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</si>
  <si>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</si>
  <si>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</si>
  <si>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</si>
  <si>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</si>
  <si>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</si>
  <si>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</si>
  <si>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</si>
  <si>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</si>
  <si>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</si>
  <si>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</si>
  <si>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</si>
  <si>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</si>
  <si>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</si>
  <si>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</si>
  <si>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</si>
  <si>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</si>
  <si>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</si>
  <si>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</si>
  <si>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</si>
  <si>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</si>
  <si>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</si>
  <si>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</si>
  <si>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</si>
  <si>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</si>
  <si>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</si>
  <si>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</si>
  <si>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</si>
  <si>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</si>
  <si>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</si>
  <si>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</si>
  <si>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</si>
  <si>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</si>
  <si>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</si>
  <si>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</si>
  <si>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</si>
  <si>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</si>
  <si>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</si>
  <si>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</si>
  <si>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</si>
  <si>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</si>
  <si>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</si>
  <si>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</si>
  <si>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</si>
  <si>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</si>
  <si>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</si>
  <si>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</si>
  <si>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</si>
  <si>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</si>
  <si>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</si>
  <si>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</si>
  <si>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</si>
  <si>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</si>
  <si>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</si>
  <si>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</si>
  <si>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</si>
  <si>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</si>
  <si>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</si>
  <si>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</si>
  <si>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</si>
  <si>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</si>
  <si>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</si>
  <si>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</si>
  <si>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</si>
  <si>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</si>
  <si>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</si>
  <si>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</si>
  <si>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</si>
  <si>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</si>
  <si>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</si>
  <si>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</si>
  <si>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</si>
  <si>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</si>
  <si>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</si>
  <si>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</si>
  <si>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</si>
  <si>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</si>
  <si>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</si>
  <si>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</si>
  <si>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</si>
  <si>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</si>
  <si>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</si>
  <si>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</si>
  <si>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</si>
  <si>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</si>
  <si>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</si>
  <si>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</si>
  <si>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</si>
  <si>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</si>
  <si>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</si>
  <si>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</si>
  <si>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</si>
  <si>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</si>
  <si>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</si>
  <si>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</si>
  <si>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</si>
  <si>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</si>
  <si>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</si>
  <si>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</si>
  <si>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</si>
  <si>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</si>
  <si>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</si>
  <si>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</si>
  <si>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</si>
  <si>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</si>
  <si>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</si>
  <si>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</si>
  <si>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</si>
  <si>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</si>
  <si>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</si>
  <si>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</si>
  <si>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</si>
  <si>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</si>
  <si>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</si>
  <si>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</si>
  <si>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</si>
  <si>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</si>
  <si>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</si>
  <si>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</si>
  <si>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</si>
  <si>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</si>
  <si>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</si>
  <si>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</si>
  <si>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</si>
  <si>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</si>
  <si>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</si>
  <si>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</si>
  <si>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</si>
  <si>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</si>
  <si>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</si>
  <si>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</si>
  <si>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</si>
  <si>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</si>
  <si>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</si>
  <si>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</si>
  <si>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</si>
  <si>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</si>
  <si>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</si>
  <si>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</si>
  <si>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</si>
  <si>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</si>
  <si>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</si>
  <si>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</si>
  <si>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</si>
  <si>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</si>
  <si>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</si>
  <si>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</si>
  <si>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</si>
  <si>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</si>
  <si>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</si>
  <si>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</si>
  <si>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</si>
  <si>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</si>
  <si>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</si>
  <si>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</si>
  <si>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</si>
  <si>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</si>
  <si>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</si>
  <si>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</si>
  <si>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</si>
  <si>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</si>
  <si>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</si>
  <si>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</si>
  <si>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</si>
  <si>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</si>
  <si>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</si>
  <si>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</si>
  <si>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</si>
  <si>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</si>
  <si>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</si>
  <si>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</si>
  <si>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</si>
  <si>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</si>
  <si>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</si>
  <si>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</si>
  <si>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</si>
  <si>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</si>
  <si>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</si>
  <si>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</si>
  <si>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</si>
  <si>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</si>
  <si>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</si>
  <si>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</si>
  <si>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</si>
  <si>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</si>
  <si>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</si>
  <si>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</si>
  <si>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</si>
  <si>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</si>
  <si>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</si>
  <si>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</si>
  <si>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</si>
  <si>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</si>
  <si>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</si>
  <si>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</si>
  <si>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</si>
  <si>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</si>
  <si>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</si>
  <si>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</si>
  <si>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</si>
  <si>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</si>
  <si>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</si>
  <si>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</si>
  <si>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</si>
  <si>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</si>
  <si>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</si>
  <si>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</si>
  <si>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</si>
  <si>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</si>
  <si>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</si>
  <si>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</si>
  <si>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</si>
  <si>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</si>
  <si>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</si>
  <si>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</si>
  <si>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</si>
  <si>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</si>
  <si>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</si>
  <si>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</si>
  <si>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</si>
  <si>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</si>
  <si>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</si>
  <si>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</si>
  <si>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</si>
  <si>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</si>
  <si>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</si>
  <si>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</si>
  <si>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</si>
  <si>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</si>
  <si>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</si>
  <si>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</si>
  <si>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</si>
  <si>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</si>
  <si>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</si>
  <si>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</si>
  <si>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</si>
  <si>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</si>
  <si>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</si>
  <si>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</si>
  <si>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</si>
  <si>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</si>
  <si>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</si>
  <si>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</si>
  <si>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</si>
  <si>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</si>
  <si>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</si>
  <si>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</si>
  <si>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</si>
  <si>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</si>
  <si>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</si>
  <si>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</si>
  <si>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</si>
  <si>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Alflah Bakers </t>
  </si>
  <si>
    <t>Address: 7up Bridge</t>
  </si>
  <si>
    <t>NTN #: 2222730-0</t>
  </si>
  <si>
    <t xml:space="preserve">Al Harmain Mart </t>
  </si>
  <si>
    <t>NTN : 3520122130563</t>
  </si>
  <si>
    <t xml:space="preserve">Address: Calvery Ground </t>
  </si>
  <si>
    <t>Al fateh Super Store</t>
  </si>
  <si>
    <t xml:space="preserve">Address: Shifa Hospital Street </t>
  </si>
  <si>
    <t>CNIC #: 3520158289941</t>
  </si>
  <si>
    <t xml:space="preserve">Honey Bakers </t>
  </si>
  <si>
    <t>CNIC #: 7925707-1</t>
  </si>
  <si>
    <t xml:space="preserve">Address: Near 7 street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</si>
</sst>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2" sqref="U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Alflah Bakers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Harmain Mart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fateh Super Store</v>
      </c>
      <c r="T5" s="301">
        <f>+'3'!P35</f>
        <v>1132.5257914194915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Honey Bakers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18</v>
      </c>
      <c r="I7" s="235">
        <f>(G7*D7)*F7+H7*F7</f>
        <v>944.32499999999993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75.545999999999992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33.051375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835.72762499999999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178.47457627118638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5.0710110063559313</v>
      </c>
      <c r="P7" s="310">
        <f>M7+N7+O7</f>
        <v>1019.2732122775423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45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17</v>
      </c>
      <c r="I8" s="236">
        <f t="shared" ref="I8:I14" si="0">(G8*D8)*F8+H8*F8</f>
        <v>891.86249999999995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71.34899999999999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31.215187499999999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789.29831249999995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168.55932203389824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4.7892881726694911</v>
      </c>
      <c r="P8" s="311">
        <f t="shared" ref="P8:P15" si="2">M8+N8+O8</f>
        <v>962.64692270656758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45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25</v>
      </c>
      <c r="I9" s="236">
        <f t="shared" si="0"/>
        <v>1311.5625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104.925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45.904687500000009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1160.7328124999999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247.88135593220329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7.0430708421610166</v>
      </c>
      <c r="P9" s="311">
        <f t="shared" si="2"/>
        <v>1415.6572392743644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2.5</v>
      </c>
      <c r="H16" s="113">
        <f t="shared" ref="H16:M16" si="3">SUM(H7:H15)</f>
        <v>100</v>
      </c>
      <c r="I16" s="114">
        <f t="shared" si="3"/>
        <v>6053.35</v>
      </c>
      <c r="J16" s="274">
        <f>SUM(J7:J15)</f>
        <v>484.26800000000003</v>
      </c>
      <c r="K16" s="275">
        <f t="shared" si="3"/>
        <v>211.86725000000001</v>
      </c>
      <c r="L16" s="276">
        <f t="shared" si="3"/>
        <v>0</v>
      </c>
      <c r="M16" s="232">
        <f t="shared" si="3"/>
        <v>5357.2147500000001</v>
      </c>
      <c r="N16" s="233">
        <f>SUM(N7:N15)</f>
        <v>1144.0677966101691</v>
      </c>
      <c r="O16" s="101">
        <f>SUM(O7:O15)</f>
        <v>32.506412733050844</v>
      </c>
      <c r="P16" s="113">
        <f>SUM(P7:P15)</f>
        <v>6533.7889593432201</v>
      </c>
      <c r="Q16" s="128">
        <f>SUM(Q7:Q15)</f>
        <v>260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6053.35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484.26800000000003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211.86725000000001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5357.2147500000001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1144.0677966101691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6501.2825466101694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32.506412733050844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6533.7889593432201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6533.788959343221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517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519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523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>
        <v>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>
        <v>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4" sqref="G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525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40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2026-10-07T10:43:30Z</dcterms:modified>
</cp:coreProperties>
</file>