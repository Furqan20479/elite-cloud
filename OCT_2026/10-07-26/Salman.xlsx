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72BC3B4-A563-4B84-A44A-96BC1F61253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<sst xmlns="http://schemas.openxmlformats.org/spreadsheetml/2006/main" count="3948" uniqueCount="527">
  <si>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</si>
  <si>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</si>
  <si>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</si>
  <si>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</si>
  <si>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</si>
  <si>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</si>
  <si>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</si>
  <si>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</si>
  <si>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</si>
  <si>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</si>
  <si>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</si>
  <si>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</si>
  <si>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</si>
  <si>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</si>
  <si>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</si>
  <si>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</si>
  <si>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</si>
  <si>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</si>
  <si>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</si>
  <si>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</si>
  <si>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</si>
  <si>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</si>
  <si>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</si>
  <si>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</si>
  <si>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</si>
  <si>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</si>
  <si>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</si>
  <si>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</si>
  <si>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</si>
  <si>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</si>
  <si>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</si>
  <si>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</si>
  <si>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</si>
  <si>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</si>
  <si>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</si>
  <si>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</si>
  <si>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</si>
  <si>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</si>
  <si>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</si>
  <si>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</si>
  <si>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</si>
  <si>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</si>
  <si>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</si>
  <si>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</si>
  <si>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</si>
  <si>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</si>
  <si>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</si>
  <si>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</si>
  <si>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</si>
  <si>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</si>
  <si>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</si>
  <si>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</si>
  <si>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</si>
  <si>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</si>
  <si>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</si>
  <si>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</si>
  <si>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</si>
  <si>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</si>
  <si>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</si>
  <si>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</si>
  <si>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</si>
  <si>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</si>
  <si>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</si>
  <si>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</si>
  <si>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</si>
  <si>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</si>
  <si>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</si>
  <si>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</si>
  <si>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</si>
  <si>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</si>
  <si>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</si>
  <si>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</si>
  <si>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</si>
  <si>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</si>
  <si>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</si>
  <si>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</si>
  <si>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</si>
  <si>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</si>
  <si>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</si>
  <si>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</si>
  <si>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</si>
  <si>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</si>
  <si>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</si>
  <si>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</si>
  <si>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</si>
  <si>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</si>
  <si>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</si>
  <si>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</si>
  <si>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</si>
  <si>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</si>
  <si>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</si>
  <si>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</si>
  <si>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</si>
  <si>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</si>
  <si>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</si>
  <si>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</si>
  <si>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</si>
  <si>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</si>
  <si>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</si>
  <si>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</si>
  <si>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</si>
  <si>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</si>
  <si>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</si>
  <si>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</si>
  <si>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</si>
  <si>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</si>
  <si>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</si>
  <si>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</si>
  <si>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</si>
  <si>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</si>
  <si>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</si>
  <si>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</si>
  <si>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</si>
  <si>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</si>
  <si>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</si>
  <si>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</si>
  <si>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</si>
  <si>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</si>
  <si>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</si>
  <si>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</si>
  <si>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</si>
  <si>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</si>
  <si>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</si>
  <si>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</si>
  <si>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</si>
  <si>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</si>
  <si>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</si>
  <si>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</si>
  <si>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</si>
  <si>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</si>
  <si>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</si>
  <si>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</si>
  <si>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</si>
  <si>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</si>
  <si>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</si>
  <si>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</si>
  <si>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</si>
  <si>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</si>
  <si>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</si>
  <si>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</si>
  <si>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</si>
  <si>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</si>
  <si>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</si>
  <si>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</si>
  <si>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</si>
  <si>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</si>
  <si>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</si>
  <si>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</si>
  <si>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</si>
  <si>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</si>
  <si>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</si>
  <si>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</si>
  <si>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</si>
  <si>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</si>
  <si>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</si>
  <si>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</si>
  <si>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</si>
  <si>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</si>
  <si>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</si>
  <si>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</si>
  <si>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</si>
  <si>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</si>
  <si>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</si>
  <si>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</si>
  <si>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</si>
  <si>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</si>
  <si>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</si>
  <si>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</si>
  <si>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</si>
  <si>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</si>
  <si>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</si>
  <si>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</si>
  <si>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</si>
  <si>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</si>
  <si>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</si>
  <si>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</si>
  <si>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</si>
  <si>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</si>
  <si>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</si>
  <si>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</si>
  <si>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</si>
  <si>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</si>
  <si>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</si>
  <si>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</si>
  <si>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</si>
  <si>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</si>
  <si>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</si>
  <si>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</si>
  <si>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</si>
  <si>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</si>
  <si>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</si>
  <si>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</si>
  <si>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</si>
  <si>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</si>
  <si>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</si>
  <si>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</si>
  <si>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</si>
  <si>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</si>
  <si>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</si>
  <si>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</si>
  <si>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</si>
  <si>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</si>
  <si>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</si>
  <si>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</si>
  <si>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</si>
  <si>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</si>
  <si>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</si>
  <si>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</si>
  <si>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</si>
  <si>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</si>
  <si>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</si>
  <si>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</si>
  <si>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</si>
  <si>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</si>
  <si>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</si>
  <si>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</si>
  <si>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</si>
  <si>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</si>
  <si>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</si>
  <si>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</si>
  <si>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</si>
  <si>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</si>
  <si>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</si>
  <si>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</si>
  <si>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</si>
  <si>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</si>
  <si>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</si>
  <si>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</si>
  <si>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</si>
  <si>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</si>
  <si>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</si>
  <si>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</si>
  <si>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</si>
  <si>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</si>
  <si>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</si>
  <si>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</si>
  <si>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</si>
  <si>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</si>
  <si>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</si>
  <si>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</si>
  <si>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</si>
  <si>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</si>
  <si>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</si>
  <si>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</si>
  <si>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</si>
  <si>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</si>
  <si>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</si>
  <si>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</si>
  <si>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</si>
  <si>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</si>
  <si>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</si>
  <si>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</si>
  <si>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</si>
  <si>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</si>
  <si>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</si>
  <si>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</si>
  <si>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</si>
  <si>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</si>
  <si>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</si>
  <si>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</si>
  <si>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</si>
  <si>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</si>
  <si>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</si>
  <si>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</si>
  <si>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</si>
  <si>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</si>
  <si>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</si>
  <si>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</si>
  <si>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</si>
  <si>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</si>
  <si>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</si>
  <si>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</si>
  <si>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</si>
  <si>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</si>
  <si>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</si>
  <si>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</si>
  <si>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</si>
  <si>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</si>
  <si>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</si>
  <si>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</si>
  <si>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</si>
  <si>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</si>
  <si>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</si>
  <si>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</si>
  <si>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</si>
  <si>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</si>
  <si>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</si>
  <si>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</si>
  <si>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</si>
  <si>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</si>
  <si>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</si>
  <si>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</si>
  <si>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</si>
  <si>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</si>
  <si>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</si>
  <si>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</si>
  <si>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</si>
  <si>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</si>
  <si>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</si>
  <si>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</si>
  <si>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</si>
  <si>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</si>
  <si>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</si>
  <si>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</si>
  <si>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</si>
  <si>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</si>
  <si>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</si>
  <si>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</si>
  <si>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</si>
  <si>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</si>
  <si>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</si>
  <si>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</si>
  <si>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</si>
  <si>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</si>
  <si>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</si>
  <si>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</si>
  <si>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</si>
  <si>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</si>
  <si>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</si>
  <si>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</si>
  <si>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</si>
  <si>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</si>
  <si>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</si>
  <si>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</si>
  <si>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</si>
  <si>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</si>
  <si>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</si>
  <si>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</si>
  <si>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</si>
  <si>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</si>
  <si>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</si>
  <si>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</si>
  <si>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</si>
  <si>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</si>
  <si>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</si>
  <si>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</si>
  <si>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</si>
  <si>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</si>
  <si>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</si>
  <si>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</si>
  <si>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</si>
  <si>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</si>
  <si>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</si>
  <si>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</si>
  <si>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</si>
  <si>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</si>
  <si>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</si>
  <si>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</si>
  <si>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</si>
  <si>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</si>
  <si>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</si>
  <si>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</si>
  <si>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</si>
  <si>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</si>
  <si>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</si>
  <si>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</si>
  <si>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</si>
  <si>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</si>
  <si>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</si>
  <si>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</si>
  <si>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</si>
  <si>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</si>
  <si>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</si>
  <si>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</si>
  <si>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</si>
  <si>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</si>
  <si>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</si>
  <si>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</si>
  <si>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</si>
  <si>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</si>
  <si>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</si>
  <si>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</si>
  <si>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</si>
  <si>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</si>
  <si>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</si>
  <si>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</si>
  <si>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</si>
  <si>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</si>
  <si>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</si>
  <si>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</si>
  <si>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</si>
  <si>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</si>
  <si>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</si>
  <si>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</si>
  <si>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</si>
  <si>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</si>
  <si>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</si>
  <si>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</si>
  <si>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</si>
  <si>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</si>
  <si>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</si>
  <si>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</si>
  <si>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</si>
  <si>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</si>
  <si>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</si>
  <si>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</si>
  <si>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</si>
  <si>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</si>
  <si>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</si>
  <si>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</si>
  <si>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</si>
  <si>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</si>
  <si>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</si>
  <si>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</si>
  <si>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</si>
  <si>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</si>
  <si>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</si>
  <si>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</si>
  <si>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</si>
  <si>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</si>
  <si>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</si>
  <si>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</si>
  <si>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</si>
  <si>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</si>
  <si>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</si>
  <si>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</si>
  <si>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</si>
  <si>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</si>
  <si>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</si>
  <si>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</si>
  <si>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</si>
  <si>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</si>
  <si>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</si>
  <si>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</si>
  <si>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</si>
  <si>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</si>
  <si>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</si>
  <si>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</si>
  <si>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</si>
  <si>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</si>
  <si>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</si>
  <si>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</si>
  <si>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</si>
  <si>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</si>
  <si>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</si>
  <si>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</si>
  <si>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</si>
  <si>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</si>
  <si>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</si>
  <si>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</si>
  <si>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</si>
  <si>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</si>
  <si>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</si>
  <si>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</si>
  <si>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</si>
  <si>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</si>
  <si>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</si>
  <si>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</si>
  <si>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</si>
  <si>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</si>
  <si>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</si>
  <si>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</si>
  <si>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</si>
  <si>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</si>
  <si>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</si>
  <si>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</si>
  <si>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</si>
  <si>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</si>
  <si>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</si>
  <si>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</si>
  <si>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</si>
  <si>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</si>
  <si>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</si>
  <si>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</si>
  <si>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</si>
  <si>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</si>
  <si>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</si>
  <si>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</si>
  <si>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</si>
  <si>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</si>
  <si>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</si>
  <si>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</si>
  <si>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</si>
  <si>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</si>
  <si>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</si>
  <si>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</si>
  <si>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</si>
  <si>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</si>
  <si>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</si>
  <si>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</si>
  <si>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</si>
  <si>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</si>
  <si>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</si>
  <si>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</si>
  <si>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</si>
  <si>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</si>
  <si>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</si>
  <si>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</si>
  <si>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</si>
  <si>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</si>
  <si>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</si>
  <si>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</si>
  <si>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</si>
  <si>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</si>
  <si>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</si>
  <si>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</si>
  <si>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</si>
  <si>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</si>
  <si>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</si>
  <si>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</si>
  <si>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</si>
  <si>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</si>
  <si>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</si>
  <si>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</si>
  <si>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</si>
  <si>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</si>
  <si>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</si>
  <si>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</si>
  <si>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</si>
  <si>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</si>
  <si>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</si>
  <si>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</si>
  <si>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</si>
  <si>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</si>
  <si>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</si>
  <si>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Alflah Bakers </t>
  </si>
  <si>
    <t>Address: 7up Bridge</t>
  </si>
  <si>
    <t>NTN #: 2222730-0</t>
  </si>
  <si>
    <t xml:space="preserve">Al Harmain Mart </t>
  </si>
  <si>
    <t>NTN : 3520122130563</t>
  </si>
  <si>
    <t xml:space="preserve">Address: Calvery Ground </t>
  </si>
  <si>
    <t>Al fateh Super Store</t>
  </si>
  <si>
    <t xml:space="preserve">Address: Shifa Hospital Street </t>
  </si>
  <si>
    <t>CNIC #: 3520158289941</t>
  </si>
  <si>
    <t xml:space="preserve">Honey Bakers </t>
  </si>
  <si>
    <t>CNIC #: 7925707-1</t>
  </si>
  <si>
    <t xml:space="preserve">Address: Near 7 street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</si>
</sst>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Alflah Bakers 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 Harmain Mart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 fateh Super Store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Honey Bakers </v>
      </c>
      <c r="T6" s="301">
        <f>+'4'!P35</f>
        <v>15751.168658771187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63</v>
      </c>
      <c r="I7" s="235">
        <f>(G7*D7)*F7+H7*F7</f>
        <v>3305.1374999999998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327.36599999999999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115.67981250000001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2862.0916874999998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624.66101694915233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17.433763522245762</v>
      </c>
      <c r="P7" s="310">
        <f>M7+N7+O7</f>
        <v>3504.1864679713981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62</v>
      </c>
      <c r="I8" s="236">
        <f t="shared" ref="I8:I14" si="0">(G8*D8)*F8+H8*F8</f>
        <v>3252.6749999999997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323.16899999999998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113.843625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2815.6623749999999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614.74576271186413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17.152040688559321</v>
      </c>
      <c r="P8" s="311">
        <f t="shared" ref="P8:P15" si="2">M8+N8+O8</f>
        <v>3447.5601784004234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75</v>
      </c>
      <c r="I9" s="236">
        <f t="shared" si="0"/>
        <v>3934.6875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377.73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137.71406250000001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3419.2434375000003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743.64406779660976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20.814437526483051</v>
      </c>
      <c r="P9" s="311">
        <f t="shared" si="2"/>
        <v>4183.7019428230933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377.72800000000001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3127.152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19.06796338983051</v>
      </c>
      <c r="P10" s="311">
        <f t="shared" si="2"/>
        <v>3832.6606413559321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377.72800000000001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3127.152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19.06796338983051</v>
      </c>
      <c r="P11" s="311">
        <f t="shared" si="2"/>
        <v>3832.6606413559321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435.84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3770.0159999999996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22.968724067796611</v>
      </c>
      <c r="P12" s="311">
        <f t="shared" si="2"/>
        <v>4616.713537627119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9</v>
      </c>
      <c r="H16" s="113">
        <f t="shared" ref="H16:M16" si="3">SUM(H7:H15)</f>
        <v>360</v>
      </c>
      <c r="I16" s="114">
        <f t="shared" si="3"/>
        <v>22114.9</v>
      </c>
      <c r="J16" s="274">
        <f>SUM(J7:J15)</f>
        <v>2219.5610000000001</v>
      </c>
      <c r="K16" s="275">
        <f t="shared" si="3"/>
        <v>774.02150000000006</v>
      </c>
      <c r="L16" s="276">
        <f t="shared" si="3"/>
        <v>0</v>
      </c>
      <c r="M16" s="232">
        <f t="shared" si="3"/>
        <v>19121.317500000001</v>
      </c>
      <c r="N16" s="233">
        <f>SUM(N7:N15)</f>
        <v>4179.6610169491523</v>
      </c>
      <c r="O16" s="101">
        <f>SUM(O7:O15)</f>
        <v>116.50489258474576</v>
      </c>
      <c r="P16" s="113">
        <f>SUM(P7:P15)</f>
        <v>23417.483409533896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22114.9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2219.5610000000001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774.02150000000006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19121.317500000001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4179.6610169491523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23300.978516949152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116.50489258474576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23417.483409533896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23417.483409533899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517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519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523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525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230.83500000000001</v>
      </c>
      <c r="K16" s="127">
        <f>$I16*T16</f>
        <v>73.447500000000005</v>
      </c>
      <c r="L16" s="118">
        <f>$I16*U16</f>
        <v>0</v>
      </c>
      <c r="M16" s="229">
        <f>I16-SUM(J16:L16)</f>
        <v>1794.2175</v>
      </c>
      <c r="N16" s="248">
        <f>+(G16*D16+H16)*V16</f>
        <v>396.61016949152526</v>
      </c>
      <c r="O16" s="238">
        <f>(N16+M16)*$O$15</f>
        <v>10.954138347457627</v>
      </c>
      <c r="P16" s="118">
        <f>M16+N16+O16</f>
        <v>2201.7818078389828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230.83500000000001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1794.2175</v>
      </c>
      <c r="N17" s="277">
        <f t="shared" ref="N17:N24" si="3">+(G17*D17+H17)*V17</f>
        <v>396.61016949152526</v>
      </c>
      <c r="O17" s="239">
        <f t="shared" ref="O17:O24" si="4">(N17+M17)*$O$15</f>
        <v>10.954138347457627</v>
      </c>
      <c r="P17" s="119">
        <f t="shared" ref="P17:P24" si="5">M17+N17+O17</f>
        <v>2201.7818078389828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230.83500000000001</v>
      </c>
      <c r="K18" s="128">
        <f t="shared" si="1"/>
        <v>73.447500000000005</v>
      </c>
      <c r="L18" s="119">
        <f t="shared" si="1"/>
        <v>0</v>
      </c>
      <c r="M18" s="230">
        <f t="shared" si="2"/>
        <v>1794.2175</v>
      </c>
      <c r="N18" s="277">
        <f t="shared" si="3"/>
        <v>396.61016949152526</v>
      </c>
      <c r="O18" s="239">
        <f t="shared" si="4"/>
        <v>10.954138347457627</v>
      </c>
      <c r="P18" s="119">
        <f t="shared" si="5"/>
        <v>2201.7818078389828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319.61599999999999</v>
      </c>
      <c r="K19" s="128">
        <f t="shared" si="1"/>
        <v>101.69600000000001</v>
      </c>
      <c r="L19" s="119">
        <f t="shared" si="1"/>
        <v>0</v>
      </c>
      <c r="M19" s="230">
        <f t="shared" si="2"/>
        <v>2484.288</v>
      </c>
      <c r="N19" s="277">
        <f t="shared" si="3"/>
        <v>549.15254237288138</v>
      </c>
      <c r="O19" s="239">
        <f t="shared" si="4"/>
        <v>15.167202711864407</v>
      </c>
      <c r="P19" s="119">
        <f t="shared" si="5"/>
        <v>3048.6077450847456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319.61599999999999</v>
      </c>
      <c r="K20" s="128">
        <f t="shared" si="1"/>
        <v>101.69600000000001</v>
      </c>
      <c r="L20" s="119">
        <f t="shared" si="1"/>
        <v>0</v>
      </c>
      <c r="M20" s="230">
        <f t="shared" si="2"/>
        <v>2484.288</v>
      </c>
      <c r="N20" s="277">
        <f t="shared" si="3"/>
        <v>549.15254237288138</v>
      </c>
      <c r="O20" s="239">
        <f t="shared" si="4"/>
        <v>15.167202711864407</v>
      </c>
      <c r="P20" s="119">
        <f t="shared" si="5"/>
        <v>3048.6077450847456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119">
        <f t="shared" si="5"/>
        <v>3048.6077450847456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1651.3530000000001</v>
      </c>
      <c r="K25" s="275">
        <f t="shared" si="7"/>
        <v>525.43050000000005</v>
      </c>
      <c r="L25" s="276">
        <f t="shared" si="7"/>
        <v>0</v>
      </c>
      <c r="M25" s="232">
        <f t="shared" si="7"/>
        <v>12835.516500000002</v>
      </c>
      <c r="N25" s="233">
        <f>SUM(N16:N24)</f>
        <v>2837.2881355932195</v>
      </c>
      <c r="O25" s="101">
        <f>SUM(O16:O24)</f>
        <v>78.364023177966104</v>
      </c>
      <c r="P25" s="234">
        <f>SUM(P16:P24)</f>
        <v>15751.168658771187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1651.3530000000001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12835.5165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15672.80463559322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78.364023177966104</v>
      </c>
    </row>
    <row r="35" spans="2:16" ht="15.75" customHeight="1" thickBot="1" x14ac:dyDescent="0.4">
      <c r="N35" s="374" t="s">
        <v>88</v>
      </c>
      <c r="O35" s="375"/>
      <c r="P35" s="297">
        <f>+P33+P34</f>
        <v>15751.168658771187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2026-10-06T12:19:57Z</dcterms:modified>
</cp:coreProperties>
</file>