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2CFE652-8E9B-46C1-BF08-ABAE6EEA16F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M20" i="47"/>
  <c r="O20" i="47" s="1"/>
  <c r="P20" i="47" s="1"/>
  <c r="R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<sst xmlns="http://schemas.openxmlformats.org/spreadsheetml/2006/main" count="3948" uniqueCount="524">
  <si>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</si>
  <si>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</si>
  <si>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</si>
  <si>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</si>
  <si>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</si>
  <si>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</si>
  <si>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</si>
  <si>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</si>
  <si>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</si>
  <si>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</si>
  <si>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</si>
  <si>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</si>
  <si>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</si>
  <si>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</si>
  <si>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</si>
  <si>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</si>
  <si>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</si>
  <si>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</si>
  <si>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</si>
  <si>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</si>
  <si>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</si>
  <si>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</si>
  <si>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</si>
  <si>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</si>
  <si>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</si>
  <si>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</si>
  <si>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</si>
  <si>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</si>
  <si>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</si>
  <si>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</si>
  <si>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</si>
  <si>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</si>
  <si>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</si>
  <si>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</si>
  <si>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</si>
  <si>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</si>
  <si>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</si>
  <si>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</si>
  <si>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</si>
  <si>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</si>
  <si>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</si>
  <si>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</si>
  <si>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</si>
  <si>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</si>
  <si>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</si>
  <si>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</si>
  <si>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</si>
  <si>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</si>
  <si>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</si>
  <si>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</si>
  <si>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</si>
  <si>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</si>
  <si>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</si>
  <si>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</si>
  <si>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</si>
  <si>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</si>
  <si>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</si>
  <si>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</si>
  <si>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</si>
  <si>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</si>
  <si>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</si>
  <si>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</si>
  <si>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</si>
  <si>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</si>
  <si>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</si>
  <si>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</si>
  <si>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</si>
  <si>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</si>
  <si>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</si>
  <si>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</si>
  <si>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</si>
  <si>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</si>
  <si>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</si>
  <si>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</si>
  <si>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</si>
  <si>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</si>
  <si>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</si>
  <si>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</si>
  <si>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</si>
  <si>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</si>
  <si>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</si>
  <si>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</si>
  <si>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</si>
  <si>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</si>
  <si>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</si>
  <si>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</si>
  <si>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</si>
  <si>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</si>
  <si>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</si>
  <si>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</si>
  <si>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</si>
  <si>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</si>
  <si>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</si>
  <si>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</si>
  <si>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</si>
  <si>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</si>
  <si>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</si>
  <si>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</si>
  <si>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</si>
  <si>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</si>
  <si>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</si>
  <si>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</si>
  <si>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</si>
  <si>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</si>
  <si>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</si>
  <si>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</si>
  <si>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</si>
  <si>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</si>
  <si>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</si>
  <si>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</si>
  <si>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</si>
  <si>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</si>
  <si>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</si>
  <si>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</si>
  <si>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</si>
  <si>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</si>
  <si>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</si>
  <si>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</si>
  <si>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</si>
  <si>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</si>
  <si>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</si>
  <si>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</si>
  <si>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</si>
  <si>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</si>
  <si>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</si>
  <si>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</si>
  <si>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</si>
  <si>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</si>
  <si>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</si>
  <si>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</si>
  <si>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</si>
  <si>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</si>
  <si>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</si>
  <si>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</si>
  <si>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</si>
  <si>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</si>
  <si>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</si>
  <si>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</si>
  <si>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</si>
  <si>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</si>
  <si>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</si>
  <si>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</si>
  <si>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</si>
  <si>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</si>
  <si>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</si>
  <si>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</si>
  <si>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</si>
  <si>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</si>
  <si>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</si>
  <si>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</si>
  <si>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</si>
  <si>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</si>
  <si>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</si>
  <si>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</si>
  <si>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</si>
  <si>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</si>
  <si>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</si>
  <si>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</si>
  <si>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</si>
  <si>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</si>
  <si>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</si>
  <si>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</si>
  <si>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</si>
  <si>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</si>
  <si>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</si>
  <si>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</si>
  <si>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</si>
  <si>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</si>
  <si>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</si>
  <si>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</si>
  <si>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</si>
  <si>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</si>
  <si>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</si>
  <si>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</si>
  <si>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</si>
  <si>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</si>
  <si>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</si>
  <si>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</si>
  <si>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</si>
  <si>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</si>
  <si>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</si>
  <si>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</si>
  <si>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</si>
  <si>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</si>
  <si>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</si>
  <si>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</si>
  <si>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</si>
  <si>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</si>
  <si>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</si>
  <si>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</si>
  <si>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</si>
  <si>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</si>
  <si>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</si>
  <si>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</si>
  <si>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</si>
  <si>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</si>
  <si>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</si>
  <si>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</si>
  <si>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</si>
  <si>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</si>
  <si>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</si>
  <si>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</si>
  <si>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</si>
  <si>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</si>
  <si>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</si>
  <si>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</si>
  <si>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</si>
  <si>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</si>
  <si>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</si>
  <si>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</si>
  <si>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</si>
  <si>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</si>
  <si>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</si>
  <si>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</si>
  <si>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</si>
  <si>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</si>
  <si>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</si>
  <si>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</si>
  <si>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</si>
  <si>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</si>
  <si>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</si>
  <si>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</si>
  <si>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</si>
  <si>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</si>
  <si>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</si>
  <si>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</si>
  <si>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</si>
  <si>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</si>
  <si>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</si>
  <si>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</si>
  <si>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</si>
  <si>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</si>
  <si>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</si>
  <si>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</si>
  <si>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</si>
  <si>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</si>
  <si>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</si>
  <si>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</si>
  <si>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</si>
  <si>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</si>
  <si>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</si>
  <si>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</si>
  <si>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</si>
  <si>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</si>
  <si>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</si>
  <si>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</si>
  <si>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</si>
  <si>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</si>
  <si>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</si>
  <si>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</si>
  <si>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</si>
  <si>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</si>
  <si>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</si>
  <si>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</si>
  <si>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</si>
  <si>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</si>
  <si>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</si>
  <si>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</si>
  <si>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</si>
  <si>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</si>
  <si>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</si>
  <si>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</si>
  <si>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</si>
  <si>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</si>
  <si>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</si>
  <si>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</si>
  <si>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</si>
  <si>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</si>
  <si>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</si>
  <si>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</si>
  <si>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</si>
  <si>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</si>
  <si>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</si>
  <si>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</si>
  <si>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</si>
  <si>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</si>
  <si>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</si>
  <si>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</si>
  <si>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</si>
  <si>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</si>
  <si>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</si>
  <si>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</si>
  <si>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</si>
  <si>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</si>
  <si>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</si>
  <si>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</si>
  <si>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</si>
  <si>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</si>
  <si>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</si>
  <si>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</si>
  <si>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</si>
  <si>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</si>
  <si>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</si>
  <si>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</si>
  <si>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</si>
  <si>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</si>
  <si>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</si>
  <si>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</si>
  <si>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</si>
  <si>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</si>
  <si>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</si>
  <si>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</si>
  <si>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</si>
  <si>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</si>
  <si>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</si>
  <si>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</si>
  <si>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</si>
  <si>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</si>
  <si>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</si>
  <si>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</si>
  <si>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</si>
  <si>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</si>
  <si>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</si>
  <si>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</si>
  <si>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</si>
  <si>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</si>
  <si>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</si>
  <si>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</si>
  <si>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</si>
  <si>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</si>
  <si>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</si>
  <si>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</si>
  <si>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</si>
  <si>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</si>
  <si>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</si>
  <si>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</si>
  <si>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</si>
  <si>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</si>
  <si>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</si>
  <si>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</si>
  <si>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</si>
  <si>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</si>
  <si>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</si>
  <si>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</si>
  <si>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</si>
  <si>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</si>
  <si>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</si>
  <si>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</si>
  <si>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</si>
  <si>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</si>
  <si>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</si>
  <si>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</si>
  <si>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</si>
  <si>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</si>
  <si>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</si>
  <si>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</si>
  <si>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</si>
  <si>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</si>
  <si>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</si>
  <si>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</si>
  <si>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</si>
  <si>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</si>
  <si>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</si>
  <si>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</si>
  <si>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</si>
  <si>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</si>
  <si>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</si>
  <si>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</si>
  <si>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</si>
  <si>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</si>
  <si>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</si>
  <si>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</si>
  <si>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</si>
  <si>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</si>
  <si>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</si>
  <si>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</si>
  <si>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</si>
  <si>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</si>
  <si>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</si>
  <si>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</si>
  <si>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</si>
  <si>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</si>
  <si>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</si>
  <si>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</si>
  <si>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</si>
  <si>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</si>
  <si>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</si>
  <si>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</si>
  <si>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</si>
  <si>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</si>
  <si>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</si>
  <si>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</si>
  <si>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</si>
  <si>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</si>
  <si>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</si>
  <si>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</si>
  <si>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</si>
  <si>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</si>
  <si>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</si>
  <si>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</si>
  <si>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</si>
  <si>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</si>
  <si>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</si>
  <si>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</si>
  <si>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</si>
  <si>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</si>
  <si>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</si>
  <si>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</si>
  <si>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</si>
  <si>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</si>
  <si>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</si>
  <si>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</si>
  <si>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</si>
  <si>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</si>
  <si>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</si>
  <si>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</si>
  <si>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</si>
  <si>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</si>
  <si>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</si>
  <si>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</si>
  <si>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</si>
  <si>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</si>
  <si>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</si>
  <si>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</si>
  <si>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</si>
  <si>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</si>
  <si>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</si>
  <si>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</si>
  <si>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</si>
  <si>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</si>
  <si>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</si>
  <si>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</si>
  <si>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</si>
  <si>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</si>
  <si>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</si>
  <si>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</si>
  <si>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</si>
  <si>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</si>
  <si>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</si>
  <si>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</si>
  <si>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</si>
  <si>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</si>
  <si>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</si>
  <si>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</si>
  <si>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</si>
  <si>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</si>
  <si>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</si>
  <si>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</si>
  <si>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</si>
  <si>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</si>
  <si>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</si>
  <si>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</si>
  <si>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</si>
  <si>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</si>
  <si>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</si>
  <si>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</si>
  <si>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</si>
  <si>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</si>
  <si>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</si>
  <si>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</si>
  <si>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</si>
  <si>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</si>
  <si>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</si>
  <si>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</si>
  <si>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</si>
  <si>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</si>
  <si>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</si>
  <si>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</si>
  <si>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</si>
  <si>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</si>
  <si>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</si>
  <si>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</si>
  <si>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</si>
  <si>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</si>
  <si>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</si>
  <si>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</si>
  <si>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</si>
  <si>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</si>
  <si>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</si>
  <si>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</si>
  <si>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</si>
  <si>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</si>
  <si>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</si>
  <si>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</si>
  <si>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</si>
  <si>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</si>
  <si>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</si>
  <si>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</si>
  <si>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</si>
  <si>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</si>
  <si>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</si>
  <si>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</si>
  <si>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</si>
  <si>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</si>
  <si>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</si>
  <si>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</si>
  <si>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</si>
  <si>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</si>
  <si>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</si>
  <si>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</si>
  <si>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</si>
  <si>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</si>
  <si>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</si>
  <si>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</si>
  <si>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</si>
  <si>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</si>
  <si>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</si>
  <si>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</si>
  <si>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</si>
  <si>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</si>
  <si>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</si>
  <si>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</si>
  <si>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</si>
  <si>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</si>
  <si>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</si>
  <si>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</si>
  <si>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</si>
  <si>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</si>
  <si>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</si>
  <si>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</si>
  <si>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</si>
  <si>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</si>
  <si>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</si>
  <si>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</si>
  <si>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</si>
  <si>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Rehman Store</t>
  </si>
  <si>
    <t>Address: Nazamabad</t>
  </si>
  <si>
    <t xml:space="preserve">Ali Cosmetics </t>
  </si>
  <si>
    <t xml:space="preserve">Address: Dugach </t>
  </si>
  <si>
    <t xml:space="preserve">Shakeel Kareyana </t>
  </si>
  <si>
    <t>Address: Chungi Bazar</t>
  </si>
  <si>
    <t>Rabani Road</t>
  </si>
  <si>
    <t>ASB Super Store</t>
  </si>
  <si>
    <t xml:space="preserve">Ali con Ice Creem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</si>
</sst>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C22" workbookViewId="0">
      <selection activeCell="J29" sqref="J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Rehman Store</v>
      </c>
      <c r="T3" s="301">
        <f>+'1'!P35</f>
        <v>3136.2115850847463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Ali Cosmetics </v>
      </c>
      <c r="T4" s="301">
        <f>+'2'!P35</f>
        <v>5401.2631679237284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Shakeel Kareyana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Rabani Road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</v>
      </c>
      <c r="I7" s="235">
        <f>(G7*D7)*F7+H7*F7</f>
        <v>682.01249999999993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54.560999999999993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23.870437500000001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603.58106249999992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128.89830508474572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3.6623968379237284</v>
      </c>
      <c r="P7" s="310">
        <f>M7+N7+O7</f>
        <v>736.14176442266944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ASB Super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</v>
      </c>
      <c r="I8" s="236">
        <f t="shared" ref="I8:I14" si="0">(G8*D8)*F8+H8*F8</f>
        <v>682.01249999999993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54.560999999999993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23.870437500000001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603.58106249999992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128.89830508474572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3.6623968379237284</v>
      </c>
      <c r="P8" s="311">
        <f t="shared" ref="P8:P15" si="2">M8+N8+O8</f>
        <v>736.14176442266944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Ali con Ice Creem </v>
      </c>
      <c r="T8" s="301">
        <f>+'6'!P35</f>
        <v>3136.2115850847463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14</v>
      </c>
      <c r="I9" s="236">
        <f t="shared" si="0"/>
        <v>734.47500000000002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58.758000000000003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25.706625000000003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650.01037500000007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138.81355932203383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3.9441196716101694</v>
      </c>
      <c r="P9" s="311">
        <f t="shared" si="2"/>
        <v>792.76805399364412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52</v>
      </c>
      <c r="I10" s="236">
        <f t="shared" si="0"/>
        <v>3777.28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302.18240000000003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132.20480000000001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3342.8928000000001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713.89830508474574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20.283955525423732</v>
      </c>
      <c r="P10" s="311">
        <f t="shared" si="2"/>
        <v>4077.0750606101697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26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52</v>
      </c>
      <c r="I11" s="236">
        <f t="shared" si="0"/>
        <v>3777.28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302.18240000000003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132.20480000000001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3342.8928000000001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713.89830508474574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20.283955525423732</v>
      </c>
      <c r="P11" s="311">
        <f t="shared" si="2"/>
        <v>4077.0750606101697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26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56</v>
      </c>
      <c r="I12" s="236">
        <f t="shared" si="0"/>
        <v>4067.84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325.42720000000003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142.37440000000001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3600.0384000000004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768.81355932203394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21.844259796610171</v>
      </c>
      <c r="P12" s="311">
        <f t="shared" si="2"/>
        <v>4390.6962191186449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28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</v>
      </c>
      <c r="H16" s="113">
        <f t="shared" ref="H16:M16" si="3">SUM(H7:H15)</f>
        <v>200</v>
      </c>
      <c r="I16" s="114">
        <f t="shared" si="3"/>
        <v>13720.900000000001</v>
      </c>
      <c r="J16" s="274">
        <f>SUM(J7:J15)</f>
        <v>1097.672</v>
      </c>
      <c r="K16" s="275">
        <f t="shared" si="3"/>
        <v>480.2315000000001</v>
      </c>
      <c r="L16" s="276">
        <f t="shared" si="3"/>
        <v>0</v>
      </c>
      <c r="M16" s="232">
        <f t="shared" si="3"/>
        <v>12142.996500000001</v>
      </c>
      <c r="N16" s="233">
        <f>SUM(N7:N15)</f>
        <v>2593.2203389830506</v>
      </c>
      <c r="O16" s="101">
        <f>SUM(O7:O15)</f>
        <v>73.681084194915258</v>
      </c>
      <c r="P16" s="113">
        <f>SUM(P7:P15)</f>
        <v>14809.897923177967</v>
      </c>
      <c r="Q16" s="128">
        <f>SUM(Q7:Q15)</f>
        <v>80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13720.900000000001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1097.672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480.2315000000001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12142.996500000001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2593.2203389830506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14736.216838983051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73.681084194915258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14809.897923177967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14809.897923177967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2905.6000000000004</v>
      </c>
      <c r="J25" s="274">
        <f>SUM(J16:J24)</f>
        <v>232.44800000000004</v>
      </c>
      <c r="K25" s="275">
        <f t="shared" si="10"/>
        <v>101.696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26.871956059322038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2026-10-07T10:43:05Z</dcterms:modified>
</cp:coreProperties>
</file>