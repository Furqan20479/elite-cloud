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6EF4A17-DF38-454C-9AB7-779566DB5756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25" i="62" l="1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6" l="1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<sst xmlns="http://schemas.openxmlformats.org/spreadsheetml/2006/main" count="3949" uniqueCount="548">
  <si>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</si>
  <si>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</si>
  <si>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</si>
  <si>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</si>
  <si>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</si>
  <si>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</si>
  <si>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</si>
  <si>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</si>
  <si>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</si>
  <si>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</si>
  <si>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</si>
  <si>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</si>
  <si>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</si>
  <si>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</si>
  <si>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</si>
  <si>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</si>
  <si>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</si>
  <si>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</si>
  <si>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</si>
  <si>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</si>
  <si>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</si>
  <si>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</si>
  <si>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</si>
  <si>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</si>
  <si>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</si>
  <si>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</si>
  <si>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</si>
  <si>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</si>
  <si>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</si>
  <si>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</si>
  <si>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</si>
  <si>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</si>
  <si>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</si>
  <si>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</si>
  <si>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</si>
  <si>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</si>
  <si>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</si>
  <si>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</si>
  <si>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</si>
  <si>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</si>
  <si>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</si>
  <si>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</si>
  <si>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</si>
  <si>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</si>
  <si>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</si>
  <si>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</si>
  <si>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</si>
  <si>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</si>
  <si>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</si>
  <si>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</si>
  <si>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</si>
  <si>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</si>
  <si>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</si>
  <si>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</si>
  <si>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</si>
  <si>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</si>
  <si>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</si>
  <si>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</si>
  <si>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</si>
  <si>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</si>
  <si>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</si>
  <si>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</si>
  <si>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</si>
  <si>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</si>
  <si>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</si>
  <si>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</si>
  <si>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</si>
  <si>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</si>
  <si>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</si>
  <si>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</si>
  <si>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</si>
  <si>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</si>
  <si>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</si>
  <si>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</si>
  <si>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</si>
  <si>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</si>
  <si>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</si>
  <si>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</si>
  <si>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</si>
  <si>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</si>
  <si>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</si>
  <si>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</si>
  <si>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</si>
  <si>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</si>
  <si>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</si>
  <si>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</si>
  <si>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</si>
  <si>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</si>
  <si>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</si>
  <si>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</si>
  <si>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</si>
  <si>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</si>
  <si>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</si>
  <si>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</si>
  <si>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</si>
  <si>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</si>
  <si>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</si>
  <si>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</si>
  <si>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</si>
  <si>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</si>
  <si>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</si>
  <si>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</si>
  <si>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</si>
  <si>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</si>
  <si>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</si>
  <si>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</si>
  <si>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</si>
  <si>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</si>
  <si>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</si>
  <si>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</si>
  <si>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</si>
  <si>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</si>
  <si>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</si>
  <si>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</si>
  <si>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</si>
  <si>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</si>
  <si>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</si>
  <si>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</si>
  <si>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</si>
  <si>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</si>
  <si>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</si>
  <si>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</si>
  <si>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</si>
  <si>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</si>
  <si>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</si>
  <si>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</si>
  <si>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</si>
  <si>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</si>
  <si>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</si>
  <si>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</si>
  <si>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</si>
  <si>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</si>
  <si>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</si>
  <si>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</si>
  <si>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</si>
  <si>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</si>
  <si>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</si>
  <si>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</si>
  <si>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</si>
  <si>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</si>
  <si>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</si>
  <si>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</si>
  <si>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</si>
  <si>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</si>
  <si>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</si>
  <si>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</si>
  <si>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</si>
  <si>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</si>
  <si>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</si>
  <si>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</si>
  <si>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</si>
  <si>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</si>
  <si>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</si>
  <si>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</si>
  <si>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</si>
  <si>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</si>
  <si>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</si>
  <si>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</si>
  <si>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</si>
  <si>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</si>
  <si>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</si>
  <si>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</si>
  <si>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</si>
  <si>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</si>
  <si>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</si>
  <si>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</si>
  <si>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</si>
  <si>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</si>
  <si>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</si>
  <si>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</si>
  <si>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</si>
  <si>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</si>
  <si>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</si>
  <si>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</si>
  <si>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</si>
  <si>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</si>
  <si>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</si>
  <si>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</si>
  <si>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</si>
  <si>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</si>
  <si>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</si>
  <si>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</si>
  <si>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</si>
  <si>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</si>
  <si>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</si>
  <si>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</si>
  <si>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</si>
  <si>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</si>
  <si>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</si>
  <si>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</si>
  <si>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</si>
  <si>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</si>
  <si>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</si>
  <si>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</si>
  <si>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</si>
  <si>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</si>
  <si>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</si>
  <si>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</si>
  <si>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</si>
  <si>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</si>
  <si>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</si>
  <si>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</si>
  <si>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</si>
  <si>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</si>
  <si>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</si>
  <si>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</si>
  <si>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</si>
  <si>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</si>
  <si>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</si>
  <si>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</si>
  <si>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</si>
  <si>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</si>
  <si>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</si>
  <si>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</si>
  <si>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</si>
  <si>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</si>
  <si>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</si>
  <si>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</si>
  <si>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</si>
  <si>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</si>
  <si>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</si>
  <si>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</si>
  <si>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</si>
  <si>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</si>
  <si>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</si>
  <si>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</si>
  <si>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</si>
  <si>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</si>
  <si>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</si>
  <si>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</si>
  <si>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</si>
  <si>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</si>
  <si>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</si>
  <si>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</si>
  <si>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</si>
  <si>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</si>
  <si>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</si>
  <si>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</si>
  <si>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</si>
  <si>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</si>
  <si>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</si>
  <si>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</si>
  <si>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</si>
  <si>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</si>
  <si>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</si>
  <si>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</si>
  <si>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</si>
  <si>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</si>
  <si>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</si>
  <si>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</si>
  <si>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</si>
  <si>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</si>
  <si>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</si>
  <si>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</si>
  <si>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</si>
  <si>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</si>
  <si>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</si>
  <si>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</si>
  <si>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</si>
  <si>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</si>
  <si>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</si>
  <si>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</si>
  <si>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</si>
  <si>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</si>
  <si>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</si>
  <si>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</si>
  <si>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</si>
  <si>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</si>
  <si>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</si>
  <si>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</si>
  <si>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</si>
  <si>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</si>
  <si>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</si>
  <si>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</si>
  <si>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</si>
  <si>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</si>
  <si>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</si>
  <si>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</si>
  <si>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</si>
  <si>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</si>
  <si>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</si>
  <si>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</si>
  <si>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</si>
  <si>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</si>
  <si>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</si>
  <si>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</si>
  <si>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</si>
  <si>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</si>
  <si>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</si>
  <si>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</si>
  <si>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</si>
  <si>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</si>
  <si>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</si>
  <si>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</si>
  <si>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</si>
  <si>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</si>
  <si>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</si>
  <si>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</si>
  <si>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</si>
  <si>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</si>
  <si>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</si>
  <si>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</si>
  <si>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</si>
  <si>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</si>
  <si>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</si>
  <si>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</si>
  <si>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</si>
  <si>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</si>
  <si>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</si>
  <si>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</si>
  <si>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</si>
  <si>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</si>
  <si>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</si>
  <si>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</si>
  <si>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</si>
  <si>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</si>
  <si>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</si>
  <si>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</si>
  <si>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</si>
  <si>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</si>
  <si>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</si>
  <si>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</si>
  <si>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</si>
  <si>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</si>
  <si>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</si>
  <si>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</si>
  <si>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</si>
  <si>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</si>
  <si>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</si>
  <si>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</si>
  <si>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</si>
  <si>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</si>
  <si>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</si>
  <si>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</si>
  <si>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</si>
  <si>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</si>
  <si>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</si>
  <si>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</si>
  <si>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</si>
  <si>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</si>
  <si>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</si>
  <si>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</si>
  <si>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</si>
  <si>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</si>
  <si>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</si>
  <si>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</si>
  <si>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</si>
  <si>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</si>
  <si>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</si>
  <si>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</si>
  <si>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</si>
  <si>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</si>
  <si>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</si>
  <si>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</si>
  <si>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</si>
  <si>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</si>
  <si>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</si>
  <si>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</si>
  <si>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</si>
  <si>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</si>
  <si>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</si>
  <si>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</si>
  <si>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</si>
  <si>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</si>
  <si>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</si>
  <si>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</si>
  <si>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</si>
  <si>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</si>
  <si>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</si>
  <si>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</si>
  <si>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</si>
  <si>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</si>
  <si>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</si>
  <si>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</si>
  <si>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</si>
  <si>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</si>
  <si>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</si>
  <si>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</si>
  <si>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</si>
  <si>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</si>
  <si>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</si>
  <si>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</si>
  <si>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</si>
  <si>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</si>
  <si>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</si>
  <si>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</si>
  <si>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</si>
  <si>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</si>
  <si>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</si>
  <si>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</si>
  <si>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</si>
  <si>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</si>
  <si>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</si>
  <si>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</si>
  <si>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</si>
  <si>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</si>
  <si>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</si>
  <si>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</si>
  <si>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</si>
  <si>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</si>
  <si>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</si>
  <si>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</si>
  <si>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</si>
  <si>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</si>
  <si>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</si>
  <si>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</si>
  <si>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</si>
  <si>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</si>
  <si>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</si>
  <si>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</si>
  <si>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</si>
  <si>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</si>
  <si>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</si>
  <si>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</si>
  <si>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</si>
  <si>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</si>
  <si>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</si>
  <si>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</si>
  <si>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</si>
  <si>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</si>
  <si>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</si>
  <si>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</si>
  <si>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</si>
  <si>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</si>
  <si>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</si>
  <si>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</si>
  <si>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</si>
  <si>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</si>
  <si>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</si>
  <si>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</si>
  <si>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</si>
  <si>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</si>
  <si>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</si>
  <si>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</si>
  <si>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</si>
  <si>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</si>
  <si>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</si>
  <si>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</si>
  <si>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</si>
  <si>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</si>
  <si>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</si>
  <si>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</si>
  <si>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</si>
  <si>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</si>
  <si>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</si>
  <si>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</si>
  <si>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</si>
  <si>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</si>
  <si>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</si>
  <si>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</si>
  <si>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</si>
  <si>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</si>
  <si>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</si>
  <si>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</si>
  <si>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</si>
  <si>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</si>
  <si>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</si>
  <si>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</si>
  <si>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</si>
  <si>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</si>
  <si>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</si>
  <si>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</si>
  <si>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</si>
  <si>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</si>
  <si>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</si>
  <si>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</si>
  <si>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</si>
  <si>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</si>
  <si>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</si>
  <si>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</si>
  <si>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</si>
  <si>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</si>
  <si>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</si>
  <si>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</si>
  <si>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</si>
  <si>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</si>
  <si>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</si>
  <si>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</si>
  <si>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</si>
  <si>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</si>
  <si>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</si>
  <si>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</si>
  <si>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</si>
  <si>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</si>
  <si>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</si>
  <si>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</si>
  <si>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</si>
  <si>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</si>
  <si>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</si>
  <si>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</si>
  <si>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</si>
  <si>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</si>
  <si>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</si>
  <si>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</si>
  <si>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</si>
  <si>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</si>
  <si>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</si>
  <si>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</si>
  <si>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</si>
  <si>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</si>
  <si>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</si>
  <si>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</si>
  <si>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</si>
  <si>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</si>
  <si>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</si>
  <si>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</si>
  <si>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</si>
  <si>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</si>
  <si>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</si>
  <si>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</si>
  <si>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</si>
  <si>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</si>
  <si>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</si>
  <si>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</si>
  <si>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</si>
  <si>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Islam Pura</t>
  </si>
  <si>
    <t xml:space="preserve">Shakoor Husain </t>
  </si>
  <si>
    <t xml:space="preserve"> </t>
  </si>
  <si>
    <t xml:space="preserve">Gourmet Food Shadman </t>
  </si>
  <si>
    <t xml:space="preserve">Gourmet Food Jinah Hospital </t>
  </si>
  <si>
    <t xml:space="preserve">Gourmet Food Walton </t>
  </si>
  <si>
    <t>Gourmet Food Krishan Nager</t>
  </si>
  <si>
    <t>Gourmet Food Nadeem Shaheed Road</t>
  </si>
  <si>
    <t xml:space="preserve">Gourmet Food Umer Chowk </t>
  </si>
  <si>
    <t>Invoice No # :0001</t>
  </si>
  <si>
    <t>Gourmet Food College Road</t>
  </si>
  <si>
    <t>Gourmet Food Ghalib Market</t>
  </si>
  <si>
    <t>Gourmet Food Zahoor e ilaahi</t>
  </si>
  <si>
    <t xml:space="preserve">Gourmet Food Pico </t>
  </si>
  <si>
    <t>Gourmet Food Temple Road</t>
  </si>
  <si>
    <t xml:space="preserve">Gourmet Food C Block Model town </t>
  </si>
  <si>
    <t>Gourmet Food Poonch Road</t>
  </si>
  <si>
    <t xml:space="preserve">Gourmet Food Gulshan Ravi </t>
  </si>
  <si>
    <t xml:space="preserve">Gourmet Food Riwind City </t>
  </si>
  <si>
    <t>Gourmet Food Model Town Link Road</t>
  </si>
  <si>
    <t xml:space="preserve">Gourmet Food A Block Model Town </t>
  </si>
  <si>
    <t>Gourmet Food Bata Pur</t>
  </si>
  <si>
    <t xml:space="preserve">Gourmet Food Sadar Kachari </t>
  </si>
  <si>
    <t xml:space="preserve">Gourmet Food Jaurey Pull </t>
  </si>
  <si>
    <t xml:space="preserve">Gourmet Food Bhatta Chowk </t>
  </si>
  <si>
    <t>Gourmet Food XX DHA</t>
  </si>
  <si>
    <t>Gourmet Food H Block DHA</t>
  </si>
  <si>
    <t>Gourmet Food Shalimar Link Road</t>
  </si>
  <si>
    <t>Gourmet Food Salamat pura</t>
  </si>
  <si>
    <t xml:space="preserve">Gourmet Food Dharoghewala </t>
  </si>
  <si>
    <t>Gourmet Food Riwind Road</t>
  </si>
  <si>
    <t xml:space="preserve">Gourmet Food  Chung </t>
  </si>
  <si>
    <t>Gourmet Food Moter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</si>
</sst>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9"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6.453125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46300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17" t="str">
        <f>+'1'!A6:A6</f>
        <v>Gourmet Food College Road</v>
      </c>
      <c r="T3" s="300">
        <f>+'1'!P35</f>
        <v>13095.143935932207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7" t="str">
        <f>+'2'!A6:A6</f>
        <v xml:space="preserve">Gourmet Food Shadman </v>
      </c>
      <c r="T4" s="300">
        <f>+'2'!P35</f>
        <v>8020.7736005084762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9" t="str">
        <f>+'3'!A6:A6</f>
        <v>Gourmet Food Ghalib Market</v>
      </c>
      <c r="T5" s="300">
        <f>+'3'!P35</f>
        <v>5892.8065301694915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9" t="str">
        <f>+'4'!A6:A6</f>
        <v>Gourmet Food Zahoor e ilaahi</v>
      </c>
      <c r="T6" s="300">
        <f>+'4'!P35</f>
        <v>4255.9341406779649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480</v>
      </c>
      <c r="I7" s="235">
        <f>(G7*D7)*F7+H7*F7</f>
        <v>25182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4532.7599999999993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20649.240000000002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4759.3220338983019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127.04281016949152</v>
      </c>
      <c r="P7" s="309">
        <f>M7+N7+O7</f>
        <v>25535.604844067795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8">
        <v>5</v>
      </c>
      <c r="S7" s="317" t="str">
        <f>+'5'!A6:A6</f>
        <v>Gourmet Food Islam Pura</v>
      </c>
      <c r="T7" s="300">
        <f>+'5'!P35</f>
        <v>8020.7736005084762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560</v>
      </c>
      <c r="I8" s="236">
        <f t="shared" ref="I8:I14" si="0">(G8*D8)*F8+H8*F8</f>
        <v>29379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5288.2199999999984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24090.780000000002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5552.5423728813521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148.21661186440676</v>
      </c>
      <c r="P8" s="310">
        <f t="shared" ref="P8:P15" si="2">M8+N8+O8</f>
        <v>29791.538984745759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8">
        <v>6</v>
      </c>
      <c r="S8" s="317" t="str">
        <f>+'6'!A6:A6</f>
        <v xml:space="preserve">Gourmet Food Jinah Hospital </v>
      </c>
      <c r="T8" s="300">
        <f>+'6'!P35</f>
        <v>10967.176865593221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480</v>
      </c>
      <c r="I9" s="236">
        <f t="shared" si="0"/>
        <v>25182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4532.7599999999993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20649.240000000002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4759.3220338983019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127.04281016949152</v>
      </c>
      <c r="P9" s="310">
        <f t="shared" si="2"/>
        <v>25535.604844067795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7" t="str">
        <f>+'7'!A6:A6</f>
        <v xml:space="preserve">Gourmet Food Pico </v>
      </c>
      <c r="T9" s="300">
        <f>+'7'!P35</f>
        <v>4255.9341406779649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7845.1199999999981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35738.880000000005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8237.2881355932223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219.88084067796618</v>
      </c>
      <c r="P10" s="310">
        <f t="shared" si="2"/>
        <v>44196.048976271188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8">
        <v>8</v>
      </c>
      <c r="S10" s="317" t="str">
        <f>+'8'!A6:A6</f>
        <v>Gourmet Food Temple Road</v>
      </c>
      <c r="T10" s="300">
        <f>+'8'!P35</f>
        <v>7202.3374057627125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600</v>
      </c>
      <c r="I11" s="236">
        <f t="shared" si="0"/>
        <v>43584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7845.1199999999981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35738.880000000005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8237.2881355932223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219.88084067796618</v>
      </c>
      <c r="P11" s="310">
        <f t="shared" si="2"/>
        <v>44196.048976271188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8">
        <v>9</v>
      </c>
      <c r="S11" s="317" t="str">
        <f>+'9'!A6:A6</f>
        <v xml:space="preserve">Gourmet Food Walton </v>
      </c>
      <c r="T11" s="300">
        <f>+'9'!P35</f>
        <v>5892.8065301694915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840</v>
      </c>
      <c r="I12" s="236">
        <f t="shared" si="0"/>
        <v>61017.599999999999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10983.167999999998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50034.432000000001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11532.203389830513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307.83317694915263</v>
      </c>
      <c r="P12" s="310">
        <f t="shared" si="2"/>
        <v>61874.468566779666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8">
        <v>10</v>
      </c>
      <c r="S12" s="317" t="str">
        <f>+'10'!A6:A6</f>
        <v xml:space="preserve">Gourmet Food C Block Model town </v>
      </c>
      <c r="T12" s="300">
        <f>+'10'!P35</f>
        <v>5074.3703354237296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17" t="str">
        <f>+'11'!A6:A6</f>
        <v>Gourmet Food Krishan Nager</v>
      </c>
      <c r="T13" s="300">
        <f>+'11'!P35</f>
        <v>5074.3703354237296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7" t="str">
        <f>+'12'!A6:A6</f>
        <v>Gourmet Food Poonch Road</v>
      </c>
      <c r="T14" s="300">
        <f>+'12'!P35</f>
        <v>10148.740670847459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17" t="str">
        <f>+'13'!A6:A6</f>
        <v>Gourmet Food Nadeem Shaheed Road</v>
      </c>
      <c r="T15" s="300">
        <f>+'13'!P35</f>
        <v>5892.8065301694915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274">
        <f>H16/40</f>
        <v>89</v>
      </c>
      <c r="H16" s="113">
        <f t="shared" ref="H16:M16" si="3">SUM(H7:H15)</f>
        <v>3560</v>
      </c>
      <c r="I16" s="114">
        <f t="shared" si="3"/>
        <v>227928.6</v>
      </c>
      <c r="J16" s="274">
        <f>SUM(J7:J15)</f>
        <v>41027.147999999994</v>
      </c>
      <c r="K16" s="275">
        <f t="shared" si="3"/>
        <v>0</v>
      </c>
      <c r="L16" s="276">
        <f t="shared" si="3"/>
        <v>0</v>
      </c>
      <c r="M16" s="232">
        <f t="shared" si="3"/>
        <v>186901.45200000002</v>
      </c>
      <c r="N16" s="233">
        <f>SUM(N7:N15)</f>
        <v>43077.96610169491</v>
      </c>
      <c r="O16" s="101">
        <f>SUM(O7:O15)</f>
        <v>1149.8970905084748</v>
      </c>
      <c r="P16" s="113">
        <f>SUM(P7:P15)</f>
        <v>231129.31519220339</v>
      </c>
      <c r="Q16" s="128">
        <f>SUM(Q7:Q15)</f>
        <v>0</v>
      </c>
      <c r="R16" s="318">
        <v>14</v>
      </c>
      <c r="S16" s="317" t="str">
        <f>+'14'!A6:A6</f>
        <v xml:space="preserve">Gourmet Food Gulshan Ravi </v>
      </c>
      <c r="T16" s="300">
        <f>+'14'!P35</f>
        <v>10967.176865593221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7" t="str">
        <f>+'15'!A6:A6</f>
        <v xml:space="preserve">Gourmet Food Umer Chowk </v>
      </c>
      <c r="T17" s="300">
        <f>+'15'!P35</f>
        <v>15223.111006271187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Riwind City </v>
      </c>
      <c r="T18" s="300">
        <f>+'16'!P35</f>
        <v>15223.111006271187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227928.6</v>
      </c>
      <c r="R19" s="299">
        <v>17</v>
      </c>
      <c r="S19" s="317" t="str">
        <f>+'17'!A6:A6</f>
        <v>Gourmet Food Model Town Link Road</v>
      </c>
      <c r="T19" s="300">
        <f>+'17'!P35</f>
        <v>13095.143935932207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41027.147999999994</v>
      </c>
      <c r="R20" s="299">
        <v>18</v>
      </c>
      <c r="S20" s="317" t="str">
        <f>+'18'!A6:A6</f>
        <v xml:space="preserve">Gourmet Food A Block Model Town </v>
      </c>
      <c r="T20" s="300">
        <f>+'18'!P35</f>
        <v>15223.111006271187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414" t="str">
        <f>+'19'!A6:A6</f>
        <v>Gourmet Food Bata Pur</v>
      </c>
      <c r="T21" s="300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186901.45200000002</v>
      </c>
      <c r="R22" s="299">
        <v>20</v>
      </c>
      <c r="S22" s="317" t="str">
        <f>+'20'!A6:A6</f>
        <v xml:space="preserve">Gourmet Food Sadar Kachari </v>
      </c>
      <c r="T22" s="300">
        <f>+'20'!P35</f>
        <v>6383.9012110169497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43077.96610169491</v>
      </c>
      <c r="R23" s="299">
        <v>21</v>
      </c>
      <c r="S23" s="317" t="str">
        <f>+'21'!A6:A6</f>
        <v xml:space="preserve">Gourmet Food Jaurey Pull </v>
      </c>
      <c r="T23" s="300">
        <f>+'21'!P35</f>
        <v>10148.740670847459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229979.41810169493</v>
      </c>
      <c r="R24" s="299">
        <v>22</v>
      </c>
      <c r="S24" s="317" t="str">
        <f>+'22'!A6:A6</f>
        <v xml:space="preserve">Gourmet Food Bhatta Chowk </v>
      </c>
      <c r="T24" s="300">
        <f>+'22'!P35</f>
        <v>5892.8065301694915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1149.8970905084748</v>
      </c>
      <c r="R25" s="299">
        <v>23</v>
      </c>
      <c r="S25" s="317" t="str">
        <f>+'23'!A6:A6</f>
        <v>Gourmet Food XX DHA</v>
      </c>
      <c r="T25" s="300">
        <f>+'23'!P35</f>
        <v>8839.2097952542372</v>
      </c>
    </row>
    <row r="26" spans="1:20" ht="21.75" customHeight="1" thickBot="1" x14ac:dyDescent="0.4">
      <c r="N26" s="344" t="s">
        <v>88</v>
      </c>
      <c r="O26" s="345"/>
      <c r="P26" s="297">
        <f>+P24+P25</f>
        <v>231129.31519220342</v>
      </c>
      <c r="R26" s="299">
        <v>24</v>
      </c>
      <c r="S26" s="317" t="str">
        <f>+'24'!A6:A6</f>
        <v>Gourmet Food H Block DHA</v>
      </c>
      <c r="T26" s="300">
        <f>+'24'!P35</f>
        <v>5074.3703354237296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414" t="str">
        <f>+'25'!A6:A6</f>
        <v>Gourmet Food Shalimar Link Road</v>
      </c>
      <c r="T27" s="300">
        <f>+'25'!P35</f>
        <v>0</v>
      </c>
    </row>
    <row r="28" spans="1:20" ht="21.75" customHeight="1" x14ac:dyDescent="0.35">
      <c r="R28" s="299">
        <v>26</v>
      </c>
      <c r="S28" s="414" t="str">
        <f>+'26'!A6:A6</f>
        <v>Gourmet Food Salamat pura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7" t="str">
        <f>+'27'!A6:A6</f>
        <v xml:space="preserve">Gourmet Food Dharoghewala </v>
      </c>
      <c r="T29" s="300">
        <f>+'27'!P35</f>
        <v>5074.3703354237296</v>
      </c>
    </row>
    <row r="30" spans="1:20" ht="21.75" customHeight="1" x14ac:dyDescent="0.35">
      <c r="R30" s="299">
        <v>28</v>
      </c>
      <c r="S30" s="317" t="str">
        <f>+'28'!A6:A6</f>
        <v>Gourmet Food Riwind Road</v>
      </c>
      <c r="T30" s="300">
        <f>+'28'!P35</f>
        <v>5074.3703354237296</v>
      </c>
    </row>
    <row r="31" spans="1:20" ht="21.75" customHeight="1" x14ac:dyDescent="0.35">
      <c r="R31" s="299">
        <v>29</v>
      </c>
      <c r="S31" s="317" t="str">
        <f>+'29'!A6:A6</f>
        <v xml:space="preserve">Gourmet Food  Chung </v>
      </c>
      <c r="T31" s="300">
        <f>+'29'!P35</f>
        <v>10148.740670847459</v>
      </c>
    </row>
    <row r="32" spans="1:20" ht="21.75" customHeight="1" x14ac:dyDescent="0.35">
      <c r="R32" s="299">
        <v>30</v>
      </c>
      <c r="S32" s="317" t="str">
        <f>+'30'!A6:A6</f>
        <v>Gourmet Food Moter Way</v>
      </c>
      <c r="T32" s="300">
        <f>+'30'!P35</f>
        <v>10967.176865593221</v>
      </c>
    </row>
    <row r="33" spans="2:20" ht="21.75" customHeight="1" thickBot="1" x14ac:dyDescent="0.6">
      <c r="R33" s="302"/>
      <c r="S33" s="301" t="s">
        <v>496</v>
      </c>
      <c r="T33" s="303">
        <f>SUM(T3:T32)</f>
        <v>231129.31519220342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zoomScaleNormal="10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7.2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12913.800000000001</v>
      </c>
      <c r="J25" s="274">
        <f>SUM(J16:J24)</f>
        <v>2324.4839999999995</v>
      </c>
      <c r="K25" s="275">
        <f t="shared" si="10"/>
        <v>0</v>
      </c>
      <c r="L25" s="276">
        <f t="shared" si="10"/>
        <v>0</v>
      </c>
      <c r="M25" s="232">
        <f t="shared" si="10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12913.800000000001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2324.4839999999995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10589.316000000003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13029.993966101698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4" t="s">
        <v>88</v>
      </c>
      <c r="O35" s="345"/>
      <c r="P35" s="297">
        <f>+P33+P34</f>
        <v>13095.143935932207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  <c r="F2" t="s">
        <v>517</v>
      </c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7909.7000000000007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1423.7459999999996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6485.9540000000015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7980.8692542372901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4" t="s">
        <v>88</v>
      </c>
      <c r="O35" s="345"/>
      <c r="P35" s="297">
        <f>+P33+P34</f>
        <v>8020.7736005084762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8.7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5811.2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1046.0159999999998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4765.1840000000002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5863.4890847457627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4" t="s">
        <v>88</v>
      </c>
      <c r="O35" s="345"/>
      <c r="P35" s="297">
        <f>+P33+P34</f>
        <v>5892.8065301694915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0</v>
      </c>
      <c r="L25" s="276">
        <f t="shared" si="7"/>
        <v>0</v>
      </c>
      <c r="M25" s="232">
        <f t="shared" si="7"/>
        <v>3441.54</v>
      </c>
      <c r="N25" s="233">
        <f>SUM(N16:N24)</f>
        <v>793.22033898305051</v>
      </c>
      <c r="O25" s="101">
        <f>SUM(O16:O24)</f>
        <v>21.173801694915252</v>
      </c>
      <c r="P25" s="113">
        <f>SUM(P16:P24)</f>
        <v>4255.9341406779649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4197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755.45999999999992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3441.54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4234.7603389830501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21.173801694915252</v>
      </c>
    </row>
    <row r="35" spans="2:16" ht="15.75" customHeight="1" thickBot="1" x14ac:dyDescent="0.4">
      <c r="N35" s="344" t="s">
        <v>88</v>
      </c>
      <c r="O35" s="345"/>
      <c r="P35" s="297">
        <f>+P33+P34</f>
        <v>4255.9341406779649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zoomScaleNormal="10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7909.7000000000007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1423.7459999999996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6485.9540000000015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7980.8692542372901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4" t="s">
        <v>88</v>
      </c>
      <c r="O35" s="345"/>
      <c r="P35" s="297">
        <f>+P33+P34</f>
        <v>8020.7736005084762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10815.300000000001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1946.7539999999995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8868.5460000000021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10912.613796610171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4" t="s">
        <v>88</v>
      </c>
      <c r="O35" s="345"/>
      <c r="P35" s="297">
        <f>+P33+P34</f>
        <v>10967.176865593221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0</v>
      </c>
      <c r="L25" s="276">
        <f t="shared" si="7"/>
        <v>0</v>
      </c>
      <c r="M25" s="232">
        <f t="shared" si="7"/>
        <v>3441.54</v>
      </c>
      <c r="N25" s="233">
        <f>SUM(N16:N24)</f>
        <v>793.22033898305051</v>
      </c>
      <c r="O25" s="101">
        <f>SUM(O16:O24)</f>
        <v>21.173801694915252</v>
      </c>
      <c r="P25" s="113">
        <f>SUM(P16:P24)</f>
        <v>4255.9341406779649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4197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755.45999999999992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3441.54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4234.7603389830501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21.173801694915252</v>
      </c>
    </row>
    <row r="35" spans="2:16" ht="15.75" customHeight="1" thickBot="1" x14ac:dyDescent="0.4">
      <c r="N35" s="344" t="s">
        <v>88</v>
      </c>
      <c r="O35" s="345"/>
      <c r="P35" s="297">
        <f>+P33+P34</f>
        <v>4255.9341406779649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1278.4679999999998</v>
      </c>
      <c r="K25" s="275">
        <f t="shared" si="7"/>
        <v>0</v>
      </c>
      <c r="L25" s="276">
        <f t="shared" si="7"/>
        <v>0</v>
      </c>
      <c r="M25" s="232">
        <f t="shared" si="7"/>
        <v>5824.1319999999996</v>
      </c>
      <c r="N25" s="233">
        <f>SUM(N16:N24)</f>
        <v>1342.3728813559319</v>
      </c>
      <c r="O25" s="101">
        <f>SUM(O16:O24)</f>
        <v>35.832524406779655</v>
      </c>
      <c r="P25" s="113">
        <f>SUM(P16:P24)</f>
        <v>7202.3374057627107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7102.6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1278.4679999999998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5824.1320000000005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7166.5048813559324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35.832524406779662</v>
      </c>
    </row>
    <row r="35" spans="2:16" ht="15.75" customHeight="1" thickBot="1" x14ac:dyDescent="0.4">
      <c r="N35" s="344" t="s">
        <v>88</v>
      </c>
      <c r="O35" s="345"/>
      <c r="P35" s="297">
        <f>+P33+P34</f>
        <v>7202.3374057627125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5811.2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1046.0159999999998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4765.1840000000002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5863.4890847457627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4" t="s">
        <v>88</v>
      </c>
      <c r="O35" s="345"/>
      <c r="P35" s="297">
        <f>+P33+P34</f>
        <v>5892.8065301694915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900.73799999999983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4103.362000000001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5049.1247118644078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4" t="s">
        <v>88</v>
      </c>
      <c r="O35" s="345"/>
      <c r="P35" s="297">
        <f>+P33+P34</f>
        <v>5074.3703354237296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900.73799999999983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4103.362000000001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5049.1247118644078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4" t="s">
        <v>88</v>
      </c>
      <c r="O35" s="345"/>
      <c r="P35" s="297">
        <f>+P33+P34</f>
        <v>5074.3703354237296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10008.200000000001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1801.4759999999997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8206.724000000002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10098.249423728816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4" t="s">
        <v>88</v>
      </c>
      <c r="O35" s="345"/>
      <c r="P35" s="297">
        <f>+P33+P34</f>
        <v>10148.740670847459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5811.2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1046.0159999999998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4765.1840000000002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5863.4890847457627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4" t="s">
        <v>88</v>
      </c>
      <c r="O35" s="345"/>
      <c r="P35" s="297">
        <f>+P33+P34</f>
        <v>5892.8065301694915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10815.300000000001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1946.7539999999995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8868.5460000000021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10912.613796610171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4" t="s">
        <v>88</v>
      </c>
      <c r="O35" s="345"/>
      <c r="P35" s="297">
        <f>+P33+P34</f>
        <v>10967.176865593221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15012.300000000001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2702.2139999999995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12310.086000000001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15147.374135593222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4" t="s">
        <v>88</v>
      </c>
      <c r="O35" s="345"/>
      <c r="P35" s="297">
        <f>+P33+P34</f>
        <v>15223.111006271187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15012.300000000001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2702.2139999999995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  <c r="S30" s="215"/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12310.086000000001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15147.374135593222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4" t="s">
        <v>88</v>
      </c>
      <c r="O35" s="345"/>
      <c r="P35" s="297">
        <f>+P33+P34</f>
        <v>15223.111006271187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12913.800000000001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2324.4839999999995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10589.316000000003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13029.993966101698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4" t="s">
        <v>88</v>
      </c>
      <c r="O35" s="345"/>
      <c r="P35" s="297">
        <f>+P33+P34</f>
        <v>13095.143935932207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15012.300000000001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2702.2139999999995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12310.086000000001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15147.374135593222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4" t="s">
        <v>88</v>
      </c>
      <c r="O35" s="345"/>
      <c r="P35" s="297">
        <f>+P33+P34</f>
        <v>15223.111006271187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536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8.75" customHeight="1" x14ac:dyDescent="0.4">
      <c r="A6" s="398" t="s">
        <v>537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1133.1899999999998</v>
      </c>
      <c r="K25" s="275">
        <f t="shared" si="7"/>
        <v>0</v>
      </c>
      <c r="L25" s="276">
        <f t="shared" si="7"/>
        <v>0</v>
      </c>
      <c r="M25" s="232">
        <f t="shared" si="7"/>
        <v>5162.3099999999995</v>
      </c>
      <c r="N25" s="233">
        <f>SUM(N16:N24)</f>
        <v>1189.8305084745757</v>
      </c>
      <c r="O25" s="101">
        <f>SUM(O16:O24)</f>
        <v>31.760702542372876</v>
      </c>
      <c r="P25" s="113">
        <f>SUM(P16:P24)</f>
        <v>6383.9012110169479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6295.5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1133.1899999999998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5162.3100000000004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6352.1405084745766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31.760702542372883</v>
      </c>
    </row>
    <row r="35" spans="2:16" ht="15.75" customHeight="1" thickBot="1" x14ac:dyDescent="0.4">
      <c r="N35" s="344" t="s">
        <v>88</v>
      </c>
      <c r="O35" s="345"/>
      <c r="P35" s="297">
        <f>+P33+P34</f>
        <v>6383.9012110169497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538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10008.200000000001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1801.4759999999997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8206.724000000002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10098.249423728816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4" t="s">
        <v>88</v>
      </c>
      <c r="O35" s="345"/>
      <c r="P35" s="297">
        <f>+P33+P34</f>
        <v>10148.740670847459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539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5811.2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1046.0159999999998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4765.1840000000002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5863.4890847457627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4" t="s">
        <v>88</v>
      </c>
      <c r="O35" s="345"/>
      <c r="P35" s="297">
        <f>+P33+P34</f>
        <v>5892.8065301694915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540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1569.0239999999999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7147.7759999999998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8795.2336271186432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4" t="s">
        <v>88</v>
      </c>
      <c r="O35" s="345"/>
      <c r="P35" s="297">
        <f>+P33+P34</f>
        <v>8839.2097952542372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541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900.73799999999983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4103.362000000001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5049.1247118644078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4" t="s">
        <v>88</v>
      </c>
      <c r="O35" s="345"/>
      <c r="P35" s="297">
        <f>+P33+P34</f>
        <v>5074.3703354237296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542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9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543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544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900.73799999999983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4103.362000000001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5049.1247118644078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4" t="s">
        <v>88</v>
      </c>
      <c r="O35" s="345"/>
      <c r="P35" s="297">
        <f>+P33+P34</f>
        <v>5074.3703354237296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545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900.73799999999983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4103.362000000001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5049.1247118644078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4" t="s">
        <v>88</v>
      </c>
      <c r="O35" s="345"/>
      <c r="P35" s="297">
        <f>+P33+P34</f>
        <v>5074.3703354237296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546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10008.200000000001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1801.4759999999997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8206.724000000002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10098.249423728816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4" t="s">
        <v>88</v>
      </c>
      <c r="O35" s="345"/>
      <c r="P35" s="297">
        <f>+P33+P34</f>
        <v>10148.740670847459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547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10815.300000000001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1946.7539999999995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8868.5460000000021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10912.613796610171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4" t="s">
        <v>88</v>
      </c>
      <c r="O35" s="345"/>
      <c r="P35" s="297">
        <f>+P33+P34</f>
        <v>10967.176865593221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46303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46302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2026-10-07T05:57:21Z</dcterms:modified>
</cp:coreProperties>
</file>