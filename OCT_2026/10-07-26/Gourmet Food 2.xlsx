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9B18B41-B485-4A37-91DA-79DC2164E696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<sst xmlns="http://schemas.openxmlformats.org/spreadsheetml/2006/main" count="3949" uniqueCount="547">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</sst>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46300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7" t="str">
        <f>+'1'!A6:A6</f>
        <v>Gourmet Food K Block DHA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10148.740670847459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3441.54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21.173801694915252</v>
      </c>
      <c r="P7" s="309">
        <f>M7+N7+O7</f>
        <v>4255.9341406779649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8">
        <v>5</v>
      </c>
      <c r="S7" s="317" t="str">
        <f>+'5'!A6:A6</f>
        <v xml:space="preserve">Gourmet Food Rustam Park 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8">
        <v>6</v>
      </c>
      <c r="S8" s="317" t="str">
        <f>+'6'!A6:A6</f>
        <v>Gourmet Food Awan Market Ferozpur Road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2644.1099999999997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12045.39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74.108305932203379</v>
      </c>
      <c r="P9" s="310">
        <f t="shared" si="2"/>
        <v>14895.76949237288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21443.328000000001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131.92850440677969</v>
      </c>
      <c r="P10" s="310">
        <f t="shared" si="2"/>
        <v>26517.629385762713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8">
        <v>8</v>
      </c>
      <c r="S10" s="317" t="str">
        <f>+'8'!A6:A6</f>
        <v>Gourmet Food Zaraar Shaheed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4707.0719999999992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21443.328000000001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131.92850440677969</v>
      </c>
      <c r="P11" s="310">
        <f t="shared" si="2"/>
        <v>26517.629385762713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8">
        <v>9</v>
      </c>
      <c r="S11" s="317" t="str">
        <f>+'9'!A6:A6</f>
        <v>Gourmet Food Bedian Road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4707.0719999999992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21443.328000000001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131.92850440677969</v>
      </c>
      <c r="P12" s="310">
        <f t="shared" si="2"/>
        <v>26517.629385762713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8">
        <v>10</v>
      </c>
      <c r="S12" s="317" t="str">
        <f>+'10'!A6:A6</f>
        <v xml:space="preserve">Gourmet Food Ismail Nager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5892.8065301694915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40</v>
      </c>
      <c r="H16" s="113">
        <f t="shared" ref="H16:M16" si="3">SUM(H7:H15)</f>
        <v>1600</v>
      </c>
      <c r="I16" s="114">
        <f t="shared" si="3"/>
        <v>105731.70000000001</v>
      </c>
      <c r="J16" s="274">
        <f>SUM(J7:J15)</f>
        <v>19031.705999999998</v>
      </c>
      <c r="K16" s="275">
        <f t="shared" si="3"/>
        <v>0</v>
      </c>
      <c r="L16" s="276">
        <f t="shared" si="3"/>
        <v>0</v>
      </c>
      <c r="M16" s="232">
        <f t="shared" si="3"/>
        <v>86699.994000000006</v>
      </c>
      <c r="N16" s="233">
        <f>SUM(N7:N15)</f>
        <v>19983.050847457624</v>
      </c>
      <c r="O16" s="101">
        <f>SUM(O7:O15)</f>
        <v>533.41522423728816</v>
      </c>
      <c r="P16" s="113">
        <f>SUM(P7:P15)</f>
        <v>107216.46007169492</v>
      </c>
      <c r="Q16" s="128">
        <f>SUM(Q7:Q15)</f>
        <v>200</v>
      </c>
      <c r="R16" s="318">
        <v>14</v>
      </c>
      <c r="S16" s="319" t="str">
        <f>+'14'!A6:A6</f>
        <v xml:space="preserve">Gourmet Food Shadra Town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10967.176865593221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105731.70000000001</v>
      </c>
      <c r="R19" s="299">
        <v>17</v>
      </c>
      <c r="S19" s="319" t="str">
        <f>+'17'!A6:A6</f>
        <v xml:space="preserve">Gourmet Food Killa Lakshman singh </v>
      </c>
      <c r="T19" s="300">
        <f>+'17'!P35</f>
        <v>12276.707741186441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19031.705999999998</v>
      </c>
      <c r="R20" s="299">
        <v>18</v>
      </c>
      <c r="S20" s="319" t="str">
        <f>+'18'!A6:A6</f>
        <v>Gourmet Food Imamia Colony</v>
      </c>
      <c r="T20" s="300">
        <f>+'18'!P35</f>
        <v>8839.2097952542372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10148.740670847459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86699.994000000006</v>
      </c>
      <c r="R22" s="299">
        <v>20</v>
      </c>
      <c r="S22" s="317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19983.050847457624</v>
      </c>
      <c r="R23" s="299">
        <v>21</v>
      </c>
      <c r="S23" s="317" t="str">
        <f>+'21'!A6:A6</f>
        <v>Gourmet Food Nadra Abad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106683.04484745763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533.41522423728816</v>
      </c>
      <c r="R25" s="299">
        <v>23</v>
      </c>
      <c r="S25" s="317" t="str">
        <f>+'23'!A6:A6</f>
        <v>Gourmet Food FF DHA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107216.46007169492</v>
      </c>
      <c r="R26" s="299">
        <v>24</v>
      </c>
      <c r="S26" s="317" t="str">
        <f>+'24'!A6:A6</f>
        <v>Gourmet Food Sultanpura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7" t="str">
        <f>+'25'!A6:A6</f>
        <v>Gourmet Food Militery Account</v>
      </c>
      <c r="T27" s="300">
        <f>+'25'!P35</f>
        <v>0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8839.2097952542372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5892.8065301694915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13095.143935932207</v>
      </c>
    </row>
    <row r="33" spans="2:20" ht="21.75" customHeight="1" thickBot="1" x14ac:dyDescent="0.6">
      <c r="R33" s="302"/>
      <c r="S33" s="301" t="s">
        <v>496</v>
      </c>
      <c r="T33" s="303">
        <f>SUM(T3:T32)</f>
        <v>107216.46007169494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516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10008.200000000001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1801.4759999999997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8206.724000000002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10098.249423728816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3" t="s">
        <v>88</v>
      </c>
      <c r="O35" s="374"/>
      <c r="P35" s="297">
        <f>+P33+P34</f>
        <v>10148.740670847459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10815.300000000001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1946.7539999999995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8868.5460000000021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10912.613796610171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3" t="s">
        <v>88</v>
      </c>
      <c r="O35" s="374"/>
      <c r="P35" s="297">
        <f>+P33+P34</f>
        <v>10967.176865593221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10815.300000000001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1946.7539999999995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8868.5460000000021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10912.613796610171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3" t="s">
        <v>88</v>
      </c>
      <c r="O35" s="374"/>
      <c r="P35" s="297">
        <f>+P33+P34</f>
        <v>10967.176865593221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12106.7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2179.2059999999997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9927.4940000000006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12215.629593220339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73" t="s">
        <v>88</v>
      </c>
      <c r="O35" s="374"/>
      <c r="P35" s="297">
        <f>+P33+P34</f>
        <v>12276.707741186441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10008.200000000001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1801.4759999999997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8206.724000000002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10098.249423728816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3" t="s">
        <v>88</v>
      </c>
      <c r="O35" s="374"/>
      <c r="P35" s="297">
        <f>+P33+P34</f>
        <v>10148.740670847459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Q5" sqref="Q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2026-10-08T06:53:13Z</dcterms:modified>
</cp:coreProperties>
</file>