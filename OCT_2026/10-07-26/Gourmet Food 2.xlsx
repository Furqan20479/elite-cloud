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2137D48-C0CE-488F-AEBA-A07954153BAB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6" i="62" l="1"/>
  <c r="S25" i="62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M24" i="56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O23" i="48" s="1"/>
  <c r="P23" i="48" s="1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O16" i="66" s="1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<sst xmlns="http://schemas.openxmlformats.org/spreadsheetml/2006/main" count="3949" uniqueCount="547">
  <si>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</si>
  <si>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</si>
  <si>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</si>
  <si>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</si>
  <si>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</si>
  <si>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</si>
  <si>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</si>
  <si>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</si>
  <si>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</si>
  <si>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</si>
  <si>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</si>
  <si>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</si>
  <si>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</si>
  <si>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</si>
  <si>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</si>
  <si>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</si>
  <si>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</si>
  <si>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</si>
  <si>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</si>
  <si>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</si>
  <si>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</si>
  <si>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</si>
  <si>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</si>
  <si>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</si>
  <si>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</si>
  <si>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</si>
  <si>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</si>
  <si>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</si>
  <si>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</si>
  <si>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</si>
  <si>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</si>
  <si>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</si>
  <si>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</si>
  <si>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</si>
  <si>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</si>
  <si>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</si>
  <si>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</si>
  <si>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</si>
  <si>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</si>
  <si>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</si>
  <si>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</si>
  <si>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</si>
  <si>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</si>
  <si>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</si>
  <si>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</si>
  <si>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</si>
  <si>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</si>
  <si>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</si>
  <si>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</si>
  <si>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</si>
  <si>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</si>
  <si>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</si>
  <si>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</si>
  <si>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</si>
  <si>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</si>
  <si>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</si>
  <si>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</si>
  <si>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</si>
  <si>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</si>
  <si>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</si>
  <si>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</si>
  <si>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</si>
  <si>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</si>
  <si>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</si>
  <si>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</si>
  <si>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</si>
  <si>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</si>
  <si>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</si>
  <si>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</si>
  <si>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</si>
  <si>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</si>
  <si>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</si>
  <si>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</si>
  <si>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</si>
  <si>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</si>
  <si>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</si>
  <si>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</si>
  <si>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</si>
  <si>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</si>
  <si>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</si>
  <si>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</si>
  <si>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</si>
  <si>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</si>
  <si>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</si>
  <si>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</si>
  <si>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</si>
  <si>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</si>
  <si>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</si>
  <si>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</si>
  <si>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</si>
  <si>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</si>
  <si>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</si>
  <si>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</si>
  <si>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</si>
  <si>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</si>
  <si>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</si>
  <si>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</si>
  <si>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</si>
  <si>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</si>
  <si>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</si>
  <si>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</si>
  <si>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</si>
  <si>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</si>
  <si>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</si>
  <si>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</si>
  <si>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</si>
  <si>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</si>
  <si>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</si>
  <si>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</si>
  <si>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</si>
  <si>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</si>
  <si>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</si>
  <si>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</si>
  <si>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</si>
  <si>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</si>
  <si>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</si>
  <si>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</si>
  <si>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</si>
  <si>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</si>
  <si>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</si>
  <si>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</si>
  <si>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</si>
  <si>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</si>
  <si>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</si>
  <si>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</si>
  <si>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</si>
  <si>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</si>
  <si>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</si>
  <si>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</si>
  <si>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</si>
  <si>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</si>
  <si>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</si>
  <si>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</si>
  <si>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</si>
  <si>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</si>
  <si>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</si>
  <si>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</si>
  <si>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</si>
  <si>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</si>
  <si>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</si>
  <si>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</si>
  <si>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</si>
  <si>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</si>
  <si>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</si>
  <si>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</si>
  <si>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</si>
  <si>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</si>
  <si>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</si>
  <si>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</si>
  <si>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</si>
  <si>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</si>
  <si>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</si>
  <si>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</si>
  <si>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</si>
  <si>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</si>
  <si>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</si>
  <si>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</si>
  <si>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</si>
  <si>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</si>
  <si>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</si>
  <si>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</si>
  <si>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</si>
  <si>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</si>
  <si>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</si>
  <si>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</si>
  <si>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</si>
  <si>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</si>
  <si>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</si>
  <si>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</si>
  <si>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</si>
  <si>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</si>
  <si>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</si>
  <si>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</si>
  <si>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</si>
  <si>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</si>
  <si>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</si>
  <si>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</si>
  <si>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</si>
  <si>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</si>
  <si>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</si>
  <si>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</si>
  <si>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</si>
  <si>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</si>
  <si>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</si>
  <si>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</si>
  <si>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</si>
  <si>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</si>
  <si>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</si>
  <si>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</si>
  <si>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</si>
  <si>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</si>
  <si>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</si>
  <si>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</si>
  <si>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</si>
  <si>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</si>
  <si>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</si>
  <si>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</si>
  <si>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</si>
  <si>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</si>
  <si>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</si>
  <si>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</si>
  <si>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</si>
  <si>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</si>
  <si>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</si>
  <si>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</si>
  <si>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</si>
  <si>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</si>
  <si>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</si>
  <si>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</si>
  <si>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</si>
  <si>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</si>
  <si>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</si>
  <si>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</si>
  <si>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</si>
  <si>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</si>
  <si>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</si>
  <si>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</si>
  <si>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</si>
  <si>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</si>
  <si>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</si>
  <si>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</si>
  <si>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</si>
  <si>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</si>
  <si>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</si>
  <si>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</si>
  <si>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</si>
  <si>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</si>
  <si>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</si>
  <si>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</si>
  <si>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</si>
  <si>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</si>
  <si>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</si>
  <si>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</si>
  <si>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</si>
  <si>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</si>
  <si>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</si>
  <si>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</si>
  <si>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</si>
  <si>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</si>
  <si>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</si>
  <si>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</si>
  <si>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</si>
  <si>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</si>
  <si>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</si>
  <si>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</si>
  <si>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</si>
  <si>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</si>
  <si>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</si>
  <si>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</si>
  <si>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</si>
  <si>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</si>
  <si>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</si>
  <si>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</si>
  <si>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</si>
  <si>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</si>
  <si>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</si>
  <si>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</si>
  <si>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</si>
  <si>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</si>
  <si>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</si>
  <si>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</si>
  <si>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</si>
  <si>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</si>
  <si>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</si>
  <si>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</si>
  <si>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</si>
  <si>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</si>
  <si>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</si>
  <si>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</si>
  <si>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</si>
  <si>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</si>
  <si>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</si>
  <si>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</si>
  <si>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</si>
  <si>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</si>
  <si>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</si>
  <si>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</si>
  <si>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</si>
  <si>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</si>
  <si>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</si>
  <si>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</si>
  <si>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</si>
  <si>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</si>
  <si>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</si>
  <si>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</si>
  <si>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</si>
  <si>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</si>
  <si>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</si>
  <si>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</si>
  <si>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</si>
  <si>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</si>
  <si>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</si>
  <si>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</si>
  <si>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</si>
  <si>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</si>
  <si>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</si>
  <si>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</si>
  <si>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</si>
  <si>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</si>
  <si>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</si>
  <si>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</si>
  <si>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</si>
  <si>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</si>
  <si>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</si>
  <si>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</si>
  <si>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</si>
  <si>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</si>
  <si>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</si>
  <si>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</si>
  <si>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</si>
  <si>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</si>
  <si>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</si>
  <si>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</si>
  <si>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</si>
  <si>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</si>
  <si>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</si>
  <si>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</si>
  <si>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</si>
  <si>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</si>
  <si>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</si>
  <si>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</si>
  <si>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</si>
  <si>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</si>
  <si>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</si>
  <si>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</si>
  <si>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</si>
  <si>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</si>
  <si>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</si>
  <si>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</si>
  <si>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</si>
  <si>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</si>
  <si>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</si>
  <si>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</si>
  <si>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</si>
  <si>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</si>
  <si>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</si>
  <si>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</si>
  <si>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</si>
  <si>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</si>
  <si>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</si>
  <si>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</si>
  <si>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</si>
  <si>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</si>
  <si>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</si>
  <si>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</si>
  <si>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</si>
  <si>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</si>
  <si>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</si>
  <si>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</si>
  <si>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</si>
  <si>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</si>
  <si>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</si>
  <si>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</si>
  <si>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</si>
  <si>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</si>
  <si>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</si>
  <si>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</si>
  <si>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</si>
  <si>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</si>
  <si>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</si>
  <si>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</si>
  <si>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</si>
  <si>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</si>
  <si>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</si>
  <si>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</si>
  <si>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</si>
  <si>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</si>
  <si>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</si>
  <si>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</si>
  <si>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</si>
  <si>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</si>
  <si>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</si>
  <si>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</si>
  <si>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</si>
  <si>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</si>
  <si>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</si>
  <si>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</si>
  <si>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</si>
  <si>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</si>
  <si>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</si>
  <si>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</si>
  <si>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</si>
  <si>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</si>
  <si>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</si>
  <si>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</si>
  <si>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</si>
  <si>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</si>
  <si>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</si>
  <si>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</si>
  <si>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</si>
  <si>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</si>
  <si>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</si>
  <si>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</si>
  <si>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</si>
  <si>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</si>
  <si>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</si>
  <si>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</si>
  <si>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</si>
  <si>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</si>
  <si>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</si>
  <si>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</si>
  <si>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</si>
  <si>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</si>
  <si>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</si>
  <si>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</si>
  <si>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</si>
  <si>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</si>
  <si>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</si>
  <si>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</si>
  <si>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</si>
  <si>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</si>
  <si>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</si>
  <si>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</si>
  <si>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</si>
  <si>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</si>
  <si>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</si>
  <si>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</si>
  <si>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</si>
  <si>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</si>
  <si>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</si>
  <si>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</si>
  <si>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</si>
  <si>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</si>
  <si>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</si>
  <si>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</si>
  <si>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</si>
  <si>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</si>
  <si>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</si>
  <si>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</si>
  <si>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</si>
  <si>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</si>
  <si>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</si>
  <si>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</si>
  <si>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</si>
  <si>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</si>
  <si>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</si>
  <si>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</si>
  <si>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</si>
  <si>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</si>
  <si>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</si>
  <si>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</si>
  <si>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</si>
  <si>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</si>
  <si>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</si>
  <si>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</si>
  <si>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</si>
  <si>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</si>
  <si>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</si>
  <si>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</si>
  <si>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</si>
  <si>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</si>
  <si>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</si>
  <si>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</si>
  <si>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</si>
  <si>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</si>
  <si>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</si>
  <si>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</si>
  <si>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</si>
  <si>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</si>
  <si>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</si>
  <si>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</si>
  <si>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</si>
  <si>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</si>
  <si>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</si>
  <si>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</si>
  <si>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</si>
  <si>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</si>
  <si>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</si>
  <si>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</si>
  <si>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</si>
  <si>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</si>
  <si>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</si>
  <si>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</si>
  <si>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</si>
  <si>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</si>
  <si>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</si>
  <si>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</si>
  <si>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</si>
  <si>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</si>
  <si>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</si>
  <si>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</si>
  <si>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</si>
  <si>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</si>
  <si>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</si>
  <si>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</si>
  <si>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</si>
  <si>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</si>
  <si>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</si>
  <si>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</si>
  <si>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</si>
  <si>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</si>
  <si>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</si>
  <si>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</si>
  <si>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</si>
  <si>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</si>
  <si>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</si>
  <si>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</si>
  <si>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</si>
  <si>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</si>
  <si>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</si>
  <si>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</si>
  <si>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</si>
  <si>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</si>
  <si>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</si>
  <si>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</si>
  <si>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</si>
  <si>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</si>
  <si>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</si>
  <si>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</si>
  <si>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</si>
  <si>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</si>
  <si>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</si>
  <si>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</si>
  <si>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</si>
  <si>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</si>
  <si>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 xml:space="preserve">Shakoor Husain </t>
  </si>
  <si>
    <t xml:space="preserve"> </t>
  </si>
  <si>
    <t>Invoice No # :0001</t>
  </si>
  <si>
    <t>Gourmet Food K Block DHA</t>
  </si>
  <si>
    <t xml:space="preserve">Gourmet Food Lal Pull </t>
  </si>
  <si>
    <t xml:space="preserve">Gourmet Food Shadbagh </t>
  </si>
  <si>
    <t xml:space="preserve">Gourmet Food Railway Plaza </t>
  </si>
  <si>
    <t xml:space="preserve">Gourmet Food Rustam Park </t>
  </si>
  <si>
    <t>Gourmet Food Awan Market Ferozpur Road</t>
  </si>
  <si>
    <t xml:space="preserve">Gourmet Food Tajbagh </t>
  </si>
  <si>
    <t>Gourmet Food Zaraar Shaheed Road</t>
  </si>
  <si>
    <t>Gourmet Food Bedian Road</t>
  </si>
  <si>
    <t xml:space="preserve">Gourmet Food Ismail Nager </t>
  </si>
  <si>
    <t>Gourmet Food Begum Road</t>
  </si>
  <si>
    <t xml:space="preserve">Gourmet Food Kanah </t>
  </si>
  <si>
    <t xml:space="preserve">Gourmet Food Kot Abdul Malik </t>
  </si>
  <si>
    <t xml:space="preserve">Gourmet Food Shadra Town </t>
  </si>
  <si>
    <t>Gourmet Food Bilal Ganjh</t>
  </si>
  <si>
    <t xml:space="preserve">Gourmet Food Kot Khuaja Saeed </t>
  </si>
  <si>
    <t xml:space="preserve">Gourmet Food Killa Lakshman singh </t>
  </si>
  <si>
    <t>Gourmet Food Imamia Colony</t>
  </si>
  <si>
    <t xml:space="preserve">Gourmet Food Badami bagh </t>
  </si>
  <si>
    <t>Gourmet Food Baghban pura</t>
  </si>
  <si>
    <t>Gourmet Food Nadra Abad</t>
  </si>
  <si>
    <t>Gourmet Food Ghazi Road</t>
  </si>
  <si>
    <t>Gourmet Food FF DHA</t>
  </si>
  <si>
    <t>Gourmet Food Sultanpura</t>
  </si>
  <si>
    <t>Gourmet Food Militery Account</t>
  </si>
  <si>
    <t>Gourmet Food Nishat Colony</t>
  </si>
  <si>
    <t>Gourmet Food Rehmanpura</t>
  </si>
  <si>
    <t>Gourmet Food Awan Market</t>
  </si>
  <si>
    <t>Gourmet Food Ismail 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</si>
</sst>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/>
    </xf>
    <xf numFmtId="0" fontId="35" fillId="6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5" workbookViewId="0">
      <selection activeCell="S26" sqref="S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46300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17" t="str">
        <f>+'1'!A6:A6</f>
        <v>Gourmet Food K Block DHA</v>
      </c>
      <c r="T3" s="300">
        <f>+'1'!P35</f>
        <v>15223.111006271187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 xml:space="preserve">Gourmet Food Lal Pull </v>
      </c>
      <c r="T4" s="300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3" t="s">
        <v>507</v>
      </c>
      <c r="R5" s="318">
        <v>3</v>
      </c>
      <c r="S5" s="319" t="str">
        <f>+'3'!A6:A6</f>
        <v xml:space="preserve">Gourmet Food Shadbagh </v>
      </c>
      <c r="T5" s="300">
        <f>+'3'!P35</f>
        <v>10148.740670847459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3" t="s">
        <v>506</v>
      </c>
      <c r="R6" s="318">
        <v>4</v>
      </c>
      <c r="S6" s="317" t="str">
        <f>+'4'!A6:A6</f>
        <v xml:space="preserve">Gourmet Food Railway Plaza </v>
      </c>
      <c r="T6" s="300">
        <f>+'4'!P35</f>
        <v>5074.3703354237296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400</v>
      </c>
      <c r="I7" s="235">
        <f>(G7*D7)*F7+H7*F7</f>
        <v>20985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3777.2999999999997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17207.7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3966.1016949152518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105.86900847457626</v>
      </c>
      <c r="P7" s="309">
        <f>M7+N7+O7</f>
        <v>21279.670703389827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8">
        <v>5</v>
      </c>
      <c r="S7" s="317" t="str">
        <f>+'5'!A6:A6</f>
        <v xml:space="preserve">Gourmet Food Rustam Park </v>
      </c>
      <c r="T7" s="300">
        <f>+'5'!P35</f>
        <v>5892.8065301694915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360</v>
      </c>
      <c r="I8" s="236">
        <f t="shared" ref="I8:I14" si="0">(G8*D8)*F8+H8*F8</f>
        <v>18886.5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3399.5699999999997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15486.93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3569.4915254237267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95.282107627118634</v>
      </c>
      <c r="P8" s="310">
        <f t="shared" ref="P8:P15" si="2">M8+N8+O8</f>
        <v>19151.703633050845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8">
        <v>6</v>
      </c>
      <c r="S8" s="317" t="str">
        <f>+'6'!A6:A6</f>
        <v>Gourmet Food Awan Market Ferozpur Road</v>
      </c>
      <c r="T8" s="300">
        <f>+'6'!P35</f>
        <v>8839.2097952542372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440</v>
      </c>
      <c r="I9" s="236">
        <f t="shared" si="0"/>
        <v>23083.5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4155.03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18928.47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4362.7118644067768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116.45590932203389</v>
      </c>
      <c r="P9" s="310">
        <f t="shared" si="2"/>
        <v>23407.637773728813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8">
        <v>7</v>
      </c>
      <c r="S9" s="317" t="str">
        <f>+'7'!A6:A6</f>
        <v xml:space="preserve">Gourmet Food Tajbagh </v>
      </c>
      <c r="T9" s="300">
        <f>+'7'!P35</f>
        <v>0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800</v>
      </c>
      <c r="I10" s="236">
        <f t="shared" si="0"/>
        <v>58112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10460.159999999998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47651.840000000004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10983.050847457631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293.17445423728822</v>
      </c>
      <c r="P10" s="310">
        <f t="shared" si="2"/>
        <v>58928.065301694922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8">
        <v>8</v>
      </c>
      <c r="S10" s="317" t="str">
        <f>+'8'!A6:A6</f>
        <v>Gourmet Food Zaraar Shaheed Road</v>
      </c>
      <c r="T10" s="300">
        <f>+'8'!P35</f>
        <v>8839.2097952542372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840</v>
      </c>
      <c r="I11" s="236">
        <f t="shared" si="0"/>
        <v>61017.599999999999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10983.167999999998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50034.432000000001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11532.203389830513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307.83317694915263</v>
      </c>
      <c r="P11" s="310">
        <f t="shared" si="2"/>
        <v>61874.468566779666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8">
        <v>9</v>
      </c>
      <c r="S11" s="317" t="str">
        <f>+'9'!A6:A6</f>
        <v>Gourmet Food Bedian Road</v>
      </c>
      <c r="T11" s="300">
        <f>+'9'!P35</f>
        <v>13095.143935932207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960</v>
      </c>
      <c r="I12" s="236">
        <f t="shared" si="0"/>
        <v>69734.399999999994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12552.191999999997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57182.207999999999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13179.661016949158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351.80934508474587</v>
      </c>
      <c r="P12" s="310">
        <f t="shared" si="2"/>
        <v>70713.678362033912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8">
        <v>10</v>
      </c>
      <c r="S12" s="317" t="str">
        <f>+'10'!A6:A6</f>
        <v xml:space="preserve">Gourmet Food Ismail Nager </v>
      </c>
      <c r="T12" s="300">
        <f>+'10'!P35</f>
        <v>8020.7736005084762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8">
        <v>11</v>
      </c>
      <c r="S13" s="319" t="str">
        <f>+'11'!A6:A6</f>
        <v>Gourmet Food Begum Road</v>
      </c>
      <c r="T13" s="300">
        <f>+'11'!P35</f>
        <v>5074.3703354237296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8">
        <v>12</v>
      </c>
      <c r="S14" s="317" t="str">
        <f>+'12'!A6:A6</f>
        <v xml:space="preserve">Gourmet Food Kanah </v>
      </c>
      <c r="T14" s="300">
        <f>+'12'!P35</f>
        <v>13095.143935932207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8">
        <v>13</v>
      </c>
      <c r="S15" s="319" t="str">
        <f>+'13'!A6:A6</f>
        <v xml:space="preserve">Gourmet Food Kot Abdul Malik </v>
      </c>
      <c r="T15" s="300">
        <f>+'13'!P35</f>
        <v>5892.8065301694915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274">
        <f>H16/40</f>
        <v>95</v>
      </c>
      <c r="H16" s="113">
        <f t="shared" ref="H16:M16" si="3">SUM(H7:H15)</f>
        <v>3800</v>
      </c>
      <c r="I16" s="114">
        <f t="shared" si="3"/>
        <v>251819</v>
      </c>
      <c r="J16" s="274">
        <f>SUM(J7:J15)</f>
        <v>45327.419999999991</v>
      </c>
      <c r="K16" s="275">
        <f t="shared" si="3"/>
        <v>0</v>
      </c>
      <c r="L16" s="276">
        <f t="shared" si="3"/>
        <v>0</v>
      </c>
      <c r="M16" s="232">
        <f t="shared" si="3"/>
        <v>206491.58000000002</v>
      </c>
      <c r="N16" s="233">
        <f>SUM(N7:N15)</f>
        <v>47593.220338983054</v>
      </c>
      <c r="O16" s="101">
        <f>SUM(O7:O15)</f>
        <v>1270.4240016949154</v>
      </c>
      <c r="P16" s="113">
        <f>SUM(P7:P15)</f>
        <v>255355.22434067799</v>
      </c>
      <c r="Q16" s="128">
        <f>SUM(Q7:Q15)</f>
        <v>0</v>
      </c>
      <c r="R16" s="318">
        <v>14</v>
      </c>
      <c r="S16" s="319" t="str">
        <f>+'14'!A6:A6</f>
        <v xml:space="preserve">Gourmet Food Shadra Town </v>
      </c>
      <c r="T16" s="300">
        <f>+'14'!P35</f>
        <v>10967.176865593221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9" t="str">
        <f>+'15'!A6:A6</f>
        <v>Gourmet Food Bilal Ganjh</v>
      </c>
      <c r="T17" s="300">
        <f>+'15'!P35</f>
        <v>10967.176865593221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7" t="str">
        <f>+'16'!A6:A6</f>
        <v xml:space="preserve">Gourmet Food Kot Khuaja Saeed </v>
      </c>
      <c r="T18" s="300">
        <f>+'16'!P35</f>
        <v>8839.2097952542372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251819</v>
      </c>
      <c r="R19" s="299">
        <v>17</v>
      </c>
      <c r="S19" s="319" t="str">
        <f>+'17'!A6:A6</f>
        <v xml:space="preserve">Gourmet Food Killa Lakshman singh </v>
      </c>
      <c r="T19" s="300">
        <f>+'17'!P35</f>
        <v>12276.707741186441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45327.419999999991</v>
      </c>
      <c r="R20" s="299">
        <v>18</v>
      </c>
      <c r="S20" s="319" t="str">
        <f>+'18'!A6:A6</f>
        <v>Gourmet Food Imamia Colony</v>
      </c>
      <c r="T20" s="300">
        <f>+'18'!P35</f>
        <v>8839.2097952542372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0</v>
      </c>
      <c r="R21" s="299">
        <v>19</v>
      </c>
      <c r="S21" s="319" t="str">
        <f>+'19'!A6:A6</f>
        <v xml:space="preserve">Gourmet Food Badami bagh </v>
      </c>
      <c r="T21" s="300">
        <f>+'19'!P35</f>
        <v>10148.740670847459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206491.58000000002</v>
      </c>
      <c r="R22" s="299">
        <v>20</v>
      </c>
      <c r="S22" s="317" t="str">
        <f>+'20'!A6:A6</f>
        <v>Gourmet Food Baghban pura</v>
      </c>
      <c r="T22" s="300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47593.220338983054</v>
      </c>
      <c r="R23" s="299">
        <v>21</v>
      </c>
      <c r="S23" s="317" t="str">
        <f>+'21'!A6:A6</f>
        <v>Gourmet Food Nadra Abad</v>
      </c>
      <c r="T23" s="300">
        <f>+'21'!P35</f>
        <v>5892.8065301694915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254084.80033898307</v>
      </c>
      <c r="R24" s="299">
        <v>22</v>
      </c>
      <c r="S24" s="320" t="str">
        <f>+'22'!A6:A6</f>
        <v>Gourmet Food Ghazi Road</v>
      </c>
      <c r="T24" s="300">
        <f>+'22'!P35</f>
        <v>10967.176865593221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1270.4240016949154</v>
      </c>
      <c r="R25" s="299">
        <v>23</v>
      </c>
      <c r="S25" s="317" t="str">
        <f>+'23'!A6:A6</f>
        <v>Gourmet Food FF DHA</v>
      </c>
      <c r="T25" s="300">
        <f>+'23'!P35</f>
        <v>5892.8065301694915</v>
      </c>
    </row>
    <row r="26" spans="1:20" ht="21.75" customHeight="1" thickBot="1" x14ac:dyDescent="0.4">
      <c r="N26" s="345" t="s">
        <v>88</v>
      </c>
      <c r="O26" s="346"/>
      <c r="P26" s="297">
        <f>+P24+P25</f>
        <v>255355.22434067799</v>
      </c>
      <c r="R26" s="299">
        <v>24</v>
      </c>
      <c r="S26" s="317" t="str">
        <f>+'24'!A6:A6</f>
        <v>Gourmet Food Sultanpura</v>
      </c>
      <c r="T26" s="300">
        <f>+'24'!P35</f>
        <v>15223.111006271187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17" t="str">
        <f>+'25'!A6:A6</f>
        <v>Gourmet Food Militery Account</v>
      </c>
      <c r="T27" s="300">
        <f>+'25'!P35</f>
        <v>8020.7736005084762</v>
      </c>
    </row>
    <row r="28" spans="1:20" ht="21.75" customHeight="1" x14ac:dyDescent="0.35">
      <c r="R28" s="299">
        <v>26</v>
      </c>
      <c r="S28" s="317" t="str">
        <f>+'26'!A6:A6</f>
        <v>Gourmet Food Nishat Colony</v>
      </c>
      <c r="T28" s="300">
        <f>+'26'!P35</f>
        <v>13095.143935932207</v>
      </c>
    </row>
    <row r="29" spans="1:20" ht="21.75" customHeight="1" x14ac:dyDescent="0.35">
      <c r="L29">
        <v>0</v>
      </c>
      <c r="R29" s="299">
        <v>27</v>
      </c>
      <c r="S29" s="320" t="str">
        <f>+'27'!A6:A6</f>
        <v>Gourmet Food Rehmanpura</v>
      </c>
      <c r="T29" s="300">
        <f>+'27'!P35</f>
        <v>5074.3703354237296</v>
      </c>
    </row>
    <row r="30" spans="1:20" ht="21.75" customHeight="1" x14ac:dyDescent="0.35">
      <c r="R30" s="299">
        <v>28</v>
      </c>
      <c r="S30" s="320" t="str">
        <f>+'28'!A6:A6</f>
        <v>Gourmet Food Awan Market</v>
      </c>
      <c r="T30" s="300">
        <f>+'28'!P35</f>
        <v>8839.2097952542372</v>
      </c>
    </row>
    <row r="31" spans="1:20" ht="21.75" customHeight="1" x14ac:dyDescent="0.35">
      <c r="R31" s="299">
        <v>29</v>
      </c>
      <c r="S31" s="320" t="str">
        <f>+'29'!A6:A6</f>
        <v>Gourmet Food Ismail Nager</v>
      </c>
      <c r="T31" s="300">
        <f>+'29'!P35</f>
        <v>8020.7736005084762</v>
      </c>
    </row>
    <row r="32" spans="1:20" ht="21.75" customHeight="1" x14ac:dyDescent="0.35">
      <c r="R32" s="299">
        <v>30</v>
      </c>
      <c r="S32" s="320" t="str">
        <f>+'30'!A6:A6</f>
        <v xml:space="preserve">Gourmet Food Kanah </v>
      </c>
      <c r="T32" s="300">
        <f>+'30'!P35</f>
        <v>13095.143935932207</v>
      </c>
    </row>
    <row r="33" spans="2:20" ht="21.75" customHeight="1" thickBot="1" x14ac:dyDescent="0.6">
      <c r="R33" s="302"/>
      <c r="S33" s="301" t="s">
        <v>496</v>
      </c>
      <c r="T33" s="303">
        <f>SUM(T3:T32)</f>
        <v>255355.22434067802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7.2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2702.2139999999995</v>
      </c>
      <c r="K25" s="275">
        <f t="shared" si="10"/>
        <v>0</v>
      </c>
      <c r="L25" s="276">
        <f t="shared" si="10"/>
        <v>0</v>
      </c>
      <c r="M25" s="232">
        <f t="shared" si="10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2702.2139999999995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12310.086000000001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15147.374135593222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5" t="s">
        <v>88</v>
      </c>
      <c r="O35" s="346"/>
      <c r="P35" s="297">
        <f>+P33+P34</f>
        <v>15223.111006271187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  <c r="F2" t="s">
        <v>516</v>
      </c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8.7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10008.200000000001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1801.4759999999997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8206.724000000002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10098.249423728816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5" t="s">
        <v>88</v>
      </c>
      <c r="O35" s="346"/>
      <c r="P35" s="297">
        <f>+P33+P34</f>
        <v>10148.740670847459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900.73799999999983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4103.362000000001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5049.1247118644078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5" t="s">
        <v>88</v>
      </c>
      <c r="O35" s="346"/>
      <c r="P35" s="297">
        <f>+P33+P34</f>
        <v>5074.3703354237296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zoomScaleNormal="100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1046.0159999999998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4765.1840000000002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5863.4890847457627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5" t="s">
        <v>88</v>
      </c>
      <c r="O35" s="346"/>
      <c r="P35" s="297">
        <f>+P33+P34</f>
        <v>5892.8065301694915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1569.0239999999999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7147.7759999999998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8795.2336271186432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5" t="s">
        <v>88</v>
      </c>
      <c r="O35" s="346"/>
      <c r="P35" s="297">
        <f>+P33+P34</f>
        <v>8839.2097952542372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zoomScale="110" zoomScaleNormal="1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1569.0239999999999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7147.7759999999998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8795.2336271186432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5" t="s">
        <v>88</v>
      </c>
      <c r="O35" s="346"/>
      <c r="P35" s="297">
        <f>+P33+P34</f>
        <v>8839.2097952542372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12913.800000000001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2324.4839999999995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10589.316000000003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13029.993966101698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5" t="s">
        <v>88</v>
      </c>
      <c r="O35" s="346"/>
      <c r="P35" s="297">
        <f>+P33+P34</f>
        <v>13095.143935932207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7909.7000000000007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1423.7459999999996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6485.9540000000015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7980.8692542372901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5" t="s">
        <v>88</v>
      </c>
      <c r="O35" s="346"/>
      <c r="P35" s="297">
        <f>+P33+P34</f>
        <v>8020.7736005084762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900.73799999999983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4103.362000000001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5049.1247118644078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5" t="s">
        <v>88</v>
      </c>
      <c r="O35" s="346"/>
      <c r="P35" s="297">
        <f>+P33+P34</f>
        <v>5074.3703354237296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12913.800000000001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2324.4839999999995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10589.316000000003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13029.993966101698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5" t="s">
        <v>88</v>
      </c>
      <c r="O35" s="346"/>
      <c r="P35" s="297">
        <f>+P33+P34</f>
        <v>13095.143935932207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1046.0159999999998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4765.1840000000002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5863.4890847457627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5" t="s">
        <v>88</v>
      </c>
      <c r="O35" s="346"/>
      <c r="P35" s="297">
        <f>+P33+P34</f>
        <v>5892.8065301694915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10815.300000000001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1946.7539999999995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8868.5460000000021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10912.613796610171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5" t="s">
        <v>88</v>
      </c>
      <c r="O35" s="346"/>
      <c r="P35" s="297">
        <f>+P33+P34</f>
        <v>10967.176865593221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10815.300000000001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1946.7539999999995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8868.5460000000021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10912.613796610171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5" t="s">
        <v>88</v>
      </c>
      <c r="O35" s="346"/>
      <c r="P35" s="297">
        <f>+P33+P34</f>
        <v>10967.176865593221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1569.0239999999999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  <c r="S30" s="215"/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7147.7759999999998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8795.2336271186432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5" t="s">
        <v>88</v>
      </c>
      <c r="O35" s="346"/>
      <c r="P35" s="297">
        <f>+P33+P34</f>
        <v>8839.2097952542372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12106.7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2179.2059999999997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9927.4940000000006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12215.629593220339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45" t="s">
        <v>88</v>
      </c>
      <c r="O35" s="346"/>
      <c r="P35" s="297">
        <f>+P33+P34</f>
        <v>12276.707741186441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1569.0239999999999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7147.7759999999998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8795.2336271186432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5" t="s">
        <v>88</v>
      </c>
      <c r="O35" s="346"/>
      <c r="P35" s="297">
        <f>+P33+P34</f>
        <v>8839.2097952542372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536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10008.200000000001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1801.4759999999997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8206.724000000002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10098.249423728816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5" t="s">
        <v>88</v>
      </c>
      <c r="O35" s="346"/>
      <c r="P35" s="297">
        <f>+P33+P34</f>
        <v>10148.740670847459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8.75" customHeight="1" x14ac:dyDescent="0.4">
      <c r="A6" s="399" t="s">
        <v>537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538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1046.0159999999998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4765.1840000000002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5863.4890847457627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5" t="s">
        <v>88</v>
      </c>
      <c r="O35" s="346"/>
      <c r="P35" s="297">
        <f>+P33+P34</f>
        <v>5892.8065301694915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539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10815.300000000001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1946.7539999999995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8868.5460000000021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10912.613796610171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5" t="s">
        <v>88</v>
      </c>
      <c r="O35" s="346"/>
      <c r="P35" s="297">
        <f>+P33+P34</f>
        <v>10967.176865593221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540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1046.0159999999998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4765.1840000000002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5863.4890847457627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5" t="s">
        <v>88</v>
      </c>
      <c r="O35" s="346"/>
      <c r="P35" s="297">
        <f>+P33+P34</f>
        <v>5892.8065301694915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541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2702.2139999999995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12310.086000000001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15147.374135593222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5" t="s">
        <v>88</v>
      </c>
      <c r="O35" s="346"/>
      <c r="P35" s="297">
        <f>+P33+P34</f>
        <v>15223.111006271187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542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7909.7000000000007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1423.7459999999996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6485.9540000000015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7980.8692542372901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5" t="s">
        <v>88</v>
      </c>
      <c r="O35" s="346"/>
      <c r="P35" s="297">
        <f>+P33+P34</f>
        <v>8020.7736005084762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543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12913.800000000001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2324.4839999999995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10589.316000000003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13029.993966101698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5" t="s">
        <v>88</v>
      </c>
      <c r="O35" s="346"/>
      <c r="P35" s="297">
        <f>+P33+P34</f>
        <v>13095.143935932207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1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544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900.73799999999983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4103.362000000001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5049.1247118644078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5" t="s">
        <v>88</v>
      </c>
      <c r="O35" s="346"/>
      <c r="P35" s="297">
        <f>+P33+P34</f>
        <v>5074.3703354237296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3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517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545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1569.0239999999999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7147.7759999999998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8795.2336271186432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5" t="s">
        <v>88</v>
      </c>
      <c r="O35" s="346"/>
      <c r="P35" s="297">
        <f>+P33+P34</f>
        <v>8839.2097952542372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5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514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546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7909.7000000000007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1423.7459999999996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6485.9540000000015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7980.8692542372901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5" t="s">
        <v>88</v>
      </c>
      <c r="O35" s="346"/>
      <c r="P35" s="297">
        <f>+P33+P34</f>
        <v>8020.7736005084762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8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514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46296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46295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">
        <v>515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512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6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12913.800000000001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2324.4839999999995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10589.316000000003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13029.993966101698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5" t="s">
        <v>88</v>
      </c>
      <c r="O35" s="346"/>
      <c r="P35" s="297">
        <f>+P33+P34</f>
        <v>13095.143935932207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46303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46302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2026-10-07T05:57:33Z</dcterms:modified>
</cp:coreProperties>
</file>