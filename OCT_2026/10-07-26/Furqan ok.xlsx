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F29DB8D-95FF-4F88-8F69-100C34C845C3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J7" i="62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<sst xmlns="http://schemas.openxmlformats.org/spreadsheetml/2006/main" count="3948" uniqueCount="525">
  <si>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</si>
  <si>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</si>
  <si>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</si>
  <si>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</si>
  <si>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</si>
  <si>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</si>
  <si>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</si>
  <si>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</si>
  <si>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</si>
  <si>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</si>
  <si>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</si>
  <si>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</si>
  <si>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</si>
  <si>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</si>
  <si>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</si>
  <si>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</si>
  <si>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</si>
  <si>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</si>
  <si>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</si>
  <si>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</si>
  <si>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</si>
  <si>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</si>
  <si>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</si>
  <si>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</si>
  <si>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</si>
  <si>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</si>
  <si>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</si>
  <si>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</si>
  <si>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</si>
  <si>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</si>
  <si>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</si>
  <si>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</si>
  <si>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</si>
  <si>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</si>
  <si>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</si>
  <si>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</si>
  <si>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</si>
  <si>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</si>
  <si>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</si>
  <si>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</si>
  <si>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</si>
  <si>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</si>
  <si>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</si>
  <si>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</si>
  <si>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</si>
  <si>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</si>
  <si>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</si>
  <si>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</si>
  <si>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</si>
  <si>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</si>
  <si>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</si>
  <si>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</si>
  <si>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</si>
  <si>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</si>
  <si>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</si>
  <si>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</si>
  <si>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</si>
  <si>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</si>
  <si>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</si>
  <si>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</si>
  <si>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</si>
  <si>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</si>
  <si>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</si>
  <si>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</si>
  <si>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</si>
  <si>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</si>
  <si>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</si>
  <si>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</si>
  <si>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</si>
  <si>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</si>
  <si>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</si>
  <si>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</si>
  <si>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</si>
  <si>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</si>
  <si>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</si>
  <si>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</si>
  <si>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</si>
  <si>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</si>
  <si>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</si>
  <si>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</si>
  <si>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</si>
  <si>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</si>
  <si>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</si>
  <si>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</si>
  <si>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</si>
  <si>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</si>
  <si>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</si>
  <si>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</si>
  <si>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</si>
  <si>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</si>
  <si>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</si>
  <si>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</si>
  <si>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</si>
  <si>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</si>
  <si>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</si>
  <si>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</si>
  <si>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</si>
  <si>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</si>
  <si>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</si>
  <si>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</si>
  <si>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</si>
  <si>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</si>
  <si>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</si>
  <si>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</si>
  <si>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</si>
  <si>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</si>
  <si>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</si>
  <si>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</si>
  <si>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</si>
  <si>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</si>
  <si>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</si>
  <si>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</si>
  <si>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</si>
  <si>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</si>
  <si>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</si>
  <si>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</si>
  <si>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</si>
  <si>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</si>
  <si>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</si>
  <si>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</si>
  <si>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</si>
  <si>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</si>
  <si>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</si>
  <si>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</si>
  <si>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</si>
  <si>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</si>
  <si>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</si>
  <si>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</si>
  <si>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</si>
  <si>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</si>
  <si>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</si>
  <si>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</si>
  <si>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</si>
  <si>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</si>
  <si>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</si>
  <si>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</si>
  <si>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</si>
  <si>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</si>
  <si>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</si>
  <si>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</si>
  <si>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</si>
  <si>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</si>
  <si>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</si>
  <si>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</si>
  <si>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</si>
  <si>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</si>
  <si>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</si>
  <si>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</si>
  <si>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</si>
  <si>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</si>
  <si>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</si>
  <si>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</si>
  <si>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</si>
  <si>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</si>
  <si>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</si>
  <si>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</si>
  <si>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</si>
  <si>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</si>
  <si>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</si>
  <si>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</si>
  <si>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</si>
  <si>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</si>
  <si>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</si>
  <si>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</si>
  <si>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</si>
  <si>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</si>
  <si>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</si>
  <si>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</si>
  <si>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</si>
  <si>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</si>
  <si>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</si>
  <si>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</si>
  <si>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</si>
  <si>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</si>
  <si>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</si>
  <si>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</si>
  <si>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</si>
  <si>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</si>
  <si>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</si>
  <si>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</si>
  <si>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</si>
  <si>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</si>
  <si>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</si>
  <si>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</si>
  <si>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</si>
  <si>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</si>
  <si>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</si>
  <si>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</si>
  <si>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</si>
  <si>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</si>
  <si>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</si>
  <si>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</si>
  <si>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</si>
  <si>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</si>
  <si>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</si>
  <si>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</si>
  <si>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</si>
  <si>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</si>
  <si>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</si>
  <si>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</si>
  <si>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</si>
  <si>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</si>
  <si>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</si>
  <si>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</si>
  <si>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</si>
  <si>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</si>
  <si>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</si>
  <si>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</si>
  <si>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</si>
  <si>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</si>
  <si>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</si>
  <si>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</si>
  <si>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</si>
  <si>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</si>
  <si>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</si>
  <si>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</si>
  <si>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</si>
  <si>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</si>
  <si>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</si>
  <si>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</si>
  <si>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</si>
  <si>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</si>
  <si>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</si>
  <si>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</si>
  <si>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</si>
  <si>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</si>
  <si>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</si>
  <si>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</si>
  <si>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</si>
  <si>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</si>
  <si>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</si>
  <si>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</si>
  <si>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</si>
  <si>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</si>
  <si>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</si>
  <si>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</si>
  <si>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</si>
  <si>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</si>
  <si>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</si>
  <si>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</si>
  <si>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</si>
  <si>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</si>
  <si>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</si>
  <si>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</si>
  <si>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</si>
  <si>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</si>
  <si>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</si>
  <si>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</si>
  <si>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</si>
  <si>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</si>
  <si>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</si>
  <si>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</si>
  <si>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</si>
  <si>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</si>
  <si>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</si>
  <si>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</si>
  <si>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</si>
  <si>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</si>
  <si>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</si>
  <si>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</si>
  <si>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</si>
  <si>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</si>
  <si>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</si>
  <si>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</si>
  <si>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</si>
  <si>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</si>
  <si>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</si>
  <si>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</si>
  <si>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</si>
  <si>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</si>
  <si>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</si>
  <si>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</si>
  <si>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</si>
  <si>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</si>
  <si>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</si>
  <si>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</si>
  <si>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</si>
  <si>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</si>
  <si>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</si>
  <si>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</si>
  <si>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</si>
  <si>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</si>
  <si>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</si>
  <si>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</si>
  <si>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</si>
  <si>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</si>
  <si>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</si>
  <si>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</si>
  <si>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</si>
  <si>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</si>
  <si>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</si>
  <si>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</si>
  <si>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</si>
  <si>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</si>
  <si>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</si>
  <si>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</si>
  <si>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</si>
  <si>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</si>
  <si>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</si>
  <si>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</si>
  <si>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</si>
  <si>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</si>
  <si>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</si>
  <si>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</si>
  <si>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</si>
  <si>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</si>
  <si>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</si>
  <si>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</si>
  <si>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</si>
  <si>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</si>
  <si>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</si>
  <si>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</si>
  <si>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</si>
  <si>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</si>
  <si>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</si>
  <si>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</si>
  <si>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</si>
  <si>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</si>
  <si>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</si>
  <si>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</si>
  <si>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</si>
  <si>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</si>
  <si>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</si>
  <si>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</si>
  <si>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</si>
  <si>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</si>
  <si>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</si>
  <si>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</si>
  <si>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</si>
  <si>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</si>
  <si>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</si>
  <si>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</si>
  <si>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</si>
  <si>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</si>
  <si>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</si>
  <si>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</si>
  <si>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</si>
  <si>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</si>
  <si>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</si>
  <si>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</si>
  <si>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</si>
  <si>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</si>
  <si>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</si>
  <si>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</si>
  <si>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</si>
  <si>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</si>
  <si>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</si>
  <si>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</si>
  <si>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</si>
  <si>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</si>
  <si>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</si>
  <si>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</si>
  <si>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</si>
  <si>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</si>
  <si>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</si>
  <si>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</si>
  <si>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</si>
  <si>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</si>
  <si>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</si>
  <si>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</si>
  <si>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</si>
  <si>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</si>
  <si>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</si>
  <si>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</si>
  <si>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</si>
  <si>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</si>
  <si>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</si>
  <si>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</si>
  <si>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</si>
  <si>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</si>
  <si>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</si>
  <si>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</si>
  <si>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</si>
  <si>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</si>
  <si>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</si>
  <si>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</si>
  <si>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</si>
  <si>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</si>
  <si>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</si>
  <si>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</si>
  <si>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</si>
  <si>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</si>
  <si>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</si>
  <si>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</si>
  <si>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</si>
  <si>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</si>
  <si>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</si>
  <si>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</si>
  <si>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</si>
  <si>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</si>
  <si>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</si>
  <si>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</si>
  <si>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</si>
  <si>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</si>
  <si>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</si>
  <si>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</si>
  <si>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</si>
  <si>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</si>
  <si>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</si>
  <si>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</si>
  <si>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</si>
  <si>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</si>
  <si>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</si>
  <si>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</si>
  <si>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</si>
  <si>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</si>
  <si>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</si>
  <si>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</si>
  <si>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</si>
  <si>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</si>
  <si>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</si>
  <si>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</si>
  <si>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</si>
  <si>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</si>
  <si>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</si>
  <si>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</si>
  <si>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</si>
  <si>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</si>
  <si>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</si>
  <si>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</si>
  <si>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</si>
  <si>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</si>
  <si>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</si>
  <si>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</si>
  <si>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</si>
  <si>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</si>
  <si>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</si>
  <si>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</si>
  <si>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</si>
  <si>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</si>
  <si>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</si>
  <si>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</si>
  <si>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</si>
  <si>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</si>
  <si>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</si>
  <si>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</si>
  <si>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</si>
  <si>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</si>
  <si>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</si>
  <si>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</si>
  <si>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</si>
  <si>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</si>
  <si>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</si>
  <si>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</si>
  <si>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</si>
  <si>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</si>
  <si>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</si>
  <si>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</si>
  <si>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</si>
  <si>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</si>
  <si>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</si>
  <si>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</si>
  <si>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</si>
  <si>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</si>
  <si>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</si>
  <si>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</si>
  <si>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</si>
  <si>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</si>
  <si>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</si>
  <si>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</si>
  <si>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</si>
  <si>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</si>
  <si>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</si>
  <si>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</si>
  <si>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</si>
  <si>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</si>
  <si>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</si>
  <si>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</si>
  <si>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</si>
  <si>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</si>
  <si>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</si>
  <si>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</si>
  <si>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</si>
  <si>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</si>
  <si>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</si>
  <si>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</si>
  <si>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</si>
  <si>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</si>
  <si>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</si>
  <si>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</si>
  <si>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</si>
  <si>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</si>
  <si>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</si>
  <si>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</si>
  <si>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</si>
  <si>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</si>
  <si>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</si>
  <si>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</si>
  <si>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</si>
  <si>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</si>
  <si>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</si>
  <si>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</si>
  <si>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</si>
  <si>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</si>
  <si>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</si>
  <si>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</si>
  <si>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</si>
  <si>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</si>
  <si>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</si>
  <si>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</si>
  <si>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</si>
  <si>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</si>
  <si>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</si>
  <si>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</si>
  <si>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</si>
  <si>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</si>
  <si>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</si>
  <si>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</si>
  <si>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</si>
  <si>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</si>
  <si>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</si>
  <si>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</si>
  <si>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</si>
  <si>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</si>
  <si>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</si>
  <si>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 xml:space="preserve">Address: Guru Mangat </t>
  </si>
  <si>
    <t>Al Madina Photo Copy</t>
  </si>
  <si>
    <t xml:space="preserve">H Super Mart </t>
  </si>
  <si>
    <t xml:space="preserve">SK Mart </t>
  </si>
  <si>
    <t>Murad Store</t>
  </si>
  <si>
    <t>Six Eleven Super Store</t>
  </si>
  <si>
    <t>Address: Ghalib Market</t>
  </si>
  <si>
    <t>Khan GS</t>
  </si>
  <si>
    <t>Ali GS</t>
  </si>
  <si>
    <t>Address: Nabipura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</si>
</sst>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" workbookViewId="0">
      <selection activeCell="S7" sqref="S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46302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Al Madina Photo Copy</v>
      </c>
      <c r="T3" s="301">
        <f>+'1'!P35</f>
        <v>1359.0309497033895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H Super Mart </v>
      </c>
      <c r="T4" s="301">
        <f>+'2'!P35</f>
        <v>2138.7262671133476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SK Mart </v>
      </c>
      <c r="T5" s="301">
        <f>+'3'!P35</f>
        <v>1280.621212951271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Murad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14</v>
      </c>
      <c r="I7" s="235">
        <f>(G7*D7)*F7+H7*F7</f>
        <v>734.47500000000002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58.757999999999996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25.706625000000003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650.01037500000007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138.81355932203383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3.944119671610169</v>
      </c>
      <c r="P7" s="310">
        <f>M7+N7+O7</f>
        <v>792.76805399364412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19</v>
      </c>
      <c r="R7" s="313">
        <v>5</v>
      </c>
      <c r="S7" s="300" t="str">
        <f>+'5'!A6:A6</f>
        <v>Six Eleven Super Store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26</v>
      </c>
      <c r="I8" s="236">
        <f t="shared" ref="I8:I14" si="0">(G8*D8)*F8+H8*F8</f>
        <v>1364.0249999999999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109.12199999999999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47.740875000000003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1207.1621249999998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257.79661016949137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7.3247936758474568</v>
      </c>
      <c r="P8" s="311">
        <f t="shared" ref="P8:P15" si="2">M8+N8+O8</f>
        <v>1472.2835288453389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14</v>
      </c>
      <c r="R8" s="313">
        <v>6</v>
      </c>
      <c r="S8" s="300" t="str">
        <f>+'6'!A6:A6</f>
        <v>Khan GS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31</v>
      </c>
      <c r="I9" s="236">
        <f t="shared" si="0"/>
        <v>1626.3374999999999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130.107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56.921812500000001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1439.3086874999999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307.37288135593212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8.733407844279661</v>
      </c>
      <c r="P9" s="311">
        <f t="shared" si="2"/>
        <v>1755.4149767002116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19</v>
      </c>
      <c r="R9" s="313">
        <v>7</v>
      </c>
      <c r="S9" s="300" t="str">
        <f>+'7'!A6:A6</f>
        <v>Ali GS</v>
      </c>
      <c r="T9" s="301">
        <f>+'7'!P35</f>
        <v>1359.0309497033895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25</v>
      </c>
      <c r="I10" s="236">
        <f t="shared" si="0"/>
        <v>1816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145.28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63.56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1607.16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343.22033898305085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9.7519016949152544</v>
      </c>
      <c r="P10" s="311">
        <f t="shared" si="2"/>
        <v>1960.1322406779661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116.22400000000002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1285.7279999999998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7.8015213559322039</v>
      </c>
      <c r="P11" s="311">
        <f t="shared" si="2"/>
        <v>1568.1057925423727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22</v>
      </c>
      <c r="I12" s="236">
        <f t="shared" si="0"/>
        <v>1598.08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127.84639999999999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55.9328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1414.3008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302.03389830508479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8.5816734915254234</v>
      </c>
      <c r="P12" s="311">
        <f t="shared" si="2"/>
        <v>1724.9163717966101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3.45</v>
      </c>
      <c r="H16" s="113">
        <f t="shared" ref="H16:M16" si="3">SUM(H7:H15)</f>
        <v>138</v>
      </c>
      <c r="I16" s="114">
        <f t="shared" si="3"/>
        <v>8591.7174999999988</v>
      </c>
      <c r="J16" s="274">
        <f>SUM(J7:J15)</f>
        <v>687.3374</v>
      </c>
      <c r="K16" s="275">
        <f t="shared" si="3"/>
        <v>300.71011250000004</v>
      </c>
      <c r="L16" s="276">
        <f t="shared" si="3"/>
        <v>0</v>
      </c>
      <c r="M16" s="232">
        <f t="shared" si="3"/>
        <v>7603.6699874999995</v>
      </c>
      <c r="N16" s="233">
        <f>SUM(N7:N15)</f>
        <v>1623.8135593220336</v>
      </c>
      <c r="O16" s="101">
        <f>SUM(O7:O15)</f>
        <v>46.137417734110166</v>
      </c>
      <c r="P16" s="113">
        <f>SUM(P7:P15)</f>
        <v>9273.620964556143</v>
      </c>
      <c r="Q16" s="128">
        <f>SUM(Q7:Q15)</f>
        <v>52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8591.7174999999988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687.3374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300.71011250000004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7603.6699874999986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1623.8135593220336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9227.4835468220317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46.137417734110166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9273.6209645561412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9273.620964556143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activeCell="J5" sqref="J5:L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</v>
      </c>
      <c r="I16" s="235">
        <f>(G16*D16)*F16+H16*F16</f>
        <v>419.7</v>
      </c>
      <c r="J16" s="271">
        <f>$I16*S16</f>
        <v>33.576000000000001</v>
      </c>
      <c r="K16" s="127">
        <f>$I16*T16</f>
        <v>14.689500000000001</v>
      </c>
      <c r="L16" s="118">
        <f>$I16*U16</f>
        <v>0</v>
      </c>
      <c r="M16" s="229">
        <f>I16-SUM(J16:L16)</f>
        <v>371.43449999999996</v>
      </c>
      <c r="N16" s="248">
        <f>+(G16*D16+H16)*V16</f>
        <v>79.322033898305051</v>
      </c>
      <c r="O16" s="238">
        <f>(N16+M16)*$O$15</f>
        <v>2.2537826694915251</v>
      </c>
      <c r="P16" s="118">
        <f>M16+N16+O16</f>
        <v>453.01031656779651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</v>
      </c>
      <c r="I17" s="236">
        <f t="shared" ref="I17:I23" si="0">(G17*D17)*F17+H17*F17</f>
        <v>419.7</v>
      </c>
      <c r="J17" s="272">
        <f t="shared" ref="J17:L24" si="1">$I17*S17</f>
        <v>33.576000000000001</v>
      </c>
      <c r="K17" s="128">
        <f>$I17*T17</f>
        <v>14.689500000000001</v>
      </c>
      <c r="L17" s="119">
        <f>$I17*U17</f>
        <v>0</v>
      </c>
      <c r="M17" s="230">
        <f t="shared" ref="M17:M24" si="2">I17-SUM(J17:L17)</f>
        <v>371.43449999999996</v>
      </c>
      <c r="N17" s="277">
        <f t="shared" ref="N17:N24" si="3">+(G17*D17+H17)*V17</f>
        <v>79.322033898305051</v>
      </c>
      <c r="O17" s="239">
        <f t="shared" ref="O17:O24" si="4">(N17+M17)*$O$15</f>
        <v>2.2537826694915251</v>
      </c>
      <c r="P17" s="119">
        <f t="shared" ref="P17:P24" si="5">M17+N17+O17</f>
        <v>453.01031656779651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</v>
      </c>
      <c r="I18" s="236">
        <f t="shared" ref="I18:I21" si="7">(G18*D18)*F18+H18*F18</f>
        <v>419.7</v>
      </c>
      <c r="J18" s="272">
        <f t="shared" si="1"/>
        <v>33.576000000000001</v>
      </c>
      <c r="K18" s="128">
        <f t="shared" si="1"/>
        <v>14.689500000000001</v>
      </c>
      <c r="L18" s="119">
        <f t="shared" si="1"/>
        <v>0</v>
      </c>
      <c r="M18" s="230">
        <f t="shared" si="2"/>
        <v>371.43449999999996</v>
      </c>
      <c r="N18" s="277">
        <f t="shared" si="3"/>
        <v>79.322033898305051</v>
      </c>
      <c r="O18" s="239">
        <f t="shared" si="4"/>
        <v>2.2537826694915251</v>
      </c>
      <c r="P18" s="119">
        <f t="shared" si="5"/>
        <v>453.01031656779651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24</v>
      </c>
      <c r="I25" s="114">
        <f t="shared" ref="I25:M25" si="10">SUM(I16:I24)</f>
        <v>1259.0999999999999</v>
      </c>
      <c r="J25" s="274">
        <f>SUM(J16:J24)</f>
        <v>100.72800000000001</v>
      </c>
      <c r="K25" s="275">
        <f t="shared" si="10"/>
        <v>44.0685</v>
      </c>
      <c r="L25" s="276">
        <f t="shared" si="10"/>
        <v>0</v>
      </c>
      <c r="M25" s="232">
        <f t="shared" si="10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1259.0999999999999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100.72800000000001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44.0685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1114.3034999999998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1352.2696016949149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74" t="s">
        <v>88</v>
      </c>
      <c r="O35" s="375"/>
      <c r="P35" s="297">
        <f>+P33+P34</f>
        <v>1359.0309497033895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J5" sqref="J5:L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32</v>
      </c>
      <c r="I25" s="114">
        <f t="shared" si="7"/>
        <v>1981.4625000000001</v>
      </c>
      <c r="J25" s="274">
        <f>SUM(J16:J24)</f>
        <v>158.517</v>
      </c>
      <c r="K25" s="275">
        <f t="shared" si="7"/>
        <v>69.351187500000009</v>
      </c>
      <c r="L25" s="276">
        <f t="shared" si="7"/>
        <v>0</v>
      </c>
      <c r="M25" s="232">
        <f t="shared" si="7"/>
        <v>1753.5943125000001</v>
      </c>
      <c r="N25" s="233">
        <f>SUM(N16:N24)</f>
        <v>374.49152542372877</v>
      </c>
      <c r="O25" s="101">
        <f>SUM(O16:O24)</f>
        <v>10.640429189618645</v>
      </c>
      <c r="P25" s="234">
        <f>SUM(P16:P24)</f>
        <v>2138.7262671133476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1981.4625000000001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158.517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69.351187500000009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1753.5943125000001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374.49152542372877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2128.0858379237288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10.640429189618644</v>
      </c>
    </row>
    <row r="35" spans="2:16" ht="15.75" customHeight="1" thickBot="1" x14ac:dyDescent="0.4">
      <c r="N35" s="374" t="s">
        <v>88</v>
      </c>
      <c r="O35" s="375"/>
      <c r="P35" s="297">
        <f>+P33+P34</f>
        <v>2138.7262671133476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J5" sqref="J5:L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18</v>
      </c>
      <c r="I25" s="114">
        <f t="shared" si="7"/>
        <v>1186.4549999999999</v>
      </c>
      <c r="J25" s="274">
        <f>SUM(J16:J24)</f>
        <v>94.916399999999996</v>
      </c>
      <c r="K25" s="275">
        <f t="shared" si="7"/>
        <v>41.525925000000008</v>
      </c>
      <c r="L25" s="276">
        <f t="shared" si="7"/>
        <v>0</v>
      </c>
      <c r="M25" s="232">
        <f t="shared" si="7"/>
        <v>1050.0126750000002</v>
      </c>
      <c r="N25" s="233">
        <f>SUM(N16:N24)</f>
        <v>224.23728813559319</v>
      </c>
      <c r="O25" s="101">
        <f>SUM(O16:O24)</f>
        <v>6.3712498156779667</v>
      </c>
      <c r="P25" s="234">
        <f>SUM(P16:P24)</f>
        <v>1280.6212129512712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1186.4549999999999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94.916399999999996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41.525925000000008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1050.0126749999999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224.23728813559319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1274.2499631355931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6.3712498156779658</v>
      </c>
    </row>
    <row r="35" spans="2:16" ht="15.75" customHeight="1" thickBot="1" x14ac:dyDescent="0.4">
      <c r="N35" s="374" t="s">
        <v>88</v>
      </c>
      <c r="O35" s="375"/>
      <c r="P35" s="297">
        <f>+P33+P34</f>
        <v>1280.621212951271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activeCell="H18" sqref="H16: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15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15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J5" sqref="J5:L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D11" sqref="D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4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4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4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J5" sqref="J5:L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100.72799999999999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1259.0999999999999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100.72799999999999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44.0685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1114.3034999999998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1352.2696016949149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74" t="s">
        <v>88</v>
      </c>
      <c r="O35" s="375"/>
      <c r="P35" s="297">
        <f>+P33+P34</f>
        <v>1359.0309497033895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46303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46302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2026-10-07T10:38:05Z</dcterms:modified>
</cp:coreProperties>
</file>