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7F7D434-ED4C-4E57-A47C-65FD11783BA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J7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<sst xmlns="http://schemas.openxmlformats.org/spreadsheetml/2006/main" count="3948" uniqueCount="525">
  <si>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</si>
  <si>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</si>
  <si>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</si>
  <si>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</si>
  <si>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</si>
  <si>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</si>
  <si>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</si>
  <si>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</si>
  <si>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</si>
  <si>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</si>
  <si>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</si>
  <si>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</si>
  <si>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</si>
  <si>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</si>
  <si>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</si>
  <si>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</si>
  <si>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</si>
  <si>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</si>
  <si>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</si>
  <si>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</si>
  <si>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</si>
  <si>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</si>
  <si>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</si>
  <si>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</si>
  <si>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</si>
  <si>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</si>
  <si>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</si>
  <si>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</si>
  <si>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</si>
  <si>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</si>
  <si>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</si>
  <si>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</si>
  <si>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</si>
  <si>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</si>
  <si>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</si>
  <si>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</si>
  <si>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</si>
  <si>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</si>
  <si>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</si>
  <si>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</si>
  <si>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</si>
  <si>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</si>
  <si>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</si>
  <si>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</si>
  <si>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</si>
  <si>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</si>
  <si>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</si>
  <si>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</si>
  <si>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</si>
  <si>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</si>
  <si>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</si>
  <si>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</si>
  <si>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</si>
  <si>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</si>
  <si>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</si>
  <si>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</si>
  <si>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</si>
  <si>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</si>
  <si>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</si>
  <si>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</si>
  <si>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</si>
  <si>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</si>
  <si>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</si>
  <si>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</si>
  <si>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</si>
  <si>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</si>
  <si>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</si>
  <si>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</si>
  <si>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</si>
  <si>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</si>
  <si>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</si>
  <si>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</si>
  <si>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</si>
  <si>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</si>
  <si>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</si>
  <si>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</si>
  <si>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</si>
  <si>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</si>
  <si>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</si>
  <si>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</si>
  <si>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</si>
  <si>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</si>
  <si>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</si>
  <si>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</si>
  <si>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</si>
  <si>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</si>
  <si>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</si>
  <si>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</si>
  <si>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</si>
  <si>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</si>
  <si>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</si>
  <si>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</si>
  <si>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</si>
  <si>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</si>
  <si>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</si>
  <si>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</si>
  <si>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</si>
  <si>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</si>
  <si>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</si>
  <si>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</si>
  <si>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</si>
  <si>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</si>
  <si>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</si>
  <si>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</si>
  <si>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</si>
  <si>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</si>
  <si>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</si>
  <si>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</si>
  <si>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</si>
  <si>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</si>
  <si>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</si>
  <si>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</si>
  <si>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</si>
  <si>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</si>
  <si>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</si>
  <si>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</si>
  <si>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</si>
  <si>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</si>
  <si>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</si>
  <si>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</si>
  <si>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</si>
  <si>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</si>
  <si>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</si>
  <si>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</si>
  <si>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</si>
  <si>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</si>
  <si>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</si>
  <si>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</si>
  <si>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</si>
  <si>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</si>
  <si>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</si>
  <si>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</si>
  <si>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</si>
  <si>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</si>
  <si>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</si>
  <si>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</si>
  <si>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</si>
  <si>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</si>
  <si>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</si>
  <si>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</si>
  <si>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</si>
  <si>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</si>
  <si>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</si>
  <si>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</si>
  <si>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</si>
  <si>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</si>
  <si>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</si>
  <si>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</si>
  <si>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</si>
  <si>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</si>
  <si>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</si>
  <si>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</si>
  <si>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</si>
  <si>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</si>
  <si>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</si>
  <si>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</si>
  <si>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</si>
  <si>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</si>
  <si>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</si>
  <si>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</si>
  <si>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</si>
  <si>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</si>
  <si>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</si>
  <si>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</si>
  <si>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</si>
  <si>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</si>
  <si>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</si>
  <si>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</si>
  <si>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</si>
  <si>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</si>
  <si>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</si>
  <si>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</si>
  <si>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</si>
  <si>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</si>
  <si>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</si>
  <si>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</si>
  <si>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</si>
  <si>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</si>
  <si>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</si>
  <si>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</si>
  <si>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</si>
  <si>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</si>
  <si>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</si>
  <si>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</si>
  <si>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</si>
  <si>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</si>
  <si>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</si>
  <si>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</si>
  <si>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</si>
  <si>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</si>
  <si>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</si>
  <si>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</si>
  <si>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</si>
  <si>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</si>
  <si>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</si>
  <si>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</si>
  <si>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</si>
  <si>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</si>
  <si>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</si>
  <si>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</si>
  <si>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</si>
  <si>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</si>
  <si>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</si>
  <si>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</si>
  <si>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</si>
  <si>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</si>
  <si>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</si>
  <si>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</si>
  <si>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</si>
  <si>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</si>
  <si>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</si>
  <si>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</si>
  <si>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</si>
  <si>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</si>
  <si>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</si>
  <si>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</si>
  <si>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</si>
  <si>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</si>
  <si>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</si>
  <si>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</si>
  <si>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</si>
  <si>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</si>
  <si>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</si>
  <si>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</si>
  <si>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</si>
  <si>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</si>
  <si>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</si>
  <si>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</si>
  <si>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</si>
  <si>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</si>
  <si>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</si>
  <si>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</si>
  <si>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</si>
  <si>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</si>
  <si>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</si>
  <si>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</si>
  <si>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</si>
  <si>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</si>
  <si>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</si>
  <si>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</si>
  <si>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</si>
  <si>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</si>
  <si>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</si>
  <si>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</si>
  <si>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</si>
  <si>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</si>
  <si>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</si>
  <si>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</si>
  <si>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</si>
  <si>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</si>
  <si>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</si>
  <si>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</si>
  <si>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</si>
  <si>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</si>
  <si>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</si>
  <si>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</si>
  <si>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</si>
  <si>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</si>
  <si>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</si>
  <si>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</si>
  <si>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</si>
  <si>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</si>
  <si>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</si>
  <si>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</si>
  <si>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</si>
  <si>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</si>
  <si>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</si>
  <si>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</si>
  <si>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</si>
  <si>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</si>
  <si>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</si>
  <si>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</si>
  <si>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</si>
  <si>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</si>
  <si>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</si>
  <si>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</si>
  <si>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</si>
  <si>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</si>
  <si>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</si>
  <si>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</si>
  <si>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</si>
  <si>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</si>
  <si>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</si>
  <si>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</si>
  <si>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</si>
  <si>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</si>
  <si>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</si>
  <si>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</si>
  <si>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</si>
  <si>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</si>
  <si>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</si>
  <si>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</si>
  <si>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</si>
  <si>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</si>
  <si>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</si>
  <si>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</si>
  <si>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</si>
  <si>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</si>
  <si>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</si>
  <si>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</si>
  <si>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</si>
  <si>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</si>
  <si>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</si>
  <si>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</si>
  <si>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</si>
  <si>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</si>
  <si>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</si>
  <si>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</si>
  <si>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</si>
  <si>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</si>
  <si>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</si>
  <si>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</si>
  <si>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</si>
  <si>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</si>
  <si>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</si>
  <si>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</si>
  <si>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</si>
  <si>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</si>
  <si>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</si>
  <si>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</si>
  <si>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</si>
  <si>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</si>
  <si>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</si>
  <si>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</si>
  <si>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</si>
  <si>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</si>
  <si>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</si>
  <si>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</si>
  <si>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</si>
  <si>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</si>
  <si>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</si>
  <si>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</si>
  <si>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</si>
  <si>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</si>
  <si>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</si>
  <si>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</si>
  <si>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</si>
  <si>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</si>
  <si>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</si>
  <si>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</si>
  <si>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</si>
  <si>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</si>
  <si>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</si>
  <si>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</si>
  <si>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</si>
  <si>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</si>
  <si>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</si>
  <si>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</si>
  <si>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</si>
  <si>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</si>
  <si>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</si>
  <si>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</si>
  <si>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</si>
  <si>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</si>
  <si>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</si>
  <si>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</si>
  <si>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</si>
  <si>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</si>
  <si>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</si>
  <si>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</si>
  <si>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</si>
  <si>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</si>
  <si>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</si>
  <si>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</si>
  <si>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</si>
  <si>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</si>
  <si>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</si>
  <si>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</si>
  <si>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</si>
  <si>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</si>
  <si>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</si>
  <si>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</si>
  <si>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</si>
  <si>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</si>
  <si>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</si>
  <si>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</si>
  <si>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</si>
  <si>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</si>
  <si>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</si>
  <si>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</si>
  <si>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</si>
  <si>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</si>
  <si>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</si>
  <si>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</si>
  <si>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</si>
  <si>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</si>
  <si>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</si>
  <si>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</si>
  <si>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</si>
  <si>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</si>
  <si>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</si>
  <si>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</si>
  <si>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</si>
  <si>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</si>
  <si>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</si>
  <si>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</si>
  <si>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</si>
  <si>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</si>
  <si>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</si>
  <si>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</si>
  <si>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</si>
  <si>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</si>
  <si>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</si>
  <si>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</si>
  <si>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</si>
  <si>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</si>
  <si>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</si>
  <si>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</si>
  <si>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</si>
  <si>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</si>
  <si>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</si>
  <si>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</si>
  <si>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</si>
  <si>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</si>
  <si>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</si>
  <si>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</si>
  <si>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</si>
  <si>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</si>
  <si>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</si>
  <si>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</si>
  <si>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</si>
  <si>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</si>
  <si>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</si>
  <si>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</si>
  <si>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</si>
  <si>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</si>
  <si>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</si>
  <si>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</si>
  <si>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</si>
  <si>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</si>
  <si>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</si>
  <si>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</si>
  <si>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</si>
  <si>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</si>
  <si>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</si>
  <si>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</si>
  <si>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</si>
  <si>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</si>
  <si>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</si>
  <si>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</si>
  <si>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</si>
  <si>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</si>
  <si>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</si>
  <si>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</si>
  <si>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</si>
  <si>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</si>
  <si>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</si>
  <si>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</si>
  <si>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</si>
  <si>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</si>
  <si>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</si>
  <si>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</si>
  <si>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</si>
  <si>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</si>
  <si>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</si>
  <si>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</si>
  <si>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</si>
  <si>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</si>
  <si>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</si>
  <si>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</si>
  <si>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</si>
  <si>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</si>
  <si>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</si>
  <si>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</si>
  <si>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</si>
  <si>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</si>
  <si>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</si>
  <si>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</si>
  <si>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</si>
  <si>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</si>
  <si>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</si>
  <si>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</si>
  <si>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</si>
  <si>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</si>
  <si>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</si>
  <si>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</si>
  <si>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</si>
  <si>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</si>
  <si>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</si>
  <si>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</si>
  <si>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</si>
  <si>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</si>
  <si>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</si>
  <si>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</si>
  <si>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</si>
  <si>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</si>
  <si>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</si>
  <si>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</si>
  <si>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</si>
  <si>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</si>
  <si>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</si>
  <si>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</si>
  <si>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</si>
  <si>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</si>
  <si>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</si>
  <si>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</si>
  <si>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</si>
  <si>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</si>
  <si>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</si>
  <si>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</si>
  <si>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</si>
  <si>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</si>
  <si>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</si>
  <si>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</si>
  <si>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</si>
  <si>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</si>
  <si>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</si>
  <si>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</si>
  <si>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</si>
  <si>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</si>
  <si>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</si>
  <si>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</si>
  <si>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</si>
  <si>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</si>
  <si>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</si>
  <si>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 xml:space="preserve">Address: Guru Mangat </t>
  </si>
  <si>
    <t>Al Madina Photo Copy</t>
  </si>
  <si>
    <t xml:space="preserve">H Super Mart </t>
  </si>
  <si>
    <t xml:space="preserve">SK Mart </t>
  </si>
  <si>
    <t>Murad Store</t>
  </si>
  <si>
    <t>Six Eleven Super Store</t>
  </si>
  <si>
    <t>Address: Ghalib Market</t>
  </si>
  <si>
    <t>Khan GS</t>
  </si>
  <si>
    <t>Ali GS</t>
  </si>
  <si>
    <t>Address: Nabipura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</si>
</sst>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8" workbookViewId="0">
      <selection activeCell="I38" sqref="I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 Madina Photo Copy</v>
      </c>
      <c r="T3" s="301">
        <f>+'1'!P35</f>
        <v>1359.0309497033895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H Super Mart </v>
      </c>
      <c r="T4" s="301">
        <f>+'2'!P35</f>
        <v>2138.7262671133476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SK Mart </v>
      </c>
      <c r="T5" s="301">
        <f>+'3'!P35</f>
        <v>1280.621212951271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Murad Store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33</v>
      </c>
      <c r="I7" s="235">
        <f>(G7*D7)*F7+H7*F7</f>
        <v>1731.2625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138.501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60.594187500000004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1532.1673125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327.20338983050829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9.2968535116525413</v>
      </c>
      <c r="P7" s="310">
        <f>M7+N7+O7</f>
        <v>1868.6675558421607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Six Eleven Super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73.447499999999991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Khan GS</v>
      </c>
      <c r="T8" s="301">
        <f>+'6'!P35</f>
        <v>679.51547485169476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50</v>
      </c>
      <c r="I9" s="236">
        <f t="shared" si="0"/>
        <v>2623.125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91.809375000000003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2321.4656249999998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495.76271186440658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14.086141684322033</v>
      </c>
      <c r="P9" s="311">
        <f t="shared" si="2"/>
        <v>2831.3144785487289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Ali GS</v>
      </c>
      <c r="T9" s="301">
        <f>+'7'!P35</f>
        <v>1359.0309497033895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</v>
      </c>
      <c r="I10" s="236">
        <f t="shared" si="0"/>
        <v>1816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145.28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63.56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1607.16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343.22033898305085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9.7519016949152544</v>
      </c>
      <c r="P10" s="311">
        <f t="shared" si="2"/>
        <v>1960.1322406779661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1285.7279999999998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22</v>
      </c>
      <c r="I12" s="236">
        <f t="shared" si="0"/>
        <v>1598.08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127.84639999999999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55.9328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1414.3008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302.03389830508479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8.5816734915254234</v>
      </c>
      <c r="P12" s="311">
        <f t="shared" si="2"/>
        <v>1724.9163717966101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4.75</v>
      </c>
      <c r="H16" s="113">
        <f t="shared" ref="H16:M16" si="3">SUM(H7:H15)</f>
        <v>190</v>
      </c>
      <c r="I16" s="114">
        <f t="shared" si="3"/>
        <v>11319.7675</v>
      </c>
      <c r="J16" s="274">
        <f>SUM(J7:J15)</f>
        <v>905.58140000000003</v>
      </c>
      <c r="K16" s="275">
        <f t="shared" si="3"/>
        <v>396.19186250000001</v>
      </c>
      <c r="L16" s="276">
        <f t="shared" si="3"/>
        <v>0</v>
      </c>
      <c r="M16" s="232">
        <f t="shared" si="3"/>
        <v>10017.994237499999</v>
      </c>
      <c r="N16" s="233">
        <f>SUM(N7:N15)</f>
        <v>2139.4067796610161</v>
      </c>
      <c r="O16" s="101">
        <f>SUM(O7:O15)</f>
        <v>60.787005085805077</v>
      </c>
      <c r="P16" s="113">
        <f>SUM(P7:P15)</f>
        <v>12218.188022246819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11319.7675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905.58140000000003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396.19186250000001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10017.994237499999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2139.4067796610161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12157.401017161015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60.787005085805077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12218.188022246821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12218.188022246821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ref="I18:I21" si="7">(G18*D18)*F18+H18*F18</f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1259.0999999999999</v>
      </c>
      <c r="J25" s="274">
        <f>SUM(J16:J24)</f>
        <v>100.72800000000001</v>
      </c>
      <c r="K25" s="275">
        <f t="shared" si="10"/>
        <v>44.0685</v>
      </c>
      <c r="L25" s="276">
        <f t="shared" si="10"/>
        <v>0</v>
      </c>
      <c r="M25" s="232">
        <f t="shared" si="10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32</v>
      </c>
      <c r="I25" s="114">
        <f t="shared" si="7"/>
        <v>1981.4625000000001</v>
      </c>
      <c r="J25" s="274">
        <f>SUM(J16:J24)</f>
        <v>158.517</v>
      </c>
      <c r="K25" s="275">
        <f t="shared" si="7"/>
        <v>69.351187500000009</v>
      </c>
      <c r="L25" s="276">
        <f t="shared" si="7"/>
        <v>0</v>
      </c>
      <c r="M25" s="232">
        <f t="shared" si="7"/>
        <v>1753.5943125000001</v>
      </c>
      <c r="N25" s="233">
        <f>SUM(N16:N24)</f>
        <v>374.49152542372877</v>
      </c>
      <c r="O25" s="101">
        <f>SUM(O16:O24)</f>
        <v>10.640429189618645</v>
      </c>
      <c r="P25" s="234">
        <f>SUM(P16:P24)</f>
        <v>2138.7262671133476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1981.4625000000001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158.517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69.351187500000009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1753.5943125000001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374.49152542372877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2128.0858379237288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10.640429189618644</v>
      </c>
    </row>
    <row r="35" spans="2:16" ht="15.75" customHeight="1" thickBot="1" x14ac:dyDescent="0.4">
      <c r="N35" s="345" t="s">
        <v>88</v>
      </c>
      <c r="O35" s="346"/>
      <c r="P35" s="297">
        <f>+P33+P34</f>
        <v>2138.7262671133476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1186.4549999999999</v>
      </c>
      <c r="J25" s="274">
        <f>SUM(J16:J24)</f>
        <v>94.916399999999996</v>
      </c>
      <c r="K25" s="275">
        <f t="shared" si="7"/>
        <v>41.525925000000008</v>
      </c>
      <c r="L25" s="276">
        <f t="shared" si="7"/>
        <v>0</v>
      </c>
      <c r="M25" s="232">
        <f t="shared" si="7"/>
        <v>1050.0126750000002</v>
      </c>
      <c r="N25" s="233">
        <f>SUM(N16:N24)</f>
        <v>224.23728813559319</v>
      </c>
      <c r="O25" s="101">
        <f>SUM(O16:O24)</f>
        <v>6.3712498156779667</v>
      </c>
      <c r="P25" s="234">
        <f>SUM(P16:P24)</f>
        <v>1280.6212129512712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1186.4549999999999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94.916399999999996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41.525925000000008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1050.0126749999999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224.23728813559319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1274.2499631355931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6.3712498156779658</v>
      </c>
    </row>
    <row r="35" spans="2:16" ht="15.75" customHeight="1" thickBot="1" x14ac:dyDescent="0.4">
      <c r="N35" s="345" t="s">
        <v>88</v>
      </c>
      <c r="O35" s="346"/>
      <c r="P35" s="297">
        <f>+P33+P34</f>
        <v>1280.621212951271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50.364000000000004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2026-10-06T12:29:16Z</dcterms:modified>
</cp:coreProperties>
</file>