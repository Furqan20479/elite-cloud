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30CF3F-E5E8-4C17-B9EF-AA4ED479DC19}" xr6:coauthVersionLast="47" xr6:coauthVersionMax="47" xr10:uidLastSave="{00000000-0000-0000-0000-000000000000}"/>
  <bookViews>
    <workbookView xWindow="-110" yWindow="-110" windowWidth="19420" windowHeight="10420" tabRatio="878" firstSheet="3" activeTab="3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<sst xmlns="http://schemas.openxmlformats.org/spreadsheetml/2006/main" count="3949" uniqueCount="547">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</sst>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B22" workbookViewId="0">
      <selection activeCell="S31" sqref="S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46300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17" t="str">
        <f>+'1'!A6:A6</f>
        <v>Gourmet Food K Block DHA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 xml:space="preserve">Gourmet Food Shadbagh </v>
      </c>
      <c r="T5" s="300">
        <f>+'3'!P35</f>
        <v>10148.740670847459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3441.54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21.173801694915252</v>
      </c>
      <c r="P7" s="309">
        <f>M7+N7+O7</f>
        <v>4255.9341406779649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8">
        <v>5</v>
      </c>
      <c r="S7" s="317" t="str">
        <f>+'5'!A6:A6</f>
        <v xml:space="preserve">Gourmet Food Rustam Park 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8">
        <v>6</v>
      </c>
      <c r="S8" s="317" t="str">
        <f>+'6'!A6:A6</f>
        <v>Gourmet Food Awan Market Ferozpur Road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2644.1099999999997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12045.39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74.108305932203379</v>
      </c>
      <c r="P9" s="310">
        <f t="shared" si="2"/>
        <v>14895.76949237288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4707.0719999999992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21443.328000000001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131.92850440677969</v>
      </c>
      <c r="P10" s="310">
        <f t="shared" si="2"/>
        <v>26517.629385762713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8">
        <v>8</v>
      </c>
      <c r="S10" s="317" t="str">
        <f>+'8'!A6:A6</f>
        <v>Gourmet Food Zaraar Shaheed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4707.0719999999992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21443.328000000001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131.92850440677969</v>
      </c>
      <c r="P11" s="310">
        <f t="shared" si="2"/>
        <v>26517.629385762713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8">
        <v>9</v>
      </c>
      <c r="S11" s="317" t="str">
        <f>+'9'!A6:A6</f>
        <v>Gourmet Food Bedian Road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360</v>
      </c>
      <c r="I12" s="236">
        <f t="shared" si="0"/>
        <v>26150.400000000001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4707.0719999999992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21443.328000000001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4942.3728813559328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131.92850440677969</v>
      </c>
      <c r="P12" s="310">
        <f t="shared" si="2"/>
        <v>26517.629385762713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8">
        <v>10</v>
      </c>
      <c r="S12" s="317" t="str">
        <f>+'10'!A6:A6</f>
        <v xml:space="preserve">Gourmet Food Ismail Nager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Begum Road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 xml:space="preserve">Gourmet Food Kot Abdul Malik </v>
      </c>
      <c r="T15" s="300">
        <f>+'13'!P35</f>
        <v>5892.8065301694915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274">
        <f>H16/40</f>
        <v>40</v>
      </c>
      <c r="H16" s="113">
        <f t="shared" ref="H16:M16" si="3">SUM(H7:H15)</f>
        <v>1600</v>
      </c>
      <c r="I16" s="114">
        <f t="shared" si="3"/>
        <v>105731.70000000001</v>
      </c>
      <c r="J16" s="274">
        <f>SUM(J7:J15)</f>
        <v>19031.705999999998</v>
      </c>
      <c r="K16" s="275">
        <f t="shared" si="3"/>
        <v>0</v>
      </c>
      <c r="L16" s="276">
        <f t="shared" si="3"/>
        <v>0</v>
      </c>
      <c r="M16" s="232">
        <f t="shared" si="3"/>
        <v>86699.994000000006</v>
      </c>
      <c r="N16" s="233">
        <f>SUM(N7:N15)</f>
        <v>19983.050847457624</v>
      </c>
      <c r="O16" s="101">
        <f>SUM(O7:O15)</f>
        <v>533.41522423728816</v>
      </c>
      <c r="P16" s="113">
        <f>SUM(P7:P15)</f>
        <v>107216.46007169492</v>
      </c>
      <c r="Q16" s="128">
        <f>SUM(Q7:Q15)</f>
        <v>200</v>
      </c>
      <c r="R16" s="318">
        <v>14</v>
      </c>
      <c r="S16" s="319" t="str">
        <f>+'14'!A6:A6</f>
        <v xml:space="preserve">Gourmet Food Shadra Town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>Gourmet Food Bilal Ganjh</v>
      </c>
      <c r="T17" s="300">
        <f>+'15'!P35</f>
        <v>10967.176865593221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105731.70000000001</v>
      </c>
      <c r="R19" s="299">
        <v>17</v>
      </c>
      <c r="S19" s="319" t="str">
        <f>+'17'!A6:A6</f>
        <v xml:space="preserve">Gourmet Food Killa Lakshman singh </v>
      </c>
      <c r="T19" s="300">
        <f>+'17'!P35</f>
        <v>12276.707741186441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19031.705999999998</v>
      </c>
      <c r="R20" s="299">
        <v>18</v>
      </c>
      <c r="S20" s="319" t="str">
        <f>+'18'!A6:A6</f>
        <v>Gourmet Food Imamia Colony</v>
      </c>
      <c r="T20" s="300">
        <f>+'18'!P35</f>
        <v>8839.2097952542372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19" t="str">
        <f>+'19'!A6:A6</f>
        <v xml:space="preserve">Gourmet Food Badami bagh </v>
      </c>
      <c r="T21" s="300">
        <f>+'19'!P35</f>
        <v>10148.740670847459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86699.994000000006</v>
      </c>
      <c r="R22" s="299">
        <v>20</v>
      </c>
      <c r="S22" s="317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19983.050847457624</v>
      </c>
      <c r="R23" s="299">
        <v>21</v>
      </c>
      <c r="S23" s="317" t="str">
        <f>+'21'!A6:A6</f>
        <v>Gourmet Food Nadra Abad</v>
      </c>
      <c r="T23" s="300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106683.04484745763</v>
      </c>
      <c r="R24" s="299">
        <v>22</v>
      </c>
      <c r="S24" s="319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533.41522423728816</v>
      </c>
      <c r="R25" s="299">
        <v>23</v>
      </c>
      <c r="S25" s="317" t="str">
        <f>+'23'!A6:A6</f>
        <v>Gourmet Food FF DHA</v>
      </c>
      <c r="T25" s="300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107216.46007169492</v>
      </c>
      <c r="R26" s="299">
        <v>24</v>
      </c>
      <c r="S26" s="317" t="str">
        <f>+'24'!A6:A6</f>
        <v>Gourmet Food Sultanpura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17" t="str">
        <f>+'25'!A6:A6</f>
        <v>Gourmet Food Militery Account</v>
      </c>
      <c r="T27" s="300">
        <f>+'25'!P35</f>
        <v>0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9" t="str">
        <f>+'27'!A6:A6</f>
        <v>Gourmet Food Rehmanpura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9" t="str">
        <f>+'28'!A6:A6</f>
        <v>Gourmet Food Awan Market</v>
      </c>
      <c r="T30" s="300">
        <f>+'28'!P35</f>
        <v>8839.2097952542372</v>
      </c>
    </row>
    <row r="31" spans="1:20" ht="21.75" customHeight="1" x14ac:dyDescent="0.35">
      <c r="R31" s="299">
        <v>29</v>
      </c>
      <c r="S31" s="319" t="str">
        <f>+'29'!A6:A6</f>
        <v>Gourmet Food Ismail Nager</v>
      </c>
      <c r="T31" s="300">
        <f>+'29'!P35</f>
        <v>5892.8065301694915</v>
      </c>
    </row>
    <row r="32" spans="1:20" ht="21.75" customHeight="1" x14ac:dyDescent="0.35">
      <c r="R32" s="299">
        <v>30</v>
      </c>
      <c r="S32" s="319" t="str">
        <f>+'30'!A6:A6</f>
        <v xml:space="preserve">Gourmet Food Kanah </v>
      </c>
      <c r="T32" s="300">
        <f>+'30'!P35</f>
        <v>13095.143935932207</v>
      </c>
    </row>
    <row r="33" spans="2:20" ht="21.75" customHeight="1" thickBot="1" x14ac:dyDescent="0.6">
      <c r="R33" s="302"/>
      <c r="S33" s="301" t="s">
        <v>496</v>
      </c>
      <c r="T33" s="303">
        <f>SUM(T3:T32)</f>
        <v>107216.46007169494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  <c r="F2" t="s">
        <v>516</v>
      </c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  <c r="S30" s="215"/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12106.7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2179.2059999999997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9927.4940000000006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12215.629593220339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44" t="s">
        <v>88</v>
      </c>
      <c r="O35" s="345"/>
      <c r="P35" s="297">
        <f>+P33+P34</f>
        <v>12276.707741186441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1569.0239999999999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7147.7759999999998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8795.2336271186432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4" t="s">
        <v>88</v>
      </c>
      <c r="O35" s="345"/>
      <c r="P35" s="297">
        <f>+P33+P34</f>
        <v>8839.2097952542372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8.7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900.73799999999983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4103.362000000001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5049.1247118644078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4" t="s">
        <v>88</v>
      </c>
      <c r="O35" s="345"/>
      <c r="P35" s="297">
        <f>+P33+P34</f>
        <v>5074.3703354237296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1569.0239999999999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7147.7759999999998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8795.2336271186432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4" t="s">
        <v>88</v>
      </c>
      <c r="O35" s="345"/>
      <c r="P35" s="297">
        <f>+P33+P34</f>
        <v>8839.2097952542372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topLeftCell="A17" workbookViewId="0">
      <selection activeCell="S32" sqref="S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1046.0159999999998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4765.1840000000002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5863.4890847457627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4" t="s">
        <v>88</v>
      </c>
      <c r="O35" s="345"/>
      <c r="P35" s="297">
        <f>+P33+P34</f>
        <v>5892.8065301694915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46296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46295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515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12913.800000000001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2324.4839999999995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10589.316000000003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13029.993966101698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4" t="s">
        <v>88</v>
      </c>
      <c r="O35" s="345"/>
      <c r="P35" s="297">
        <f>+P33+P34</f>
        <v>13095.143935932207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2026-10-08T10:20:03Z</dcterms:modified>
</cp:coreProperties>
</file>