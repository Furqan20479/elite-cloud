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E0131BA-93A8-408C-B63F-9BCFA1AD5132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11" i="62" l="1"/>
  <c r="H1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2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17" i="44"/>
  <c r="O17" i="44" s="1"/>
  <c r="P17" i="44" s="1"/>
  <c r="J7" i="62"/>
  <c r="M21" i="44"/>
  <c r="O21" i="44" s="1"/>
  <c r="P21" i="44" s="1"/>
  <c r="M16" i="43"/>
  <c r="M20" i="43"/>
  <c r="O20" i="43" s="1"/>
  <c r="P20" i="43" s="1"/>
  <c r="R20" i="43" s="1"/>
  <c r="M21" i="43"/>
  <c r="O21" i="43" s="1"/>
  <c r="P21" i="43" s="1"/>
  <c r="M22" i="43"/>
  <c r="O22" i="43" s="1"/>
  <c r="P22" i="4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<sst xmlns="http://schemas.openxmlformats.org/spreadsheetml/2006/main" count="3973" uniqueCount="520">
  <si>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</si>
  <si>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</si>
  <si>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</si>
  <si>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</si>
  <si>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</si>
  <si>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</si>
  <si>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</si>
  <si>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</si>
  <si>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</si>
  <si>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</si>
  <si>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</si>
  <si>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</si>
  <si>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</si>
  <si>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</si>
  <si>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</si>
  <si>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</si>
  <si>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</si>
  <si>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</si>
  <si>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</si>
  <si>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</si>
  <si>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</si>
  <si>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</si>
  <si>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</si>
  <si>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</si>
  <si>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</si>
  <si>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</si>
  <si>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</si>
  <si>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</si>
  <si>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</si>
  <si>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</si>
  <si>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</si>
  <si>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</si>
  <si>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</si>
  <si>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</si>
  <si>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</si>
  <si>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</si>
  <si>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</si>
  <si>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</si>
  <si>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</si>
  <si>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</si>
  <si>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</si>
  <si>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</si>
  <si>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</si>
  <si>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</si>
  <si>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</si>
  <si>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</si>
  <si>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</si>
  <si>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</si>
  <si>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</si>
  <si>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</si>
  <si>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</si>
  <si>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</si>
  <si>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</si>
  <si>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</si>
  <si>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</si>
  <si>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</si>
  <si>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</si>
  <si>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</si>
  <si>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</si>
  <si>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</si>
  <si>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</si>
  <si>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</si>
  <si>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</si>
  <si>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</si>
  <si>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</si>
  <si>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</si>
  <si>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</si>
  <si>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</si>
  <si>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</si>
  <si>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</si>
  <si>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</si>
  <si>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</si>
  <si>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</si>
  <si>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</si>
  <si>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</si>
  <si>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</si>
  <si>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</si>
  <si>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</si>
  <si>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</si>
  <si>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</si>
  <si>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</si>
  <si>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</si>
  <si>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</si>
  <si>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</si>
  <si>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</si>
  <si>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</si>
  <si>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</si>
  <si>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</si>
  <si>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</si>
  <si>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</si>
  <si>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</si>
  <si>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</si>
  <si>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</si>
  <si>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</si>
  <si>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</si>
  <si>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</si>
  <si>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</si>
  <si>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</si>
  <si>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</si>
  <si>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</si>
  <si>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</si>
  <si>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</si>
  <si>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</si>
  <si>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</si>
  <si>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</si>
  <si>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</si>
  <si>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</si>
  <si>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</si>
  <si>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</si>
  <si>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</si>
  <si>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</si>
  <si>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</si>
  <si>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</si>
  <si>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</si>
  <si>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</si>
  <si>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</si>
  <si>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</si>
  <si>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</si>
  <si>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</si>
  <si>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</si>
  <si>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</si>
  <si>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</si>
  <si>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</si>
  <si>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</si>
  <si>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</si>
  <si>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</si>
  <si>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</si>
  <si>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</si>
  <si>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</si>
  <si>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</si>
  <si>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</si>
  <si>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</si>
  <si>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</si>
  <si>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</si>
  <si>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</si>
  <si>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</si>
  <si>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</si>
  <si>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</si>
  <si>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</si>
  <si>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</si>
  <si>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</si>
  <si>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</si>
  <si>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</si>
  <si>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</si>
  <si>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</si>
  <si>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</si>
  <si>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</si>
  <si>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</si>
  <si>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</si>
  <si>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</si>
  <si>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</si>
  <si>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</si>
  <si>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</si>
  <si>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</si>
  <si>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</si>
  <si>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</si>
  <si>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</si>
  <si>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</si>
  <si>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</si>
  <si>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</si>
  <si>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</si>
  <si>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</si>
  <si>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</si>
  <si>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</si>
  <si>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</si>
  <si>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</si>
  <si>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</si>
  <si>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</si>
  <si>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</si>
  <si>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</si>
  <si>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</si>
  <si>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</si>
  <si>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</si>
  <si>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</si>
  <si>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</si>
  <si>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</si>
  <si>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</si>
  <si>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</si>
  <si>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</si>
  <si>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</si>
  <si>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</si>
  <si>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</si>
  <si>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</si>
  <si>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</si>
  <si>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</si>
  <si>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</si>
  <si>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</si>
  <si>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</si>
  <si>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</si>
  <si>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</si>
  <si>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</si>
  <si>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</si>
  <si>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</si>
  <si>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</si>
  <si>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</si>
  <si>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</si>
  <si>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</si>
  <si>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</si>
  <si>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</si>
  <si>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</si>
  <si>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</si>
  <si>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</si>
  <si>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</si>
  <si>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</si>
  <si>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</si>
  <si>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</si>
  <si>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</si>
  <si>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</si>
  <si>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</si>
  <si>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</si>
  <si>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</si>
  <si>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</si>
  <si>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</si>
  <si>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</si>
  <si>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</si>
  <si>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</si>
  <si>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</si>
  <si>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</si>
  <si>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</si>
  <si>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</si>
  <si>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</si>
  <si>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</si>
  <si>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</si>
  <si>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</si>
  <si>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</si>
  <si>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</si>
  <si>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</si>
  <si>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</si>
  <si>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</si>
  <si>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</si>
  <si>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</si>
  <si>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</si>
  <si>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</si>
  <si>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</si>
  <si>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</si>
  <si>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</si>
  <si>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</si>
  <si>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</si>
  <si>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</si>
  <si>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</si>
  <si>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</si>
  <si>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</si>
  <si>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</si>
  <si>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</si>
  <si>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</si>
  <si>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</si>
  <si>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</si>
  <si>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</si>
  <si>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</si>
  <si>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</si>
  <si>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</si>
  <si>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</si>
  <si>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</si>
  <si>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</si>
  <si>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</si>
  <si>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</si>
  <si>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</si>
  <si>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</si>
  <si>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</si>
  <si>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</si>
  <si>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</si>
  <si>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</si>
  <si>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</si>
  <si>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</si>
  <si>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</si>
  <si>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</si>
  <si>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</si>
  <si>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</si>
  <si>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</si>
  <si>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</si>
  <si>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</si>
  <si>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</si>
  <si>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</si>
  <si>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</si>
  <si>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</si>
  <si>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</si>
  <si>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</si>
  <si>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</si>
  <si>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</si>
  <si>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</si>
  <si>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</si>
  <si>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</si>
  <si>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</si>
  <si>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</si>
  <si>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</si>
  <si>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</si>
  <si>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</si>
  <si>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</si>
  <si>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</si>
  <si>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</si>
  <si>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</si>
  <si>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</si>
  <si>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</si>
  <si>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</si>
  <si>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</si>
  <si>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</si>
  <si>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</si>
  <si>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</si>
  <si>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</si>
  <si>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</si>
  <si>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</si>
  <si>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</si>
  <si>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</si>
  <si>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</si>
  <si>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</si>
  <si>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</si>
  <si>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</si>
  <si>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</si>
  <si>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</si>
  <si>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</si>
  <si>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</si>
  <si>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</si>
  <si>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</si>
  <si>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</si>
  <si>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</si>
  <si>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</si>
  <si>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</si>
  <si>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</si>
  <si>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</si>
  <si>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</si>
  <si>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</si>
  <si>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</si>
  <si>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</si>
  <si>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</si>
  <si>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</si>
  <si>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</si>
  <si>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</si>
  <si>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</si>
  <si>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</si>
  <si>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</si>
  <si>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</si>
  <si>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</si>
  <si>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</si>
  <si>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</si>
  <si>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</si>
  <si>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</si>
  <si>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</si>
  <si>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</si>
  <si>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</si>
  <si>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</si>
  <si>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</si>
  <si>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</si>
  <si>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</si>
  <si>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</si>
  <si>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</si>
  <si>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</si>
  <si>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</si>
  <si>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</si>
  <si>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</si>
  <si>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</si>
  <si>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</si>
  <si>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</si>
  <si>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</si>
  <si>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</si>
  <si>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</si>
  <si>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</si>
  <si>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</si>
  <si>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</si>
  <si>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</si>
  <si>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</si>
  <si>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</si>
  <si>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</si>
  <si>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</si>
  <si>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</si>
  <si>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</si>
  <si>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</si>
  <si>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</si>
  <si>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</si>
  <si>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</si>
  <si>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</si>
  <si>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</si>
  <si>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</si>
  <si>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</si>
  <si>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</si>
  <si>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</si>
  <si>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</si>
  <si>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</si>
  <si>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</si>
  <si>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</si>
  <si>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</si>
  <si>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</si>
  <si>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</si>
  <si>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</si>
  <si>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</si>
  <si>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</si>
  <si>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</si>
  <si>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</si>
  <si>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</si>
  <si>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</si>
  <si>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</si>
  <si>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</si>
  <si>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</si>
  <si>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</si>
  <si>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</si>
  <si>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</si>
  <si>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</si>
  <si>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</si>
  <si>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</si>
  <si>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</si>
  <si>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</si>
  <si>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</si>
  <si>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</si>
  <si>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</si>
  <si>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</si>
  <si>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</si>
  <si>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</si>
  <si>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</si>
  <si>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</si>
  <si>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</si>
  <si>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</si>
  <si>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</si>
  <si>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</si>
  <si>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</si>
  <si>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</si>
  <si>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</si>
  <si>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</si>
  <si>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</si>
  <si>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</si>
  <si>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</si>
  <si>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</si>
  <si>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</si>
  <si>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</si>
  <si>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</si>
  <si>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</si>
  <si>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</si>
  <si>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</si>
  <si>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</si>
  <si>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</si>
  <si>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</si>
  <si>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</si>
  <si>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</si>
  <si>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</si>
  <si>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</si>
  <si>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</si>
  <si>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</si>
  <si>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</si>
  <si>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</si>
  <si>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</si>
  <si>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</si>
  <si>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</si>
  <si>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</si>
  <si>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</si>
  <si>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</si>
  <si>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</si>
  <si>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</si>
  <si>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</si>
  <si>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</si>
  <si>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</si>
  <si>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</si>
  <si>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</si>
  <si>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</si>
  <si>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</si>
  <si>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</si>
  <si>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</si>
  <si>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</si>
  <si>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</si>
  <si>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</si>
  <si>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</si>
  <si>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</si>
  <si>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</si>
  <si>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</si>
  <si>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</si>
  <si>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</si>
  <si>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</si>
  <si>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</si>
  <si>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</si>
  <si>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</si>
  <si>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</si>
  <si>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</si>
  <si>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</si>
  <si>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</si>
  <si>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</si>
  <si>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</si>
  <si>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</si>
  <si>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</si>
  <si>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</si>
  <si>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</si>
  <si>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</si>
  <si>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</si>
  <si>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</si>
  <si>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</si>
  <si>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</si>
  <si>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</si>
  <si>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</si>
  <si>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</si>
  <si>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</si>
  <si>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</si>
  <si>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</si>
  <si>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</si>
  <si>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</si>
  <si>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</si>
  <si>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</si>
  <si>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</si>
  <si>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</si>
  <si>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</si>
  <si>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</si>
  <si>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</si>
  <si>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</si>
  <si>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</si>
  <si>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</si>
  <si>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</si>
  <si>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</si>
  <si>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</si>
  <si>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</si>
  <si>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</si>
  <si>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</si>
  <si>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</si>
  <si>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</si>
  <si>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</si>
  <si>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</si>
  <si>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</si>
  <si>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</si>
  <si>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</si>
  <si>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</si>
  <si>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 xml:space="preserve">Nabeel Traders </t>
  </si>
  <si>
    <t xml:space="preserve">Address: Mughalpura </t>
  </si>
  <si>
    <t>Address: Mughalpura</t>
  </si>
  <si>
    <t>Address:Mughalpura</t>
  </si>
  <si>
    <t>Shakoor</t>
  </si>
  <si>
    <t>Invoice No # :45154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</si>
</sst>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499</v>
      </c>
      <c r="F2" s="357"/>
      <c r="G2" s="357"/>
      <c r="H2" s="354" t="s">
        <v>510</v>
      </c>
      <c r="I2" s="354"/>
      <c r="J2" s="355"/>
      <c r="R2" s="351" t="s">
        <v>498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500</v>
      </c>
      <c r="F3" s="361"/>
      <c r="G3" s="361"/>
      <c r="H3" s="358">
        <f>+'1'!N4:N4</f>
        <v>46302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Nabeel Traders </v>
      </c>
      <c r="T3" s="301">
        <f>+'1'!P35</f>
        <v>116104.05380338983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Nabeel Traders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Nabeel Traders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18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52300.800000000003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8368.1280000000006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1830.5280000000002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42102.144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9884.7457627118656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259.9344488135593</v>
      </c>
      <c r="P10" s="311">
        <f t="shared" si="2"/>
        <v>52246.824211525425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12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34867.199999999997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5578.7519999999995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1220.3520000000001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28068.095999999998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6589.8305084745771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173.28963254237286</v>
      </c>
      <c r="P11" s="311">
        <f t="shared" si="2"/>
        <v>34831.216141016943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10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29056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4648.96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1016.9600000000002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23390.080000000002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5491.5254237288136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144.40802711864407</v>
      </c>
      <c r="P12" s="311">
        <f t="shared" si="2"/>
        <v>29026.013450847458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0</v>
      </c>
      <c r="H16" s="113">
        <f t="shared" ref="H16:M16" si="3">SUM(H7:H15)</f>
        <v>0</v>
      </c>
      <c r="I16" s="114">
        <f t="shared" si="3"/>
        <v>116224</v>
      </c>
      <c r="J16" s="274">
        <f>SUM(J7:J15)</f>
        <v>18595.84</v>
      </c>
      <c r="K16" s="275">
        <f t="shared" si="3"/>
        <v>4067.84</v>
      </c>
      <c r="L16" s="276">
        <f t="shared" si="3"/>
        <v>0</v>
      </c>
      <c r="M16" s="232">
        <f t="shared" si="3"/>
        <v>93560.319999999992</v>
      </c>
      <c r="N16" s="233">
        <f>SUM(N7:N15)</f>
        <v>21966.101694915258</v>
      </c>
      <c r="O16" s="101">
        <f>SUM(O7:O15)</f>
        <v>577.63210847457628</v>
      </c>
      <c r="P16" s="113">
        <f>SUM(P7:P15)</f>
        <v>116104.05380338982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116224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18595.84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4067.84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93560.320000000007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21966.101694915258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115526.42169491526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577.63210847457628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116104.05380338983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116104.05380338983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9.36328125" bestFit="1" customWidth="1"/>
    <col min="10" max="12" width="8.36328125" bestFit="1" customWidth="1"/>
    <col min="13" max="13" width="11.9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519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506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8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7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8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9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0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0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18</v>
      </c>
      <c r="H19" s="96"/>
      <c r="I19" s="236">
        <f t="shared" si="7"/>
        <v>52300.800000000003</v>
      </c>
      <c r="J19" s="272">
        <f t="shared" si="1"/>
        <v>8368.1280000000006</v>
      </c>
      <c r="K19" s="128">
        <f t="shared" si="1"/>
        <v>1830.5280000000002</v>
      </c>
      <c r="L19" s="119">
        <f t="shared" si="1"/>
        <v>0</v>
      </c>
      <c r="M19" s="230">
        <f t="shared" si="2"/>
        <v>42102.144</v>
      </c>
      <c r="N19" s="277">
        <f t="shared" si="3"/>
        <v>9884.7457627118656</v>
      </c>
      <c r="O19" s="239">
        <f t="shared" si="4"/>
        <v>259.9344488135593</v>
      </c>
      <c r="P19" s="119">
        <f t="shared" si="5"/>
        <v>52246.824211525425</v>
      </c>
      <c r="Q19" s="320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12</v>
      </c>
      <c r="H20" s="96"/>
      <c r="I20" s="236">
        <f t="shared" si="7"/>
        <v>34867.199999999997</v>
      </c>
      <c r="J20" s="272">
        <f t="shared" si="1"/>
        <v>5578.7519999999995</v>
      </c>
      <c r="K20" s="128">
        <f t="shared" si="1"/>
        <v>1220.3520000000001</v>
      </c>
      <c r="L20" s="119">
        <f t="shared" si="1"/>
        <v>0</v>
      </c>
      <c r="M20" s="230">
        <f t="shared" si="2"/>
        <v>28068.095999999998</v>
      </c>
      <c r="N20" s="277">
        <f t="shared" si="3"/>
        <v>6589.8305084745771</v>
      </c>
      <c r="O20" s="239">
        <f t="shared" si="4"/>
        <v>173.28963254237286</v>
      </c>
      <c r="P20" s="119">
        <f t="shared" si="5"/>
        <v>34831.216141016943</v>
      </c>
      <c r="Q20" s="320"/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10</v>
      </c>
      <c r="H21" s="96"/>
      <c r="I21" s="236">
        <f t="shared" si="7"/>
        <v>29056</v>
      </c>
      <c r="J21" s="272">
        <f t="shared" si="1"/>
        <v>4648.96</v>
      </c>
      <c r="K21" s="128">
        <f t="shared" si="1"/>
        <v>1016.9600000000002</v>
      </c>
      <c r="L21" s="119">
        <f t="shared" si="1"/>
        <v>0</v>
      </c>
      <c r="M21" s="230">
        <f t="shared" si="2"/>
        <v>23390.080000000002</v>
      </c>
      <c r="N21" s="277">
        <f t="shared" si="3"/>
        <v>5491.5254237288136</v>
      </c>
      <c r="O21" s="239">
        <f t="shared" si="4"/>
        <v>144.40802711864407</v>
      </c>
      <c r="P21" s="119">
        <f t="shared" si="5"/>
        <v>29026.013450847458</v>
      </c>
      <c r="Q21" s="320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0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0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0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40</v>
      </c>
      <c r="H25" s="113">
        <f t="shared" ref="H25" si="9">SUM(H16:H24)</f>
        <v>0</v>
      </c>
      <c r="I25" s="114">
        <f t="shared" ref="I25:M25" si="10">SUM(I16:I24)</f>
        <v>116224</v>
      </c>
      <c r="J25" s="274">
        <f>SUM(J16:J24)</f>
        <v>18595.84</v>
      </c>
      <c r="K25" s="275">
        <f t="shared" si="10"/>
        <v>4067.84</v>
      </c>
      <c r="L25" s="276">
        <f t="shared" si="10"/>
        <v>0</v>
      </c>
      <c r="M25" s="232">
        <f t="shared" si="10"/>
        <v>93560.319999999992</v>
      </c>
      <c r="N25" s="233">
        <f>SUM(N16:N24)</f>
        <v>21966.101694915258</v>
      </c>
      <c r="O25" s="101">
        <f>SUM(O16:O24)</f>
        <v>577.63210847457628</v>
      </c>
      <c r="P25" s="234">
        <f>SUM(P16:P24)</f>
        <v>116104.05380338982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116224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18595.84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4067.84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93560.320000000007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21966.101694915258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115526.42169491526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577.63210847457628</v>
      </c>
    </row>
    <row r="35" spans="2:16" ht="15.75" customHeight="1" thickBot="1" x14ac:dyDescent="0.4">
      <c r="N35" s="345" t="s">
        <v>88</v>
      </c>
      <c r="O35" s="346"/>
      <c r="P35" s="297">
        <f>+P33+P34</f>
        <v>116104.05380338983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G16" sqref="G16:G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1" width="8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9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46246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46245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508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112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G16" sqref="G16:G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36328125" bestFit="1" customWidth="1"/>
    <col min="10" max="11" width="8.36328125" bestFit="1" customWidth="1"/>
    <col min="12" max="12" width="7.36328125" bestFit="1" customWidth="1"/>
    <col min="13" max="13" width="7.8164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v>46263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46262</v>
      </c>
      <c r="O5" s="370"/>
      <c r="P5" s="370"/>
      <c r="R5" s="85"/>
      <c r="S5" s="266"/>
    </row>
    <row r="6" spans="1:22 16383:16384" ht="18.7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518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7">
        <v>0.16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501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502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503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46302</v>
      </c>
      <c r="O5" s="370"/>
      <c r="P5" s="370"/>
      <c r="R5" s="85"/>
      <c r="S5" s="266"/>
    </row>
    <row r="6" spans="1:22 16383:16384" ht="18.75" customHeight="1" x14ac:dyDescent="0.4">
      <c r="A6" s="399" t="s">
        <v>504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505</v>
      </c>
      <c r="B4" s="370"/>
      <c r="C4" s="370"/>
      <c r="F4" s="85"/>
      <c r="G4" s="1"/>
      <c r="K4" s="371" t="s">
        <v>44</v>
      </c>
      <c r="L4" s="371"/>
      <c r="M4" s="371"/>
      <c r="N4" s="401">
        <f ca="1">TODAY()+1</f>
        <v>46303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 ca="1">N4-1</f>
        <v>46302</v>
      </c>
      <c r="O5" s="370"/>
      <c r="P5" s="370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511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511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46303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46302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2026-10-07T06:37:17Z</dcterms:modified>
</cp:coreProperties>
</file>