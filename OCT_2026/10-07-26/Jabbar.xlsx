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D7F11F9-B833-4268-B582-6C51F9257523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47" l="1"/>
  <c r="O21" i="47" s="1"/>
  <c r="P21" i="47" s="1"/>
  <c r="M20" i="47"/>
  <c r="O20" i="47" s="1"/>
  <c r="P20" i="47" s="1"/>
  <c r="R20" i="47" s="1"/>
  <c r="K12" i="62"/>
  <c r="M21" i="44"/>
  <c r="O21" i="44" s="1"/>
  <c r="P21" i="44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<sst xmlns="http://schemas.openxmlformats.org/spreadsheetml/2006/main" count="3948" uniqueCount="524">
  <si>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</si>
  <si>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</si>
  <si>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</si>
  <si>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</si>
  <si>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</si>
  <si>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</si>
  <si>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</si>
  <si>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</si>
  <si>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</si>
  <si>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</si>
  <si>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</si>
  <si>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</si>
  <si>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</si>
  <si>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</si>
  <si>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</si>
  <si>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</si>
  <si>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</si>
  <si>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</si>
  <si>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</si>
  <si>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</si>
  <si>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</si>
  <si>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</si>
  <si>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</si>
  <si>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</si>
  <si>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</si>
  <si>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</si>
  <si>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</si>
  <si>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</si>
  <si>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</si>
  <si>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</si>
  <si>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</si>
  <si>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</si>
  <si>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</si>
  <si>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</si>
  <si>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</si>
  <si>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</si>
  <si>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</si>
  <si>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</si>
  <si>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</si>
  <si>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</si>
  <si>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</si>
  <si>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</si>
  <si>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</si>
  <si>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</si>
  <si>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</si>
  <si>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</si>
  <si>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</si>
  <si>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</si>
  <si>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</si>
  <si>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</si>
  <si>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</si>
  <si>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</si>
  <si>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</si>
  <si>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</si>
  <si>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</si>
  <si>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</si>
  <si>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</si>
  <si>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</si>
  <si>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</si>
  <si>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</si>
  <si>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</si>
  <si>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</si>
  <si>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</si>
  <si>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</si>
  <si>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</si>
  <si>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</si>
  <si>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</si>
  <si>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</si>
  <si>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</si>
  <si>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</si>
  <si>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</si>
  <si>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</si>
  <si>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</si>
  <si>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</si>
  <si>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</si>
  <si>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</si>
  <si>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</si>
  <si>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</si>
  <si>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</si>
  <si>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</si>
  <si>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</si>
  <si>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</si>
  <si>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</si>
  <si>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</si>
  <si>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</si>
  <si>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</si>
  <si>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</si>
  <si>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</si>
  <si>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</si>
  <si>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</si>
  <si>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</si>
  <si>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</si>
  <si>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</si>
  <si>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</si>
  <si>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</si>
  <si>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</si>
  <si>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</si>
  <si>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</si>
  <si>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</si>
  <si>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</si>
  <si>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</si>
  <si>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</si>
  <si>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</si>
  <si>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</si>
  <si>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</si>
  <si>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</si>
  <si>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</si>
  <si>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</si>
  <si>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</si>
  <si>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</si>
  <si>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</si>
  <si>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</si>
  <si>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</si>
  <si>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</si>
  <si>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</si>
  <si>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</si>
  <si>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</si>
  <si>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</si>
  <si>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</si>
  <si>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</si>
  <si>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</si>
  <si>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</si>
  <si>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</si>
  <si>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</si>
  <si>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</si>
  <si>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</si>
  <si>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</si>
  <si>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</si>
  <si>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</si>
  <si>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</si>
  <si>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</si>
  <si>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</si>
  <si>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</si>
  <si>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</si>
  <si>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</si>
  <si>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</si>
  <si>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</si>
  <si>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</si>
  <si>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</si>
  <si>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</si>
  <si>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</si>
  <si>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</si>
  <si>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</si>
  <si>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</si>
  <si>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</si>
  <si>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</si>
  <si>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</si>
  <si>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</si>
  <si>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</si>
  <si>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</si>
  <si>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</si>
  <si>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</si>
  <si>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</si>
  <si>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</si>
  <si>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</si>
  <si>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</si>
  <si>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</si>
  <si>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</si>
  <si>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</si>
  <si>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</si>
  <si>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</si>
  <si>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</si>
  <si>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</si>
  <si>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</si>
  <si>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</si>
  <si>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</si>
  <si>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</si>
  <si>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</si>
  <si>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</si>
  <si>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</si>
  <si>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</si>
  <si>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</si>
  <si>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</si>
  <si>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</si>
  <si>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</si>
  <si>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</si>
  <si>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</si>
  <si>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</si>
  <si>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</si>
  <si>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</si>
  <si>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</si>
  <si>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</si>
  <si>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</si>
  <si>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</si>
  <si>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</si>
  <si>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</si>
  <si>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</si>
  <si>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</si>
  <si>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</si>
  <si>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</si>
  <si>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</si>
  <si>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</si>
  <si>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</si>
  <si>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</si>
  <si>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</si>
  <si>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</si>
  <si>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</si>
  <si>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</si>
  <si>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</si>
  <si>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</si>
  <si>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</si>
  <si>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</si>
  <si>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</si>
  <si>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</si>
  <si>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</si>
  <si>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</si>
  <si>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</si>
  <si>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</si>
  <si>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</si>
  <si>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</si>
  <si>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</si>
  <si>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</si>
  <si>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</si>
  <si>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</si>
  <si>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</si>
  <si>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</si>
  <si>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</si>
  <si>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</si>
  <si>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</si>
  <si>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</si>
  <si>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</si>
  <si>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</si>
  <si>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</si>
  <si>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</si>
  <si>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</si>
  <si>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</si>
  <si>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</si>
  <si>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</si>
  <si>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</si>
  <si>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</si>
  <si>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</si>
  <si>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</si>
  <si>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</si>
  <si>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</si>
  <si>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</si>
  <si>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</si>
  <si>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</si>
  <si>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</si>
  <si>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</si>
  <si>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</si>
  <si>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</si>
  <si>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</si>
  <si>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</si>
  <si>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</si>
  <si>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</si>
  <si>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</si>
  <si>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</si>
  <si>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</si>
  <si>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</si>
  <si>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</si>
  <si>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</si>
  <si>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</si>
  <si>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</si>
  <si>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</si>
  <si>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</si>
  <si>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</si>
  <si>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</si>
  <si>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</si>
  <si>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</si>
  <si>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</si>
  <si>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</si>
  <si>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</si>
  <si>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</si>
  <si>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</si>
  <si>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</si>
  <si>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</si>
  <si>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</si>
  <si>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</si>
  <si>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</si>
  <si>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</si>
  <si>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</si>
  <si>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</si>
  <si>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</si>
  <si>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</si>
  <si>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</si>
  <si>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</si>
  <si>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</si>
  <si>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</si>
  <si>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</si>
  <si>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</si>
  <si>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</si>
  <si>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</si>
  <si>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</si>
  <si>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</si>
  <si>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</si>
  <si>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</si>
  <si>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</si>
  <si>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</si>
  <si>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</si>
  <si>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</si>
  <si>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</si>
  <si>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</si>
  <si>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</si>
  <si>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</si>
  <si>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</si>
  <si>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</si>
  <si>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</si>
  <si>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</si>
  <si>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</si>
  <si>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</si>
  <si>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</si>
  <si>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</si>
  <si>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</si>
  <si>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</si>
  <si>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</si>
  <si>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</si>
  <si>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</si>
  <si>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</si>
  <si>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</si>
  <si>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</si>
  <si>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</si>
  <si>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</si>
  <si>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</si>
  <si>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</si>
  <si>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</si>
  <si>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</si>
  <si>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</si>
  <si>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</si>
  <si>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</si>
  <si>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</si>
  <si>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</si>
  <si>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</si>
  <si>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</si>
  <si>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</si>
  <si>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</si>
  <si>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</si>
  <si>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</si>
  <si>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</si>
  <si>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</si>
  <si>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</si>
  <si>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</si>
  <si>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</si>
  <si>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</si>
  <si>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</si>
  <si>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</si>
  <si>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</si>
  <si>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</si>
  <si>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</si>
  <si>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</si>
  <si>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</si>
  <si>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</si>
  <si>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</si>
  <si>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</si>
  <si>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</si>
  <si>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</si>
  <si>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</si>
  <si>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</si>
  <si>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</si>
  <si>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</si>
  <si>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</si>
  <si>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</si>
  <si>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</si>
  <si>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</si>
  <si>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</si>
  <si>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</si>
  <si>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</si>
  <si>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</si>
  <si>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</si>
  <si>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</si>
  <si>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</si>
  <si>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</si>
  <si>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</si>
  <si>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</si>
  <si>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</si>
  <si>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</si>
  <si>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</si>
  <si>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</si>
  <si>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</si>
  <si>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</si>
  <si>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</si>
  <si>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</si>
  <si>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</si>
  <si>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</si>
  <si>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</si>
  <si>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</si>
  <si>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</si>
  <si>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</si>
  <si>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</si>
  <si>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</si>
  <si>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</si>
  <si>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</si>
  <si>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</si>
  <si>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</si>
  <si>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</si>
  <si>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</si>
  <si>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</si>
  <si>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</si>
  <si>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</si>
  <si>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</si>
  <si>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</si>
  <si>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</si>
  <si>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</si>
  <si>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</si>
  <si>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</si>
  <si>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</si>
  <si>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</si>
  <si>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</si>
  <si>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</si>
  <si>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</si>
  <si>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</si>
  <si>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</si>
  <si>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</si>
  <si>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</si>
  <si>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</si>
  <si>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</si>
  <si>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</si>
  <si>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</si>
  <si>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</si>
  <si>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</si>
  <si>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</si>
  <si>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</si>
  <si>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</si>
  <si>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</si>
  <si>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</si>
  <si>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</si>
  <si>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</si>
  <si>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</si>
  <si>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</si>
  <si>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</si>
  <si>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</si>
  <si>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</si>
  <si>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</si>
  <si>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</si>
  <si>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</si>
  <si>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</si>
  <si>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</si>
  <si>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</si>
  <si>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</si>
  <si>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</si>
  <si>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</si>
  <si>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</si>
  <si>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</si>
  <si>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</si>
  <si>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</si>
  <si>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</si>
  <si>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</si>
  <si>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</si>
  <si>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</si>
  <si>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</si>
  <si>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</si>
  <si>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</si>
  <si>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</si>
  <si>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</si>
  <si>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</si>
  <si>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</si>
  <si>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</si>
  <si>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</si>
  <si>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</si>
  <si>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</si>
  <si>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</si>
  <si>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</si>
  <si>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</si>
  <si>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</si>
  <si>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</si>
  <si>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</si>
  <si>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</si>
  <si>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</si>
  <si>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</si>
  <si>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</si>
  <si>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</si>
  <si>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</si>
  <si>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</si>
  <si>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</si>
  <si>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</si>
  <si>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</si>
  <si>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</si>
  <si>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</si>
  <si>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</si>
  <si>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</si>
  <si>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</si>
  <si>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</si>
  <si>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</si>
  <si>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</si>
  <si>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</si>
  <si>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</si>
  <si>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</si>
  <si>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</si>
  <si>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</si>
  <si>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</si>
  <si>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</si>
  <si>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</si>
  <si>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</si>
  <si>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</si>
  <si>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</si>
  <si>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</si>
  <si>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</si>
  <si>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</si>
  <si>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</si>
  <si>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</si>
  <si>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</si>
  <si>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</si>
  <si>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</si>
  <si>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</si>
  <si>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</si>
  <si>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</si>
  <si>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</si>
  <si>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</si>
  <si>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</si>
  <si>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</si>
  <si>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</si>
  <si>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</si>
  <si>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</si>
  <si>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</si>
  <si>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</si>
  <si>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</si>
  <si>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</si>
  <si>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</si>
  <si>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</si>
  <si>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</si>
  <si>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</si>
  <si>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</si>
  <si>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</si>
  <si>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</si>
  <si>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</si>
  <si>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</si>
  <si>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Rehman Store</t>
  </si>
  <si>
    <t>Address: Nazamabad</t>
  </si>
  <si>
    <t xml:space="preserve">Ali Cosmetics </t>
  </si>
  <si>
    <t xml:space="preserve">Address: Dugach </t>
  </si>
  <si>
    <t xml:space="preserve">Shakeel Kareyana </t>
  </si>
  <si>
    <t>Address: Chungi Bazar</t>
  </si>
  <si>
    <t>Rabani Road</t>
  </si>
  <si>
    <t>ASB Super Store</t>
  </si>
  <si>
    <t xml:space="preserve">Ali con Ice Creem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</si>
</sst>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sqref="A1:T3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Rehman Store</v>
      </c>
      <c r="T3" s="301">
        <f>+'1'!P35</f>
        <v>3136.2115850847463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Ali Cosmetics </v>
      </c>
      <c r="T4" s="301">
        <f>+'2'!P35</f>
        <v>5401.2631679237284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Shakeel Kareyana </v>
      </c>
      <c r="T5" s="301">
        <f>+'3'!P35</f>
        <v>3136.2115850847463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Rabani Road</v>
      </c>
      <c r="T6" s="301">
        <f>+'4'!P35</f>
        <v>3136.2115850847463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13</v>
      </c>
      <c r="I7" s="235">
        <f>(G7*D7)*F7+H7*F7</f>
        <v>682.01249999999993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54.560999999999993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23.870437500000001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603.58106249999992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128.89830508474572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3.6623968379237284</v>
      </c>
      <c r="P7" s="310">
        <f>M7+N7+O7</f>
        <v>736.14176442266944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ASB Super Store</v>
      </c>
      <c r="T7" s="301">
        <f>+'5'!P35</f>
        <v>3136.2115850847463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13</v>
      </c>
      <c r="I8" s="236">
        <f t="shared" ref="I8:I14" si="0">(G8*D8)*F8+H8*F8</f>
        <v>682.01249999999993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54.560999999999993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23.870437500000001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603.58106249999992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128.89830508474572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3.6623968379237284</v>
      </c>
      <c r="P8" s="311">
        <f t="shared" ref="P8:P15" si="2">M8+N8+O8</f>
        <v>736.14176442266944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Ali con Ice Creem </v>
      </c>
      <c r="T8" s="301">
        <f>+'6'!P35</f>
        <v>3136.2115850847463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14</v>
      </c>
      <c r="I9" s="236">
        <f t="shared" si="0"/>
        <v>734.47500000000002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58.758000000000003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25.706625000000003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650.01037500000007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138.81355932203383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3.9441196716101694</v>
      </c>
      <c r="P9" s="311">
        <f t="shared" si="2"/>
        <v>792.76805399364412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78</v>
      </c>
      <c r="I10" s="236">
        <f t="shared" si="0"/>
        <v>5665.92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453.2736000000001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198.30719999999999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5014.3392000000003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1070.8474576271185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30.425933288135599</v>
      </c>
      <c r="P10" s="311">
        <f t="shared" si="2"/>
        <v>6115.6125909152543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78</v>
      </c>
      <c r="I11" s="236">
        <f t="shared" si="0"/>
        <v>5665.92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453.2736000000001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198.30719999999999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5014.3392000000003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1070.8474576271185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30.425933288135599</v>
      </c>
      <c r="P11" s="311">
        <f t="shared" si="2"/>
        <v>6115.6125909152543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84</v>
      </c>
      <c r="I12" s="236">
        <f t="shared" si="0"/>
        <v>6101.76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488.14080000000007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213.56160000000003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5400.0576000000001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1153.2203389830509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32.766389694915254</v>
      </c>
      <c r="P12" s="311">
        <f t="shared" si="2"/>
        <v>6586.0443286779664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7</v>
      </c>
      <c r="H16" s="113">
        <f t="shared" ref="H16:M16" si="3">SUM(H7:H15)</f>
        <v>280</v>
      </c>
      <c r="I16" s="114">
        <f t="shared" si="3"/>
        <v>19532.099999999999</v>
      </c>
      <c r="J16" s="274">
        <f>SUM(J7:J15)</f>
        <v>1562.5680000000002</v>
      </c>
      <c r="K16" s="275">
        <f t="shared" si="3"/>
        <v>683.62350000000004</v>
      </c>
      <c r="L16" s="276">
        <f t="shared" si="3"/>
        <v>0</v>
      </c>
      <c r="M16" s="232">
        <f t="shared" si="3"/>
        <v>17285.908500000001</v>
      </c>
      <c r="N16" s="233">
        <f>SUM(N7:N15)</f>
        <v>3691.5254237288136</v>
      </c>
      <c r="O16" s="101">
        <f>SUM(O7:O15)</f>
        <v>104.88716961864407</v>
      </c>
      <c r="P16" s="113">
        <f>SUM(P7:P15)</f>
        <v>21082.321093347458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19532.099999999999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1562.5680000000002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683.62350000000004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17285.908499999998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3691.5254237288136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20977.433923728811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104.88716961864407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21082.321093347455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21082.321093347462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7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7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7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2905.6000000000004</v>
      </c>
      <c r="J25" s="274">
        <f>SUM(J16:J24)</f>
        <v>232.44800000000004</v>
      </c>
      <c r="K25" s="275">
        <f t="shared" si="10"/>
        <v>101.696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518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13</v>
      </c>
      <c r="I16" s="235">
        <f>(G16*D16)*F16+H16*F16</f>
        <v>682.01249999999993</v>
      </c>
      <c r="J16" s="271">
        <f>$I16*S16</f>
        <v>54.560999999999993</v>
      </c>
      <c r="K16" s="127">
        <f>$I16*T16</f>
        <v>23.870437500000001</v>
      </c>
      <c r="L16" s="118">
        <f>$I16*U16</f>
        <v>0</v>
      </c>
      <c r="M16" s="229">
        <f>I16-SUM(J16:L16)</f>
        <v>603.58106249999992</v>
      </c>
      <c r="N16" s="248">
        <f>+(G16*D16+H16)*V16</f>
        <v>128.89830508474572</v>
      </c>
      <c r="O16" s="238">
        <f>(N16+M16)*$O$15</f>
        <v>3.6623968379237284</v>
      </c>
      <c r="P16" s="118">
        <f>M16+N16+O16</f>
        <v>736.14176442266944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13</v>
      </c>
      <c r="I17" s="236">
        <f t="shared" ref="I17:I23" si="0">(G17*D17)*F17+H17*F17</f>
        <v>682.01249999999993</v>
      </c>
      <c r="J17" s="272">
        <f t="shared" ref="J17:L24" si="1">$I17*S17</f>
        <v>54.560999999999993</v>
      </c>
      <c r="K17" s="128">
        <f>$I17*T17</f>
        <v>23.870437500000001</v>
      </c>
      <c r="L17" s="119">
        <f>$I17*U17</f>
        <v>0</v>
      </c>
      <c r="M17" s="230">
        <f t="shared" ref="M17:M24" si="2">I17-SUM(J17:L17)</f>
        <v>603.58106249999992</v>
      </c>
      <c r="N17" s="277">
        <f t="shared" ref="N17:N24" si="3">+(G17*D17+H17)*V17</f>
        <v>128.89830508474572</v>
      </c>
      <c r="O17" s="239">
        <f t="shared" ref="O17:O24" si="4">(N17+M17)*$O$15</f>
        <v>3.6623968379237284</v>
      </c>
      <c r="P17" s="119">
        <f t="shared" ref="P17:P24" si="5">M17+N17+O17</f>
        <v>736.14176442266944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14</v>
      </c>
      <c r="I18" s="236">
        <f t="shared" si="0"/>
        <v>734.47500000000002</v>
      </c>
      <c r="J18" s="272">
        <f t="shared" si="1"/>
        <v>58.758000000000003</v>
      </c>
      <c r="K18" s="128">
        <f t="shared" si="1"/>
        <v>25.706625000000003</v>
      </c>
      <c r="L18" s="119">
        <f t="shared" si="1"/>
        <v>0</v>
      </c>
      <c r="M18" s="230">
        <f t="shared" si="2"/>
        <v>650.01037500000007</v>
      </c>
      <c r="N18" s="277">
        <f t="shared" si="3"/>
        <v>138.81355932203383</v>
      </c>
      <c r="O18" s="239">
        <f t="shared" si="4"/>
        <v>3.9441196716101694</v>
      </c>
      <c r="P18" s="119">
        <f t="shared" si="5"/>
        <v>792.76805399364412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26.871956059322038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8.7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520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3120.6085423728819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3136.2115850847463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Jabbar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46302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46301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2026-10-06T12:20:15Z</dcterms:modified>
</cp:coreProperties>
</file>