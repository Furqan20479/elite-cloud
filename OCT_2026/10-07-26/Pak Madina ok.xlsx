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4193A9B-2479-41BF-A981-845B43B5248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<sst xmlns="http://schemas.openxmlformats.org/spreadsheetml/2006/main" count="3976" uniqueCount="525">
  <si>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</si>
  <si>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</si>
  <si>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</si>
  <si>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</si>
  <si>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</si>
  <si>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</si>
  <si>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</si>
  <si>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</si>
  <si>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</si>
  <si>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</si>
  <si>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</si>
  <si>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</si>
  <si>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</si>
  <si>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</si>
  <si>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</si>
  <si>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</si>
  <si>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</si>
  <si>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</si>
  <si>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</si>
  <si>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</si>
  <si>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</si>
  <si>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</si>
  <si>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</si>
  <si>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</si>
  <si>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</si>
  <si>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</si>
  <si>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</si>
  <si>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</si>
  <si>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</si>
  <si>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</si>
  <si>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</si>
  <si>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</si>
  <si>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</si>
  <si>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</si>
  <si>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</si>
  <si>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</si>
  <si>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</si>
  <si>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</si>
  <si>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</si>
  <si>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</si>
  <si>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</si>
  <si>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</si>
  <si>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</si>
  <si>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</si>
  <si>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</si>
  <si>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</si>
  <si>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</si>
  <si>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</si>
  <si>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</si>
  <si>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</si>
  <si>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</si>
  <si>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</si>
  <si>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</si>
  <si>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</si>
  <si>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</si>
  <si>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</si>
  <si>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</si>
  <si>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</si>
  <si>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</si>
  <si>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</si>
  <si>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</si>
  <si>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</si>
  <si>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</si>
  <si>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</si>
  <si>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</si>
  <si>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</si>
  <si>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</si>
  <si>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</si>
  <si>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</si>
  <si>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</si>
  <si>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</si>
  <si>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</si>
  <si>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</si>
  <si>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</si>
  <si>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</si>
  <si>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</si>
  <si>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</si>
  <si>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</si>
  <si>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</si>
  <si>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</si>
  <si>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</si>
  <si>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</si>
  <si>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</si>
  <si>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</si>
  <si>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</si>
  <si>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</si>
  <si>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</si>
  <si>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</si>
  <si>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</si>
  <si>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</si>
  <si>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</si>
  <si>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</si>
  <si>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</si>
  <si>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</si>
  <si>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</si>
  <si>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</si>
  <si>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</si>
  <si>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</si>
  <si>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</si>
  <si>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</si>
  <si>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</si>
  <si>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</si>
  <si>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</si>
  <si>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</si>
  <si>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</si>
  <si>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</si>
  <si>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</si>
  <si>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</si>
  <si>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</si>
  <si>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</si>
  <si>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</si>
  <si>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</si>
  <si>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</si>
  <si>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</si>
  <si>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</si>
  <si>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</si>
  <si>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</si>
  <si>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</si>
  <si>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</si>
  <si>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</si>
  <si>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</si>
  <si>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</si>
  <si>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</si>
  <si>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</si>
  <si>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</si>
  <si>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</si>
  <si>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</si>
  <si>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</si>
  <si>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</si>
  <si>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</si>
  <si>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</si>
  <si>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</si>
  <si>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</si>
  <si>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</si>
  <si>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</si>
  <si>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</si>
  <si>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</si>
  <si>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</si>
  <si>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</si>
  <si>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</si>
  <si>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</si>
  <si>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</si>
  <si>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</si>
  <si>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</si>
  <si>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</si>
  <si>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</si>
  <si>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</si>
  <si>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</si>
  <si>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</si>
  <si>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</si>
  <si>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</si>
  <si>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</si>
  <si>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</si>
  <si>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</si>
  <si>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</si>
  <si>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</si>
  <si>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</si>
  <si>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</si>
  <si>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</si>
  <si>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</si>
  <si>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</si>
  <si>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</si>
  <si>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</si>
  <si>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</si>
  <si>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</si>
  <si>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</si>
  <si>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</si>
  <si>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</si>
  <si>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</si>
  <si>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</si>
  <si>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</si>
  <si>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</si>
  <si>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</si>
  <si>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</si>
  <si>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</si>
  <si>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</si>
  <si>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</si>
  <si>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</si>
  <si>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</si>
  <si>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</si>
  <si>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</si>
  <si>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</si>
  <si>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</si>
  <si>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</si>
  <si>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</si>
  <si>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</si>
  <si>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</si>
  <si>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</si>
  <si>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</si>
  <si>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</si>
  <si>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</si>
  <si>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</si>
  <si>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</si>
  <si>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</si>
  <si>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</si>
  <si>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</si>
  <si>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</si>
  <si>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</si>
  <si>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</si>
  <si>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</si>
  <si>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</si>
  <si>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</si>
  <si>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</si>
  <si>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</si>
  <si>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</si>
  <si>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</si>
  <si>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</si>
  <si>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</si>
  <si>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</si>
  <si>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</si>
  <si>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</si>
  <si>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</si>
  <si>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</si>
  <si>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</si>
  <si>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</si>
  <si>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</si>
  <si>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</si>
  <si>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</si>
  <si>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</si>
  <si>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</si>
  <si>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</si>
  <si>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</si>
  <si>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</si>
  <si>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</si>
  <si>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</si>
  <si>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</si>
  <si>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</si>
  <si>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</si>
  <si>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</si>
  <si>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</si>
  <si>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</si>
  <si>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</si>
  <si>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</si>
  <si>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</si>
  <si>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</si>
  <si>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</si>
  <si>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</si>
  <si>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</si>
  <si>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</si>
  <si>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</si>
  <si>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</si>
  <si>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</si>
  <si>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</si>
  <si>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</si>
  <si>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</si>
  <si>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</si>
  <si>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</si>
  <si>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</si>
  <si>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</si>
  <si>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</si>
  <si>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</si>
  <si>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</si>
  <si>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</si>
  <si>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</si>
  <si>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</si>
  <si>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</si>
  <si>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</si>
  <si>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</si>
  <si>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</si>
  <si>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</si>
  <si>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</si>
  <si>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</si>
  <si>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</si>
  <si>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</si>
  <si>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</si>
  <si>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</si>
  <si>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</si>
  <si>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</si>
  <si>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</si>
  <si>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</si>
  <si>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</si>
  <si>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</si>
  <si>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</si>
  <si>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</si>
  <si>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</si>
  <si>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</si>
  <si>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</si>
  <si>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</si>
  <si>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</si>
  <si>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</si>
  <si>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</si>
  <si>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</si>
  <si>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</si>
  <si>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</si>
  <si>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</si>
  <si>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</si>
  <si>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</si>
  <si>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</si>
  <si>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</si>
  <si>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</si>
  <si>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</si>
  <si>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</si>
  <si>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</si>
  <si>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</si>
  <si>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</si>
  <si>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</si>
  <si>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</si>
  <si>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</si>
  <si>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</si>
  <si>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</si>
  <si>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</si>
  <si>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</si>
  <si>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</si>
  <si>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</si>
  <si>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</si>
  <si>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</si>
  <si>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</si>
  <si>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</si>
  <si>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</si>
  <si>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</si>
  <si>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</si>
  <si>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</si>
  <si>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</si>
  <si>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</si>
  <si>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</si>
  <si>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</si>
  <si>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</si>
  <si>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</si>
  <si>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</si>
  <si>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</si>
  <si>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</si>
  <si>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</si>
  <si>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</si>
  <si>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</si>
  <si>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</si>
  <si>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</si>
  <si>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</si>
  <si>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</si>
  <si>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</si>
  <si>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</si>
  <si>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</si>
  <si>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</si>
  <si>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</si>
  <si>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</si>
  <si>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</si>
  <si>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</si>
  <si>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</si>
  <si>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</si>
  <si>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</si>
  <si>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</si>
  <si>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</si>
  <si>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</si>
  <si>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</si>
  <si>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</si>
  <si>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</si>
  <si>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</si>
  <si>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</si>
  <si>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</si>
  <si>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</si>
  <si>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</si>
  <si>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</si>
  <si>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</si>
  <si>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</si>
  <si>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</si>
  <si>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</si>
  <si>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</si>
  <si>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</si>
  <si>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</si>
  <si>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</si>
  <si>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</si>
  <si>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</si>
  <si>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</si>
  <si>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</si>
  <si>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</si>
  <si>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</si>
  <si>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</si>
  <si>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</si>
  <si>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</si>
  <si>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</si>
  <si>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</si>
  <si>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</si>
  <si>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</si>
  <si>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</si>
  <si>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</si>
  <si>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</si>
  <si>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</si>
  <si>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</si>
  <si>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</si>
  <si>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</si>
  <si>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</si>
  <si>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</si>
  <si>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</si>
  <si>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</si>
  <si>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</si>
  <si>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</si>
  <si>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</si>
  <si>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</si>
  <si>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</si>
  <si>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</si>
  <si>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</si>
  <si>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</si>
  <si>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</si>
  <si>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</si>
  <si>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</si>
  <si>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</si>
  <si>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</si>
  <si>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</si>
  <si>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</si>
  <si>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</si>
  <si>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</si>
  <si>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</si>
  <si>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</si>
  <si>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</si>
  <si>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</si>
  <si>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</si>
  <si>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</si>
  <si>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</si>
  <si>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</si>
  <si>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</si>
  <si>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</si>
  <si>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</si>
  <si>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</si>
  <si>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</si>
  <si>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</si>
  <si>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</si>
  <si>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</si>
  <si>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</si>
  <si>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</si>
  <si>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</si>
  <si>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</si>
  <si>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</si>
  <si>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</si>
  <si>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</si>
  <si>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</si>
  <si>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</si>
  <si>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</si>
  <si>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</si>
  <si>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</si>
  <si>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</si>
  <si>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</si>
  <si>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</si>
  <si>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</si>
  <si>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</si>
  <si>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</si>
  <si>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</si>
  <si>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</si>
  <si>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</si>
  <si>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</si>
  <si>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</si>
  <si>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</si>
  <si>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</si>
  <si>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</si>
  <si>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</si>
  <si>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</si>
  <si>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</si>
  <si>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</si>
  <si>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</si>
  <si>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</si>
  <si>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</si>
  <si>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</si>
  <si>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</si>
  <si>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</si>
  <si>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</si>
  <si>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</si>
  <si>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</si>
  <si>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</si>
  <si>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</si>
  <si>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</si>
  <si>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</si>
  <si>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</si>
  <si>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</si>
  <si>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</si>
  <si>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</si>
  <si>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</si>
  <si>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</si>
  <si>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</si>
  <si>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</si>
  <si>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</si>
  <si>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</si>
  <si>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</si>
  <si>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</si>
  <si>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</si>
  <si>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</si>
  <si>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</si>
  <si>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</si>
  <si>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</si>
  <si>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</si>
  <si>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</si>
  <si>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</si>
  <si>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</si>
  <si>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</si>
  <si>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</si>
  <si>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</si>
  <si>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</si>
  <si>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</si>
  <si>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</si>
  <si>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</si>
  <si>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</si>
  <si>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</si>
  <si>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</si>
  <si>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</si>
  <si>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</si>
  <si>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</si>
  <si>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</si>
  <si>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</si>
  <si>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</si>
  <si>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</si>
  <si>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</si>
  <si>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</si>
  <si>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</si>
  <si>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</si>
  <si>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</si>
  <si>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</si>
  <si>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</si>
  <si>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</si>
  <si>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</si>
  <si>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</si>
  <si>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</si>
  <si>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</si>
  <si>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</si>
  <si>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</si>
  <si>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</si>
  <si>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</si>
  <si>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</si>
  <si>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</si>
  <si>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</si>
  <si>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</si>
  <si>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</si>
  <si>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Pak Madina </t>
  </si>
  <si>
    <t>NTN:  C857167-7</t>
  </si>
  <si>
    <t>Shakoor</t>
  </si>
  <si>
    <t>Invoice No # :1056</t>
  </si>
  <si>
    <t xml:space="preserve">Address:  Shokhu </t>
  </si>
  <si>
    <t>Address:  Sharakpur Road</t>
  </si>
  <si>
    <t>Invoice No # :10111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</si>
</sst>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16" sqref="S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499</v>
      </c>
      <c r="F2" s="357"/>
      <c r="G2" s="357"/>
      <c r="H2" s="354"/>
      <c r="I2" s="354"/>
      <c r="J2" s="355"/>
      <c r="R2" s="351" t="s">
        <v>498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514</v>
      </c>
      <c r="F3" s="361"/>
      <c r="G3" s="361"/>
      <c r="H3" s="358">
        <f ca="1">TODAY()</f>
        <v>46303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Pak Madina </v>
      </c>
      <c r="T3" s="301">
        <f>+'1'!P35</f>
        <v>37239.403017711862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1007.28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7092.93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43.396853389830504</v>
      </c>
      <c r="P9" s="311">
        <f t="shared" si="2"/>
        <v>8722.7675313559303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1394.6879999999999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9820.9279999999999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60.087690847457623</v>
      </c>
      <c r="P11" s="311">
        <f t="shared" si="2"/>
        <v>12077.625860338983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9820.9279999999999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60.087690847457623</v>
      </c>
      <c r="P12" s="311">
        <f t="shared" si="2"/>
        <v>12077.625860338983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</v>
      </c>
      <c r="H16" s="113">
        <f t="shared" ref="H16:M16" si="3">SUM(H7:H15)</f>
        <v>560</v>
      </c>
      <c r="I16" s="114">
        <f t="shared" si="3"/>
        <v>35835.800000000003</v>
      </c>
      <c r="J16" s="274">
        <f>SUM(J7:J15)</f>
        <v>4300.2960000000003</v>
      </c>
      <c r="K16" s="275">
        <f t="shared" si="3"/>
        <v>1254.2530000000002</v>
      </c>
      <c r="L16" s="276">
        <f t="shared" si="3"/>
        <v>0</v>
      </c>
      <c r="M16" s="232">
        <f t="shared" si="3"/>
        <v>30281.251</v>
      </c>
      <c r="N16" s="233">
        <f>SUM(N7:N15)</f>
        <v>6772.8813559322025</v>
      </c>
      <c r="O16" s="101">
        <f>SUM(O7:O15)</f>
        <v>185.270661779661</v>
      </c>
      <c r="P16" s="113">
        <f>SUM(P7:P15)</f>
        <v>37239.403017711862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35835.800000000003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4300.2960000000003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1254.2530000000002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30281.251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6772.8813559322025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37054.132355932205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185.270661779661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37239.403017711862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37239.403017711862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1007.28</v>
      </c>
      <c r="K18" s="128">
        <f t="shared" si="1"/>
        <v>293.79000000000002</v>
      </c>
      <c r="L18" s="119">
        <f t="shared" si="1"/>
        <v>0</v>
      </c>
      <c r="M18" s="230">
        <f t="shared" si="2"/>
        <v>7092.93</v>
      </c>
      <c r="N18" s="277">
        <f t="shared" si="3"/>
        <v>1586.440677966101</v>
      </c>
      <c r="O18" s="239">
        <f t="shared" si="4"/>
        <v>43.396853389830504</v>
      </c>
      <c r="P18" s="311">
        <f t="shared" si="5"/>
        <v>8722.7675313559303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1394.6879999999999</v>
      </c>
      <c r="K20" s="128">
        <f t="shared" si="1"/>
        <v>406.78400000000005</v>
      </c>
      <c r="L20" s="119">
        <f t="shared" si="1"/>
        <v>0</v>
      </c>
      <c r="M20" s="230">
        <f t="shared" si="2"/>
        <v>9820.9279999999999</v>
      </c>
      <c r="N20" s="277">
        <f t="shared" si="3"/>
        <v>2196.6101694915255</v>
      </c>
      <c r="O20" s="239">
        <f t="shared" si="4"/>
        <v>60.087690847457623</v>
      </c>
      <c r="P20" s="311">
        <f t="shared" si="5"/>
        <v>12077.625860338983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1394.6879999999999</v>
      </c>
      <c r="K21" s="128">
        <f t="shared" si="1"/>
        <v>406.78400000000005</v>
      </c>
      <c r="L21" s="119">
        <f t="shared" si="1"/>
        <v>0</v>
      </c>
      <c r="M21" s="230">
        <f t="shared" si="2"/>
        <v>9820.9279999999999</v>
      </c>
      <c r="N21" s="277">
        <f t="shared" si="3"/>
        <v>2196.6101694915255</v>
      </c>
      <c r="O21" s="239">
        <f t="shared" si="4"/>
        <v>60.087690847457623</v>
      </c>
      <c r="P21" s="311">
        <f t="shared" si="5"/>
        <v>12077.625860338983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0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35835.800000000003</v>
      </c>
      <c r="J25" s="274">
        <f>SUM(J16:J24)</f>
        <v>4300.2960000000003</v>
      </c>
      <c r="K25" s="275">
        <f t="shared" si="10"/>
        <v>1254.2530000000002</v>
      </c>
      <c r="L25" s="276">
        <f t="shared" si="10"/>
        <v>0</v>
      </c>
      <c r="M25" s="232">
        <f t="shared" si="10"/>
        <v>30281.251</v>
      </c>
      <c r="N25" s="233">
        <f>SUM(N16:N24)</f>
        <v>6772.8813559322025</v>
      </c>
      <c r="O25" s="101">
        <f>SUM(O16:O24)</f>
        <v>185.270661779661</v>
      </c>
      <c r="P25" s="113">
        <f>SUM(P16:P24)</f>
        <v>37239.403017711862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35835.800000000003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4300.2960000000003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1254.2530000000002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30281.251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6772.8813559322025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37054.132355932205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185.27066177966103</v>
      </c>
    </row>
    <row r="35" spans="2:16" ht="15.75" customHeight="1" thickBot="1" x14ac:dyDescent="0.4">
      <c r="N35" s="345" t="s">
        <v>88</v>
      </c>
      <c r="O35" s="346"/>
      <c r="P35" s="297">
        <f>+P33+P34</f>
        <v>37239.403017711862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8.75" customHeight="1" x14ac:dyDescent="0.4">
      <c r="A6" s="399" t="s">
        <v>500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519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2026-10-08T06:55:08Z</dcterms:modified>
</cp:coreProperties>
</file>