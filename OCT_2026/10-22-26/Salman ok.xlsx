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1315EA2-4150-4C1B-9462-0543CE1FC22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64" l="1"/>
  <c r="O16" i="64" s="1"/>
  <c r="P16" i="64" s="1"/>
  <c r="M17" i="56"/>
  <c r="O17" i="56" s="1"/>
  <c r="P17" i="56" s="1"/>
  <c r="J7" i="62"/>
  <c r="M18" i="48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<sst xmlns="http://schemas.openxmlformats.org/spreadsheetml/2006/main" count="3948" uniqueCount="535">
  <si>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</si>
  <si>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</si>
  <si>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</si>
  <si>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</si>
  <si>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</si>
  <si>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</si>
  <si>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</si>
  <si>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</si>
  <si>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</si>
  <si>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</si>
  <si>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</si>
  <si>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</si>
  <si>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</si>
  <si>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</si>
  <si>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</si>
  <si>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</si>
  <si>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</si>
  <si>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</si>
  <si>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</si>
  <si>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</si>
  <si>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</si>
  <si>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</si>
  <si>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</si>
  <si>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</si>
  <si>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</si>
  <si>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</si>
  <si>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</si>
  <si>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</si>
  <si>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</si>
  <si>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</si>
  <si>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</si>
  <si>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</si>
  <si>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</si>
  <si>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</si>
  <si>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</si>
  <si>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</si>
  <si>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</si>
  <si>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</si>
  <si>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</si>
  <si>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</si>
  <si>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</si>
  <si>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</si>
  <si>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</si>
  <si>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</si>
  <si>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</si>
  <si>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</si>
  <si>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</si>
  <si>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</si>
  <si>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</si>
  <si>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</si>
  <si>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</si>
  <si>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</si>
  <si>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</si>
  <si>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</si>
  <si>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</si>
  <si>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</si>
  <si>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</si>
  <si>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</si>
  <si>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</si>
  <si>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</si>
  <si>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</si>
  <si>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</si>
  <si>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</si>
  <si>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</si>
  <si>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</si>
  <si>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</si>
  <si>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</si>
  <si>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</si>
  <si>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</si>
  <si>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</si>
  <si>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</si>
  <si>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</si>
  <si>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</si>
  <si>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</si>
  <si>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</si>
  <si>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</si>
  <si>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</si>
  <si>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</si>
  <si>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</si>
  <si>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</si>
  <si>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</si>
  <si>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</si>
  <si>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</si>
  <si>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</si>
  <si>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</si>
  <si>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</si>
  <si>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</si>
  <si>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</si>
  <si>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</si>
  <si>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</si>
  <si>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</si>
  <si>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</si>
  <si>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</si>
  <si>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</si>
  <si>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</si>
  <si>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</si>
  <si>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</si>
  <si>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</si>
  <si>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</si>
  <si>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</si>
  <si>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</si>
  <si>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</si>
  <si>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</si>
  <si>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</si>
  <si>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</si>
  <si>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</si>
  <si>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</si>
  <si>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</si>
  <si>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</si>
  <si>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</si>
  <si>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</si>
  <si>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</si>
  <si>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</si>
  <si>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</si>
  <si>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</si>
  <si>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</si>
  <si>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</si>
  <si>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</si>
  <si>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</si>
  <si>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</si>
  <si>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</si>
  <si>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</si>
  <si>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</si>
  <si>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</si>
  <si>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</si>
  <si>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</si>
  <si>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</si>
  <si>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</si>
  <si>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</si>
  <si>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</si>
  <si>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</si>
  <si>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</si>
  <si>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</si>
  <si>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</si>
  <si>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</si>
  <si>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</si>
  <si>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</si>
  <si>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</si>
  <si>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</si>
  <si>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</si>
  <si>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</si>
  <si>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</si>
  <si>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</si>
  <si>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</si>
  <si>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</si>
  <si>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</si>
  <si>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</si>
  <si>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</si>
  <si>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</si>
  <si>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</si>
  <si>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</si>
  <si>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</si>
  <si>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</si>
  <si>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</si>
  <si>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</si>
  <si>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</si>
  <si>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</si>
  <si>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</si>
  <si>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</si>
  <si>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</si>
  <si>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</si>
  <si>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</si>
  <si>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</si>
  <si>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</si>
  <si>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</si>
  <si>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</si>
  <si>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</si>
  <si>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</si>
  <si>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</si>
  <si>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</si>
  <si>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</si>
  <si>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</si>
  <si>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</si>
  <si>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</si>
  <si>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</si>
  <si>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</si>
  <si>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</si>
  <si>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</si>
  <si>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</si>
  <si>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</si>
  <si>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</si>
  <si>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</si>
  <si>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</si>
  <si>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</si>
  <si>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</si>
  <si>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</si>
  <si>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</si>
  <si>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</si>
  <si>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</si>
  <si>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</si>
  <si>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</si>
  <si>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</si>
  <si>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</si>
  <si>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</si>
  <si>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</si>
  <si>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</si>
  <si>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</si>
  <si>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</si>
  <si>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</si>
  <si>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</si>
  <si>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</si>
  <si>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</si>
  <si>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</si>
  <si>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</si>
  <si>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</si>
  <si>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</si>
  <si>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</si>
  <si>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</si>
  <si>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</si>
  <si>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</si>
  <si>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</si>
  <si>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</si>
  <si>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</si>
  <si>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</si>
  <si>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</si>
  <si>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</si>
  <si>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</si>
  <si>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</si>
  <si>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</si>
  <si>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</si>
  <si>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</si>
  <si>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</si>
  <si>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</si>
  <si>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</si>
  <si>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</si>
  <si>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</si>
  <si>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</si>
  <si>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</si>
  <si>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</si>
  <si>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</si>
  <si>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</si>
  <si>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</si>
  <si>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</si>
  <si>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</si>
  <si>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</si>
  <si>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</si>
  <si>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</si>
  <si>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</si>
  <si>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</si>
  <si>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</si>
  <si>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</si>
  <si>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</si>
  <si>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</si>
  <si>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</si>
  <si>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</si>
  <si>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</si>
  <si>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</si>
  <si>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</si>
  <si>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</si>
  <si>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</si>
  <si>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</si>
  <si>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</si>
  <si>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</si>
  <si>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</si>
  <si>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</si>
  <si>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</si>
  <si>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</si>
  <si>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</si>
  <si>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</si>
  <si>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</si>
  <si>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</si>
  <si>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</si>
  <si>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</si>
  <si>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</si>
  <si>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</si>
  <si>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</si>
  <si>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</si>
  <si>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</si>
  <si>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</si>
  <si>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</si>
  <si>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</si>
  <si>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</si>
  <si>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</si>
  <si>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</si>
  <si>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</si>
  <si>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</si>
  <si>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</si>
  <si>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</si>
  <si>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</si>
  <si>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</si>
  <si>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</si>
  <si>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</si>
  <si>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</si>
  <si>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</si>
  <si>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</si>
  <si>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</si>
  <si>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</si>
  <si>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</si>
  <si>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</si>
  <si>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</si>
  <si>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</si>
  <si>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</si>
  <si>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</si>
  <si>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</si>
  <si>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</si>
  <si>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</si>
  <si>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</si>
  <si>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</si>
  <si>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</si>
  <si>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</si>
  <si>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</si>
  <si>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</si>
  <si>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</si>
  <si>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</si>
  <si>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</si>
  <si>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</si>
  <si>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</si>
  <si>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</si>
  <si>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</si>
  <si>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</si>
  <si>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</si>
  <si>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</si>
  <si>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</si>
  <si>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</si>
  <si>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</si>
  <si>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</si>
  <si>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</si>
  <si>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</si>
  <si>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</si>
  <si>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</si>
  <si>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</si>
  <si>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</si>
  <si>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</si>
  <si>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</si>
  <si>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</si>
  <si>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</si>
  <si>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</si>
  <si>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</si>
  <si>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</si>
  <si>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</si>
  <si>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</si>
  <si>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</si>
  <si>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</si>
  <si>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</si>
  <si>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</si>
  <si>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</si>
  <si>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</si>
  <si>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</si>
  <si>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</si>
  <si>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</si>
  <si>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</si>
  <si>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</si>
  <si>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</si>
  <si>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</si>
  <si>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</si>
  <si>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</si>
  <si>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</si>
  <si>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</si>
  <si>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</si>
  <si>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</si>
  <si>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</si>
  <si>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</si>
  <si>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</si>
  <si>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</si>
  <si>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</si>
  <si>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</si>
  <si>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</si>
  <si>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</si>
  <si>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</si>
  <si>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</si>
  <si>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</si>
  <si>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</si>
  <si>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</si>
  <si>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</si>
  <si>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</si>
  <si>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</si>
  <si>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</si>
  <si>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</si>
  <si>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</si>
  <si>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</si>
  <si>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</si>
  <si>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</si>
  <si>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</si>
  <si>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</si>
  <si>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</si>
  <si>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</si>
  <si>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</si>
  <si>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</si>
  <si>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</si>
  <si>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</si>
  <si>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</si>
  <si>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</si>
  <si>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</si>
  <si>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</si>
  <si>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</si>
  <si>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</si>
  <si>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</si>
  <si>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</si>
  <si>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</si>
  <si>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</si>
  <si>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</si>
  <si>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</si>
  <si>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</si>
  <si>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</si>
  <si>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</si>
  <si>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</si>
  <si>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</si>
  <si>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</si>
  <si>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</si>
  <si>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</si>
  <si>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</si>
  <si>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</si>
  <si>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</si>
  <si>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</si>
  <si>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</si>
  <si>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</si>
  <si>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</si>
  <si>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</si>
  <si>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</si>
  <si>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</si>
  <si>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</si>
  <si>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</si>
  <si>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</si>
  <si>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</si>
  <si>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</si>
  <si>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</si>
  <si>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</si>
  <si>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</si>
  <si>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</si>
  <si>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</si>
  <si>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</si>
  <si>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</si>
  <si>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</si>
  <si>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</si>
  <si>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</si>
  <si>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</si>
  <si>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</si>
  <si>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</si>
  <si>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</si>
  <si>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</si>
  <si>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</si>
  <si>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</si>
  <si>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</si>
  <si>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</si>
  <si>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</si>
  <si>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</si>
  <si>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</si>
  <si>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</si>
  <si>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</si>
  <si>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</si>
  <si>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</si>
  <si>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</si>
  <si>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</si>
  <si>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</si>
  <si>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</si>
  <si>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</si>
  <si>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</si>
  <si>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</si>
  <si>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</si>
  <si>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</si>
  <si>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</si>
  <si>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</si>
  <si>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</si>
  <si>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</si>
  <si>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</si>
  <si>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</si>
  <si>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</si>
  <si>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</si>
  <si>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</si>
  <si>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</si>
  <si>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</si>
  <si>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</si>
  <si>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</si>
  <si>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</si>
  <si>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</si>
  <si>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</si>
  <si>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</si>
  <si>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</si>
  <si>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</si>
  <si>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</si>
  <si>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</si>
  <si>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</si>
  <si>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</si>
  <si>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</si>
  <si>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</si>
  <si>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</si>
  <si>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</si>
  <si>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</si>
  <si>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</si>
  <si>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</si>
  <si>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</si>
  <si>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</si>
  <si>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</si>
  <si>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</si>
  <si>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</si>
  <si>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</si>
  <si>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</si>
  <si>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</si>
  <si>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</si>
  <si>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</si>
  <si>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</si>
  <si>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</si>
  <si>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</si>
  <si>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</si>
  <si>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</si>
  <si>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</si>
  <si>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</si>
  <si>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</si>
  <si>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</si>
  <si>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</si>
  <si>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</si>
  <si>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</si>
  <si>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</si>
  <si>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</si>
  <si>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</si>
  <si>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</si>
  <si>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</si>
  <si>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</si>
  <si>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</si>
  <si>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</si>
  <si>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</si>
  <si>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</si>
  <si>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</si>
  <si>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</si>
  <si>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</si>
  <si>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 xml:space="preserve">Honey Bakers </t>
  </si>
  <si>
    <t>Al Falah Super Store</t>
  </si>
  <si>
    <t xml:space="preserve">Shaheen Bakers </t>
  </si>
  <si>
    <t>Lala Gee Super Store</t>
  </si>
  <si>
    <t xml:space="preserve">K Mart </t>
  </si>
  <si>
    <t>Ali Super store</t>
  </si>
  <si>
    <t>Ahsan GS</t>
  </si>
  <si>
    <t>Ali Store</t>
  </si>
  <si>
    <t>Usman Store</t>
  </si>
  <si>
    <t>Bismillah Store</t>
  </si>
  <si>
    <t>Lala Gs</t>
  </si>
  <si>
    <t xml:space="preserve">Smart Pharmacy </t>
  </si>
  <si>
    <t>Askari Store</t>
  </si>
  <si>
    <t>Raya Mart</t>
  </si>
  <si>
    <t>My Store</t>
  </si>
  <si>
    <t>NTN #: G194327-8</t>
  </si>
  <si>
    <t xml:space="preserve">Address: Falcon Society </t>
  </si>
  <si>
    <t xml:space="preserve">Address: Cavelary </t>
  </si>
  <si>
    <t>NTN #:7925707-1</t>
  </si>
  <si>
    <t xml:space="preserve">Ghos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</si>
</sst>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C1" workbookViewId="0">
      <selection activeCell="U10" sqref="U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46317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Honey Bakers </v>
      </c>
      <c r="T3" s="301">
        <f>+'1'!P35</f>
        <v>15751.168658771187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 Falah Super Store</v>
      </c>
      <c r="T4" s="301">
        <f>+'2'!P35</f>
        <v>4246.9717178230921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Shaheen Bakers </v>
      </c>
      <c r="T5" s="301">
        <f>+'3'!P35</f>
        <v>2265.051582838983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Lala Gee Super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95</v>
      </c>
      <c r="I7" s="235">
        <f>(G7*D7)*F7+H7*F7</f>
        <v>4983.9375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461.67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174.43781250000001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4347.8296874999996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941.9491525423723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26.448894200211861</v>
      </c>
      <c r="P7" s="310">
        <f>M7+N7+O7</f>
        <v>5316.2277342425841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67</v>
      </c>
      <c r="R7" s="313">
        <v>5</v>
      </c>
      <c r="S7" s="300" t="str">
        <f>+'5'!A6:A6</f>
        <v xml:space="preserve">K Mart 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125</v>
      </c>
      <c r="I8" s="236">
        <f t="shared" ref="I8:I14" si="0">(G8*D8)*F8+H8*F8</f>
        <v>6557.8125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587.58000000000004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229.5234375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5740.7090625000001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1239.4067796610163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34.900579210805084</v>
      </c>
      <c r="P8" s="311">
        <f t="shared" ref="P8:P15" si="2">M8+N8+O8</f>
        <v>7015.0164213718217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22</v>
      </c>
      <c r="R8" s="313">
        <v>6</v>
      </c>
      <c r="S8" s="300" t="str">
        <f>+'6'!A6:A6</f>
        <v>Ali Super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135</v>
      </c>
      <c r="I9" s="236">
        <f t="shared" si="0"/>
        <v>7082.4375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629.54999999999995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247.8853125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6205.0021875000002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1338.5593220338976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37.717807547669487</v>
      </c>
      <c r="P9" s="311">
        <f t="shared" si="2"/>
        <v>7581.2793170815676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27</v>
      </c>
      <c r="R9" s="313">
        <v>7</v>
      </c>
      <c r="S9" s="300" t="str">
        <f>+'7'!A6:A6</f>
        <v>Ahsan GS</v>
      </c>
      <c r="T9" s="301">
        <f>+'7'!P35</f>
        <v>283.13144785487287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319.61599999999999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2484.288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15.167202711864407</v>
      </c>
      <c r="P10" s="311">
        <f t="shared" si="2"/>
        <v>3048.6077450847456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12</v>
      </c>
      <c r="R10" s="313">
        <v>8</v>
      </c>
      <c r="S10" s="300" t="str">
        <f>+'8'!A6:A6</f>
        <v>Ali Store</v>
      </c>
      <c r="T10" s="301">
        <f>+'8'!P35</f>
        <v>283.13144785487287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552.06399999999996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5055.7439999999997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30.770245423728817</v>
      </c>
      <c r="P11" s="311">
        <f t="shared" si="2"/>
        <v>6184.819330169491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52</v>
      </c>
      <c r="R11" s="313">
        <v>9</v>
      </c>
      <c r="S11" s="300" t="str">
        <f>+'9'!A6:A6</f>
        <v>Usman Store</v>
      </c>
      <c r="T11" s="301">
        <f>+'9'!P35</f>
        <v>283.13144785487287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784.51199999999994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7627.1999999999989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46.373288135593228</v>
      </c>
      <c r="P12" s="311">
        <f t="shared" si="2"/>
        <v>9321.0309152542359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Bismillah Store</v>
      </c>
      <c r="T12" s="301">
        <f>+'10'!P35</f>
        <v>283.13144785487287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Lala Gs</v>
      </c>
      <c r="T13" s="301">
        <f>+'11'!P35</f>
        <v>283.13144785487287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Smart Pharmacy </v>
      </c>
      <c r="T14" s="301">
        <f>+'12'!P35</f>
        <v>283.13144785487287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Askari Store</v>
      </c>
      <c r="T15" s="301">
        <f>+'13'!P35</f>
        <v>283.13144785487287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14.875</v>
      </c>
      <c r="H16" s="113">
        <f t="shared" ref="H16:M16" si="3">SUM(H7:H15)</f>
        <v>595</v>
      </c>
      <c r="I16" s="114">
        <f t="shared" si="3"/>
        <v>36057.787499999999</v>
      </c>
      <c r="J16" s="274">
        <f>SUM(J7:J15)</f>
        <v>3334.9920000000002</v>
      </c>
      <c r="K16" s="275">
        <f t="shared" si="3"/>
        <v>1262.0225625</v>
      </c>
      <c r="L16" s="276">
        <f t="shared" si="3"/>
        <v>0</v>
      </c>
      <c r="M16" s="232">
        <f t="shared" si="3"/>
        <v>31460.772937499998</v>
      </c>
      <c r="N16" s="233">
        <f>SUM(N7:N15)</f>
        <v>6814.8305084745753</v>
      </c>
      <c r="O16" s="101">
        <f>SUM(O7:O15)</f>
        <v>191.37801722987291</v>
      </c>
      <c r="P16" s="113">
        <f>SUM(P7:P15)</f>
        <v>38466.981463204444</v>
      </c>
      <c r="Q16" s="128">
        <f>SUM(Q7:Q15)</f>
        <v>180</v>
      </c>
      <c r="R16" s="313">
        <v>14</v>
      </c>
      <c r="S16" s="315" t="str">
        <f>+'14'!A6:A6</f>
        <v>Raya Mart</v>
      </c>
      <c r="T16" s="301">
        <f>+'14'!P35</f>
        <v>283.13144785487287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My Store</v>
      </c>
      <c r="T17" s="301">
        <f>+'15'!P35</f>
        <v>10802.526335847459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36057.787499999999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3334.9920000000002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1262.0225625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31460.772937500002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6814.8305084745753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38275.603445974579</v>
      </c>
      <c r="R24" s="299">
        <v>22</v>
      </c>
      <c r="S24" s="300" t="str">
        <f>+'22'!A6:A6</f>
        <v xml:space="preserve">Ghos Bakers 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191.37801722987291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38466.981463204451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38466.981463204458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2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533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230.83500000000001</v>
      </c>
      <c r="K16" s="127">
        <f>$I16*T16</f>
        <v>73.447500000000005</v>
      </c>
      <c r="L16" s="118">
        <f>$I16*U16</f>
        <v>0</v>
      </c>
      <c r="M16" s="229">
        <f>I16-SUM(J16:L16)</f>
        <v>1794.2175</v>
      </c>
      <c r="N16" s="248">
        <f>+(G16*D16+H16)*V16</f>
        <v>396.61016949152526</v>
      </c>
      <c r="O16" s="238">
        <f>(N16+M16)*$O$15</f>
        <v>10.954138347457627</v>
      </c>
      <c r="P16" s="118">
        <f>M16+N16+O16</f>
        <v>2201.7818078389828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230.83500000000001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1794.2175</v>
      </c>
      <c r="N17" s="277">
        <f t="shared" ref="N17:N24" si="3">+(G17*D17+H17)*V17</f>
        <v>396.61016949152526</v>
      </c>
      <c r="O17" s="239">
        <f t="shared" ref="O17:O24" si="4">(N17+M17)*$O$15</f>
        <v>10.954138347457627</v>
      </c>
      <c r="P17" s="119">
        <f t="shared" ref="P17:P24" si="5">M17+N17+O17</f>
        <v>2201.7818078389828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230.83500000000001</v>
      </c>
      <c r="K18" s="128">
        <f t="shared" si="1"/>
        <v>73.447500000000005</v>
      </c>
      <c r="L18" s="119">
        <f t="shared" si="1"/>
        <v>0</v>
      </c>
      <c r="M18" s="230">
        <f t="shared" si="2"/>
        <v>1794.2175</v>
      </c>
      <c r="N18" s="277">
        <f t="shared" si="3"/>
        <v>396.61016949152526</v>
      </c>
      <c r="O18" s="239">
        <f t="shared" si="4"/>
        <v>10.954138347457627</v>
      </c>
      <c r="P18" s="119">
        <f t="shared" si="5"/>
        <v>2201.7818078389828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1651.3530000000001</v>
      </c>
      <c r="K25" s="275">
        <f t="shared" si="10"/>
        <v>525.43050000000005</v>
      </c>
      <c r="L25" s="276">
        <f t="shared" si="10"/>
        <v>0</v>
      </c>
      <c r="M25" s="232">
        <f t="shared" si="10"/>
        <v>12835.516500000002</v>
      </c>
      <c r="N25" s="233">
        <f>SUM(N16:N24)</f>
        <v>2837.2881355932195</v>
      </c>
      <c r="O25" s="101">
        <f>SUM(O16:O24)</f>
        <v>78.364023177966104</v>
      </c>
      <c r="P25" s="234">
        <f>SUM(P16:P24)</f>
        <v>15751.168658771187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1651.3530000000001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525.43050000000005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12835.5165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15672.80463559322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78.364023177966104</v>
      </c>
    </row>
    <row r="35" spans="2:16" ht="15.75" customHeight="1" thickBot="1" x14ac:dyDescent="0.4">
      <c r="N35" s="374" t="s">
        <v>88</v>
      </c>
      <c r="O35" s="375"/>
      <c r="P35" s="297">
        <f>+P33+P34</f>
        <v>15751.168658771187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25</v>
      </c>
      <c r="I16" s="235">
        <f>(G16*D16)*F16+H16*F16</f>
        <v>1311.5625</v>
      </c>
      <c r="J16" s="271">
        <f>$I16*S16</f>
        <v>104.925</v>
      </c>
      <c r="K16" s="127">
        <f>$I16*T16</f>
        <v>45.904687500000001</v>
      </c>
      <c r="L16" s="118">
        <f>$I16*U16</f>
        <v>0</v>
      </c>
      <c r="M16" s="229">
        <f>I16-SUM(J16:L16)</f>
        <v>1160.7328124999999</v>
      </c>
      <c r="N16" s="248">
        <f>+(G16*D16+H16)*V16</f>
        <v>247.88135593220329</v>
      </c>
      <c r="O16" s="238">
        <f>(N16+M16)*$O$15</f>
        <v>7.0430708421610166</v>
      </c>
      <c r="P16" s="118">
        <f>M16+N16+O16</f>
        <v>1415.6572392743644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25</v>
      </c>
      <c r="I17" s="236">
        <f t="shared" ref="I17:I23" si="0">(G17*D17)*F17+H17*F17</f>
        <v>1311.5625</v>
      </c>
      <c r="J17" s="272">
        <f t="shared" ref="J17:L24" si="1">$I17*S17</f>
        <v>104.925</v>
      </c>
      <c r="K17" s="128">
        <f>$I17*T17</f>
        <v>45.904687500000001</v>
      </c>
      <c r="L17" s="119">
        <f>$I17*U17</f>
        <v>0</v>
      </c>
      <c r="M17" s="230">
        <f t="shared" ref="M17:M24" si="2">I17-SUM(J17:L17)</f>
        <v>1160.7328124999999</v>
      </c>
      <c r="N17" s="277">
        <f t="shared" ref="N17:N24" si="3">+(G17*D17+H17)*V17</f>
        <v>247.88135593220329</v>
      </c>
      <c r="O17" s="239">
        <f t="shared" ref="O17:O24" si="4">(N17+M17)*$O$15</f>
        <v>7.0430708421610166</v>
      </c>
      <c r="P17" s="119">
        <f t="shared" ref="P17:P24" si="5">M17+N17+O17</f>
        <v>1415.6572392743644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25</v>
      </c>
      <c r="I18" s="236">
        <f t="shared" si="0"/>
        <v>1311.5625</v>
      </c>
      <c r="J18" s="272">
        <f t="shared" si="1"/>
        <v>104.925</v>
      </c>
      <c r="K18" s="128">
        <f t="shared" si="1"/>
        <v>45.904687500000001</v>
      </c>
      <c r="L18" s="119">
        <f t="shared" si="1"/>
        <v>0</v>
      </c>
      <c r="M18" s="230">
        <f t="shared" si="2"/>
        <v>1160.7328124999999</v>
      </c>
      <c r="N18" s="277">
        <f t="shared" si="3"/>
        <v>247.88135593220329</v>
      </c>
      <c r="O18" s="239">
        <f t="shared" si="4"/>
        <v>7.0430708421610166</v>
      </c>
      <c r="P18" s="119">
        <f t="shared" si="5"/>
        <v>1415.6572392743644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75</v>
      </c>
      <c r="I25" s="114">
        <f t="shared" si="7"/>
        <v>3934.6875</v>
      </c>
      <c r="J25" s="274">
        <f>SUM(J16:J24)</f>
        <v>314.77499999999998</v>
      </c>
      <c r="K25" s="275">
        <f t="shared" si="7"/>
        <v>137.71406250000001</v>
      </c>
      <c r="L25" s="276">
        <f t="shared" si="7"/>
        <v>0</v>
      </c>
      <c r="M25" s="232">
        <f t="shared" si="7"/>
        <v>3482.1984374999997</v>
      </c>
      <c r="N25" s="233">
        <f>SUM(N16:N24)</f>
        <v>743.64406779660987</v>
      </c>
      <c r="O25" s="101">
        <f>SUM(O16:O24)</f>
        <v>21.129212526483052</v>
      </c>
      <c r="P25" s="234">
        <f>SUM(P16:P24)</f>
        <v>4246.9717178230931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3934.6875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314.77499999999998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137.71406250000001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3482.1984374999997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743.64406779660987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4225.8425052966095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21.129212526483048</v>
      </c>
    </row>
    <row r="35" spans="2:16" ht="15.75" customHeight="1" thickBot="1" x14ac:dyDescent="0.4">
      <c r="N35" s="374" t="s">
        <v>88</v>
      </c>
      <c r="O35" s="375"/>
      <c r="P35" s="297">
        <f>+P33+P34</f>
        <v>4246.9717178230921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activeCell="Q23" sqref="Q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12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96">
        <v>12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96">
        <v>12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96">
        <v>12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96">
        <v>12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60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4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40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40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12">
        <v>15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96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96">
        <v>15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9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activeCell="B19" sqref="A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G7" sqref="G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2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2"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B19" sqref="B19:L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530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800.65599999999995</v>
      </c>
      <c r="K25" s="275">
        <f t="shared" si="7"/>
        <v>350.28700000000003</v>
      </c>
      <c r="L25" s="276">
        <f t="shared" si="7"/>
        <v>0</v>
      </c>
      <c r="M25" s="232">
        <f t="shared" si="7"/>
        <v>8857.2570000000014</v>
      </c>
      <c r="N25" s="233">
        <f>SUM(N16:N24)</f>
        <v>1891.5254237288132</v>
      </c>
      <c r="O25" s="101">
        <f>SUM(O16:O24)</f>
        <v>53.743912118644062</v>
      </c>
      <c r="P25" s="234">
        <f>SUM(P16:P24)</f>
        <v>10802.526335847459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10008.200000000001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800.65599999999995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350.28700000000003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8857.2570000000014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10748.782423728815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53.743912118644076</v>
      </c>
    </row>
    <row r="35" spans="2:16" ht="15.75" customHeight="1" thickBot="1" x14ac:dyDescent="0.4">
      <c r="N35" s="374" t="s">
        <v>88</v>
      </c>
      <c r="O35" s="375"/>
      <c r="P35" s="297">
        <f>+P33+P34</f>
        <v>10802.526335847459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M36" sqref="M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10" workbookViewId="0">
      <selection activeCell="R7" sqref="R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Salman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46318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2026-10-23T05:17:57Z</dcterms:modified>
</cp:coreProperties>
</file>