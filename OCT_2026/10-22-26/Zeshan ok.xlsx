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E522189-0F35-49C6-A40F-F9EBC527C329}" xr6:coauthVersionLast="47" xr6:coauthVersionMax="47" xr10:uidLastSave="{00000000-0000-0000-0000-000000000000}"/>
  <bookViews>
    <workbookView xWindow="-110" yWindow="-110" windowWidth="19420" windowHeight="10420" tabRatio="948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<sst xmlns="http://schemas.openxmlformats.org/spreadsheetml/2006/main" count="3948" uniqueCount="527">
  <si>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</si>
  <si>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</si>
  <si>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</si>
  <si>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</si>
  <si>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</si>
  <si>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</si>
  <si>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</si>
  <si>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</si>
  <si>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</si>
  <si>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</si>
  <si>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</si>
  <si>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</si>
  <si>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</si>
  <si>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</si>
  <si>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</si>
  <si>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</si>
  <si>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</si>
  <si>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</si>
  <si>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</si>
  <si>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</si>
  <si>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</si>
  <si>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</si>
  <si>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</si>
  <si>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</si>
  <si>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</si>
  <si>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</si>
  <si>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</si>
  <si>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</si>
  <si>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</si>
  <si>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</si>
  <si>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</si>
  <si>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</si>
  <si>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</si>
  <si>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</si>
  <si>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</si>
  <si>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</si>
  <si>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</si>
  <si>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</si>
  <si>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</si>
  <si>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</si>
  <si>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</si>
  <si>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</si>
  <si>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</si>
  <si>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</si>
  <si>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</si>
  <si>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</si>
  <si>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</si>
  <si>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</si>
  <si>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</si>
  <si>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</si>
  <si>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</si>
  <si>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</si>
  <si>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</si>
  <si>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</si>
  <si>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</si>
  <si>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</si>
  <si>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</si>
  <si>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</si>
  <si>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</si>
  <si>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</si>
  <si>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</si>
  <si>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</si>
  <si>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</si>
  <si>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</si>
  <si>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</si>
  <si>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</si>
  <si>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</si>
  <si>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</si>
  <si>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</si>
  <si>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</si>
  <si>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</si>
  <si>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</si>
  <si>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</si>
  <si>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</si>
  <si>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</si>
  <si>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</si>
  <si>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</si>
  <si>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</si>
  <si>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</si>
  <si>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</si>
  <si>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</si>
  <si>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</si>
  <si>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</si>
  <si>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</si>
  <si>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</si>
  <si>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</si>
  <si>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</si>
  <si>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</si>
  <si>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</si>
  <si>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</si>
  <si>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</si>
  <si>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</si>
  <si>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</si>
  <si>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</si>
  <si>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</si>
  <si>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</si>
  <si>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</si>
  <si>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</si>
  <si>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</si>
  <si>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</si>
  <si>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</si>
  <si>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</si>
  <si>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</si>
  <si>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</si>
  <si>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</si>
  <si>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</si>
  <si>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</si>
  <si>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</si>
  <si>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</si>
  <si>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</si>
  <si>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</si>
  <si>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</si>
  <si>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</si>
  <si>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</si>
  <si>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</si>
  <si>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</si>
  <si>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</si>
  <si>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</si>
  <si>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</si>
  <si>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</si>
  <si>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</si>
  <si>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</si>
  <si>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</si>
  <si>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</si>
  <si>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</si>
  <si>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</si>
  <si>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</si>
  <si>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</si>
  <si>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</si>
  <si>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</si>
  <si>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</si>
  <si>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</si>
  <si>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</si>
  <si>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</si>
  <si>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</si>
  <si>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</si>
  <si>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</si>
  <si>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</si>
  <si>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</si>
  <si>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</si>
  <si>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</si>
  <si>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</si>
  <si>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</si>
  <si>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</si>
  <si>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</si>
  <si>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</si>
  <si>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</si>
  <si>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</si>
  <si>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</si>
  <si>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</si>
  <si>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</si>
  <si>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</si>
  <si>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</si>
  <si>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</si>
  <si>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</si>
  <si>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</si>
  <si>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</si>
  <si>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</si>
  <si>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</si>
  <si>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</si>
  <si>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</si>
  <si>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</si>
  <si>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</si>
  <si>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</si>
  <si>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</si>
  <si>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</si>
  <si>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</si>
  <si>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</si>
  <si>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</si>
  <si>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</si>
  <si>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</si>
  <si>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</si>
  <si>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</si>
  <si>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</si>
  <si>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</si>
  <si>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</si>
  <si>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</si>
  <si>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</si>
  <si>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</si>
  <si>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</si>
  <si>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</si>
  <si>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</si>
  <si>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</si>
  <si>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</si>
  <si>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</si>
  <si>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</si>
  <si>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</si>
  <si>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</si>
  <si>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</si>
  <si>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</si>
  <si>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</si>
  <si>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</si>
  <si>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</si>
  <si>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</si>
  <si>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</si>
  <si>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</si>
  <si>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</si>
  <si>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</si>
  <si>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</si>
  <si>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</si>
  <si>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</si>
  <si>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</si>
  <si>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</si>
  <si>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</si>
  <si>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</si>
  <si>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</si>
  <si>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</si>
  <si>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</si>
  <si>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</si>
  <si>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</si>
  <si>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</si>
  <si>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</si>
  <si>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</si>
  <si>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</si>
  <si>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</si>
  <si>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</si>
  <si>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</si>
  <si>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</si>
  <si>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</si>
  <si>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</si>
  <si>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</si>
  <si>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</si>
  <si>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</si>
  <si>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</si>
  <si>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</si>
  <si>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</si>
  <si>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</si>
  <si>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</si>
  <si>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</si>
  <si>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</si>
  <si>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</si>
  <si>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</si>
  <si>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</si>
  <si>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</si>
  <si>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</si>
  <si>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</si>
  <si>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</si>
  <si>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</si>
  <si>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</si>
  <si>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</si>
  <si>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</si>
  <si>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</si>
  <si>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</si>
  <si>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</si>
  <si>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</si>
  <si>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</si>
  <si>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</si>
  <si>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</si>
  <si>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</si>
  <si>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</si>
  <si>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</si>
  <si>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</si>
  <si>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</si>
  <si>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</si>
  <si>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</si>
  <si>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</si>
  <si>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</si>
  <si>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</si>
  <si>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</si>
  <si>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</si>
  <si>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</si>
  <si>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</si>
  <si>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</si>
  <si>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</si>
  <si>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</si>
  <si>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</si>
  <si>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</si>
  <si>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</si>
  <si>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</si>
  <si>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</si>
  <si>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</si>
  <si>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</si>
  <si>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</si>
  <si>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</si>
  <si>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</si>
  <si>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</si>
  <si>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</si>
  <si>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</si>
  <si>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</si>
  <si>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</si>
  <si>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</si>
  <si>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</si>
  <si>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</si>
  <si>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</si>
  <si>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</si>
  <si>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</si>
  <si>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</si>
  <si>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</si>
  <si>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</si>
  <si>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</si>
  <si>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</si>
  <si>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</si>
  <si>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</si>
  <si>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</si>
  <si>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</si>
  <si>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</si>
  <si>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</si>
  <si>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</si>
  <si>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</si>
  <si>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</si>
  <si>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</si>
  <si>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</si>
  <si>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</si>
  <si>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</si>
  <si>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</si>
  <si>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</si>
  <si>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</si>
  <si>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</si>
  <si>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</si>
  <si>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</si>
  <si>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</si>
  <si>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</si>
  <si>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</si>
  <si>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</si>
  <si>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</si>
  <si>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</si>
  <si>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</si>
  <si>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</si>
  <si>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</si>
  <si>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</si>
  <si>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</si>
  <si>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</si>
  <si>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</si>
  <si>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</si>
  <si>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</si>
  <si>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</si>
  <si>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</si>
  <si>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</si>
  <si>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</si>
  <si>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</si>
  <si>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</si>
  <si>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</si>
  <si>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</si>
  <si>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</si>
  <si>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</si>
  <si>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</si>
  <si>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</si>
  <si>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</si>
  <si>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</si>
  <si>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</si>
  <si>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</si>
  <si>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</si>
  <si>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</si>
  <si>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</si>
  <si>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</si>
  <si>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</si>
  <si>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</si>
  <si>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</si>
  <si>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</si>
  <si>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</si>
  <si>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</si>
  <si>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</si>
  <si>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</si>
  <si>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</si>
  <si>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</si>
  <si>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</si>
  <si>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</si>
  <si>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</si>
  <si>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</si>
  <si>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</si>
  <si>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</si>
  <si>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</si>
  <si>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</si>
  <si>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</si>
  <si>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</si>
  <si>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</si>
  <si>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</si>
  <si>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</si>
  <si>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</si>
  <si>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</si>
  <si>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</si>
  <si>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</si>
  <si>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</si>
  <si>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</si>
  <si>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</si>
  <si>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</si>
  <si>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</si>
  <si>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</si>
  <si>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</si>
  <si>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</si>
  <si>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</si>
  <si>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</si>
  <si>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</si>
  <si>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</si>
  <si>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</si>
  <si>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</si>
  <si>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</si>
  <si>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</si>
  <si>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</si>
  <si>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</si>
  <si>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</si>
  <si>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</si>
  <si>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</si>
  <si>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</si>
  <si>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</si>
  <si>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</si>
  <si>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</si>
  <si>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</si>
  <si>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</si>
  <si>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</si>
  <si>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</si>
  <si>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</si>
  <si>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</si>
  <si>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</si>
  <si>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</si>
  <si>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</si>
  <si>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</si>
  <si>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</si>
  <si>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</si>
  <si>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</si>
  <si>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</si>
  <si>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</si>
  <si>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</si>
  <si>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</si>
  <si>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</si>
  <si>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</si>
  <si>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</si>
  <si>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</si>
  <si>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</si>
  <si>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</si>
  <si>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</si>
  <si>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</si>
  <si>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</si>
  <si>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</si>
  <si>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</si>
  <si>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</si>
  <si>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</si>
  <si>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</si>
  <si>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</si>
  <si>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</si>
  <si>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</si>
  <si>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</si>
  <si>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</si>
  <si>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</si>
  <si>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</si>
  <si>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</si>
  <si>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</si>
  <si>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</si>
  <si>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</si>
  <si>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</si>
  <si>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</si>
  <si>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</si>
  <si>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</si>
  <si>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</si>
  <si>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</si>
  <si>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</si>
  <si>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</si>
  <si>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</si>
  <si>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</si>
  <si>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</si>
  <si>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</si>
  <si>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</si>
  <si>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</si>
  <si>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</si>
  <si>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</si>
  <si>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</si>
  <si>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</si>
  <si>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</si>
  <si>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</si>
  <si>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</si>
  <si>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</si>
  <si>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</si>
  <si>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</si>
  <si>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</si>
  <si>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</si>
  <si>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</si>
  <si>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</si>
  <si>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</si>
  <si>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</si>
  <si>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</si>
  <si>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</si>
  <si>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</si>
  <si>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</si>
  <si>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</si>
  <si>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</si>
  <si>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</si>
  <si>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</si>
  <si>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</si>
  <si>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</si>
  <si>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</si>
  <si>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</si>
  <si>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</si>
  <si>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</si>
  <si>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</si>
  <si>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</si>
  <si>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</si>
  <si>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</si>
  <si>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</si>
  <si>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</si>
  <si>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</si>
  <si>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</si>
  <si>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</si>
  <si>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</si>
  <si>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</si>
  <si>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</si>
  <si>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</si>
  <si>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</si>
  <si>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</si>
  <si>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</si>
  <si>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</si>
  <si>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</si>
  <si>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</si>
  <si>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</si>
  <si>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</si>
  <si>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</si>
  <si>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</si>
  <si>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</si>
  <si>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</si>
  <si>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</si>
  <si>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</si>
  <si>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</si>
  <si>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</si>
  <si>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</si>
  <si>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</si>
  <si>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</si>
  <si>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</si>
  <si>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Defence Store</t>
  </si>
  <si>
    <t>Allys Store</t>
  </si>
  <si>
    <t>Trust Store</t>
  </si>
  <si>
    <t xml:space="preserve">Urban Mart </t>
  </si>
  <si>
    <t>Address: Bedian Road</t>
  </si>
  <si>
    <t>Marhaba Store</t>
  </si>
  <si>
    <t>Choice Store</t>
  </si>
  <si>
    <t>Ghani store</t>
  </si>
  <si>
    <t>Rehman Store</t>
  </si>
  <si>
    <t>Organic Store</t>
  </si>
  <si>
    <t xml:space="preserve">Address: Edden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</si>
</sst>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6" sqref="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Defence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Allys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Trust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Urban Mart </v>
      </c>
      <c r="T6" s="301">
        <f>+'4'!P35</f>
        <v>30486.077450847453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Marhaba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Choice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Ghani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260</v>
      </c>
      <c r="I10" s="236">
        <f t="shared" si="0"/>
        <v>18886.400000000001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1946.752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661.02400000000011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16278.624000000002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3569.4915254237294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99.24057762711864</v>
      </c>
      <c r="P10" s="311">
        <f t="shared" si="2"/>
        <v>19947.35610305085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Rehman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220</v>
      </c>
      <c r="I11" s="236">
        <f t="shared" si="0"/>
        <v>15980.8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1685.248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559.32799999999997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13736.223999999998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3020.3389830508477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83.782814915254235</v>
      </c>
      <c r="P11" s="311">
        <f t="shared" si="2"/>
        <v>16840.345797966103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Organic Store</v>
      </c>
      <c r="T11" s="301">
        <f>+'9'!P35</f>
        <v>21544.663175593218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1830.5279999999998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14992.895999999999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91.439056271186445</v>
      </c>
      <c r="P12" s="311">
        <f t="shared" si="2"/>
        <v>18379.250310508472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18.75</v>
      </c>
      <c r="H16" s="113">
        <f t="shared" ref="H16:M16" si="3">SUM(H7:H15)</f>
        <v>750</v>
      </c>
      <c r="I16" s="114">
        <f t="shared" si="3"/>
        <v>53874.674999999996</v>
      </c>
      <c r="J16" s="274">
        <f>SUM(J7:J15)</f>
        <v>5588.4380000000001</v>
      </c>
      <c r="K16" s="275">
        <f t="shared" si="3"/>
        <v>1885.613625</v>
      </c>
      <c r="L16" s="276">
        <f t="shared" si="3"/>
        <v>0</v>
      </c>
      <c r="M16" s="232">
        <f t="shared" si="3"/>
        <v>46400.623374999996</v>
      </c>
      <c r="N16" s="233">
        <f>SUM(N7:N15)</f>
        <v>10182.203389830509</v>
      </c>
      <c r="O16" s="101">
        <f>SUM(O7:O15)</f>
        <v>282.91413382415254</v>
      </c>
      <c r="P16" s="113">
        <f>SUM(P7:P15)</f>
        <v>56865.740898654665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53874.674999999996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5588.4380000000001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1885.613625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46400.623374999996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10182.203389830509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56582.826764830505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282.91413382415254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56865.740898654658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56865.740898654651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20" workbookViewId="0">
      <selection activeCell="R28" sqref="R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958.84799999999996</v>
      </c>
      <c r="K19" s="128">
        <f t="shared" si="1"/>
        <v>305.08800000000002</v>
      </c>
      <c r="L19" s="119">
        <f t="shared" si="1"/>
        <v>0</v>
      </c>
      <c r="M19" s="230">
        <f t="shared" si="2"/>
        <v>7452.8639999999996</v>
      </c>
      <c r="N19" s="277">
        <f t="shared" si="3"/>
        <v>1647.4576271186443</v>
      </c>
      <c r="O19" s="239">
        <f t="shared" si="4"/>
        <v>45.501608135593216</v>
      </c>
      <c r="P19" s="119">
        <f t="shared" si="5"/>
        <v>9145.8232352542364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0"/>
        <v>11622.4</v>
      </c>
      <c r="J20" s="272">
        <f t="shared" si="1"/>
        <v>1278.4639999999999</v>
      </c>
      <c r="K20" s="128">
        <f t="shared" si="1"/>
        <v>406.78400000000005</v>
      </c>
      <c r="L20" s="119">
        <f t="shared" si="1"/>
        <v>0</v>
      </c>
      <c r="M20" s="230">
        <f t="shared" si="2"/>
        <v>9937.152</v>
      </c>
      <c r="N20" s="277">
        <f t="shared" si="3"/>
        <v>2196.6101694915255</v>
      </c>
      <c r="O20" s="239">
        <f t="shared" si="4"/>
        <v>60.668810847457628</v>
      </c>
      <c r="P20" s="119">
        <f t="shared" si="5"/>
        <v>12194.430980338982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958.84799999999996</v>
      </c>
      <c r="K21" s="128">
        <f t="shared" si="1"/>
        <v>305.08800000000002</v>
      </c>
      <c r="L21" s="119">
        <f t="shared" si="1"/>
        <v>0</v>
      </c>
      <c r="M21" s="230">
        <f t="shared" si="2"/>
        <v>7452.8639999999996</v>
      </c>
      <c r="N21" s="277">
        <f t="shared" si="3"/>
        <v>1647.4576271186443</v>
      </c>
      <c r="O21" s="239">
        <f t="shared" si="4"/>
        <v>45.501608135593216</v>
      </c>
      <c r="P21" s="119">
        <f t="shared" si="5"/>
        <v>9145.8232352542364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400</v>
      </c>
      <c r="I25" s="114">
        <f t="shared" si="7"/>
        <v>29055.999999999996</v>
      </c>
      <c r="J25" s="274">
        <f>SUM(J16:J24)</f>
        <v>3196.16</v>
      </c>
      <c r="K25" s="275">
        <f t="shared" si="7"/>
        <v>1016.96</v>
      </c>
      <c r="L25" s="276">
        <f t="shared" si="7"/>
        <v>0</v>
      </c>
      <c r="M25" s="232">
        <f t="shared" si="7"/>
        <v>24842.879999999997</v>
      </c>
      <c r="N25" s="233">
        <f>SUM(N16:N24)</f>
        <v>5491.5254237288136</v>
      </c>
      <c r="O25" s="101">
        <f>SUM(O16:O24)</f>
        <v>151.67202711864405</v>
      </c>
      <c r="P25" s="234">
        <f>SUM(P16:P24)</f>
        <v>30486.077450847453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29055.999999999996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3196.16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1016.96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24842.879999999997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5491.5254237288136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30334.405423728811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151.67202711864405</v>
      </c>
    </row>
    <row r="35" spans="2:16" ht="15.75" customHeight="1" thickBot="1" x14ac:dyDescent="0.4">
      <c r="N35" s="374" t="s">
        <v>88</v>
      </c>
      <c r="O35" s="375"/>
      <c r="P35" s="297">
        <f>+P33+P34</f>
        <v>30486.077450847453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R28" sqref="R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119">
        <f t="shared" si="5"/>
        <v>9233.4270752542379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119">
        <f t="shared" si="5"/>
        <v>9233.4270752542379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280</v>
      </c>
      <c r="I25" s="114">
        <f t="shared" si="7"/>
        <v>20339.199999999997</v>
      </c>
      <c r="J25" s="274">
        <f>SUM(J16:J24)</f>
        <v>2033.92</v>
      </c>
      <c r="K25" s="275">
        <f t="shared" si="7"/>
        <v>711.87200000000007</v>
      </c>
      <c r="L25" s="276">
        <f t="shared" si="7"/>
        <v>0</v>
      </c>
      <c r="M25" s="232">
        <f t="shared" si="7"/>
        <v>17593.407999999999</v>
      </c>
      <c r="N25" s="233">
        <f>SUM(N16:N24)</f>
        <v>3844.0677966101698</v>
      </c>
      <c r="O25" s="101">
        <f>SUM(O16:O24)</f>
        <v>107.18737898305085</v>
      </c>
      <c r="P25" s="234">
        <f>SUM(P16:P24)</f>
        <v>21544.663175593221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20339.199999999997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2033.92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711.87200000000007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17593.407999999999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3844.0677966101698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21437.475796610168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107.18737898305085</v>
      </c>
    </row>
    <row r="35" spans="2:16" ht="15.75" customHeight="1" thickBot="1" x14ac:dyDescent="0.4">
      <c r="N35" s="374" t="s">
        <v>88</v>
      </c>
      <c r="O35" s="375"/>
      <c r="P35" s="297">
        <f>+P33+P34</f>
        <v>21544.663175593218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2026-10-27T05:12:10Z</dcterms:modified>
</cp:coreProperties>
</file>