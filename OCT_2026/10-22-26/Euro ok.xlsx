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2D4A2E-C207-4591-B300-C4D5548E96A6}" xr6:coauthVersionLast="47" xr6:coauthVersionMax="47" xr10:uidLastSave="{00000000-0000-0000-0000-000000000000}"/>
  <bookViews>
    <workbookView xWindow="-110" yWindow="-110" windowWidth="19420" windowHeight="10420" tabRatio="871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P34" i="43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<sst xmlns="http://schemas.openxmlformats.org/spreadsheetml/2006/main" count="3978" uniqueCount="526">
  <si>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</si>
  <si>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</si>
  <si>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</si>
  <si>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</si>
  <si>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</si>
  <si>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</si>
  <si>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</si>
  <si>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</si>
  <si>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</si>
  <si>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</si>
  <si>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</si>
  <si>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</si>
  <si>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</si>
  <si>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</si>
  <si>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</si>
  <si>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</si>
  <si>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</si>
  <si>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</si>
  <si>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</si>
  <si>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</si>
  <si>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</si>
  <si>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</si>
  <si>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</si>
  <si>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</si>
  <si>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</si>
  <si>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</si>
  <si>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</si>
  <si>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</si>
  <si>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</si>
  <si>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</si>
  <si>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</si>
  <si>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</si>
  <si>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</si>
  <si>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</si>
  <si>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</si>
  <si>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</si>
  <si>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</si>
  <si>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</si>
  <si>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</si>
  <si>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</si>
  <si>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</si>
  <si>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</si>
  <si>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</si>
  <si>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</si>
  <si>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</si>
  <si>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</si>
  <si>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</si>
  <si>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</si>
  <si>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</si>
  <si>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</si>
  <si>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</si>
  <si>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</si>
  <si>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</si>
  <si>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</si>
  <si>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</si>
  <si>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</si>
  <si>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</si>
  <si>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</si>
  <si>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</si>
  <si>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</si>
  <si>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</si>
  <si>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</si>
  <si>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</si>
  <si>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</si>
  <si>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</si>
  <si>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</si>
  <si>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</si>
  <si>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</si>
  <si>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</si>
  <si>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</si>
  <si>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</si>
  <si>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</si>
  <si>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</si>
  <si>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</si>
  <si>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</si>
  <si>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</si>
  <si>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</si>
  <si>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</si>
  <si>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</si>
  <si>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</si>
  <si>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</si>
  <si>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</si>
  <si>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</si>
  <si>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</si>
  <si>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</si>
  <si>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</si>
  <si>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</si>
  <si>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</si>
  <si>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</si>
  <si>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</si>
  <si>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</si>
  <si>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</si>
  <si>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</si>
  <si>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</si>
  <si>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</si>
  <si>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</si>
  <si>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</si>
  <si>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</si>
  <si>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</si>
  <si>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</si>
  <si>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</si>
  <si>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</si>
  <si>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</si>
  <si>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</si>
  <si>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</si>
  <si>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</si>
  <si>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</si>
  <si>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</si>
  <si>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</si>
  <si>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</si>
  <si>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</si>
  <si>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</si>
  <si>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</si>
  <si>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</si>
  <si>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</si>
  <si>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</si>
  <si>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</si>
  <si>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</si>
  <si>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</si>
  <si>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</si>
  <si>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</si>
  <si>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</si>
  <si>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</si>
  <si>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</si>
  <si>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</si>
  <si>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</si>
  <si>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</si>
  <si>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</si>
  <si>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</si>
  <si>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</si>
  <si>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</si>
  <si>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</si>
  <si>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</si>
  <si>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</si>
  <si>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</si>
  <si>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</si>
  <si>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</si>
  <si>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</si>
  <si>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</si>
  <si>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</si>
  <si>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</si>
  <si>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</si>
  <si>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</si>
  <si>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</si>
  <si>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</si>
  <si>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</si>
  <si>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</si>
  <si>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</si>
  <si>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</si>
  <si>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</si>
  <si>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</si>
  <si>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</si>
  <si>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</si>
  <si>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</si>
  <si>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</si>
  <si>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</si>
  <si>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</si>
  <si>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</si>
  <si>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</si>
  <si>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</si>
  <si>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</si>
  <si>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</si>
  <si>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</si>
  <si>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</si>
  <si>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</si>
  <si>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</si>
  <si>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</si>
  <si>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</si>
  <si>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</si>
  <si>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</si>
  <si>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</si>
  <si>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</si>
  <si>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</si>
  <si>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</si>
  <si>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</si>
  <si>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</si>
  <si>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</si>
  <si>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</si>
  <si>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</si>
  <si>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</si>
  <si>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</si>
  <si>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</si>
  <si>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</si>
  <si>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</si>
  <si>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</si>
  <si>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</si>
  <si>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</si>
  <si>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</si>
  <si>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</si>
  <si>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</si>
  <si>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</si>
  <si>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</si>
  <si>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</si>
  <si>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</si>
  <si>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</si>
  <si>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</si>
  <si>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</si>
  <si>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</si>
  <si>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</si>
  <si>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</si>
  <si>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</si>
  <si>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</si>
  <si>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</si>
  <si>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</si>
  <si>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</si>
  <si>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</si>
  <si>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</si>
  <si>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</si>
  <si>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</si>
  <si>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</si>
  <si>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</si>
  <si>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</si>
  <si>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</si>
  <si>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</si>
  <si>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</si>
  <si>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</si>
  <si>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</si>
  <si>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</si>
  <si>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</si>
  <si>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</si>
  <si>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</si>
  <si>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</si>
  <si>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</si>
  <si>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</si>
  <si>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</si>
  <si>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</si>
  <si>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</si>
  <si>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</si>
  <si>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</si>
  <si>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</si>
  <si>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</si>
  <si>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</si>
  <si>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</si>
  <si>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</si>
  <si>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</si>
  <si>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</si>
  <si>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</si>
  <si>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</si>
  <si>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</si>
  <si>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</si>
  <si>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</si>
  <si>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</si>
  <si>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</si>
  <si>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</si>
  <si>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</si>
  <si>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</si>
  <si>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</si>
  <si>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</si>
  <si>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</si>
  <si>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</si>
  <si>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</si>
  <si>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</si>
  <si>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</si>
  <si>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</si>
  <si>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</si>
  <si>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</si>
  <si>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</si>
  <si>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</si>
  <si>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</si>
  <si>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</si>
  <si>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</si>
  <si>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</si>
  <si>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</si>
  <si>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</si>
  <si>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</si>
  <si>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</si>
  <si>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</si>
  <si>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</si>
  <si>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</si>
  <si>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</si>
  <si>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</si>
  <si>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</si>
  <si>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</si>
  <si>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</si>
  <si>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</si>
  <si>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</si>
  <si>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</si>
  <si>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</si>
  <si>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</si>
  <si>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</si>
  <si>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</si>
  <si>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</si>
  <si>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</si>
  <si>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</si>
  <si>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</si>
  <si>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</si>
  <si>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</si>
  <si>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</si>
  <si>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</si>
  <si>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</si>
  <si>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</si>
  <si>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</si>
  <si>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</si>
  <si>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</si>
  <si>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</si>
  <si>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</si>
  <si>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</si>
  <si>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</si>
  <si>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</si>
  <si>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</si>
  <si>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</si>
  <si>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</si>
  <si>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</si>
  <si>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</si>
  <si>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</si>
  <si>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</si>
  <si>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</si>
  <si>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</si>
  <si>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</si>
  <si>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</si>
  <si>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</si>
  <si>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</si>
  <si>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</si>
  <si>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</si>
  <si>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</si>
  <si>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</si>
  <si>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</si>
  <si>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</si>
  <si>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</si>
  <si>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</si>
  <si>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</si>
  <si>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</si>
  <si>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</si>
  <si>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</si>
  <si>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</si>
  <si>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</si>
  <si>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</si>
  <si>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</si>
  <si>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</si>
  <si>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</si>
  <si>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</si>
  <si>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</si>
  <si>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</si>
  <si>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</si>
  <si>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</si>
  <si>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</si>
  <si>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</si>
  <si>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</si>
  <si>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</si>
  <si>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</si>
  <si>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</si>
  <si>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</si>
  <si>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</si>
  <si>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</si>
  <si>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</si>
  <si>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</si>
  <si>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</si>
  <si>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</si>
  <si>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</si>
  <si>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</si>
  <si>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</si>
  <si>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</si>
  <si>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</si>
  <si>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</si>
  <si>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</si>
  <si>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</si>
  <si>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</si>
  <si>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</si>
  <si>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</si>
  <si>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</si>
  <si>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</si>
  <si>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</si>
  <si>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</si>
  <si>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</si>
  <si>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</si>
  <si>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</si>
  <si>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</si>
  <si>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</si>
  <si>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</si>
  <si>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</si>
  <si>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</si>
  <si>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</si>
  <si>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</si>
  <si>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</si>
  <si>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</si>
  <si>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</si>
  <si>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</si>
  <si>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</si>
  <si>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</si>
  <si>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</si>
  <si>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</si>
  <si>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</si>
  <si>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</si>
  <si>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</si>
  <si>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</si>
  <si>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</si>
  <si>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</si>
  <si>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</si>
  <si>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</si>
  <si>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</si>
  <si>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</si>
  <si>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</si>
  <si>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</si>
  <si>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</si>
  <si>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</si>
  <si>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</si>
  <si>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</si>
  <si>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</si>
  <si>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</si>
  <si>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</si>
  <si>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</si>
  <si>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</si>
  <si>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</si>
  <si>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</si>
  <si>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</si>
  <si>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</si>
  <si>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</si>
  <si>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</si>
  <si>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</si>
  <si>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</si>
  <si>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</si>
  <si>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</si>
  <si>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</si>
  <si>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</si>
  <si>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</si>
  <si>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</si>
  <si>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</si>
  <si>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</si>
  <si>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</si>
  <si>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</si>
  <si>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</si>
  <si>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</si>
  <si>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</si>
  <si>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</si>
  <si>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</si>
  <si>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</si>
  <si>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</si>
  <si>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</si>
  <si>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</si>
  <si>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</si>
  <si>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</si>
  <si>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</si>
  <si>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</si>
  <si>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</si>
  <si>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</si>
  <si>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</si>
  <si>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</si>
  <si>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</si>
  <si>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</si>
  <si>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</si>
  <si>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</si>
  <si>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</si>
  <si>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</si>
  <si>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</si>
  <si>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</si>
  <si>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</si>
  <si>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</si>
  <si>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</si>
  <si>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</si>
  <si>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</si>
  <si>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</si>
  <si>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</si>
  <si>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</si>
  <si>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</si>
  <si>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</si>
  <si>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</si>
  <si>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</si>
  <si>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</si>
  <si>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</si>
  <si>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</si>
  <si>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</si>
  <si>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</si>
  <si>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</si>
  <si>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</si>
  <si>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</si>
  <si>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</si>
  <si>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</si>
  <si>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</si>
  <si>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</si>
  <si>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</si>
  <si>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</si>
  <si>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</si>
  <si>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</si>
  <si>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</si>
  <si>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</si>
  <si>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</si>
  <si>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</si>
  <si>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</si>
  <si>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</si>
  <si>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</si>
  <si>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</si>
  <si>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</si>
  <si>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</si>
  <si>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</si>
  <si>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</si>
  <si>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</si>
  <si>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</si>
  <si>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</si>
  <si>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</si>
  <si>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</si>
  <si>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</si>
  <si>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</si>
  <si>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</si>
  <si>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</si>
  <si>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</si>
  <si>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</si>
  <si>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</si>
  <si>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</si>
  <si>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</si>
  <si>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</si>
  <si>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</si>
  <si>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</si>
  <si>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</si>
  <si>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</si>
  <si>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</si>
  <si>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</si>
  <si>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</si>
  <si>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</si>
  <si>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</si>
  <si>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</si>
  <si>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</si>
  <si>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</si>
  <si>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</si>
  <si>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</si>
  <si>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>Euro Stores (G-1 Market)</t>
  </si>
  <si>
    <t xml:space="preserve">Address: Johar Town </t>
  </si>
  <si>
    <t>EURO Stores (Nishat Colony)</t>
  </si>
  <si>
    <t>NTN #: 9878957-8</t>
  </si>
  <si>
    <t>Invoice No # :451612</t>
  </si>
  <si>
    <t>Euro Store Garhi Shahu</t>
  </si>
  <si>
    <t>Invoice No # :165156</t>
  </si>
  <si>
    <t xml:space="preserve">Euro Store College Road </t>
  </si>
  <si>
    <t xml:space="preserve">Address: Model Town </t>
  </si>
  <si>
    <t>Address: Ghari Shahu</t>
  </si>
  <si>
    <t>Address: Nishat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</si>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</sst>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46318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 Stores (Nishat Colony)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Garhi Shahu</v>
      </c>
      <c r="T4" s="301">
        <f>+'2'!P35</f>
        <v>31385.16005839195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Euro Store College Road </v>
      </c>
      <c r="T5" s="301">
        <f>+'3'!P35</f>
        <v>31804.08454754237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Stores (G-1 Market)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159</v>
      </c>
      <c r="I7" s="235">
        <f>(G7*D7)*F7+H7*F7</f>
        <v>8341.5375000000004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834.15374999999995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291.95381250000003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7215.429937500001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1576.5254237288129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43.959776806144063</v>
      </c>
      <c r="P7" s="310">
        <f>M7+N7+O7</f>
        <v>8835.9151380349595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41</v>
      </c>
      <c r="R7" s="314">
        <v>5</v>
      </c>
      <c r="S7" s="300" t="str">
        <f>+'5'!A6:A6</f>
        <v>Euro Stores (G-1 Market)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839.40000000000009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7260.8099999999995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44.236253389830502</v>
      </c>
      <c r="P8" s="311">
        <f t="shared" ref="P8:P15" si="2">M8+N8+O8</f>
        <v>8891.4869313559302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4">
        <v>6</v>
      </c>
      <c r="S8" s="300" t="str">
        <f>+'6'!A6:A6</f>
        <v>Euro Stores (G-1 Market)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159</v>
      </c>
      <c r="I9" s="236">
        <f t="shared" si="0"/>
        <v>8341.5375000000004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834.15374999999995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291.95381250000003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7215.429937500001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1576.5254237288129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43.959776806144063</v>
      </c>
      <c r="P9" s="311">
        <f t="shared" si="2"/>
        <v>8835.9151380349595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41</v>
      </c>
      <c r="R9" s="314">
        <v>7</v>
      </c>
      <c r="S9" s="300" t="str">
        <f>+'7'!A6:A6</f>
        <v>Euro Stores (G-1 Market)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159</v>
      </c>
      <c r="I10" s="236">
        <f t="shared" si="0"/>
        <v>11549.76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1154.9760000000001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404.24160000000006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9990.5424000000003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2182.8813559322034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60.86711877966102</v>
      </c>
      <c r="P10" s="311">
        <f t="shared" si="2"/>
        <v>12234.290874711864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41</v>
      </c>
      <c r="R10" s="314">
        <v>8</v>
      </c>
      <c r="S10" s="300" t="str">
        <f>+'8'!A6:A6</f>
        <v>Euro Stores (G-1 Market)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158</v>
      </c>
      <c r="I11" s="236">
        <f t="shared" si="0"/>
        <v>11477.12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1147.712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401.69920000000002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9927.7088000000003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2169.1525423728817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60.484306711864406</v>
      </c>
      <c r="P11" s="311">
        <f t="shared" si="2"/>
        <v>12157.345649084746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42</v>
      </c>
      <c r="R11" s="314">
        <v>9</v>
      </c>
      <c r="S11" s="300" t="str">
        <f>+'9'!A6:A6</f>
        <v>Euro Stores (G-1 Market)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159</v>
      </c>
      <c r="I12" s="236">
        <f t="shared" si="0"/>
        <v>11549.76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1154.9760000000001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404.24160000000006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9990.5424000000003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2182.8813559322034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60.86711877966102</v>
      </c>
      <c r="P12" s="311">
        <f t="shared" si="2"/>
        <v>12234.290874711864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41</v>
      </c>
      <c r="R12" s="314">
        <v>10</v>
      </c>
      <c r="S12" s="300" t="str">
        <f>+'10'!A6:A6</f>
        <v>Euro Stores (G-1 Market)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Stores (G-1 Market)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Stores (G-1 Market)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Stores (G-1 Market)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23.85</v>
      </c>
      <c r="H16" s="113">
        <f t="shared" ref="H16:M16" si="3">SUM(H7:H15)</f>
        <v>954</v>
      </c>
      <c r="I16" s="114">
        <f t="shared" si="3"/>
        <v>59653.715000000004</v>
      </c>
      <c r="J16" s="274">
        <f>SUM(J7:J15)</f>
        <v>5965.3715000000011</v>
      </c>
      <c r="K16" s="275">
        <f t="shared" si="3"/>
        <v>2087.8800250000004</v>
      </c>
      <c r="L16" s="276">
        <f t="shared" si="3"/>
        <v>0</v>
      </c>
      <c r="M16" s="232">
        <f t="shared" si="3"/>
        <v>51600.463474999997</v>
      </c>
      <c r="N16" s="233">
        <f>SUM(N7:N15)</f>
        <v>11274.406779661014</v>
      </c>
      <c r="O16" s="101">
        <f>SUM(O7:O15)</f>
        <v>314.37435127330508</v>
      </c>
      <c r="P16" s="113">
        <f>SUM(P7:P15)</f>
        <v>63189.24460593432</v>
      </c>
      <c r="Q16" s="128">
        <f>SUM(Q7:Q15)</f>
        <v>246</v>
      </c>
      <c r="R16" s="314">
        <v>14</v>
      </c>
      <c r="S16" s="300" t="str">
        <f>+'14'!A6:A6</f>
        <v>Euro Stores (G-1 Market)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Stores (G-1 Market)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Stores (G-1 Market)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59653.715000000004</v>
      </c>
      <c r="R19" s="299">
        <v>17</v>
      </c>
      <c r="S19" s="300" t="str">
        <f>+'17'!A6:A6</f>
        <v>Euro Stores (G-1 Market)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5965.3715000000011</v>
      </c>
      <c r="R20" s="299">
        <v>18</v>
      </c>
      <c r="S20" s="300" t="str">
        <f>+'18'!A6:A6</f>
        <v>Euro Stores (G-1 Market)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2087.8800250000004</v>
      </c>
      <c r="R21" s="299">
        <v>19</v>
      </c>
      <c r="S21" s="300" t="str">
        <f>+'19'!A6:A6</f>
        <v>Euro Stores (G-1 Market)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51600.463475000004</v>
      </c>
      <c r="R22" s="299">
        <v>20</v>
      </c>
      <c r="S22" s="300" t="str">
        <f>+'20'!A6:A6</f>
        <v>Euro Stores (G-1 Market)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11274.406779661014</v>
      </c>
      <c r="R23" s="299">
        <v>21</v>
      </c>
      <c r="S23" s="300" t="str">
        <f>+'21'!A6:A6</f>
        <v>Euro Stores (G-1 Market)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62874.870254661015</v>
      </c>
      <c r="R24" s="299">
        <v>22</v>
      </c>
      <c r="S24" s="300" t="str">
        <f>+'22'!A6:A6</f>
        <v>Euro Stores (G-1 Market)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314.37435127330508</v>
      </c>
      <c r="R25" s="299">
        <v>23</v>
      </c>
      <c r="S25" s="300" t="str">
        <f>+'23'!A6:A6</f>
        <v>Euro Stores (G-1 Market)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63189.24460593432</v>
      </c>
      <c r="R26" s="299">
        <v>24</v>
      </c>
      <c r="S26" s="300" t="str">
        <f>+'24'!A6:A6</f>
        <v>Euro Stores (G-1 Market)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Euro Stores (G-1 Market)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Stores (G-1 Market)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Stores (G-1 Market)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Stores (G-1 Market)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Stores (G-1 Market)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Stores (G-1 Market)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63189.24460593432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46316</v>
      </c>
      <c r="O5" s="392"/>
      <c r="P5" s="392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40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>
        <v>40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>
        <v>40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>
        <v>40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>
        <v>40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>
        <v>40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13" workbookViewId="0">
      <selection activeCell="R28" sqref="R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520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46316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79</v>
      </c>
      <c r="I16" s="235">
        <f>(G16*D16)*F16+H16*F16</f>
        <v>4144.5374999999995</v>
      </c>
      <c r="J16" s="271">
        <f>$I16*S16</f>
        <v>414.45374999999996</v>
      </c>
      <c r="K16" s="127">
        <f>$I16*T16</f>
        <v>145.05881249999999</v>
      </c>
      <c r="L16" s="118">
        <f>$I16*U16</f>
        <v>0</v>
      </c>
      <c r="M16" s="229">
        <f>I16-SUM(J16:L16)</f>
        <v>3585.0249374999994</v>
      </c>
      <c r="N16" s="248">
        <f>+(G16*D16+H16)*V16</f>
        <v>783.30508474576243</v>
      </c>
      <c r="O16" s="238">
        <f>(N16+M16)*$O$15</f>
        <v>21.841650111228809</v>
      </c>
      <c r="P16" s="310">
        <f>M16+N16+O16</f>
        <v>4390.1716723569907</v>
      </c>
      <c r="Q16" s="313">
        <v>1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79</v>
      </c>
      <c r="I18" s="236">
        <f t="shared" si="0"/>
        <v>4144.5374999999995</v>
      </c>
      <c r="J18" s="272">
        <f t="shared" si="1"/>
        <v>414.45374999999996</v>
      </c>
      <c r="K18" s="128">
        <f t="shared" si="1"/>
        <v>145.05881249999999</v>
      </c>
      <c r="L18" s="119">
        <f t="shared" si="1"/>
        <v>0</v>
      </c>
      <c r="M18" s="230">
        <f t="shared" si="2"/>
        <v>3585.0249374999994</v>
      </c>
      <c r="N18" s="277">
        <f t="shared" si="3"/>
        <v>783.30508474576243</v>
      </c>
      <c r="O18" s="239">
        <f t="shared" si="4"/>
        <v>21.841650111228809</v>
      </c>
      <c r="P18" s="311">
        <f t="shared" si="5"/>
        <v>4390.1716723569907</v>
      </c>
      <c r="Q18" s="156">
        <v>1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79</v>
      </c>
      <c r="I19" s="236">
        <f t="shared" si="0"/>
        <v>5738.56</v>
      </c>
      <c r="J19" s="272">
        <f t="shared" si="1"/>
        <v>573.85600000000011</v>
      </c>
      <c r="K19" s="128">
        <f t="shared" si="1"/>
        <v>200.84960000000004</v>
      </c>
      <c r="L19" s="119">
        <f t="shared" si="1"/>
        <v>0</v>
      </c>
      <c r="M19" s="230">
        <f t="shared" si="2"/>
        <v>4963.8544000000002</v>
      </c>
      <c r="N19" s="277">
        <f t="shared" si="3"/>
        <v>1084.5762711864406</v>
      </c>
      <c r="O19" s="239">
        <f t="shared" si="4"/>
        <v>30.242153355932206</v>
      </c>
      <c r="P19" s="311">
        <f t="shared" si="5"/>
        <v>6078.6728245423728</v>
      </c>
      <c r="Q19" s="156">
        <v>1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78</v>
      </c>
      <c r="I20" s="236">
        <f t="shared" si="0"/>
        <v>5665.92</v>
      </c>
      <c r="J20" s="272">
        <f t="shared" si="1"/>
        <v>566.59199999999998</v>
      </c>
      <c r="K20" s="128">
        <f t="shared" si="1"/>
        <v>198.30720000000002</v>
      </c>
      <c r="L20" s="119">
        <f t="shared" si="1"/>
        <v>0</v>
      </c>
      <c r="M20" s="230">
        <f t="shared" si="2"/>
        <v>4901.0208000000002</v>
      </c>
      <c r="N20" s="277">
        <f t="shared" si="3"/>
        <v>1070.8474576271187</v>
      </c>
      <c r="O20" s="239">
        <f t="shared" si="4"/>
        <v>29.859341288135592</v>
      </c>
      <c r="P20" s="311">
        <f t="shared" si="5"/>
        <v>6001.727598915254</v>
      </c>
      <c r="Q20" s="156">
        <v>2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79</v>
      </c>
      <c r="I21" s="236">
        <f t="shared" si="0"/>
        <v>5738.56</v>
      </c>
      <c r="J21" s="272">
        <f t="shared" si="1"/>
        <v>573.85600000000011</v>
      </c>
      <c r="K21" s="128">
        <f t="shared" si="1"/>
        <v>200.84960000000004</v>
      </c>
      <c r="L21" s="119">
        <f t="shared" si="1"/>
        <v>0</v>
      </c>
      <c r="M21" s="230">
        <f t="shared" si="2"/>
        <v>4963.8544000000002</v>
      </c>
      <c r="N21" s="277">
        <f t="shared" si="3"/>
        <v>1084.5762711864406</v>
      </c>
      <c r="O21" s="239">
        <f t="shared" si="4"/>
        <v>30.242153355932206</v>
      </c>
      <c r="P21" s="311">
        <f t="shared" si="5"/>
        <v>6078.6728245423728</v>
      </c>
      <c r="Q21" s="156">
        <v>1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474</v>
      </c>
      <c r="I25" s="114">
        <f t="shared" si="7"/>
        <v>29629.115000000002</v>
      </c>
      <c r="J25" s="274">
        <f>SUM(J16:J24)</f>
        <v>2962.9115000000002</v>
      </c>
      <c r="K25" s="275">
        <f t="shared" si="7"/>
        <v>1037.0190250000001</v>
      </c>
      <c r="L25" s="276">
        <f t="shared" si="7"/>
        <v>0</v>
      </c>
      <c r="M25" s="232">
        <f t="shared" si="7"/>
        <v>25629.184474999998</v>
      </c>
      <c r="N25" s="233">
        <f>SUM(N16:N24)</f>
        <v>5599.8305084745753</v>
      </c>
      <c r="O25" s="101">
        <f>SUM(O16:O24)</f>
        <v>156.14507491737288</v>
      </c>
      <c r="P25" s="113">
        <f>SUM(P16:P24)</f>
        <v>31385.160058391946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29629.115000000002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2962.9115000000002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1037.0190250000001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25629.184475000002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5599.8305084745753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31229.014983474575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156.14507491737288</v>
      </c>
    </row>
    <row r="35" spans="2:16" ht="15.75" customHeight="1" thickBot="1" x14ac:dyDescent="0.4">
      <c r="N35" s="372" t="s">
        <v>88</v>
      </c>
      <c r="O35" s="373"/>
      <c r="P35" s="297">
        <f>+P33+P34</f>
        <v>31385.16005839195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525</v>
      </c>
    </row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46316</v>
      </c>
      <c r="O5" s="392"/>
      <c r="P5" s="392"/>
      <c r="R5" s="85"/>
      <c r="S5" s="266"/>
    </row>
    <row r="6" spans="1:22 16383:16384" ht="18.75" customHeight="1" x14ac:dyDescent="0.4">
      <c r="A6" s="398" t="s">
        <v>521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30024.600000000002</v>
      </c>
      <c r="J25" s="274">
        <f>SUM(J16:J24)</f>
        <v>3002.46</v>
      </c>
      <c r="K25" s="275">
        <f t="shared" si="7"/>
        <v>1050.8610000000001</v>
      </c>
      <c r="L25" s="276">
        <f t="shared" si="7"/>
        <v>0</v>
      </c>
      <c r="M25" s="232">
        <f t="shared" si="7"/>
        <v>25971.279000000002</v>
      </c>
      <c r="N25" s="233">
        <f>SUM(N16:N24)</f>
        <v>5674.576271186439</v>
      </c>
      <c r="O25" s="101">
        <f>SUM(O16:O24)</f>
        <v>158.2292763559322</v>
      </c>
      <c r="P25" s="113">
        <f>SUM(P16:P24)</f>
        <v>31804.084547542367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30024.600000000002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3002.46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1050.8610000000001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25971.279000000002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31645.855271186439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72" t="s">
        <v>88</v>
      </c>
      <c r="O35" s="373"/>
      <c r="P35" s="297">
        <f>+P33+P34</f>
        <v>31804.08454754237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46319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46318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2026-10-23T06:35:15Z</dcterms:modified>
</cp:coreProperties>
</file>