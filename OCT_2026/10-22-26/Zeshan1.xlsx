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CFC5924-8A86-4D05-91E1-133BA4A38139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20" i="57"/>
  <c r="O20" i="57" s="1"/>
  <c r="P20" i="57" s="1"/>
  <c r="M21" i="53"/>
  <c r="O21" i="53" s="1"/>
  <c r="P21" i="53" s="1"/>
  <c r="M21" i="5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25" i="52" l="1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<sst xmlns="http://schemas.openxmlformats.org/spreadsheetml/2006/main" count="3948" uniqueCount="536">
  <si>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</si>
  <si>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</si>
  <si>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</si>
  <si>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</si>
  <si>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</si>
  <si>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</si>
  <si>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</si>
  <si>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</si>
  <si>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</si>
  <si>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</si>
  <si>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</si>
  <si>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</si>
  <si>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</si>
  <si>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</si>
  <si>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</si>
  <si>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</si>
  <si>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</si>
  <si>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</si>
  <si>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</si>
  <si>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</si>
  <si>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</si>
  <si>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</si>
  <si>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</si>
  <si>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</si>
  <si>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</si>
  <si>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</si>
  <si>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</si>
  <si>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</si>
  <si>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</si>
  <si>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</si>
  <si>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</si>
  <si>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</si>
  <si>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</si>
  <si>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</si>
  <si>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</si>
  <si>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</si>
  <si>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</si>
  <si>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</si>
  <si>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</si>
  <si>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</si>
  <si>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</si>
  <si>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</si>
  <si>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</si>
  <si>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</si>
  <si>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</si>
  <si>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</si>
  <si>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</si>
  <si>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</si>
  <si>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</si>
  <si>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</si>
  <si>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</si>
  <si>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</si>
  <si>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</si>
  <si>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</si>
  <si>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</si>
  <si>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</si>
  <si>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</si>
  <si>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</si>
  <si>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</si>
  <si>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</si>
  <si>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</si>
  <si>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</si>
  <si>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</si>
  <si>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</si>
  <si>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</si>
  <si>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</si>
  <si>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</si>
  <si>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</si>
  <si>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</si>
  <si>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</si>
  <si>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</si>
  <si>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</si>
  <si>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</si>
  <si>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</si>
  <si>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</si>
  <si>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</si>
  <si>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</si>
  <si>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</si>
  <si>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</si>
  <si>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</si>
  <si>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</si>
  <si>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</si>
  <si>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</si>
  <si>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</si>
  <si>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</si>
  <si>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</si>
  <si>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</si>
  <si>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</si>
  <si>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</si>
  <si>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</si>
  <si>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</si>
  <si>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</si>
  <si>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</si>
  <si>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</si>
  <si>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</si>
  <si>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</si>
  <si>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</si>
  <si>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</si>
  <si>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</si>
  <si>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</si>
  <si>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</si>
  <si>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</si>
  <si>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</si>
  <si>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</si>
  <si>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</si>
  <si>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</si>
  <si>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</si>
  <si>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</si>
  <si>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</si>
  <si>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</si>
  <si>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</si>
  <si>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</si>
  <si>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</si>
  <si>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</si>
  <si>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</si>
  <si>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</si>
  <si>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</si>
  <si>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</si>
  <si>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</si>
  <si>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</si>
  <si>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</si>
  <si>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</si>
  <si>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</si>
  <si>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</si>
  <si>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</si>
  <si>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</si>
  <si>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</si>
  <si>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</si>
  <si>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</si>
  <si>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</si>
  <si>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</si>
  <si>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</si>
  <si>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</si>
  <si>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</si>
  <si>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</si>
  <si>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</si>
  <si>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</si>
  <si>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</si>
  <si>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</si>
  <si>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</si>
  <si>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</si>
  <si>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</si>
  <si>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</si>
  <si>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</si>
  <si>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</si>
  <si>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</si>
  <si>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</si>
  <si>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</si>
  <si>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</si>
  <si>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</si>
  <si>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</si>
  <si>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</si>
  <si>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</si>
  <si>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</si>
  <si>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</si>
  <si>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</si>
  <si>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</si>
  <si>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</si>
  <si>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</si>
  <si>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</si>
  <si>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</si>
  <si>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</si>
  <si>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</si>
  <si>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</si>
  <si>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</si>
  <si>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</si>
  <si>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</si>
  <si>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</si>
  <si>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</si>
  <si>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</si>
  <si>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</si>
  <si>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</si>
  <si>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</si>
  <si>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</si>
  <si>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</si>
  <si>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</si>
  <si>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</si>
  <si>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</si>
  <si>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</si>
  <si>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</si>
  <si>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</si>
  <si>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</si>
  <si>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</si>
  <si>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</si>
  <si>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</si>
  <si>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</si>
  <si>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</si>
  <si>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</si>
  <si>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</si>
  <si>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</si>
  <si>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</si>
  <si>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</si>
  <si>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</si>
  <si>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</si>
  <si>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</si>
  <si>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</si>
  <si>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</si>
  <si>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</si>
  <si>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</si>
  <si>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</si>
  <si>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</si>
  <si>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</si>
  <si>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</si>
  <si>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</si>
  <si>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</si>
  <si>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</si>
  <si>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</si>
  <si>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</si>
  <si>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</si>
  <si>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</si>
  <si>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</si>
  <si>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</si>
  <si>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</si>
  <si>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</si>
  <si>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</si>
  <si>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</si>
  <si>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</si>
  <si>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</si>
  <si>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</si>
  <si>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</si>
  <si>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</si>
  <si>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</si>
  <si>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</si>
  <si>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</si>
  <si>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</si>
  <si>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</si>
  <si>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</si>
  <si>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</si>
  <si>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</si>
  <si>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</si>
  <si>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</si>
  <si>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</si>
  <si>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</si>
  <si>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</si>
  <si>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</si>
  <si>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</si>
  <si>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</si>
  <si>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</si>
  <si>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</si>
  <si>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</si>
  <si>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</si>
  <si>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</si>
  <si>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</si>
  <si>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</si>
  <si>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</si>
  <si>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</si>
  <si>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</si>
  <si>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</si>
  <si>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</si>
  <si>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</si>
  <si>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</si>
  <si>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</si>
  <si>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</si>
  <si>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</si>
  <si>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</si>
  <si>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</si>
  <si>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</si>
  <si>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</si>
  <si>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</si>
  <si>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</si>
  <si>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</si>
  <si>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</si>
  <si>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</si>
  <si>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</si>
  <si>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</si>
  <si>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</si>
  <si>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</si>
  <si>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</si>
  <si>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</si>
  <si>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</si>
  <si>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</si>
  <si>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</si>
  <si>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</si>
  <si>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</si>
  <si>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</si>
  <si>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</si>
  <si>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</si>
  <si>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</si>
  <si>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</si>
  <si>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</si>
  <si>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</si>
  <si>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</si>
  <si>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</si>
  <si>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</si>
  <si>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</si>
  <si>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</si>
  <si>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</si>
  <si>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</si>
  <si>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</si>
  <si>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</si>
  <si>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</si>
  <si>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</si>
  <si>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</si>
  <si>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</si>
  <si>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</si>
  <si>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</si>
  <si>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</si>
  <si>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</si>
  <si>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</si>
  <si>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</si>
  <si>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</si>
  <si>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</si>
  <si>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</si>
  <si>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</si>
  <si>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</si>
  <si>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</si>
  <si>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</si>
  <si>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</si>
  <si>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</si>
  <si>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</si>
  <si>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</si>
  <si>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</si>
  <si>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</si>
  <si>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</si>
  <si>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</si>
  <si>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</si>
  <si>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</si>
  <si>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</si>
  <si>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</si>
  <si>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</si>
  <si>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</si>
  <si>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</si>
  <si>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</si>
  <si>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</si>
  <si>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</si>
  <si>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</si>
  <si>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</si>
  <si>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</si>
  <si>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</si>
  <si>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</si>
  <si>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</si>
  <si>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</si>
  <si>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</si>
  <si>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</si>
  <si>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</si>
  <si>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</si>
  <si>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</si>
  <si>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</si>
  <si>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</si>
  <si>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</si>
  <si>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</si>
  <si>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</si>
  <si>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</si>
  <si>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</si>
  <si>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</si>
  <si>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</si>
  <si>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</si>
  <si>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</si>
  <si>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</si>
  <si>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</si>
  <si>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</si>
  <si>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</si>
  <si>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</si>
  <si>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</si>
  <si>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</si>
  <si>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</si>
  <si>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</si>
  <si>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</si>
  <si>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</si>
  <si>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</si>
  <si>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</si>
  <si>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</si>
  <si>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</si>
  <si>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</si>
  <si>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</si>
  <si>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</si>
  <si>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</si>
  <si>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</si>
  <si>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</si>
  <si>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</si>
  <si>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</si>
  <si>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</si>
  <si>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</si>
  <si>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</si>
  <si>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</si>
  <si>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</si>
  <si>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</si>
  <si>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</si>
  <si>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</si>
  <si>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</si>
  <si>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</si>
  <si>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</si>
  <si>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</si>
  <si>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</si>
  <si>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</si>
  <si>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</si>
  <si>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</si>
  <si>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</si>
  <si>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</si>
  <si>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</si>
  <si>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</si>
  <si>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</si>
  <si>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</si>
  <si>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</si>
  <si>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</si>
  <si>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</si>
  <si>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</si>
  <si>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</si>
  <si>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</si>
  <si>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</si>
  <si>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</si>
  <si>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</si>
  <si>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</si>
  <si>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</si>
  <si>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</si>
  <si>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</si>
  <si>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</si>
  <si>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</si>
  <si>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</si>
  <si>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</si>
  <si>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</si>
  <si>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</si>
  <si>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</si>
  <si>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</si>
  <si>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</si>
  <si>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</si>
  <si>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</si>
  <si>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</si>
  <si>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</si>
  <si>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</si>
  <si>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</si>
  <si>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</si>
  <si>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</si>
  <si>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</si>
  <si>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</si>
  <si>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</si>
  <si>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</si>
  <si>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</si>
  <si>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</si>
  <si>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</si>
  <si>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</si>
  <si>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</si>
  <si>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</si>
  <si>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</si>
  <si>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</si>
  <si>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</si>
  <si>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</si>
  <si>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</si>
  <si>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</si>
  <si>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</si>
  <si>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</si>
  <si>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</si>
  <si>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</si>
  <si>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</si>
  <si>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</si>
  <si>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</si>
  <si>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</si>
  <si>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</si>
  <si>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</si>
  <si>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</si>
  <si>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</si>
  <si>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</si>
  <si>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</si>
  <si>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</si>
  <si>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</si>
  <si>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</si>
  <si>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</si>
  <si>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</si>
  <si>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</si>
  <si>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</si>
  <si>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</si>
  <si>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</si>
  <si>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</si>
  <si>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</si>
  <si>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</si>
  <si>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</si>
  <si>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</si>
  <si>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</si>
  <si>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</si>
  <si>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</si>
  <si>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</si>
  <si>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</si>
  <si>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</si>
  <si>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</si>
  <si>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</si>
  <si>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</si>
  <si>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</si>
  <si>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</si>
  <si>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</si>
  <si>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</si>
  <si>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</si>
  <si>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</si>
  <si>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</si>
  <si>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</si>
  <si>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</si>
  <si>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</si>
  <si>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</si>
  <si>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</si>
  <si>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</si>
  <si>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</si>
  <si>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</si>
  <si>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</si>
  <si>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</si>
  <si>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</si>
  <si>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</si>
  <si>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</si>
  <si>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</si>
  <si>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</si>
  <si>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</si>
  <si>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</si>
  <si>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</si>
  <si>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</si>
  <si>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</si>
  <si>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</si>
  <si>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</si>
  <si>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</si>
  <si>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</si>
  <si>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</si>
  <si>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</si>
  <si>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</si>
  <si>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</si>
  <si>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</si>
  <si>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</si>
  <si>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</si>
  <si>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Zeshan </t>
  </si>
  <si>
    <t>Decent Store</t>
  </si>
  <si>
    <t>Rehman Store</t>
  </si>
  <si>
    <t xml:space="preserve">SS Bakers </t>
  </si>
  <si>
    <t>Al Hamd Store</t>
  </si>
  <si>
    <t>Rana Store</t>
  </si>
  <si>
    <t>Imran Store</t>
  </si>
  <si>
    <t>Mozam Store</t>
  </si>
  <si>
    <t>Chand Store</t>
  </si>
  <si>
    <t>Nazam Store</t>
  </si>
  <si>
    <t>Mashallah Store</t>
  </si>
  <si>
    <t>Hafiz Store</t>
  </si>
  <si>
    <t xml:space="preserve">Aono Bakers </t>
  </si>
  <si>
    <t>Al Hamad Store</t>
  </si>
  <si>
    <t>Haq Store</t>
  </si>
  <si>
    <t>Bilal Store</t>
  </si>
  <si>
    <t>Chohan Store</t>
  </si>
  <si>
    <t>Ahmad Store</t>
  </si>
  <si>
    <t xml:space="preserve">Gras Mart </t>
  </si>
  <si>
    <t xml:space="preserve">Kkies Bakers </t>
  </si>
  <si>
    <t>Phool Store</t>
  </si>
  <si>
    <t>Address: Nashter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</si>
</sst>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H7" sqref="H7:H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Decent Store</v>
      </c>
      <c r="T3" s="301">
        <f>+'1'!P35</f>
        <v>784.05289627118646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Rehman Store</v>
      </c>
      <c r="T4" s="301">
        <f>+'2'!P35</f>
        <v>784.05289627118646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SS Bakers </v>
      </c>
      <c r="T5" s="301">
        <f>+'3'!P35</f>
        <v>784.05289627118646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Al Hamd Store</v>
      </c>
      <c r="T6" s="301">
        <f>+'4'!P35</f>
        <v>784.05289627118646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Rana Store</v>
      </c>
      <c r="T7" s="301">
        <f>+'5'!P35</f>
        <v>784.05289627118646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Imran Store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Mozam Store</v>
      </c>
      <c r="T9" s="301">
        <f>+'7'!P35</f>
        <v>9408.6347552542375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210</v>
      </c>
      <c r="I10" s="236">
        <f t="shared" si="0"/>
        <v>15254.4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1220.3520000000001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533.90400000000011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13500.144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2883.0508474576272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81.91597423728814</v>
      </c>
      <c r="P10" s="311">
        <f t="shared" si="2"/>
        <v>16465.110821694914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Chand Store</v>
      </c>
      <c r="T10" s="301">
        <f>+'8'!P35</f>
        <v>784.05289627118646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140</v>
      </c>
      <c r="I11" s="236">
        <f t="shared" si="0"/>
        <v>10169.6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813.56799999999998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355.93600000000004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9000.0960000000014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1922.0338983050851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54.610649491525436</v>
      </c>
      <c r="P11" s="311">
        <f t="shared" si="2"/>
        <v>10976.740547796613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Nazam Store</v>
      </c>
      <c r="T11" s="301">
        <f>+'9'!P35</f>
        <v>784.05289627118646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210</v>
      </c>
      <c r="I12" s="236">
        <f t="shared" si="0"/>
        <v>15254.4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1220.3519999999999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533.904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13500.144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2883.0508474576282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81.915974237288168</v>
      </c>
      <c r="P12" s="311">
        <f t="shared" si="2"/>
        <v>16465.110821694914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Mashallah Store</v>
      </c>
      <c r="T12" s="301">
        <f>+'10'!P35</f>
        <v>6272.4231701694916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Rehman Store</v>
      </c>
      <c r="T13" s="301">
        <f>+'11'!P35</f>
        <v>784.05289627118646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Hafiz Store</v>
      </c>
      <c r="T14" s="301">
        <f>+'12'!P35</f>
        <v>784.05289627118646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 xml:space="preserve">Aono Bakers </v>
      </c>
      <c r="T15" s="301">
        <f>+'13'!P35</f>
        <v>784.05289627118646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14</v>
      </c>
      <c r="H16" s="113">
        <f t="shared" ref="H16:M16" si="3">SUM(H7:H15)</f>
        <v>560</v>
      </c>
      <c r="I16" s="114">
        <f t="shared" si="3"/>
        <v>40678.400000000001</v>
      </c>
      <c r="J16" s="274">
        <f>SUM(J7:J15)</f>
        <v>3254.2719999999999</v>
      </c>
      <c r="K16" s="275">
        <f t="shared" si="3"/>
        <v>1423.7440000000001</v>
      </c>
      <c r="L16" s="276">
        <f t="shared" si="3"/>
        <v>0</v>
      </c>
      <c r="M16" s="232">
        <f t="shared" si="3"/>
        <v>36000.384000000005</v>
      </c>
      <c r="N16" s="233">
        <f>SUM(N7:N15)</f>
        <v>7688.1355932203405</v>
      </c>
      <c r="O16" s="101">
        <f>SUM(O7:O15)</f>
        <v>218.44259796610174</v>
      </c>
      <c r="P16" s="113">
        <f>SUM(P7:P15)</f>
        <v>43906.962191186438</v>
      </c>
      <c r="Q16" s="128">
        <f>SUM(Q7:Q15)</f>
        <v>0</v>
      </c>
      <c r="R16" s="313">
        <v>14</v>
      </c>
      <c r="S16" s="315" t="str">
        <f>+'14'!A6:A6</f>
        <v>Al Hamad Store</v>
      </c>
      <c r="T16" s="301">
        <f>+'14'!P35</f>
        <v>784.05289627118646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Haq Store</v>
      </c>
      <c r="T17" s="301">
        <f>+'15'!P35</f>
        <v>784.05289627118646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Bilal Store</v>
      </c>
      <c r="T18" s="301">
        <f>+'16'!P35</f>
        <v>784.05289627118646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40678.400000000001</v>
      </c>
      <c r="R19" s="299">
        <v>17</v>
      </c>
      <c r="S19" s="300" t="str">
        <f>+'17'!A6:A6</f>
        <v>Chohan Store</v>
      </c>
      <c r="T19" s="301">
        <f>+'17'!P35</f>
        <v>784.05289627118646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3254.2719999999999</v>
      </c>
      <c r="R20" s="299">
        <v>18</v>
      </c>
      <c r="S20" s="300" t="str">
        <f>+'18'!A6:A6</f>
        <v>Ahmad Store</v>
      </c>
      <c r="T20" s="301">
        <f>+'18'!P35</f>
        <v>784.05289627118646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1423.7440000000001</v>
      </c>
      <c r="R21" s="299">
        <v>19</v>
      </c>
      <c r="S21" s="300" t="str">
        <f>+'19'!A6:A6</f>
        <v xml:space="preserve">Gras Mart </v>
      </c>
      <c r="T21" s="301">
        <f>+'19'!P35</f>
        <v>6272.4231701694916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36000.384000000005</v>
      </c>
      <c r="R22" s="299">
        <v>20</v>
      </c>
      <c r="S22" s="300" t="str">
        <f>+'20'!A6:A6</f>
        <v xml:space="preserve">Kkies Bakers </v>
      </c>
      <c r="T22" s="301">
        <f>+'20'!P35</f>
        <v>6272.4231701694916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7688.1355932203405</v>
      </c>
      <c r="R23" s="299">
        <v>21</v>
      </c>
      <c r="S23" s="300" t="str">
        <f>+'21'!A6:A6</f>
        <v>Phool Store</v>
      </c>
      <c r="T23" s="301">
        <f>+'21'!P35</f>
        <v>3136.2115850847458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43688.51959322035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218.44259796610174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43906.962191186452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43906.962191186452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10</v>
      </c>
      <c r="I25" s="114">
        <f t="shared" ref="I25:M25" si="10">SUM(I16:I24)</f>
        <v>726.4</v>
      </c>
      <c r="J25" s="274">
        <f>SUM(J16:J24)</f>
        <v>58.112000000000002</v>
      </c>
      <c r="K25" s="275">
        <f t="shared" si="10"/>
        <v>25.424000000000003</v>
      </c>
      <c r="L25" s="276">
        <f t="shared" si="10"/>
        <v>0</v>
      </c>
      <c r="M25" s="232">
        <f t="shared" si="10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697.34400000000005</v>
      </c>
      <c r="K25" s="275">
        <f t="shared" si="7"/>
        <v>305.08800000000002</v>
      </c>
      <c r="L25" s="276">
        <f t="shared" si="7"/>
        <v>0</v>
      </c>
      <c r="M25" s="232">
        <f t="shared" si="7"/>
        <v>7714.3680000000004</v>
      </c>
      <c r="N25" s="233">
        <f>SUM(N16:N24)</f>
        <v>1647.4576271186443</v>
      </c>
      <c r="O25" s="101">
        <f>SUM(O16:O24)</f>
        <v>46.809128135593227</v>
      </c>
      <c r="P25" s="234">
        <f>SUM(P16:P24)</f>
        <v>9408.6347552542375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697.34400000000005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7714.3679999999995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9361.8256271186438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46.80912813559322</v>
      </c>
    </row>
    <row r="35" spans="2:16" ht="15.75" customHeight="1" thickBot="1" x14ac:dyDescent="0.4">
      <c r="N35" s="345" t="s">
        <v>88</v>
      </c>
      <c r="O35" s="346"/>
      <c r="P35" s="297">
        <f>+P33+P34</f>
        <v>9408.6347552542375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4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8.7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5811.2</v>
      </c>
      <c r="J25" s="274">
        <f>SUM(J16:J24)</f>
        <v>464.89600000000002</v>
      </c>
      <c r="K25" s="275">
        <f t="shared" si="7"/>
        <v>203.39200000000002</v>
      </c>
      <c r="L25" s="276">
        <f t="shared" si="7"/>
        <v>0</v>
      </c>
      <c r="M25" s="232">
        <f t="shared" si="7"/>
        <v>5142.9120000000003</v>
      </c>
      <c r="N25" s="233">
        <f>SUM(N16:N24)</f>
        <v>1098.3050847457628</v>
      </c>
      <c r="O25" s="101">
        <f>SUM(O16:O24)</f>
        <v>31.206085423728815</v>
      </c>
      <c r="P25" s="234">
        <f>SUM(P16:P24)</f>
        <v>6272.4231701694916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5811.2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464.89600000000002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203.39200000000002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5142.9120000000003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1098.3050847457628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6241.2170847457628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31.206085423728815</v>
      </c>
    </row>
    <row r="35" spans="2:16" ht="15.75" customHeight="1" thickBot="1" x14ac:dyDescent="0.4">
      <c r="N35" s="345" t="s">
        <v>88</v>
      </c>
      <c r="O35" s="346"/>
      <c r="P35" s="297">
        <f>+P33+P34</f>
        <v>6272.4231701694916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5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46316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2026-10-21T11:56:31Z</dcterms:modified>
</cp:coreProperties>
</file>