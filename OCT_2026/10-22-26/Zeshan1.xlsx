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7B107A-D7AB-4DAC-B540-BB1A4608254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7"/>
  <c r="O20" i="57" s="1"/>
  <c r="P20" i="57" s="1"/>
  <c r="M21" i="53"/>
  <c r="O21" i="53" s="1"/>
  <c r="P21" i="53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<sst xmlns="http://schemas.openxmlformats.org/spreadsheetml/2006/main" count="3948" uniqueCount="536">
  <si>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</si>
  <si>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</si>
  <si>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</si>
  <si>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</si>
  <si>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</si>
  <si>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</si>
  <si>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</si>
  <si>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</si>
  <si>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</si>
  <si>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</si>
  <si>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</si>
  <si>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</si>
  <si>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</si>
  <si>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</si>
  <si>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</si>
  <si>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</si>
  <si>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</si>
  <si>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</si>
  <si>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</si>
  <si>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</si>
  <si>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</si>
  <si>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</si>
  <si>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</si>
  <si>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</si>
  <si>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</si>
  <si>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</si>
  <si>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</si>
  <si>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</si>
  <si>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</si>
  <si>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</si>
  <si>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</si>
  <si>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</si>
  <si>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</si>
  <si>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</si>
  <si>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</si>
  <si>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</si>
  <si>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</si>
  <si>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</si>
  <si>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</si>
  <si>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</si>
  <si>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</si>
  <si>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</si>
  <si>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</si>
  <si>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</si>
  <si>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</si>
  <si>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</si>
  <si>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</si>
  <si>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</si>
  <si>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</si>
  <si>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</si>
  <si>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</si>
  <si>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</si>
  <si>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</si>
  <si>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</si>
  <si>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</si>
  <si>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</si>
  <si>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</si>
  <si>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</si>
  <si>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</si>
  <si>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</si>
  <si>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</si>
  <si>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</si>
  <si>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</si>
  <si>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</si>
  <si>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</si>
  <si>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</si>
  <si>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</si>
  <si>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</si>
  <si>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</si>
  <si>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</si>
  <si>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</si>
  <si>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</si>
  <si>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</si>
  <si>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</si>
  <si>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</si>
  <si>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</si>
  <si>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</si>
  <si>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</si>
  <si>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</si>
  <si>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</si>
  <si>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</si>
  <si>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</si>
  <si>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</si>
  <si>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</si>
  <si>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</si>
  <si>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</si>
  <si>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</si>
  <si>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</si>
  <si>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</si>
  <si>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</si>
  <si>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</si>
  <si>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</si>
  <si>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</si>
  <si>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</si>
  <si>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</si>
  <si>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</si>
  <si>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</si>
  <si>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</si>
  <si>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</si>
  <si>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</si>
  <si>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</si>
  <si>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</si>
  <si>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</si>
  <si>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</si>
  <si>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</si>
  <si>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</si>
  <si>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</si>
  <si>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</si>
  <si>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</si>
  <si>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</si>
  <si>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</si>
  <si>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</si>
  <si>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</si>
  <si>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</si>
  <si>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</si>
  <si>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</si>
  <si>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</si>
  <si>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</si>
  <si>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</si>
  <si>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</si>
  <si>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</si>
  <si>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</si>
  <si>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</si>
  <si>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</si>
  <si>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</si>
  <si>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</si>
  <si>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</si>
  <si>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</si>
  <si>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</si>
  <si>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</si>
  <si>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</si>
  <si>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</si>
  <si>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</si>
  <si>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</si>
  <si>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</si>
  <si>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</si>
  <si>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</si>
  <si>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</si>
  <si>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</si>
  <si>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</si>
  <si>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</si>
  <si>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</si>
  <si>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</si>
  <si>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</si>
  <si>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</si>
  <si>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</si>
  <si>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</si>
  <si>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</si>
  <si>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</si>
  <si>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</si>
  <si>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</si>
  <si>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</si>
  <si>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</si>
  <si>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</si>
  <si>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</si>
  <si>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</si>
  <si>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</si>
  <si>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</si>
  <si>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</si>
  <si>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</si>
  <si>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</si>
  <si>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</si>
  <si>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</si>
  <si>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</si>
  <si>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</si>
  <si>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</si>
  <si>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</si>
  <si>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</si>
  <si>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</si>
  <si>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</si>
  <si>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</si>
  <si>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</si>
  <si>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</si>
  <si>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</si>
  <si>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</si>
  <si>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</si>
  <si>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</si>
  <si>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</si>
  <si>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</si>
  <si>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</si>
  <si>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</si>
  <si>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</si>
  <si>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</si>
  <si>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</si>
  <si>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</si>
  <si>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</si>
  <si>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</si>
  <si>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</si>
  <si>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</si>
  <si>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</si>
  <si>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</si>
  <si>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</si>
  <si>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</si>
  <si>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</si>
  <si>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</si>
  <si>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</si>
  <si>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</si>
  <si>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</si>
  <si>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</si>
  <si>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</si>
  <si>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</si>
  <si>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</si>
  <si>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</si>
  <si>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</si>
  <si>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</si>
  <si>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</si>
  <si>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</si>
  <si>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</si>
  <si>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</si>
  <si>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</si>
  <si>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</si>
  <si>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</si>
  <si>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</si>
  <si>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</si>
  <si>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</si>
  <si>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</si>
  <si>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</si>
  <si>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</si>
  <si>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</si>
  <si>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</si>
  <si>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</si>
  <si>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</si>
  <si>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</si>
  <si>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</si>
  <si>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</si>
  <si>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</si>
  <si>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</si>
  <si>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</si>
  <si>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</si>
  <si>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</si>
  <si>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</si>
  <si>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</si>
  <si>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</si>
  <si>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</si>
  <si>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</si>
  <si>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</si>
  <si>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</si>
  <si>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</si>
  <si>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</si>
  <si>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</si>
  <si>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</si>
  <si>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</si>
  <si>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</si>
  <si>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</si>
  <si>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</si>
  <si>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</si>
  <si>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</si>
  <si>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</si>
  <si>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</si>
  <si>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</si>
  <si>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</si>
  <si>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</si>
  <si>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</si>
  <si>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</si>
  <si>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</si>
  <si>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</si>
  <si>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</si>
  <si>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</si>
  <si>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</si>
  <si>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</si>
  <si>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</si>
  <si>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</si>
  <si>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</si>
  <si>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</si>
  <si>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</si>
  <si>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</si>
  <si>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</si>
  <si>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</si>
  <si>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</si>
  <si>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</si>
  <si>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</si>
  <si>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</si>
  <si>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</si>
  <si>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</si>
  <si>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</si>
  <si>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</si>
  <si>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</si>
  <si>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</si>
  <si>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</si>
  <si>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</si>
  <si>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</si>
  <si>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</si>
  <si>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</si>
  <si>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</si>
  <si>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</si>
  <si>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</si>
  <si>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</si>
  <si>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</si>
  <si>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</si>
  <si>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</si>
  <si>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</si>
  <si>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</si>
  <si>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</si>
  <si>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</si>
  <si>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</si>
  <si>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</si>
  <si>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</si>
  <si>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</si>
  <si>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</si>
  <si>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</si>
  <si>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</si>
  <si>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</si>
  <si>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</si>
  <si>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</si>
  <si>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</si>
  <si>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</si>
  <si>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</si>
  <si>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</si>
  <si>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</si>
  <si>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</si>
  <si>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</si>
  <si>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</si>
  <si>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</si>
  <si>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</si>
  <si>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</si>
  <si>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</si>
  <si>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</si>
  <si>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</si>
  <si>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</si>
  <si>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</si>
  <si>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</si>
  <si>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</si>
  <si>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</si>
  <si>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</si>
  <si>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</si>
  <si>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</si>
  <si>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</si>
  <si>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</si>
  <si>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</si>
  <si>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</si>
  <si>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</si>
  <si>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</si>
  <si>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</si>
  <si>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</si>
  <si>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</si>
  <si>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</si>
  <si>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</si>
  <si>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</si>
  <si>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</si>
  <si>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</si>
  <si>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</si>
  <si>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</si>
  <si>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</si>
  <si>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</si>
  <si>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</si>
  <si>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</si>
  <si>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</si>
  <si>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</si>
  <si>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</si>
  <si>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</si>
  <si>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</si>
  <si>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</si>
  <si>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</si>
  <si>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</si>
  <si>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</si>
  <si>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</si>
  <si>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</si>
  <si>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</si>
  <si>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</si>
  <si>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</si>
  <si>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</si>
  <si>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</si>
  <si>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</si>
  <si>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</si>
  <si>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</si>
  <si>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</si>
  <si>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</si>
  <si>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</si>
  <si>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</si>
  <si>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</si>
  <si>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</si>
  <si>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</si>
  <si>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</si>
  <si>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</si>
  <si>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</si>
  <si>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</si>
  <si>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</si>
  <si>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</si>
  <si>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</si>
  <si>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</si>
  <si>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</si>
  <si>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</si>
  <si>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</si>
  <si>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</si>
  <si>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</si>
  <si>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</si>
  <si>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</si>
  <si>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</si>
  <si>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</si>
  <si>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</si>
  <si>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</si>
  <si>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</si>
  <si>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</si>
  <si>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</si>
  <si>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</si>
  <si>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</si>
  <si>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</si>
  <si>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</si>
  <si>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</si>
  <si>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</si>
  <si>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</si>
  <si>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</si>
  <si>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</si>
  <si>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</si>
  <si>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</si>
  <si>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</si>
  <si>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</si>
  <si>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</si>
  <si>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</si>
  <si>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</si>
  <si>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</si>
  <si>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</si>
  <si>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</si>
  <si>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</si>
  <si>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</si>
  <si>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</si>
  <si>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</si>
  <si>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</si>
  <si>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</si>
  <si>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</si>
  <si>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</si>
  <si>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</si>
  <si>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</si>
  <si>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</si>
  <si>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</si>
  <si>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</si>
  <si>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</si>
  <si>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</si>
  <si>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</si>
  <si>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</si>
  <si>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</si>
  <si>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</si>
  <si>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</si>
  <si>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</si>
  <si>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</si>
  <si>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</si>
  <si>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</si>
  <si>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</si>
  <si>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</si>
  <si>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</si>
  <si>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</si>
  <si>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</si>
  <si>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</si>
  <si>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</si>
  <si>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</si>
  <si>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</si>
  <si>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</si>
  <si>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</si>
  <si>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</si>
  <si>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</si>
  <si>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</si>
  <si>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</si>
  <si>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</si>
  <si>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</si>
  <si>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</si>
  <si>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</si>
  <si>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</si>
  <si>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</si>
  <si>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</si>
  <si>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</si>
  <si>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</si>
  <si>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</si>
  <si>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</si>
  <si>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</si>
  <si>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</si>
  <si>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</si>
  <si>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</si>
  <si>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</si>
  <si>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</si>
  <si>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</si>
  <si>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</si>
  <si>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</si>
  <si>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</si>
  <si>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</si>
  <si>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</si>
  <si>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</si>
  <si>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</si>
  <si>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</si>
  <si>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</si>
  <si>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</si>
  <si>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</si>
  <si>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</si>
  <si>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</si>
  <si>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</si>
  <si>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</si>
  <si>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</si>
  <si>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</si>
  <si>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</si>
  <si>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</si>
  <si>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</si>
  <si>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</si>
  <si>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</si>
  <si>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</si>
  <si>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</si>
  <si>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</si>
  <si>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</si>
  <si>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</si>
  <si>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</si>
  <si>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</si>
  <si>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</si>
  <si>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</si>
  <si>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</si>
  <si>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</si>
  <si>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</si>
  <si>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</si>
  <si>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</si>
  <si>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</si>
  <si>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</si>
  <si>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</si>
  <si>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</si>
  <si>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</si>
  <si>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</si>
  <si>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</si>
  <si>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</si>
  <si>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</si>
  <si>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Decent Store</t>
  </si>
  <si>
    <t>Rehman Store</t>
  </si>
  <si>
    <t xml:space="preserve">SS Bakers </t>
  </si>
  <si>
    <t>Al Hamd Store</t>
  </si>
  <si>
    <t>Rana Store</t>
  </si>
  <si>
    <t>Imran Store</t>
  </si>
  <si>
    <t>Mozam Store</t>
  </si>
  <si>
    <t>Chand Store</t>
  </si>
  <si>
    <t>Nazam Store</t>
  </si>
  <si>
    <t>Mashallah Store</t>
  </si>
  <si>
    <t>Hafiz Store</t>
  </si>
  <si>
    <t xml:space="preserve">Aono Bakers </t>
  </si>
  <si>
    <t>Al Hamad Store</t>
  </si>
  <si>
    <t>Haq Store</t>
  </si>
  <si>
    <t>Bilal Store</t>
  </si>
  <si>
    <t>Chohan Store</t>
  </si>
  <si>
    <t>Ahmad Store</t>
  </si>
  <si>
    <t xml:space="preserve">Gras Mart </t>
  </si>
  <si>
    <t xml:space="preserve">Kkies Bakers </t>
  </si>
  <si>
    <t>Phool Store</t>
  </si>
  <si>
    <t>Address: Nashter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</si>
</sst>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Decent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Rehman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SS Bakers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Hamd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Rana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Mozam Store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210</v>
      </c>
      <c r="I10" s="236">
        <f t="shared" si="0"/>
        <v>15254.4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533.90400000000011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13500.144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81.91597423728814</v>
      </c>
      <c r="P10" s="311">
        <f t="shared" si="2"/>
        <v>16465.110821694914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Chand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140</v>
      </c>
      <c r="I11" s="236">
        <f t="shared" si="0"/>
        <v>10169.6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813.56799999999998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355.93600000000004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9000.0960000000014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1922.0338983050851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54.610649491525436</v>
      </c>
      <c r="P11" s="311">
        <f t="shared" si="2"/>
        <v>10976.740547796613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Nazam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210</v>
      </c>
      <c r="I12" s="236">
        <f t="shared" si="0"/>
        <v>15254.4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533.904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13500.144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2883.0508474576282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81.915974237288168</v>
      </c>
      <c r="P12" s="311">
        <f t="shared" si="2"/>
        <v>16465.110821694914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Mashallah Store</v>
      </c>
      <c r="T12" s="301">
        <f>+'10'!P35</f>
        <v>6272.4231701694916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Rehman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Hafiz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Aono Bakers 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</v>
      </c>
      <c r="H16" s="113">
        <f t="shared" ref="H16:M16" si="3">SUM(H7:H15)</f>
        <v>560</v>
      </c>
      <c r="I16" s="114">
        <f t="shared" si="3"/>
        <v>40678.400000000001</v>
      </c>
      <c r="J16" s="274">
        <f>SUM(J7:J15)</f>
        <v>3254.2719999999999</v>
      </c>
      <c r="K16" s="275">
        <f t="shared" si="3"/>
        <v>1423.7440000000001</v>
      </c>
      <c r="L16" s="276">
        <f t="shared" si="3"/>
        <v>0</v>
      </c>
      <c r="M16" s="232">
        <f t="shared" si="3"/>
        <v>36000.384000000005</v>
      </c>
      <c r="N16" s="233">
        <f>SUM(N7:N15)</f>
        <v>7688.1355932203405</v>
      </c>
      <c r="O16" s="101">
        <f>SUM(O7:O15)</f>
        <v>218.44259796610174</v>
      </c>
      <c r="P16" s="113">
        <f>SUM(P7:P15)</f>
        <v>43906.962191186438</v>
      </c>
      <c r="Q16" s="128">
        <f>SUM(Q7:Q15)</f>
        <v>0</v>
      </c>
      <c r="R16" s="313">
        <v>14</v>
      </c>
      <c r="S16" s="315" t="str">
        <f>+'14'!A6:A6</f>
        <v>Al Hamad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Haq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Bilal Store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40678.400000000001</v>
      </c>
      <c r="R19" s="299">
        <v>17</v>
      </c>
      <c r="S19" s="300" t="str">
        <f>+'17'!A6:A6</f>
        <v>Chohan Store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3254.2719999999999</v>
      </c>
      <c r="R20" s="299">
        <v>18</v>
      </c>
      <c r="S20" s="300" t="str">
        <f>+'18'!A6:A6</f>
        <v>Ahmad Store</v>
      </c>
      <c r="T20" s="301">
        <f>+'18'!P35</f>
        <v>784.05289627118646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1423.7440000000001</v>
      </c>
      <c r="R21" s="299">
        <v>19</v>
      </c>
      <c r="S21" s="300" t="str">
        <f>+'19'!A6:A6</f>
        <v xml:space="preserve">Gras Mart </v>
      </c>
      <c r="T21" s="301">
        <f>+'19'!P35</f>
        <v>6272.4231701694916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36000.384000000005</v>
      </c>
      <c r="R22" s="299">
        <v>20</v>
      </c>
      <c r="S22" s="300" t="str">
        <f>+'20'!A6:A6</f>
        <v xml:space="preserve">Kkies Bakers </v>
      </c>
      <c r="T22" s="301">
        <f>+'20'!P35</f>
        <v>6272.4231701694916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7688.1355932203405</v>
      </c>
      <c r="R23" s="299">
        <v>21</v>
      </c>
      <c r="S23" s="300" t="str">
        <f>+'21'!A6:A6</f>
        <v>Phool Store</v>
      </c>
      <c r="T23" s="301">
        <f>+'21'!P35</f>
        <v>3136.2115850847458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43688.51959322035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218.44259796610174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43906.962191186452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43906.962191186452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2026-10-22T04:50:42Z</dcterms:modified>
</cp:coreProperties>
</file>