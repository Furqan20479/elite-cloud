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65E5861-02AF-4148-86BB-1B11DCE7401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20" i="53"/>
  <c r="O20" i="53" s="1"/>
  <c r="P20" i="53" s="1"/>
  <c r="M16" i="48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O25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<sst xmlns="http://schemas.openxmlformats.org/spreadsheetml/2006/main" count="3948" uniqueCount="535">
  <si>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</si>
  <si>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</si>
  <si>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</si>
  <si>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</si>
  <si>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</si>
  <si>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</si>
  <si>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</si>
  <si>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</si>
  <si>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</si>
  <si>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</si>
  <si>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</si>
  <si>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</si>
  <si>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</si>
  <si>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</si>
  <si>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</si>
  <si>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</si>
  <si>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</si>
  <si>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</si>
  <si>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</si>
  <si>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</si>
  <si>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</si>
  <si>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</si>
  <si>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</si>
  <si>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</si>
  <si>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</si>
  <si>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</si>
  <si>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</si>
  <si>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</si>
  <si>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</si>
  <si>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</si>
  <si>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</si>
  <si>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</si>
  <si>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</si>
  <si>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</si>
  <si>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</si>
  <si>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</si>
  <si>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</si>
  <si>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</si>
  <si>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</si>
  <si>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</si>
  <si>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</si>
  <si>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</si>
  <si>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</si>
  <si>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</si>
  <si>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</si>
  <si>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</si>
  <si>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</si>
  <si>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</si>
  <si>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</si>
  <si>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</si>
  <si>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</si>
  <si>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</si>
  <si>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</si>
  <si>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</si>
  <si>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</si>
  <si>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</si>
  <si>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</si>
  <si>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</si>
  <si>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</si>
  <si>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</si>
  <si>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</si>
  <si>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</si>
  <si>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</si>
  <si>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</si>
  <si>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</si>
  <si>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</si>
  <si>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</si>
  <si>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</si>
  <si>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</si>
  <si>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</si>
  <si>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</si>
  <si>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</si>
  <si>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</si>
  <si>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</si>
  <si>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</si>
  <si>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</si>
  <si>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</si>
  <si>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</si>
  <si>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</si>
  <si>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</si>
  <si>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</si>
  <si>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</si>
  <si>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</si>
  <si>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</si>
  <si>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</si>
  <si>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</si>
  <si>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</si>
  <si>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</si>
  <si>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</si>
  <si>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</si>
  <si>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</si>
  <si>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</si>
  <si>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</si>
  <si>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</si>
  <si>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</si>
  <si>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</si>
  <si>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</si>
  <si>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</si>
  <si>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</si>
  <si>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</si>
  <si>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</si>
  <si>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</si>
  <si>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</si>
  <si>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</si>
  <si>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</si>
  <si>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</si>
  <si>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</si>
  <si>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</si>
  <si>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</si>
  <si>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</si>
  <si>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</si>
  <si>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</si>
  <si>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</si>
  <si>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</si>
  <si>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</si>
  <si>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</si>
  <si>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</si>
  <si>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</si>
  <si>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</si>
  <si>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</si>
  <si>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</si>
  <si>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</si>
  <si>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</si>
  <si>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</si>
  <si>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</si>
  <si>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</si>
  <si>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</si>
  <si>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</si>
  <si>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</si>
  <si>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</si>
  <si>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</si>
  <si>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</si>
  <si>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</si>
  <si>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</si>
  <si>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</si>
  <si>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</si>
  <si>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</si>
  <si>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</si>
  <si>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</si>
  <si>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</si>
  <si>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</si>
  <si>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</si>
  <si>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</si>
  <si>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</si>
  <si>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</si>
  <si>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</si>
  <si>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</si>
  <si>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</si>
  <si>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</si>
  <si>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</si>
  <si>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</si>
  <si>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</si>
  <si>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</si>
  <si>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</si>
  <si>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</si>
  <si>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</si>
  <si>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</si>
  <si>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</si>
  <si>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</si>
  <si>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</si>
  <si>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</si>
  <si>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</si>
  <si>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</si>
  <si>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</si>
  <si>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</si>
  <si>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</si>
  <si>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</si>
  <si>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</si>
  <si>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</si>
  <si>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</si>
  <si>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</si>
  <si>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</si>
  <si>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</si>
  <si>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</si>
  <si>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</si>
  <si>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</si>
  <si>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</si>
  <si>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</si>
  <si>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</si>
  <si>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</si>
  <si>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</si>
  <si>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</si>
  <si>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</si>
  <si>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</si>
  <si>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</si>
  <si>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</si>
  <si>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</si>
  <si>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</si>
  <si>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</si>
  <si>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</si>
  <si>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</si>
  <si>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</si>
  <si>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</si>
  <si>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</si>
  <si>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</si>
  <si>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</si>
  <si>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</si>
  <si>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</si>
  <si>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</si>
  <si>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</si>
  <si>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</si>
  <si>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</si>
  <si>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</si>
  <si>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</si>
  <si>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</si>
  <si>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</si>
  <si>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</si>
  <si>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</si>
  <si>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</si>
  <si>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</si>
  <si>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</si>
  <si>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</si>
  <si>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</si>
  <si>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</si>
  <si>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</si>
  <si>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</si>
  <si>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</si>
  <si>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</si>
  <si>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</si>
  <si>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</si>
  <si>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</si>
  <si>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</si>
  <si>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</si>
  <si>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</si>
  <si>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</si>
  <si>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</si>
  <si>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</si>
  <si>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</si>
  <si>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</si>
  <si>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</si>
  <si>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</si>
  <si>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</si>
  <si>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</si>
  <si>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</si>
  <si>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</si>
  <si>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</si>
  <si>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</si>
  <si>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</si>
  <si>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</si>
  <si>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</si>
  <si>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</si>
  <si>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</si>
  <si>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</si>
  <si>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</si>
  <si>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</si>
  <si>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</si>
  <si>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</si>
  <si>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</si>
  <si>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</si>
  <si>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</si>
  <si>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</si>
  <si>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</si>
  <si>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</si>
  <si>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</si>
  <si>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</si>
  <si>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</si>
  <si>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</si>
  <si>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</si>
  <si>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</si>
  <si>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</si>
  <si>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</si>
  <si>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</si>
  <si>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</si>
  <si>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</si>
  <si>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</si>
  <si>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</si>
  <si>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</si>
  <si>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</si>
  <si>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</si>
  <si>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</si>
  <si>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</si>
  <si>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</si>
  <si>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</si>
  <si>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</si>
  <si>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</si>
  <si>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</si>
  <si>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</si>
  <si>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</si>
  <si>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</si>
  <si>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</si>
  <si>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</si>
  <si>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</si>
  <si>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</si>
  <si>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</si>
  <si>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</si>
  <si>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</si>
  <si>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</si>
  <si>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</si>
  <si>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</si>
  <si>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</si>
  <si>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</si>
  <si>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</si>
  <si>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</si>
  <si>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</si>
  <si>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</si>
  <si>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</si>
  <si>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</si>
  <si>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</si>
  <si>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</si>
  <si>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</si>
  <si>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</si>
  <si>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</si>
  <si>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</si>
  <si>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</si>
  <si>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</si>
  <si>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</si>
  <si>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</si>
  <si>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</si>
  <si>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</si>
  <si>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</si>
  <si>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</si>
  <si>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</si>
  <si>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</si>
  <si>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</si>
  <si>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</si>
  <si>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</si>
  <si>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</si>
  <si>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</si>
  <si>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</si>
  <si>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</si>
  <si>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</si>
  <si>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</si>
  <si>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</si>
  <si>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</si>
  <si>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</si>
  <si>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</si>
  <si>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</si>
  <si>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</si>
  <si>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</si>
  <si>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</si>
  <si>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</si>
  <si>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</si>
  <si>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</si>
  <si>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</si>
  <si>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</si>
  <si>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</si>
  <si>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</si>
  <si>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</si>
  <si>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</si>
  <si>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</si>
  <si>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</si>
  <si>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</si>
  <si>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</si>
  <si>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</si>
  <si>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</si>
  <si>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</si>
  <si>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</si>
  <si>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</si>
  <si>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</si>
  <si>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</si>
  <si>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</si>
  <si>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</si>
  <si>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</si>
  <si>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</si>
  <si>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</si>
  <si>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</si>
  <si>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</si>
  <si>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</si>
  <si>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</si>
  <si>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</si>
  <si>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</si>
  <si>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</si>
  <si>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</si>
  <si>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</si>
  <si>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</si>
  <si>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</si>
  <si>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</si>
  <si>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</si>
  <si>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</si>
  <si>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</si>
  <si>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</si>
  <si>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</si>
  <si>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</si>
  <si>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</si>
  <si>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</si>
  <si>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</si>
  <si>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</si>
  <si>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</si>
  <si>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</si>
  <si>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</si>
  <si>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</si>
  <si>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</si>
  <si>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</si>
  <si>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</si>
  <si>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</si>
  <si>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</si>
  <si>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</si>
  <si>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</si>
  <si>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</si>
  <si>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</si>
  <si>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</si>
  <si>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</si>
  <si>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</si>
  <si>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</si>
  <si>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</si>
  <si>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</si>
  <si>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</si>
  <si>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</si>
  <si>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</si>
  <si>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</si>
  <si>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</si>
  <si>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</si>
  <si>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</si>
  <si>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</si>
  <si>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</si>
  <si>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</si>
  <si>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</si>
  <si>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</si>
  <si>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</si>
  <si>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</si>
  <si>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</si>
  <si>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</si>
  <si>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</si>
  <si>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</si>
  <si>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</si>
  <si>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</si>
  <si>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</si>
  <si>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</si>
  <si>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</si>
  <si>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</si>
  <si>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</si>
  <si>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</si>
  <si>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</si>
  <si>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</si>
  <si>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</si>
  <si>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</si>
  <si>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</si>
  <si>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</si>
  <si>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</si>
  <si>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</si>
  <si>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</si>
  <si>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</si>
  <si>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</si>
  <si>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</si>
  <si>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</si>
  <si>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</si>
  <si>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</si>
  <si>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</si>
  <si>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</si>
  <si>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</si>
  <si>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</si>
  <si>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</si>
  <si>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</si>
  <si>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</si>
  <si>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</si>
  <si>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</si>
  <si>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</si>
  <si>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</si>
  <si>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</si>
  <si>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</si>
  <si>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</si>
  <si>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</si>
  <si>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</si>
  <si>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</si>
  <si>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</si>
  <si>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</si>
  <si>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</si>
  <si>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</si>
  <si>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</si>
  <si>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</si>
  <si>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</si>
  <si>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</si>
  <si>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</si>
  <si>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</si>
  <si>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</si>
  <si>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</si>
  <si>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</si>
  <si>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</si>
  <si>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</si>
  <si>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</si>
  <si>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</si>
  <si>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</si>
  <si>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</si>
  <si>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</si>
  <si>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</si>
  <si>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</si>
  <si>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</si>
  <si>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</si>
  <si>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</si>
  <si>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</si>
  <si>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</si>
  <si>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</si>
  <si>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</si>
  <si>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</si>
  <si>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</si>
  <si>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</si>
  <si>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</si>
  <si>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</si>
  <si>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</si>
  <si>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</si>
  <si>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</si>
  <si>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</si>
  <si>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</si>
  <si>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</si>
  <si>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</si>
  <si>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</si>
  <si>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</si>
  <si>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</si>
  <si>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</si>
  <si>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</si>
  <si>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</si>
  <si>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</si>
  <si>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</si>
  <si>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</si>
  <si>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</si>
  <si>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</si>
  <si>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</si>
  <si>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</si>
  <si>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</si>
  <si>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</si>
  <si>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</si>
  <si>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</si>
  <si>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</si>
  <si>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</si>
  <si>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</si>
  <si>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Paradiase store</t>
  </si>
  <si>
    <t xml:space="preserve">Address: Punjab Society </t>
  </si>
  <si>
    <t>Punjab Store</t>
  </si>
  <si>
    <t xml:space="preserve">Marhaba Mart </t>
  </si>
  <si>
    <t>Address: Punjab Society Shingai Road</t>
  </si>
  <si>
    <t>Hamad Super Store</t>
  </si>
  <si>
    <t xml:space="preserve">Address: Oposite Marhaba Mart </t>
  </si>
  <si>
    <t>Imran Kereyana Store</t>
  </si>
  <si>
    <t xml:space="preserve">Address: Shokat Town </t>
  </si>
  <si>
    <t>Ravi Store</t>
  </si>
  <si>
    <t>Niazi Store</t>
  </si>
  <si>
    <t>Dua Book Center</t>
  </si>
  <si>
    <t>Bhai Bhai Store</t>
  </si>
  <si>
    <t xml:space="preserve">Address:shokat Town </t>
  </si>
  <si>
    <t>Ahmad Brothers</t>
  </si>
  <si>
    <t>China Groccery Store</t>
  </si>
  <si>
    <t>Address: Ghazi Road</t>
  </si>
  <si>
    <t>Hygine Store</t>
  </si>
  <si>
    <t>Usman GS\</t>
  </si>
  <si>
    <t>Address: Defence Fort Main Ghazi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</si>
</sst>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Paradiase store</v>
      </c>
      <c r="T3" s="301">
        <f>+'1'!P35</f>
        <v>339.75773742584738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Punjab Store</v>
      </c>
      <c r="T4" s="301">
        <f>+'2'!P35</f>
        <v>10802.526335847459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Marhaba Mart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Hamad Super Store</v>
      </c>
      <c r="T6" s="301">
        <f>+'4'!P35</f>
        <v>7004.2118028559335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68</v>
      </c>
      <c r="I7" s="235">
        <f>(G7*D7)*F7+H7*F7</f>
        <v>3567.45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285.39599999999996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124.86075000000001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3157.1932499999998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674.23728813559285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19.157152690677965</v>
      </c>
      <c r="P7" s="310">
        <f>M7+N7+O7</f>
        <v>3850.5876908262703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Imran Kereyana Store</v>
      </c>
      <c r="T7" s="301">
        <f>+'5'!P35</f>
        <v>940.86347552542372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82</v>
      </c>
      <c r="I8" s="236">
        <f t="shared" ref="I8:I14" si="0">(G8*D8)*F8+H8*F8</f>
        <v>4301.9250000000002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344.15399999999994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150.56737500000003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3807.2036250000001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813.05084745762679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23.101272362288135</v>
      </c>
      <c r="P8" s="311">
        <f t="shared" ref="P8:P15" si="2">M8+N8+O8</f>
        <v>4643.3557448199153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Ravi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85</v>
      </c>
      <c r="I9" s="236">
        <f t="shared" si="0"/>
        <v>4459.3125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356.74499999999995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156.07593750000001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3946.4915625000003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842.79661016949115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23.946440863347455</v>
      </c>
      <c r="P9" s="311">
        <f t="shared" si="2"/>
        <v>4813.2346135328389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Niazi Store</v>
      </c>
      <c r="T9" s="301">
        <f>+'7'!P35</f>
        <v>339.75773742584738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128</v>
      </c>
      <c r="I10" s="236">
        <f t="shared" si="0"/>
        <v>9297.92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743.83360000000005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325.42720000000008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8228.6592000000001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1757.2881355932204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49.929736677966098</v>
      </c>
      <c r="P10" s="311">
        <f t="shared" si="2"/>
        <v>10035.877072271187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Dua Book Center</v>
      </c>
      <c r="T10" s="301">
        <f>+'8'!P35</f>
        <v>3136.2115850847463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69</v>
      </c>
      <c r="I11" s="236">
        <f t="shared" si="0"/>
        <v>5012.16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400.97280000000006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175.42560000000003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4435.7615999999998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947.28813559322032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26.915248677966105</v>
      </c>
      <c r="P11" s="311">
        <f t="shared" si="2"/>
        <v>5409.964984271186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Bhai Bhai Store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192</v>
      </c>
      <c r="I12" s="236">
        <f t="shared" si="0"/>
        <v>13946.880000000001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1115.7503999999999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488.14080000000013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12342.988800000001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2635.9322033898306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74.894605016949157</v>
      </c>
      <c r="P12" s="311">
        <f t="shared" si="2"/>
        <v>15053.81560840678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Ahmad Brothers</v>
      </c>
      <c r="T12" s="301">
        <f>+'10'!P35</f>
        <v>679.51547485169476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China Groccery Store</v>
      </c>
      <c r="T13" s="301">
        <f>+'11'!P35</f>
        <v>3489.0420590942799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Hygine Store</v>
      </c>
      <c r="T14" s="301">
        <f>+'12'!P35</f>
        <v>5401.2631679237284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Usman GS\</v>
      </c>
      <c r="T15" s="301">
        <f>+'13'!P35</f>
        <v>2265.051582838983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15.6</v>
      </c>
      <c r="H16" s="113">
        <f t="shared" ref="H16:M16" si="3">SUM(H7:H15)</f>
        <v>624</v>
      </c>
      <c r="I16" s="114">
        <f t="shared" si="3"/>
        <v>40585.647499999999</v>
      </c>
      <c r="J16" s="274">
        <f>SUM(J7:J15)</f>
        <v>3246.8517999999999</v>
      </c>
      <c r="K16" s="275">
        <f t="shared" si="3"/>
        <v>1420.4976625000004</v>
      </c>
      <c r="L16" s="276">
        <f t="shared" si="3"/>
        <v>0</v>
      </c>
      <c r="M16" s="232">
        <f t="shared" si="3"/>
        <v>35918.298037499997</v>
      </c>
      <c r="N16" s="233">
        <f>SUM(N7:N15)</f>
        <v>7670.5932203389821</v>
      </c>
      <c r="O16" s="101">
        <f>SUM(O7:O15)</f>
        <v>217.94445628919493</v>
      </c>
      <c r="P16" s="113">
        <f>SUM(P7:P15)</f>
        <v>43806.835714128181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40585.647499999999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3246.8517999999999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1420.4976625000004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35918.298037500004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7670.5932203389821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43588.891257838986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217.94445628919493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43806.835714128181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43806.835714128189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6</v>
      </c>
      <c r="I25" s="114">
        <f t="shared" ref="I25:M25" si="10">SUM(I16:I24)</f>
        <v>314.77499999999998</v>
      </c>
      <c r="J25" s="274">
        <f>SUM(J16:J24)</f>
        <v>25.181999999999999</v>
      </c>
      <c r="K25" s="275">
        <f t="shared" si="10"/>
        <v>11.017125</v>
      </c>
      <c r="L25" s="276">
        <f t="shared" si="10"/>
        <v>0</v>
      </c>
      <c r="M25" s="232">
        <f t="shared" si="10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8857.2570000000014</v>
      </c>
      <c r="N25" s="233">
        <f>SUM(N16:N24)</f>
        <v>1891.5254237288132</v>
      </c>
      <c r="O25" s="101">
        <f>SUM(O16:O24)</f>
        <v>53.743912118644069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800.65599999999995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350.28700000000003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8857.2570000000014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10748.782423728815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45" t="s">
        <v>88</v>
      </c>
      <c r="O35" s="346"/>
      <c r="P35" s="297">
        <f>+P33+P34</f>
        <v>10802.526335847459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24</v>
      </c>
      <c r="I16" s="235">
        <f>(G16*D16)*F16+H16*F16</f>
        <v>1259.0999999999999</v>
      </c>
      <c r="J16" s="271">
        <f>$I16*S16</f>
        <v>100.72799999999999</v>
      </c>
      <c r="K16" s="127">
        <f>$I16*T16</f>
        <v>44.0685</v>
      </c>
      <c r="L16" s="118">
        <f>$I16*U16</f>
        <v>0</v>
      </c>
      <c r="M16" s="229">
        <f>I16-SUM(J16:L16)</f>
        <v>1114.3035</v>
      </c>
      <c r="N16" s="248">
        <f>+(G16*D16+H16)*V16</f>
        <v>237.96610169491515</v>
      </c>
      <c r="O16" s="238">
        <f>(N16+M16)*$O$15</f>
        <v>6.7613480084745756</v>
      </c>
      <c r="P16" s="118">
        <f>M16+N16+O16</f>
        <v>1359.0309497033898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</v>
      </c>
      <c r="I19" s="236">
        <f t="shared" si="0"/>
        <v>1743.3600000000001</v>
      </c>
      <c r="J19" s="272">
        <f t="shared" si="1"/>
        <v>139.46880000000002</v>
      </c>
      <c r="K19" s="128">
        <f t="shared" si="1"/>
        <v>61.017600000000009</v>
      </c>
      <c r="L19" s="119">
        <f t="shared" si="1"/>
        <v>0</v>
      </c>
      <c r="M19" s="230">
        <f t="shared" si="2"/>
        <v>1542.8736000000001</v>
      </c>
      <c r="N19" s="277">
        <f t="shared" si="3"/>
        <v>329.49152542372883</v>
      </c>
      <c r="O19" s="239">
        <f t="shared" si="4"/>
        <v>9.3618256271186446</v>
      </c>
      <c r="P19" s="119">
        <f t="shared" si="5"/>
        <v>1881.7269510508474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</v>
      </c>
      <c r="I20" s="236">
        <f t="shared" si="0"/>
        <v>1743.3600000000001</v>
      </c>
      <c r="J20" s="272">
        <f t="shared" si="1"/>
        <v>139.46880000000002</v>
      </c>
      <c r="K20" s="128">
        <f t="shared" si="1"/>
        <v>61.017600000000009</v>
      </c>
      <c r="L20" s="119">
        <f t="shared" si="1"/>
        <v>0</v>
      </c>
      <c r="M20" s="230">
        <f t="shared" si="2"/>
        <v>1542.8736000000001</v>
      </c>
      <c r="N20" s="277">
        <f t="shared" si="3"/>
        <v>329.49152542372883</v>
      </c>
      <c r="O20" s="239">
        <f t="shared" si="4"/>
        <v>9.3618256271186446</v>
      </c>
      <c r="P20" s="119">
        <f t="shared" si="5"/>
        <v>1881.7269510508474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</v>
      </c>
      <c r="I21" s="236">
        <f t="shared" si="0"/>
        <v>1743.3600000000001</v>
      </c>
      <c r="J21" s="272">
        <f t="shared" si="1"/>
        <v>139.46880000000002</v>
      </c>
      <c r="K21" s="128">
        <f t="shared" si="1"/>
        <v>61.017600000000009</v>
      </c>
      <c r="L21" s="119">
        <f t="shared" si="1"/>
        <v>0</v>
      </c>
      <c r="M21" s="230">
        <f t="shared" si="2"/>
        <v>1542.8736000000001</v>
      </c>
      <c r="N21" s="277">
        <f t="shared" si="3"/>
        <v>329.49152542372883</v>
      </c>
      <c r="O21" s="239">
        <f t="shared" si="4"/>
        <v>9.3618256271186446</v>
      </c>
      <c r="P21" s="119">
        <f t="shared" si="5"/>
        <v>1881.7269510508474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96</v>
      </c>
      <c r="I25" s="114">
        <f t="shared" si="7"/>
        <v>6489.18</v>
      </c>
      <c r="J25" s="274">
        <f>SUM(J16:J24)</f>
        <v>519.13440000000003</v>
      </c>
      <c r="K25" s="275">
        <f t="shared" si="7"/>
        <v>227.12130000000005</v>
      </c>
      <c r="L25" s="276">
        <f t="shared" si="7"/>
        <v>0</v>
      </c>
      <c r="M25" s="232">
        <f t="shared" si="7"/>
        <v>5742.9242999999997</v>
      </c>
      <c r="N25" s="233">
        <f>SUM(N16:N24)</f>
        <v>1226.4406779661017</v>
      </c>
      <c r="O25" s="101">
        <f>SUM(O16:O24)</f>
        <v>34.846824889830508</v>
      </c>
      <c r="P25" s="234">
        <f>SUM(P16:P24)</f>
        <v>7004.2118028559325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6489.18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519.13440000000003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227.12130000000005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5742.9243000000006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1226.4406779661017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6969.3649779661027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34.846824889830515</v>
      </c>
    </row>
    <row r="35" spans="2:16" ht="15.75" customHeight="1" thickBot="1" x14ac:dyDescent="0.4">
      <c r="N35" s="345" t="s">
        <v>88</v>
      </c>
      <c r="O35" s="346"/>
      <c r="P35" s="297">
        <f>+P33+P34</f>
        <v>7004.2118028559335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25.182000000000002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339.75773742584738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</v>
      </c>
      <c r="I19" s="236">
        <f t="shared" si="0"/>
        <v>1162.24</v>
      </c>
      <c r="J19" s="272">
        <f t="shared" si="1"/>
        <v>92.979200000000006</v>
      </c>
      <c r="K19" s="128">
        <f t="shared" si="1"/>
        <v>40.678400000000003</v>
      </c>
      <c r="L19" s="119">
        <f t="shared" si="1"/>
        <v>0</v>
      </c>
      <c r="M19" s="230">
        <f t="shared" si="2"/>
        <v>1028.5824</v>
      </c>
      <c r="N19" s="277">
        <f t="shared" si="3"/>
        <v>219.66101694915255</v>
      </c>
      <c r="O19" s="239">
        <f t="shared" si="4"/>
        <v>6.2412170847457631</v>
      </c>
      <c r="P19" s="119">
        <f t="shared" si="5"/>
        <v>1254.4846340338984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50.363999999999997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52</v>
      </c>
      <c r="I25" s="114">
        <f t="shared" si="7"/>
        <v>3232.4875000000002</v>
      </c>
      <c r="J25" s="274">
        <f>SUM(J16:J24)</f>
        <v>258.59899999999999</v>
      </c>
      <c r="K25" s="275">
        <f t="shared" si="7"/>
        <v>113.13706250000001</v>
      </c>
      <c r="L25" s="276">
        <f t="shared" si="7"/>
        <v>0</v>
      </c>
      <c r="M25" s="232">
        <f t="shared" si="7"/>
        <v>2860.7514375000001</v>
      </c>
      <c r="N25" s="233">
        <f>SUM(N16:N24)</f>
        <v>610.93220338983042</v>
      </c>
      <c r="O25" s="101">
        <f>SUM(O16:O24)</f>
        <v>17.358418204449155</v>
      </c>
      <c r="P25" s="234">
        <f>SUM(P16:P24)</f>
        <v>3489.0420590942795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3232.4875000000002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258.59899999999999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113.13706250000001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2860.7514375000001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610.93220338983042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3471.6836408898307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17.358418204449155</v>
      </c>
    </row>
    <row r="35" spans="2:16" ht="15.75" customHeight="1" thickBot="1" x14ac:dyDescent="0.4">
      <c r="N35" s="345" t="s">
        <v>88</v>
      </c>
      <c r="O35" s="346"/>
      <c r="P35" s="297">
        <f>+P33+P34</f>
        <v>3489.0420590942799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</v>
      </c>
      <c r="I18" s="236">
        <f t="shared" si="0"/>
        <v>839.4</v>
      </c>
      <c r="J18" s="272">
        <f t="shared" si="1"/>
        <v>67.152000000000001</v>
      </c>
      <c r="K18" s="128">
        <f t="shared" si="1"/>
        <v>29.379000000000001</v>
      </c>
      <c r="L18" s="119">
        <f t="shared" si="1"/>
        <v>0</v>
      </c>
      <c r="M18" s="230">
        <f t="shared" si="2"/>
        <v>742.86899999999991</v>
      </c>
      <c r="N18" s="277">
        <f t="shared" si="3"/>
        <v>158.6440677966101</v>
      </c>
      <c r="O18" s="239">
        <f t="shared" si="4"/>
        <v>4.5075653389830501</v>
      </c>
      <c r="P18" s="119">
        <f t="shared" si="5"/>
        <v>906.02063313559302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2026-10-22T05:03:15Z</dcterms:modified>
</cp:coreProperties>
</file>