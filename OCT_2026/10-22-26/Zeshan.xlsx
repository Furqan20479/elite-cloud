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E2CAD813-89EB-4F9E-832B-B218DF444B9A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0" l="1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L20" i="48"/>
  <c r="J20" i="48"/>
  <c r="K20" i="53"/>
  <c r="L20" i="53"/>
  <c r="M20" i="53" s="1"/>
  <c r="O20" i="53" s="1"/>
  <c r="P20" i="53" s="1"/>
  <c r="J20" i="53"/>
  <c r="K20" i="43"/>
  <c r="L20" i="43"/>
  <c r="M20" i="43"/>
  <c r="O20" i="43" s="1"/>
  <c r="P20" i="43" s="1"/>
  <c r="J20" i="43"/>
  <c r="K20" i="57"/>
  <c r="J20" i="57"/>
  <c r="L20" i="57"/>
  <c r="M20" i="57" s="1"/>
  <c r="O20" i="57" s="1"/>
  <c r="P20" i="57" s="1"/>
  <c r="K20" i="61"/>
  <c r="J20" i="61"/>
  <c r="L20" i="61"/>
  <c r="M20" i="61"/>
  <c r="O20" i="61" s="1"/>
  <c r="P20" i="61" s="1"/>
  <c r="K20" i="71"/>
  <c r="J20" i="71"/>
  <c r="M20" i="71" s="1"/>
  <c r="O20" i="71" s="1"/>
  <c r="P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J7" i="62" l="1"/>
  <c r="M16" i="44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M20" i="65"/>
  <c r="O20" i="65" s="1"/>
  <c r="P20" i="65" s="1"/>
  <c r="M20" i="64"/>
  <c r="O20" i="64" s="1"/>
  <c r="P20" i="64" s="1"/>
  <c r="M20" i="52"/>
  <c r="M20" i="66"/>
  <c r="O20" i="66" s="1"/>
  <c r="P20" i="66" s="1"/>
  <c r="M20" i="59"/>
  <c r="O20" i="59" s="1"/>
  <c r="P20" i="59" s="1"/>
  <c r="M20" i="54"/>
  <c r="O20" i="54" s="1"/>
  <c r="P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M20" i="58"/>
  <c r="O20" i="58" s="1"/>
  <c r="P20" i="58" s="1"/>
  <c r="J25" i="47"/>
  <c r="P29" i="47" s="1"/>
  <c r="M20" i="55"/>
  <c r="O20" i="55" s="1"/>
  <c r="P20" i="55" s="1"/>
  <c r="M20" i="56"/>
  <c r="O20" i="56" s="1"/>
  <c r="P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21" i="50" l="1"/>
  <c r="M12" i="62"/>
  <c r="P30" i="70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25" i="52" l="1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<sst xmlns="http://schemas.openxmlformats.org/spreadsheetml/2006/main" count="3948" uniqueCount="527">
  <si>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</si>
  <si>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</si>
  <si>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</si>
  <si>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</si>
  <si>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</si>
  <si>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</si>
  <si>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</si>
  <si>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</si>
  <si>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</si>
  <si>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</si>
  <si>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</si>
  <si>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</si>
  <si>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</si>
  <si>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</si>
  <si>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</si>
  <si>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</si>
  <si>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</si>
  <si>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</si>
  <si>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</si>
  <si>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</si>
  <si>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</si>
  <si>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</si>
  <si>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</si>
  <si>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</si>
  <si>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</si>
  <si>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</si>
  <si>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</si>
  <si>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</si>
  <si>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</si>
  <si>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</si>
  <si>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</si>
  <si>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</si>
  <si>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</si>
  <si>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</si>
  <si>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</si>
  <si>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</si>
  <si>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</si>
  <si>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</si>
  <si>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</si>
  <si>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</si>
  <si>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</si>
  <si>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</si>
  <si>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</si>
  <si>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</si>
  <si>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</si>
  <si>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</si>
  <si>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</si>
  <si>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</si>
  <si>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</si>
  <si>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</si>
  <si>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</si>
  <si>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</si>
  <si>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</si>
  <si>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</si>
  <si>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</si>
  <si>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</si>
  <si>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</si>
  <si>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</si>
  <si>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</si>
  <si>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</si>
  <si>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</si>
  <si>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</si>
  <si>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</si>
  <si>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</si>
  <si>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</si>
  <si>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</si>
  <si>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</si>
  <si>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</si>
  <si>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</si>
  <si>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</si>
  <si>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</si>
  <si>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</si>
  <si>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</si>
  <si>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</si>
  <si>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</si>
  <si>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</si>
  <si>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</si>
  <si>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</si>
  <si>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</si>
  <si>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</si>
  <si>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</si>
  <si>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</si>
  <si>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</si>
  <si>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</si>
  <si>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</si>
  <si>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</si>
  <si>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</si>
  <si>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</si>
  <si>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</si>
  <si>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</si>
  <si>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</si>
  <si>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</si>
  <si>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</si>
  <si>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</si>
  <si>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</si>
  <si>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</si>
  <si>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</si>
  <si>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</si>
  <si>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</si>
  <si>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</si>
  <si>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</si>
  <si>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</si>
  <si>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</si>
  <si>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</si>
  <si>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</si>
  <si>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</si>
  <si>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</si>
  <si>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</si>
  <si>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</si>
  <si>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</si>
  <si>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</si>
  <si>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</si>
  <si>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</si>
  <si>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</si>
  <si>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</si>
  <si>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</si>
  <si>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</si>
  <si>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</si>
  <si>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</si>
  <si>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</si>
  <si>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</si>
  <si>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</si>
  <si>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</si>
  <si>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</si>
  <si>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</si>
  <si>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</si>
  <si>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</si>
  <si>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</si>
  <si>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</si>
  <si>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</si>
  <si>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</si>
  <si>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</si>
  <si>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</si>
  <si>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</si>
  <si>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</si>
  <si>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</si>
  <si>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</si>
  <si>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</si>
  <si>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</si>
  <si>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</si>
  <si>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</si>
  <si>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</si>
  <si>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</si>
  <si>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</si>
  <si>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</si>
  <si>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</si>
  <si>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</si>
  <si>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</si>
  <si>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</si>
  <si>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</si>
  <si>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</si>
  <si>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</si>
  <si>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</si>
  <si>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</si>
  <si>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</si>
  <si>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</si>
  <si>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</si>
  <si>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</si>
  <si>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</si>
  <si>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</si>
  <si>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</si>
  <si>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</si>
  <si>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</si>
  <si>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</si>
  <si>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</si>
  <si>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</si>
  <si>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</si>
  <si>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</si>
  <si>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</si>
  <si>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</si>
  <si>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</si>
  <si>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</si>
  <si>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</si>
  <si>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</si>
  <si>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</si>
  <si>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</si>
  <si>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</si>
  <si>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</si>
  <si>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</si>
  <si>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</si>
  <si>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</si>
  <si>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</si>
  <si>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</si>
  <si>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</si>
  <si>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</si>
  <si>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</si>
  <si>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</si>
  <si>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</si>
  <si>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</si>
  <si>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</si>
  <si>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</si>
  <si>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</si>
  <si>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</si>
  <si>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</si>
  <si>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</si>
  <si>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</si>
  <si>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</si>
  <si>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</si>
  <si>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</si>
  <si>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</si>
  <si>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</si>
  <si>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</si>
  <si>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</si>
  <si>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</si>
  <si>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</si>
  <si>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</si>
  <si>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</si>
  <si>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</si>
  <si>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</si>
  <si>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</si>
  <si>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</si>
  <si>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</si>
  <si>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</si>
  <si>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</si>
  <si>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</si>
  <si>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</si>
  <si>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</si>
  <si>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</si>
  <si>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</si>
  <si>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</si>
  <si>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</si>
  <si>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</si>
  <si>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</si>
  <si>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</si>
  <si>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</si>
  <si>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</si>
  <si>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</si>
  <si>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</si>
  <si>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</si>
  <si>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</si>
  <si>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</si>
  <si>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</si>
  <si>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</si>
  <si>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</si>
  <si>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</si>
  <si>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</si>
  <si>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</si>
  <si>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</si>
  <si>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</si>
  <si>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</si>
  <si>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</si>
  <si>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</si>
  <si>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</si>
  <si>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</si>
  <si>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</si>
  <si>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</si>
  <si>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</si>
  <si>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</si>
  <si>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</si>
  <si>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</si>
  <si>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</si>
  <si>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</si>
  <si>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</si>
  <si>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</si>
  <si>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</si>
  <si>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</si>
  <si>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</si>
  <si>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</si>
  <si>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</si>
  <si>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</si>
  <si>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</si>
  <si>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</si>
  <si>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</si>
  <si>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</si>
  <si>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</si>
  <si>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</si>
  <si>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</si>
  <si>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</si>
  <si>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</si>
  <si>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</si>
  <si>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</si>
  <si>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</si>
  <si>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</si>
  <si>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</si>
  <si>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</si>
  <si>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</si>
  <si>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</si>
  <si>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</si>
  <si>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</si>
  <si>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</si>
  <si>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</si>
  <si>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</si>
  <si>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</si>
  <si>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</si>
  <si>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</si>
  <si>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</si>
  <si>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</si>
  <si>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</si>
  <si>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</si>
  <si>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</si>
  <si>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</si>
  <si>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</si>
  <si>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</si>
  <si>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</si>
  <si>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</si>
  <si>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</si>
  <si>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</si>
  <si>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</si>
  <si>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</si>
  <si>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</si>
  <si>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</si>
  <si>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</si>
  <si>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</si>
  <si>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</si>
  <si>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</si>
  <si>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</si>
  <si>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</si>
  <si>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</si>
  <si>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</si>
  <si>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</si>
  <si>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</si>
  <si>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</si>
  <si>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</si>
  <si>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</si>
  <si>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</si>
  <si>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</si>
  <si>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</si>
  <si>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</si>
  <si>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</si>
  <si>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</si>
  <si>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</si>
  <si>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</si>
  <si>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</si>
  <si>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</si>
  <si>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</si>
  <si>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</si>
  <si>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</si>
  <si>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</si>
  <si>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</si>
  <si>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</si>
  <si>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</si>
  <si>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</si>
  <si>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</si>
  <si>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</si>
  <si>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</si>
  <si>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</si>
  <si>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</si>
  <si>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</si>
  <si>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</si>
  <si>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</si>
  <si>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</si>
  <si>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</si>
  <si>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</si>
  <si>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</si>
  <si>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</si>
  <si>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</si>
  <si>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</si>
  <si>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</si>
  <si>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</si>
  <si>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</si>
  <si>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</si>
  <si>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</si>
  <si>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</si>
  <si>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</si>
  <si>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</si>
  <si>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</si>
  <si>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</si>
  <si>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</si>
  <si>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</si>
  <si>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</si>
  <si>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</si>
  <si>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</si>
  <si>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</si>
  <si>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</si>
  <si>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</si>
  <si>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</si>
  <si>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</si>
  <si>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</si>
  <si>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</si>
  <si>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</si>
  <si>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</si>
  <si>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</si>
  <si>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</si>
  <si>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</si>
  <si>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</si>
  <si>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</si>
  <si>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</si>
  <si>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</si>
  <si>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</si>
  <si>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</si>
  <si>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</si>
  <si>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</si>
  <si>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</si>
  <si>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</si>
  <si>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</si>
  <si>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</si>
  <si>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</si>
  <si>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</si>
  <si>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</si>
  <si>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</si>
  <si>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</si>
  <si>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</si>
  <si>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</si>
  <si>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</si>
  <si>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</si>
  <si>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</si>
  <si>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</si>
  <si>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</si>
  <si>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</si>
  <si>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</si>
  <si>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</si>
  <si>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</si>
  <si>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</si>
  <si>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</si>
  <si>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</si>
  <si>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</si>
  <si>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</si>
  <si>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</si>
  <si>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</si>
  <si>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</si>
  <si>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</si>
  <si>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</si>
  <si>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</si>
  <si>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</si>
  <si>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</si>
  <si>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</si>
  <si>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</si>
  <si>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</si>
  <si>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</si>
  <si>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</si>
  <si>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</si>
  <si>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</si>
  <si>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</si>
  <si>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</si>
  <si>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</si>
  <si>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</si>
  <si>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</si>
  <si>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</si>
  <si>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</si>
  <si>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</si>
  <si>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</si>
  <si>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</si>
  <si>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</si>
  <si>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</si>
  <si>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</si>
  <si>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</si>
  <si>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</si>
  <si>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</si>
  <si>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</si>
  <si>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</si>
  <si>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</si>
  <si>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</si>
  <si>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</si>
  <si>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</si>
  <si>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</si>
  <si>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</si>
  <si>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</si>
  <si>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</si>
  <si>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</si>
  <si>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</si>
  <si>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</si>
  <si>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</si>
  <si>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</si>
  <si>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</si>
  <si>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</si>
  <si>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</si>
  <si>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</si>
  <si>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</si>
  <si>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</si>
  <si>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</si>
  <si>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</si>
  <si>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</si>
  <si>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</si>
  <si>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</si>
  <si>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</si>
  <si>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</si>
  <si>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</si>
  <si>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</si>
  <si>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</si>
  <si>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</si>
  <si>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</si>
  <si>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</si>
  <si>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</si>
  <si>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</si>
  <si>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</si>
  <si>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</si>
  <si>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</si>
  <si>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</si>
  <si>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</si>
  <si>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</si>
  <si>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</si>
  <si>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</si>
  <si>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</si>
  <si>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</si>
  <si>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</si>
  <si>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</si>
  <si>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</si>
  <si>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</si>
  <si>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</si>
  <si>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</si>
  <si>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</si>
  <si>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</si>
  <si>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</si>
  <si>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</si>
  <si>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</si>
  <si>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</si>
  <si>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</si>
  <si>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</si>
  <si>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</si>
  <si>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</si>
  <si>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</si>
  <si>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</si>
  <si>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</si>
  <si>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</si>
  <si>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</si>
  <si>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</si>
  <si>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</si>
  <si>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</si>
  <si>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</si>
  <si>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</si>
  <si>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</si>
  <si>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</si>
  <si>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</si>
  <si>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</si>
  <si>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Zeshan</t>
  </si>
  <si>
    <t>Address: DHA</t>
  </si>
  <si>
    <t>Defence Store</t>
  </si>
  <si>
    <t>Allys Store</t>
  </si>
  <si>
    <t>Trust Store</t>
  </si>
  <si>
    <t xml:space="preserve">Urban Mart </t>
  </si>
  <si>
    <t>Address: Bedian Road</t>
  </si>
  <si>
    <t>Marhaba Store</t>
  </si>
  <si>
    <t>Choice Store</t>
  </si>
  <si>
    <t>Ghani store</t>
  </si>
  <si>
    <t>Rehman Store</t>
  </si>
  <si>
    <t>Organic Store</t>
  </si>
  <si>
    <t xml:space="preserve">Address: Edden City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</si>
</sst>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30" workbookViewId="0">
      <selection sqref="A1:T3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514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46317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>Defence Store</v>
      </c>
      <c r="T3" s="301">
        <f>+'1'!P35</f>
        <v>784.05289627118646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Allys Store</v>
      </c>
      <c r="T4" s="301">
        <f>+'2'!P35</f>
        <v>784.05289627118646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Trust Store</v>
      </c>
      <c r="T5" s="301">
        <f>+'3'!P35</f>
        <v>566.26289570974575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 xml:space="preserve">Urban Mart </v>
      </c>
      <c r="T6" s="301">
        <f>+'4'!P35</f>
        <v>30486.077450847453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10</v>
      </c>
      <c r="I7" s="235">
        <f>(G7*D7)*F7+H7*F7</f>
        <v>524.625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41.97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18.361875000000001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464.29312500000003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99.152542372881314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2.8172283368644067</v>
      </c>
      <c r="P7" s="310">
        <f>M7+N7+O7</f>
        <v>566.26289570974575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Marhaba Store</v>
      </c>
      <c r="T7" s="301">
        <f>+'5'!P35</f>
        <v>566.26289570974575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20</v>
      </c>
      <c r="I8" s="236">
        <f t="shared" ref="I8:I14" si="0">(G8*D8)*F8+H8*F8</f>
        <v>1049.25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83.94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36.723750000000003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928.58625000000006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198.30508474576263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5.6344566737288133</v>
      </c>
      <c r="P8" s="311">
        <f t="shared" ref="P8:P15" si="2">M8+N8+O8</f>
        <v>1132.5257914194915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Choice Store</v>
      </c>
      <c r="T8" s="301">
        <f>+'6'!P35</f>
        <v>566.26289570974575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Ghani store</v>
      </c>
      <c r="T9" s="301">
        <f>+'7'!P35</f>
        <v>784.05289627118646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260</v>
      </c>
      <c r="I10" s="236">
        <f t="shared" si="0"/>
        <v>18886.400000000001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1946.752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661.02400000000011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16278.624000000002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3569.4915254237294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99.24057762711864</v>
      </c>
      <c r="P10" s="311">
        <f t="shared" si="2"/>
        <v>19947.35610305085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Rehman Store</v>
      </c>
      <c r="T10" s="301">
        <f>+'8'!P35</f>
        <v>784.05289627118646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220</v>
      </c>
      <c r="I11" s="236">
        <f t="shared" si="0"/>
        <v>15980.8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1685.248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559.32799999999997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13736.223999999998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3020.3389830508477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83.782814915254235</v>
      </c>
      <c r="P11" s="311">
        <f t="shared" si="2"/>
        <v>16840.345797966103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Organic Store</v>
      </c>
      <c r="T11" s="301">
        <f>+'9'!P35</f>
        <v>21544.663175593218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240</v>
      </c>
      <c r="I12" s="236">
        <f t="shared" si="0"/>
        <v>17433.599999999999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1830.5279999999998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610.17600000000004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14992.895999999999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3294.9152542372885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91.439056271186445</v>
      </c>
      <c r="P12" s="311">
        <f t="shared" si="2"/>
        <v>18379.250310508472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18.75</v>
      </c>
      <c r="H16" s="113">
        <f t="shared" ref="H16:M16" si="3">SUM(H7:H15)</f>
        <v>750</v>
      </c>
      <c r="I16" s="114">
        <f t="shared" si="3"/>
        <v>53874.674999999996</v>
      </c>
      <c r="J16" s="274">
        <f>SUM(J7:J15)</f>
        <v>5588.4380000000001</v>
      </c>
      <c r="K16" s="275">
        <f t="shared" si="3"/>
        <v>1885.613625</v>
      </c>
      <c r="L16" s="276">
        <f t="shared" si="3"/>
        <v>0</v>
      </c>
      <c r="M16" s="232">
        <f t="shared" si="3"/>
        <v>46400.623374999996</v>
      </c>
      <c r="N16" s="233">
        <f>SUM(N7:N15)</f>
        <v>10182.203389830509</v>
      </c>
      <c r="O16" s="101">
        <f>SUM(O7:O15)</f>
        <v>282.91413382415254</v>
      </c>
      <c r="P16" s="113">
        <f>SUM(P7:P15)</f>
        <v>56865.740898654665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53874.674999999996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5588.4380000000001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1885.613625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46400.623374999996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10182.203389830509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56582.826764830505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282.91413382415254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56865.740898654658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56865.740898654651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22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46317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46316</v>
      </c>
      <c r="O5" s="394"/>
      <c r="P5" s="394"/>
      <c r="R5" s="85"/>
      <c r="S5" s="266"/>
    </row>
    <row r="6" spans="1:22 16383:16384" ht="17.25" customHeight="1" x14ac:dyDescent="0.4">
      <c r="A6" s="400" t="s">
        <v>516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7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10</v>
      </c>
      <c r="I25" s="114">
        <f t="shared" ref="I25:M25" si="10">SUM(I16:I24)</f>
        <v>726.4</v>
      </c>
      <c r="J25" s="274">
        <f>SUM(J16:J24)</f>
        <v>58.112000000000002</v>
      </c>
      <c r="K25" s="275">
        <f t="shared" si="10"/>
        <v>25.424000000000003</v>
      </c>
      <c r="L25" s="276">
        <f t="shared" si="10"/>
        <v>0</v>
      </c>
      <c r="M25" s="232">
        <f t="shared" si="10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46316</v>
      </c>
      <c r="O5" s="394"/>
      <c r="P5" s="394"/>
      <c r="R5" s="85"/>
      <c r="S5" s="266"/>
    </row>
    <row r="6" spans="1:22 16383:16384" ht="1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2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46316</v>
      </c>
      <c r="O5" s="394"/>
      <c r="P5" s="394"/>
      <c r="R5" s="85"/>
      <c r="S5" s="266"/>
    </row>
    <row r="6" spans="1:22 16383:16384" ht="18.75" customHeight="1" x14ac:dyDescent="0.4">
      <c r="A6" s="400" t="s">
        <v>518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118">
        <f>M16+N16+O16</f>
        <v>566.26289570974575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524.625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41.97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18.361875000000001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464.29312499999997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563.4456673728813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4" t="s">
        <v>88</v>
      </c>
      <c r="O35" s="375"/>
      <c r="P35" s="297">
        <f>+P33+P34</f>
        <v>566.26289570974575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7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46316</v>
      </c>
      <c r="O5" s="394"/>
      <c r="P5" s="394"/>
      <c r="R5" s="85"/>
      <c r="S5" s="266"/>
    </row>
    <row r="6" spans="1:22 16383:16384" ht="1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520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120</v>
      </c>
      <c r="I19" s="236">
        <f t="shared" si="0"/>
        <v>8716.7999999999993</v>
      </c>
      <c r="J19" s="272">
        <f t="shared" si="1"/>
        <v>958.84799999999996</v>
      </c>
      <c r="K19" s="128">
        <f t="shared" si="1"/>
        <v>305.08800000000002</v>
      </c>
      <c r="L19" s="119">
        <f t="shared" si="1"/>
        <v>0</v>
      </c>
      <c r="M19" s="230">
        <f t="shared" si="2"/>
        <v>7452.8639999999996</v>
      </c>
      <c r="N19" s="277">
        <f t="shared" si="3"/>
        <v>1647.4576271186443</v>
      </c>
      <c r="O19" s="239">
        <f t="shared" si="4"/>
        <v>45.501608135593216</v>
      </c>
      <c r="P19" s="119">
        <f t="shared" si="5"/>
        <v>9145.8232352542364</v>
      </c>
      <c r="Q19" s="319"/>
      <c r="S19" s="269">
        <f>+S18</f>
        <v>0.11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160</v>
      </c>
      <c r="I20" s="236">
        <f t="shared" si="0"/>
        <v>11622.4</v>
      </c>
      <c r="J20" s="272">
        <f t="shared" si="1"/>
        <v>1278.4639999999999</v>
      </c>
      <c r="K20" s="128">
        <f t="shared" si="1"/>
        <v>406.78400000000005</v>
      </c>
      <c r="L20" s="119">
        <f t="shared" si="1"/>
        <v>0</v>
      </c>
      <c r="M20" s="230">
        <f t="shared" si="2"/>
        <v>9937.152</v>
      </c>
      <c r="N20" s="277">
        <f t="shared" si="3"/>
        <v>2196.6101694915255</v>
      </c>
      <c r="O20" s="239">
        <f t="shared" si="4"/>
        <v>60.668810847457628</v>
      </c>
      <c r="P20" s="119">
        <f t="shared" si="5"/>
        <v>12194.430980338982</v>
      </c>
      <c r="Q20" s="319"/>
      <c r="S20" s="269">
        <f>+S19</f>
        <v>0.11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120</v>
      </c>
      <c r="I21" s="236">
        <f t="shared" si="0"/>
        <v>8716.7999999999993</v>
      </c>
      <c r="J21" s="272">
        <f t="shared" si="1"/>
        <v>958.84799999999996</v>
      </c>
      <c r="K21" s="128">
        <f t="shared" si="1"/>
        <v>305.08800000000002</v>
      </c>
      <c r="L21" s="119">
        <f t="shared" si="1"/>
        <v>0</v>
      </c>
      <c r="M21" s="230">
        <f t="shared" si="2"/>
        <v>7452.8639999999996</v>
      </c>
      <c r="N21" s="277">
        <f t="shared" si="3"/>
        <v>1647.4576271186443</v>
      </c>
      <c r="O21" s="239">
        <f t="shared" si="4"/>
        <v>45.501608135593216</v>
      </c>
      <c r="P21" s="119">
        <f t="shared" si="5"/>
        <v>9145.8232352542364</v>
      </c>
      <c r="Q21" s="319"/>
      <c r="S21" s="269">
        <f>+S20</f>
        <v>0.11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400</v>
      </c>
      <c r="I25" s="114">
        <f t="shared" si="7"/>
        <v>29055.999999999996</v>
      </c>
      <c r="J25" s="274">
        <f>SUM(J16:J24)</f>
        <v>3196.16</v>
      </c>
      <c r="K25" s="275">
        <f t="shared" si="7"/>
        <v>1016.96</v>
      </c>
      <c r="L25" s="276">
        <f t="shared" si="7"/>
        <v>0</v>
      </c>
      <c r="M25" s="232">
        <f t="shared" si="7"/>
        <v>24842.879999999997</v>
      </c>
      <c r="N25" s="233">
        <f>SUM(N16:N24)</f>
        <v>5491.5254237288136</v>
      </c>
      <c r="O25" s="101">
        <f>SUM(O16:O24)</f>
        <v>151.67202711864405</v>
      </c>
      <c r="P25" s="234">
        <f>SUM(P16:P24)</f>
        <v>30486.077450847453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29055.999999999996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3196.16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1016.96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24842.879999999997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5491.5254237288136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30334.405423728811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151.67202711864405</v>
      </c>
    </row>
    <row r="35" spans="2:16" ht="15.75" customHeight="1" thickBot="1" x14ac:dyDescent="0.4">
      <c r="N35" s="374" t="s">
        <v>88</v>
      </c>
      <c r="O35" s="375"/>
      <c r="P35" s="297">
        <f>+P33+P34</f>
        <v>30486.077450847453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46316</v>
      </c>
      <c r="O5" s="394"/>
      <c r="P5" s="394"/>
      <c r="R5" s="85"/>
      <c r="S5" s="266"/>
    </row>
    <row r="6" spans="1:22 16383:16384" ht="15" customHeight="1" x14ac:dyDescent="0.4">
      <c r="A6" s="400" t="s">
        <v>521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524.625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41.97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18.361875000000001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464.29312499999997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563.4456673728813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4" t="s">
        <v>88</v>
      </c>
      <c r="O35" s="375"/>
      <c r="P35" s="297">
        <f>+P33+P34</f>
        <v>566.26289570974575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46317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46316</v>
      </c>
      <c r="O5" s="394"/>
      <c r="P5" s="394"/>
      <c r="R5" s="85"/>
      <c r="S5" s="266"/>
    </row>
    <row r="6" spans="1:22 16383:16384" ht="15" customHeight="1" x14ac:dyDescent="0.4">
      <c r="A6" s="400" t="s">
        <v>522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524.625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41.97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18.361875000000001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464.29312499999997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563.4456673728813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4" t="s">
        <v>88</v>
      </c>
      <c r="O35" s="375"/>
      <c r="P35" s="297">
        <f>+P33+P34</f>
        <v>566.26289570974575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46316</v>
      </c>
      <c r="O5" s="394"/>
      <c r="P5" s="394"/>
      <c r="R5" s="85"/>
      <c r="S5" s="266"/>
    </row>
    <row r="6" spans="1:22 16383:16384" ht="15" customHeight="1" x14ac:dyDescent="0.4">
      <c r="A6" s="400" t="s">
        <v>523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46316</v>
      </c>
      <c r="O5" s="394"/>
      <c r="P5" s="394"/>
      <c r="R5" s="85"/>
      <c r="S5" s="266"/>
    </row>
    <row r="6" spans="1:22 16383:16384" ht="15" customHeight="1" x14ac:dyDescent="0.4">
      <c r="A6" s="400" t="s">
        <v>524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46316</v>
      </c>
      <c r="O5" s="394"/>
      <c r="P5" s="394"/>
      <c r="R5" s="85"/>
      <c r="S5" s="266"/>
    </row>
    <row r="6" spans="1:22 16383:16384" ht="15" customHeight="1" x14ac:dyDescent="0.4">
      <c r="A6" s="400" t="s">
        <v>525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120</v>
      </c>
      <c r="I19" s="236">
        <f t="shared" si="0"/>
        <v>8716.7999999999993</v>
      </c>
      <c r="J19" s="272">
        <f t="shared" si="1"/>
        <v>871.68</v>
      </c>
      <c r="K19" s="128">
        <f t="shared" si="1"/>
        <v>305.08800000000002</v>
      </c>
      <c r="L19" s="119">
        <f t="shared" si="1"/>
        <v>0</v>
      </c>
      <c r="M19" s="230">
        <f t="shared" si="2"/>
        <v>7540.0319999999992</v>
      </c>
      <c r="N19" s="277">
        <f t="shared" si="3"/>
        <v>1647.4576271186443</v>
      </c>
      <c r="O19" s="239">
        <f t="shared" si="4"/>
        <v>45.937448135593222</v>
      </c>
      <c r="P19" s="119">
        <f t="shared" si="5"/>
        <v>9233.4270752542379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290.56</v>
      </c>
      <c r="K20" s="128">
        <f t="shared" si="1"/>
        <v>101.69600000000001</v>
      </c>
      <c r="L20" s="119">
        <f t="shared" si="1"/>
        <v>0</v>
      </c>
      <c r="M20" s="230">
        <f t="shared" si="2"/>
        <v>2513.3440000000001</v>
      </c>
      <c r="N20" s="277">
        <f t="shared" si="3"/>
        <v>549.15254237288138</v>
      </c>
      <c r="O20" s="239">
        <f t="shared" si="4"/>
        <v>15.312482711864407</v>
      </c>
      <c r="P20" s="119">
        <f t="shared" si="5"/>
        <v>3077.8090250847458</v>
      </c>
      <c r="Q20" s="319"/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120</v>
      </c>
      <c r="I21" s="236">
        <f t="shared" si="0"/>
        <v>8716.7999999999993</v>
      </c>
      <c r="J21" s="272">
        <f t="shared" si="1"/>
        <v>871.68</v>
      </c>
      <c r="K21" s="128">
        <f t="shared" si="1"/>
        <v>305.08800000000002</v>
      </c>
      <c r="L21" s="119">
        <f t="shared" si="1"/>
        <v>0</v>
      </c>
      <c r="M21" s="230">
        <f t="shared" si="2"/>
        <v>7540.0319999999992</v>
      </c>
      <c r="N21" s="277">
        <f t="shared" si="3"/>
        <v>1647.4576271186443</v>
      </c>
      <c r="O21" s="239">
        <f t="shared" si="4"/>
        <v>45.937448135593222</v>
      </c>
      <c r="P21" s="119">
        <f t="shared" si="5"/>
        <v>9233.4270752542379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280</v>
      </c>
      <c r="I25" s="114">
        <f t="shared" si="7"/>
        <v>20339.199999999997</v>
      </c>
      <c r="J25" s="274">
        <f>SUM(J16:J24)</f>
        <v>2033.92</v>
      </c>
      <c r="K25" s="275">
        <f t="shared" si="7"/>
        <v>711.87200000000007</v>
      </c>
      <c r="L25" s="276">
        <f t="shared" si="7"/>
        <v>0</v>
      </c>
      <c r="M25" s="232">
        <f t="shared" si="7"/>
        <v>17593.407999999999</v>
      </c>
      <c r="N25" s="233">
        <f>SUM(N16:N24)</f>
        <v>3844.0677966101698</v>
      </c>
      <c r="O25" s="101">
        <f>SUM(O16:O24)</f>
        <v>107.18737898305085</v>
      </c>
      <c r="P25" s="234">
        <f>SUM(P16:P24)</f>
        <v>21544.663175593221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20339.199999999997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2033.92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711.87200000000007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17593.407999999999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3844.0677966101698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21437.475796610168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107.18737898305085</v>
      </c>
    </row>
    <row r="35" spans="2:16" ht="15.75" customHeight="1" thickBot="1" x14ac:dyDescent="0.4">
      <c r="N35" s="374" t="s">
        <v>88</v>
      </c>
      <c r="O35" s="375"/>
      <c r="P35" s="297">
        <f>+P33+P34</f>
        <v>21544.663175593218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46316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46318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46317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2026-10-22T04:45:40Z</dcterms:modified>
</cp:coreProperties>
</file>