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8768B6C-5D75-48F9-AAEC-53A9974C642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J7" i="62"/>
  <c r="M18" i="48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<sst xmlns="http://schemas.openxmlformats.org/spreadsheetml/2006/main" count="3948" uniqueCount="534">
  <si>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</si>
  <si>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</si>
  <si>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</si>
  <si>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</si>
  <si>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</si>
  <si>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</si>
  <si>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</si>
  <si>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</si>
  <si>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</si>
  <si>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</si>
  <si>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</si>
  <si>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</si>
  <si>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</si>
  <si>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</si>
  <si>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</si>
  <si>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</si>
  <si>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</si>
  <si>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</si>
  <si>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</si>
  <si>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</si>
  <si>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</si>
  <si>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</si>
  <si>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</si>
  <si>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</si>
  <si>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</si>
  <si>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</si>
  <si>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</si>
  <si>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</si>
  <si>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</si>
  <si>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</si>
  <si>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</si>
  <si>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</si>
  <si>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</si>
  <si>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</si>
  <si>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</si>
  <si>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</si>
  <si>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</si>
  <si>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</si>
  <si>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</si>
  <si>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</si>
  <si>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</si>
  <si>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</si>
  <si>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</si>
  <si>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</si>
  <si>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</si>
  <si>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</si>
  <si>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</si>
  <si>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</si>
  <si>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</si>
  <si>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</si>
  <si>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</si>
  <si>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</si>
  <si>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</si>
  <si>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</si>
  <si>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</si>
  <si>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</si>
  <si>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</si>
  <si>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</si>
  <si>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</si>
  <si>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</si>
  <si>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</si>
  <si>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</si>
  <si>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</si>
  <si>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</si>
  <si>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</si>
  <si>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</si>
  <si>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</si>
  <si>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</si>
  <si>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</si>
  <si>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</si>
  <si>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</si>
  <si>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</si>
  <si>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</si>
  <si>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</si>
  <si>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</si>
  <si>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</si>
  <si>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</si>
  <si>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</si>
  <si>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</si>
  <si>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</si>
  <si>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</si>
  <si>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</si>
  <si>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</si>
  <si>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</si>
  <si>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</si>
  <si>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</si>
  <si>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</si>
  <si>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</si>
  <si>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</si>
  <si>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</si>
  <si>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</si>
  <si>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</si>
  <si>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</si>
  <si>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</si>
  <si>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</si>
  <si>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</si>
  <si>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</si>
  <si>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</si>
  <si>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</si>
  <si>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</si>
  <si>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</si>
  <si>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</si>
  <si>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</si>
  <si>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</si>
  <si>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</si>
  <si>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</si>
  <si>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</si>
  <si>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</si>
  <si>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</si>
  <si>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</si>
  <si>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</si>
  <si>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</si>
  <si>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</si>
  <si>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</si>
  <si>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</si>
  <si>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</si>
  <si>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</si>
  <si>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</si>
  <si>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</si>
  <si>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</si>
  <si>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</si>
  <si>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</si>
  <si>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</si>
  <si>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</si>
  <si>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</si>
  <si>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</si>
  <si>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</si>
  <si>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</si>
  <si>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</si>
  <si>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</si>
  <si>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</si>
  <si>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</si>
  <si>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</si>
  <si>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</si>
  <si>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</si>
  <si>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</si>
  <si>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</si>
  <si>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</si>
  <si>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</si>
  <si>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</si>
  <si>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</si>
  <si>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</si>
  <si>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</si>
  <si>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</si>
  <si>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</si>
  <si>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</si>
  <si>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</si>
  <si>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</si>
  <si>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</si>
  <si>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</si>
  <si>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</si>
  <si>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</si>
  <si>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</si>
  <si>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</si>
  <si>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</si>
  <si>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</si>
  <si>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</si>
  <si>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</si>
  <si>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</si>
  <si>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</si>
  <si>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</si>
  <si>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</si>
  <si>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</si>
  <si>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</si>
  <si>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</si>
  <si>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</si>
  <si>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</si>
  <si>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</si>
  <si>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</si>
  <si>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</si>
  <si>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</si>
  <si>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</si>
  <si>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</si>
  <si>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</si>
  <si>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</si>
  <si>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</si>
  <si>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</si>
  <si>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</si>
  <si>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</si>
  <si>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</si>
  <si>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</si>
  <si>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</si>
  <si>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</si>
  <si>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</si>
  <si>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</si>
  <si>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</si>
  <si>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</si>
  <si>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</si>
  <si>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</si>
  <si>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</si>
  <si>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</si>
  <si>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</si>
  <si>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</si>
  <si>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</si>
  <si>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</si>
  <si>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</si>
  <si>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</si>
  <si>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</si>
  <si>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</si>
  <si>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</si>
  <si>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</si>
  <si>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</si>
  <si>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</si>
  <si>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</si>
  <si>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</si>
  <si>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</si>
  <si>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</si>
  <si>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</si>
  <si>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</si>
  <si>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</si>
  <si>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</si>
  <si>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</si>
  <si>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</si>
  <si>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</si>
  <si>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</si>
  <si>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</si>
  <si>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</si>
  <si>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</si>
  <si>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</si>
  <si>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</si>
  <si>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</si>
  <si>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</si>
  <si>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</si>
  <si>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</si>
  <si>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</si>
  <si>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</si>
  <si>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</si>
  <si>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</si>
  <si>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</si>
  <si>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</si>
  <si>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</si>
  <si>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</si>
  <si>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</si>
  <si>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</si>
  <si>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</si>
  <si>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</si>
  <si>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</si>
  <si>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</si>
  <si>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</si>
  <si>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</si>
  <si>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</si>
  <si>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</si>
  <si>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</si>
  <si>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</si>
  <si>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</si>
  <si>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</si>
  <si>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</si>
  <si>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</si>
  <si>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</si>
  <si>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</si>
  <si>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</si>
  <si>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</si>
  <si>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</si>
  <si>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</si>
  <si>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</si>
  <si>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</si>
  <si>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</si>
  <si>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</si>
  <si>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</si>
  <si>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</si>
  <si>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</si>
  <si>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</si>
  <si>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</si>
  <si>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</si>
  <si>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</si>
  <si>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</si>
  <si>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</si>
  <si>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</si>
  <si>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</si>
  <si>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</si>
  <si>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</si>
  <si>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</si>
  <si>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</si>
  <si>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</si>
  <si>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</si>
  <si>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</si>
  <si>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</si>
  <si>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</si>
  <si>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</si>
  <si>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</si>
  <si>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</si>
  <si>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</si>
  <si>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</si>
  <si>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</si>
  <si>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</si>
  <si>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</si>
  <si>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</si>
  <si>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</si>
  <si>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</si>
  <si>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</si>
  <si>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</si>
  <si>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</si>
  <si>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</si>
  <si>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</si>
  <si>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</si>
  <si>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</si>
  <si>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</si>
  <si>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</si>
  <si>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</si>
  <si>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</si>
  <si>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</si>
  <si>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</si>
  <si>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</si>
  <si>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</si>
  <si>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</si>
  <si>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</si>
  <si>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</si>
  <si>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</si>
  <si>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</si>
  <si>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</si>
  <si>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</si>
  <si>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</si>
  <si>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</si>
  <si>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</si>
  <si>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</si>
  <si>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</si>
  <si>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</si>
  <si>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</si>
  <si>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</si>
  <si>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</si>
  <si>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</si>
  <si>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</si>
  <si>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</si>
  <si>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</si>
  <si>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</si>
  <si>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</si>
  <si>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</si>
  <si>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</si>
  <si>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</si>
  <si>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</si>
  <si>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</si>
  <si>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</si>
  <si>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</si>
  <si>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</si>
  <si>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</si>
  <si>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</si>
  <si>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</si>
  <si>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</si>
  <si>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</si>
  <si>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</si>
  <si>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</si>
  <si>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</si>
  <si>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</si>
  <si>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</si>
  <si>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</si>
  <si>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</si>
  <si>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</si>
  <si>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</si>
  <si>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</si>
  <si>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</si>
  <si>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</si>
  <si>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</si>
  <si>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</si>
  <si>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</si>
  <si>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</si>
  <si>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</si>
  <si>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</si>
  <si>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</si>
  <si>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</si>
  <si>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</si>
  <si>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</si>
  <si>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</si>
  <si>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</si>
  <si>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</si>
  <si>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</si>
  <si>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</si>
  <si>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</si>
  <si>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</si>
  <si>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</si>
  <si>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</si>
  <si>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</si>
  <si>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</si>
  <si>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</si>
  <si>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</si>
  <si>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</si>
  <si>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</si>
  <si>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</si>
  <si>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</si>
  <si>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</si>
  <si>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</si>
  <si>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</si>
  <si>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</si>
  <si>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</si>
  <si>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</si>
  <si>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</si>
  <si>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</si>
  <si>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</si>
  <si>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</si>
  <si>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</si>
  <si>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</si>
  <si>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</si>
  <si>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</si>
  <si>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</si>
  <si>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</si>
  <si>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</si>
  <si>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</si>
  <si>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</si>
  <si>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</si>
  <si>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</si>
  <si>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</si>
  <si>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</si>
  <si>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</si>
  <si>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</si>
  <si>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</si>
  <si>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</si>
  <si>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</si>
  <si>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</si>
  <si>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</si>
  <si>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</si>
  <si>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</si>
  <si>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</si>
  <si>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</si>
  <si>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</si>
  <si>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</si>
  <si>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</si>
  <si>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</si>
  <si>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</si>
  <si>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</si>
  <si>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</si>
  <si>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</si>
  <si>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</si>
  <si>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</si>
  <si>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</si>
  <si>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</si>
  <si>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</si>
  <si>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</si>
  <si>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</si>
  <si>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</si>
  <si>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</si>
  <si>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</si>
  <si>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</si>
  <si>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</si>
  <si>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</si>
  <si>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</si>
  <si>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</si>
  <si>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</si>
  <si>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</si>
  <si>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</si>
  <si>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</si>
  <si>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</si>
  <si>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</si>
  <si>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</si>
  <si>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</si>
  <si>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</si>
  <si>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</si>
  <si>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</si>
  <si>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</si>
  <si>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</si>
  <si>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</si>
  <si>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</si>
  <si>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</si>
  <si>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</si>
  <si>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</si>
  <si>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</si>
  <si>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</si>
  <si>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</si>
  <si>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</si>
  <si>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</si>
  <si>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</si>
  <si>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</si>
  <si>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</si>
  <si>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</si>
  <si>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</si>
  <si>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</si>
  <si>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</si>
  <si>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</si>
  <si>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</si>
  <si>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</si>
  <si>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</si>
  <si>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</si>
  <si>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</si>
  <si>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</si>
  <si>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</si>
  <si>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</si>
  <si>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</si>
  <si>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</si>
  <si>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</si>
  <si>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</si>
  <si>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</si>
  <si>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</si>
  <si>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</si>
  <si>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</si>
  <si>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</si>
  <si>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</si>
  <si>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</si>
  <si>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</si>
  <si>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</si>
  <si>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</si>
  <si>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</si>
  <si>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</si>
  <si>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</si>
  <si>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</si>
  <si>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</si>
  <si>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</si>
  <si>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</si>
  <si>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</si>
  <si>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</si>
  <si>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</si>
  <si>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</si>
  <si>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</si>
  <si>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</si>
  <si>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</si>
  <si>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</si>
  <si>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</si>
  <si>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</si>
  <si>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</si>
  <si>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</si>
  <si>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</si>
  <si>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</si>
  <si>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</si>
  <si>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</si>
  <si>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</si>
  <si>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</si>
  <si>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</si>
  <si>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</si>
  <si>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Honey Bakers </t>
  </si>
  <si>
    <t>Al Falah Super Store</t>
  </si>
  <si>
    <t xml:space="preserve">Shaheen Bakers </t>
  </si>
  <si>
    <t>Lala Gee Super Store</t>
  </si>
  <si>
    <t xml:space="preserve">K Mart </t>
  </si>
  <si>
    <t>Ali Super store</t>
  </si>
  <si>
    <t>Ahsan GS</t>
  </si>
  <si>
    <t>Ali Store</t>
  </si>
  <si>
    <t>Usman Store</t>
  </si>
  <si>
    <t>Bismillah Store</t>
  </si>
  <si>
    <t>Lala Gs</t>
  </si>
  <si>
    <t xml:space="preserve">Smart Pharmacy </t>
  </si>
  <si>
    <t>Askari Store</t>
  </si>
  <si>
    <t>Raya Mart</t>
  </si>
  <si>
    <t>My Store</t>
  </si>
  <si>
    <t>NTN #: G194327-8</t>
  </si>
  <si>
    <t xml:space="preserve">Address: Falcon Society </t>
  </si>
  <si>
    <t xml:space="preserve">Address: Cavelary </t>
  </si>
  <si>
    <t>NTN #:7925707-1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</si>
</sst>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5" sqref="I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Honey Bakers </v>
      </c>
      <c r="T3" s="301">
        <f>+'1'!P35</f>
        <v>15751.168658771187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Falah Super Store</v>
      </c>
      <c r="T4" s="301">
        <f>+'2'!P35</f>
        <v>4246.9717178230921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Shaheen Bakers 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Lala Gee Super Store</v>
      </c>
      <c r="T6" s="301">
        <f>+'4'!P35</f>
        <v>3920.273375605932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162</v>
      </c>
      <c r="I7" s="235">
        <f>(G7*D7)*F7+H7*F7</f>
        <v>8498.9249999999993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742.86900000000003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297.46237500000012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7458.5936249999995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1606.271186440677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45.324324057203391</v>
      </c>
      <c r="P7" s="310">
        <f>M7+N7+O7</f>
        <v>9110.1891354978798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K Mart </v>
      </c>
      <c r="T7" s="301">
        <f>+'5'!P35</f>
        <v>8537.4747530084751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147</v>
      </c>
      <c r="I8" s="236">
        <f t="shared" ref="I8:I14" si="0">(G8*D8)*F8+H8*F8</f>
        <v>7711.9875000000002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679.91399999999999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269.91956249999998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6762.1539375000002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1457.5423728813553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41.098481551906779</v>
      </c>
      <c r="P8" s="311">
        <f t="shared" ref="P8:P15" si="2">M8+N8+O8</f>
        <v>8260.7947919332619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Ali Super store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162</v>
      </c>
      <c r="I9" s="236">
        <f t="shared" si="0"/>
        <v>8498.9249999999993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742.86900000000003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297.46237500000001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7458.5936249999995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1606.2711864406772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45.324324057203384</v>
      </c>
      <c r="P9" s="311">
        <f t="shared" si="2"/>
        <v>9110.1891354978798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Ahsan GS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</v>
      </c>
      <c r="I10" s="236">
        <f t="shared" si="0"/>
        <v>3777.28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389.35039999999998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132.20480000000001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3255.7248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713.89830508474574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19.848115525423729</v>
      </c>
      <c r="P10" s="311">
        <f t="shared" si="2"/>
        <v>3989.471220610169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Ali Store</v>
      </c>
      <c r="T10" s="301">
        <f>+'8'!P35</f>
        <v>283.13144785487287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132</v>
      </c>
      <c r="I11" s="236">
        <f t="shared" si="0"/>
        <v>9588.48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854.24639999999999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335.59680000000003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8398.6368000000002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1812.2033898305085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51.054200949152545</v>
      </c>
      <c r="P11" s="311">
        <f t="shared" si="2"/>
        <v>10261.894390779662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Usman Store</v>
      </c>
      <c r="T11" s="301">
        <f>+'9'!P35</f>
        <v>283.13144785487287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784.51199999999994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7627.1999999999989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46.373288135593228</v>
      </c>
      <c r="P12" s="311">
        <f t="shared" si="2"/>
        <v>9321.0309152542359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Bismillah Store</v>
      </c>
      <c r="T12" s="301">
        <f>+'10'!P35</f>
        <v>283.13144785487287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Lala Gs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Smart Pharmacy 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Askari Store</v>
      </c>
      <c r="T15" s="301">
        <f>+'13'!P35</f>
        <v>283.13144785487287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19.375</v>
      </c>
      <c r="H16" s="113">
        <f t="shared" ref="H16:M16" si="3">SUM(H7:H15)</f>
        <v>775</v>
      </c>
      <c r="I16" s="114">
        <f t="shared" si="3"/>
        <v>46792.397499999992</v>
      </c>
      <c r="J16" s="274">
        <f>SUM(J7:J15)</f>
        <v>4193.7608</v>
      </c>
      <c r="K16" s="275">
        <f t="shared" si="3"/>
        <v>1637.7339125000001</v>
      </c>
      <c r="L16" s="276">
        <f t="shared" si="3"/>
        <v>0</v>
      </c>
      <c r="M16" s="232">
        <f t="shared" si="3"/>
        <v>40960.902787500003</v>
      </c>
      <c r="N16" s="233">
        <f>SUM(N7:N15)</f>
        <v>8843.6440677966093</v>
      </c>
      <c r="O16" s="101">
        <f>SUM(O7:O15)</f>
        <v>249.02273427648305</v>
      </c>
      <c r="P16" s="113">
        <f>SUM(P7:P15)</f>
        <v>50053.56958957309</v>
      </c>
      <c r="Q16" s="128">
        <f>SUM(Q7:Q15)</f>
        <v>0</v>
      </c>
      <c r="R16" s="313">
        <v>14</v>
      </c>
      <c r="S16" s="315" t="str">
        <f>+'14'!A6:A6</f>
        <v>Raya Mart</v>
      </c>
      <c r="T16" s="301">
        <f>+'14'!P35</f>
        <v>283.13144785487287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My Store</v>
      </c>
      <c r="T17" s="301">
        <f>+'15'!P35</f>
        <v>10802.526335847459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46792.397499999992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4193.7608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1637.7339125000001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40960.902787499988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8843.6440677966093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49804.546855296598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249.02273427648305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50053.569589573082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50053.569589573104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533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230.83500000000001</v>
      </c>
      <c r="K16" s="127">
        <f>$I16*T16</f>
        <v>73.447500000000005</v>
      </c>
      <c r="L16" s="118">
        <f>$I16*U16</f>
        <v>0</v>
      </c>
      <c r="M16" s="229">
        <f>I16-SUM(J16:L16)</f>
        <v>1794.2175</v>
      </c>
      <c r="N16" s="248">
        <f>+(G16*D16+H16)*V16</f>
        <v>396.61016949152526</v>
      </c>
      <c r="O16" s="238">
        <f>(N16+M16)*$O$15</f>
        <v>10.954138347457627</v>
      </c>
      <c r="P16" s="118">
        <f>M16+N16+O16</f>
        <v>2201.7818078389828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230.83500000000001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1794.2175</v>
      </c>
      <c r="N17" s="277">
        <f t="shared" ref="N17:N24" si="3">+(G17*D17+H17)*V17</f>
        <v>396.61016949152526</v>
      </c>
      <c r="O17" s="239">
        <f t="shared" ref="O17:O24" si="4">(N17+M17)*$O$15</f>
        <v>10.954138347457627</v>
      </c>
      <c r="P17" s="119">
        <f t="shared" ref="P17:P24" si="5">M17+N17+O17</f>
        <v>2201.7818078389828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230.83500000000001</v>
      </c>
      <c r="K18" s="128">
        <f t="shared" si="1"/>
        <v>73.447500000000005</v>
      </c>
      <c r="L18" s="119">
        <f t="shared" si="1"/>
        <v>0</v>
      </c>
      <c r="M18" s="230">
        <f t="shared" si="2"/>
        <v>1794.2175</v>
      </c>
      <c r="N18" s="277">
        <f t="shared" si="3"/>
        <v>396.61016949152526</v>
      </c>
      <c r="O18" s="239">
        <f t="shared" si="4"/>
        <v>10.954138347457627</v>
      </c>
      <c r="P18" s="119">
        <f t="shared" si="5"/>
        <v>2201.7818078389828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1651.3530000000001</v>
      </c>
      <c r="K25" s="275">
        <f t="shared" si="10"/>
        <v>525.43050000000005</v>
      </c>
      <c r="L25" s="276">
        <f t="shared" si="10"/>
        <v>0</v>
      </c>
      <c r="M25" s="232">
        <f t="shared" si="10"/>
        <v>12835.516500000002</v>
      </c>
      <c r="N25" s="233">
        <f>SUM(N16:N24)</f>
        <v>2837.2881355932195</v>
      </c>
      <c r="O25" s="101">
        <f>SUM(O16:O24)</f>
        <v>78.364023177966104</v>
      </c>
      <c r="P25" s="234">
        <f>SUM(P16:P24)</f>
        <v>15751.168658771187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1651.3530000000001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12835.5165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15672.80463559322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78.364023177966104</v>
      </c>
    </row>
    <row r="35" spans="2:16" ht="15.75" customHeight="1" thickBot="1" x14ac:dyDescent="0.4">
      <c r="N35" s="345" t="s">
        <v>88</v>
      </c>
      <c r="O35" s="346"/>
      <c r="P35" s="297">
        <f>+P33+P34</f>
        <v>15751.168658771187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104.925</v>
      </c>
      <c r="K16" s="127">
        <f>$I16*T16</f>
        <v>45.904687500000001</v>
      </c>
      <c r="L16" s="118">
        <f>$I16*U16</f>
        <v>0</v>
      </c>
      <c r="M16" s="229">
        <f>I16-SUM(J16:L16)</f>
        <v>1160.7328124999999</v>
      </c>
      <c r="N16" s="248">
        <f>+(G16*D16+H16)*V16</f>
        <v>247.88135593220329</v>
      </c>
      <c r="O16" s="238">
        <f>(N16+M16)*$O$15</f>
        <v>7.0430708421610166</v>
      </c>
      <c r="P16" s="118">
        <f>M16+N16+O16</f>
        <v>1415.6572392743644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104.925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1160.7328124999999</v>
      </c>
      <c r="N17" s="277">
        <f t="shared" ref="N17:N24" si="3">+(G17*D17+H17)*V17</f>
        <v>247.88135593220329</v>
      </c>
      <c r="O17" s="239">
        <f t="shared" ref="O17:O24" si="4">(N17+M17)*$O$15</f>
        <v>7.0430708421610166</v>
      </c>
      <c r="P17" s="119">
        <f t="shared" ref="P17:P24" si="5">M17+N17+O17</f>
        <v>1415.6572392743644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25</v>
      </c>
      <c r="I18" s="236">
        <f t="shared" si="0"/>
        <v>1311.5625</v>
      </c>
      <c r="J18" s="272">
        <f t="shared" si="1"/>
        <v>104.925</v>
      </c>
      <c r="K18" s="128">
        <f t="shared" si="1"/>
        <v>45.904687500000001</v>
      </c>
      <c r="L18" s="119">
        <f t="shared" si="1"/>
        <v>0</v>
      </c>
      <c r="M18" s="230">
        <f t="shared" si="2"/>
        <v>1160.7328124999999</v>
      </c>
      <c r="N18" s="277">
        <f t="shared" si="3"/>
        <v>247.88135593220329</v>
      </c>
      <c r="O18" s="239">
        <f t="shared" si="4"/>
        <v>7.0430708421610166</v>
      </c>
      <c r="P18" s="119">
        <f t="shared" si="5"/>
        <v>1415.6572392743644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75</v>
      </c>
      <c r="I25" s="114">
        <f t="shared" si="7"/>
        <v>3934.6875</v>
      </c>
      <c r="J25" s="274">
        <f>SUM(J16:J24)</f>
        <v>314.77499999999998</v>
      </c>
      <c r="K25" s="275">
        <f t="shared" si="7"/>
        <v>137.71406250000001</v>
      </c>
      <c r="L25" s="276">
        <f t="shared" si="7"/>
        <v>0</v>
      </c>
      <c r="M25" s="232">
        <f t="shared" si="7"/>
        <v>3482.1984374999997</v>
      </c>
      <c r="N25" s="233">
        <f>SUM(N16:N24)</f>
        <v>743.64406779660987</v>
      </c>
      <c r="O25" s="101">
        <f>SUM(O16:O24)</f>
        <v>21.129212526483052</v>
      </c>
      <c r="P25" s="234">
        <f>SUM(P16:P24)</f>
        <v>4246.9717178230931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3934.6875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314.77499999999998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137.71406250000001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3482.1984374999997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743.64406779660987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4225.8425052966095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21.129212526483048</v>
      </c>
    </row>
    <row r="35" spans="2:16" ht="15.75" customHeight="1" thickBot="1" x14ac:dyDescent="0.4">
      <c r="N35" s="345" t="s">
        <v>88</v>
      </c>
      <c r="O35" s="346"/>
      <c r="P35" s="297">
        <f>+P33+P34</f>
        <v>4246.9717178230921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3632.01</v>
      </c>
      <c r="J25" s="274">
        <f>SUM(J16:J24)</f>
        <v>290.56079999999997</v>
      </c>
      <c r="K25" s="275">
        <f t="shared" si="7"/>
        <v>127.12035000000002</v>
      </c>
      <c r="L25" s="276">
        <f t="shared" si="7"/>
        <v>0</v>
      </c>
      <c r="M25" s="232">
        <f t="shared" si="7"/>
        <v>3214.3288499999999</v>
      </c>
      <c r="N25" s="233">
        <f>SUM(N16:N24)</f>
        <v>686.4406779661017</v>
      </c>
      <c r="O25" s="101">
        <f>SUM(O16:O24)</f>
        <v>19.503847639830507</v>
      </c>
      <c r="P25" s="234">
        <f>SUM(P16:P24)</f>
        <v>3920.2733756059324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3632.01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290.56079999999997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127.12035000000002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3214.3288499999999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686.4406779661017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3900.7695279661016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19.503847639830507</v>
      </c>
    </row>
    <row r="35" spans="2:16" ht="15.75" customHeight="1" thickBot="1" x14ac:dyDescent="0.4">
      <c r="N35" s="345" t="s">
        <v>88</v>
      </c>
      <c r="O35" s="346"/>
      <c r="P35" s="297">
        <f>+P33+P34</f>
        <v>3920.273375605932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632.77599999999995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276.83950000000004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7000.0845000000008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8494.9997542372894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5" t="s">
        <v>88</v>
      </c>
      <c r="O35" s="346"/>
      <c r="P35" s="297">
        <f>+P33+P34</f>
        <v>8537.4747530084751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530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M36" sqref="M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2026-10-22T04:54:00Z</dcterms:modified>
</cp:coreProperties>
</file>