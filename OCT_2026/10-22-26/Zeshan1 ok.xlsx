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B17D47D-C001-4E4F-95B4-A14B8ADC885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0" i="57"/>
  <c r="O20" i="57" s="1"/>
  <c r="P20" i="57" s="1"/>
  <c r="M21" i="53"/>
  <c r="O21" i="53" s="1"/>
  <c r="P21" i="53" s="1"/>
  <c r="M21" i="5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<sst xmlns="http://schemas.openxmlformats.org/spreadsheetml/2006/main" count="3948" uniqueCount="536">
  <si>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</si>
  <si>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</si>
  <si>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</si>
  <si>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</si>
  <si>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</si>
  <si>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</si>
  <si>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</si>
  <si>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</si>
  <si>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</si>
  <si>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</si>
  <si>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</si>
  <si>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</si>
  <si>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</si>
  <si>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</si>
  <si>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</si>
  <si>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</si>
  <si>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</si>
  <si>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</si>
  <si>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</si>
  <si>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</si>
  <si>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</si>
  <si>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</si>
  <si>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</si>
  <si>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</si>
  <si>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</si>
  <si>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</si>
  <si>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</si>
  <si>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</si>
  <si>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</si>
  <si>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</si>
  <si>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</si>
  <si>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</si>
  <si>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</si>
  <si>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</si>
  <si>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</si>
  <si>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</si>
  <si>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</si>
  <si>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</si>
  <si>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</si>
  <si>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</si>
  <si>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</si>
  <si>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</si>
  <si>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</si>
  <si>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</si>
  <si>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</si>
  <si>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</si>
  <si>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</si>
  <si>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</si>
  <si>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</si>
  <si>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</si>
  <si>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</si>
  <si>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</si>
  <si>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</si>
  <si>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</si>
  <si>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</si>
  <si>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</si>
  <si>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</si>
  <si>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</si>
  <si>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</si>
  <si>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</si>
  <si>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</si>
  <si>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</si>
  <si>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</si>
  <si>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</si>
  <si>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</si>
  <si>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</si>
  <si>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</si>
  <si>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</si>
  <si>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</si>
  <si>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</si>
  <si>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</si>
  <si>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</si>
  <si>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</si>
  <si>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</si>
  <si>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</si>
  <si>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</si>
  <si>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</si>
  <si>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</si>
  <si>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</si>
  <si>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</si>
  <si>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</si>
  <si>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</si>
  <si>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</si>
  <si>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</si>
  <si>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</si>
  <si>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</si>
  <si>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</si>
  <si>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</si>
  <si>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</si>
  <si>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</si>
  <si>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</si>
  <si>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</si>
  <si>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</si>
  <si>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</si>
  <si>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</si>
  <si>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</si>
  <si>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</si>
  <si>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</si>
  <si>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</si>
  <si>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</si>
  <si>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</si>
  <si>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</si>
  <si>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</si>
  <si>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</si>
  <si>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</si>
  <si>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</si>
  <si>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</si>
  <si>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</si>
  <si>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</si>
  <si>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</si>
  <si>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</si>
  <si>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</si>
  <si>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</si>
  <si>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</si>
  <si>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</si>
  <si>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</si>
  <si>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</si>
  <si>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</si>
  <si>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</si>
  <si>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</si>
  <si>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</si>
  <si>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</si>
  <si>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</si>
  <si>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</si>
  <si>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</si>
  <si>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</si>
  <si>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</si>
  <si>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</si>
  <si>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</si>
  <si>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</si>
  <si>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</si>
  <si>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</si>
  <si>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</si>
  <si>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</si>
  <si>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</si>
  <si>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</si>
  <si>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</si>
  <si>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</si>
  <si>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</si>
  <si>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</si>
  <si>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</si>
  <si>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</si>
  <si>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</si>
  <si>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</si>
  <si>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</si>
  <si>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</si>
  <si>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</si>
  <si>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</si>
  <si>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</si>
  <si>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</si>
  <si>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</si>
  <si>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</si>
  <si>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</si>
  <si>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</si>
  <si>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</si>
  <si>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</si>
  <si>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</si>
  <si>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</si>
  <si>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</si>
  <si>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</si>
  <si>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</si>
  <si>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</si>
  <si>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</si>
  <si>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</si>
  <si>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</si>
  <si>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</si>
  <si>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</si>
  <si>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</si>
  <si>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</si>
  <si>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</si>
  <si>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</si>
  <si>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</si>
  <si>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</si>
  <si>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</si>
  <si>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</si>
  <si>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</si>
  <si>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</si>
  <si>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</si>
  <si>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</si>
  <si>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</si>
  <si>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</si>
  <si>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</si>
  <si>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</si>
  <si>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</si>
  <si>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</si>
  <si>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</si>
  <si>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</si>
  <si>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</si>
  <si>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</si>
  <si>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</si>
  <si>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</si>
  <si>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</si>
  <si>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</si>
  <si>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</si>
  <si>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</si>
  <si>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</si>
  <si>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</si>
  <si>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</si>
  <si>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</si>
  <si>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</si>
  <si>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</si>
  <si>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</si>
  <si>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</si>
  <si>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</si>
  <si>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</si>
  <si>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</si>
  <si>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</si>
  <si>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</si>
  <si>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</si>
  <si>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</si>
  <si>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</si>
  <si>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</si>
  <si>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</si>
  <si>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</si>
  <si>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</si>
  <si>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</si>
  <si>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</si>
  <si>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</si>
  <si>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</si>
  <si>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</si>
  <si>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</si>
  <si>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</si>
  <si>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</si>
  <si>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</si>
  <si>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</si>
  <si>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</si>
  <si>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</si>
  <si>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</si>
  <si>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</si>
  <si>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</si>
  <si>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</si>
  <si>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</si>
  <si>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</si>
  <si>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</si>
  <si>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</si>
  <si>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</si>
  <si>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</si>
  <si>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</si>
  <si>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</si>
  <si>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</si>
  <si>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</si>
  <si>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</si>
  <si>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</si>
  <si>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</si>
  <si>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</si>
  <si>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</si>
  <si>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</si>
  <si>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</si>
  <si>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</si>
  <si>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</si>
  <si>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</si>
  <si>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</si>
  <si>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</si>
  <si>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</si>
  <si>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</si>
  <si>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</si>
  <si>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</si>
  <si>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</si>
  <si>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</si>
  <si>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</si>
  <si>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</si>
  <si>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</si>
  <si>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</si>
  <si>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</si>
  <si>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</si>
  <si>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</si>
  <si>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</si>
  <si>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</si>
  <si>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</si>
  <si>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</si>
  <si>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</si>
  <si>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</si>
  <si>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</si>
  <si>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</si>
  <si>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</si>
  <si>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</si>
  <si>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</si>
  <si>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</si>
  <si>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</si>
  <si>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</si>
  <si>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</si>
  <si>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</si>
  <si>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</si>
  <si>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</si>
  <si>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</si>
  <si>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</si>
  <si>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</si>
  <si>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</si>
  <si>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</si>
  <si>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</si>
  <si>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</si>
  <si>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</si>
  <si>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</si>
  <si>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</si>
  <si>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</si>
  <si>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</si>
  <si>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</si>
  <si>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</si>
  <si>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</si>
  <si>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</si>
  <si>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</si>
  <si>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</si>
  <si>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</si>
  <si>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</si>
  <si>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</si>
  <si>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</si>
  <si>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</si>
  <si>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</si>
  <si>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</si>
  <si>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</si>
  <si>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</si>
  <si>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</si>
  <si>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</si>
  <si>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</si>
  <si>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</si>
  <si>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</si>
  <si>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</si>
  <si>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</si>
  <si>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</si>
  <si>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</si>
  <si>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</si>
  <si>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</si>
  <si>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</si>
  <si>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</si>
  <si>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</si>
  <si>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</si>
  <si>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</si>
  <si>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</si>
  <si>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</si>
  <si>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</si>
  <si>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</si>
  <si>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</si>
  <si>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</si>
  <si>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</si>
  <si>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</si>
  <si>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</si>
  <si>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</si>
  <si>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</si>
  <si>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</si>
  <si>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</si>
  <si>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</si>
  <si>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</si>
  <si>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</si>
  <si>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</si>
  <si>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</si>
  <si>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</si>
  <si>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</si>
  <si>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</si>
  <si>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</si>
  <si>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</si>
  <si>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</si>
  <si>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</si>
  <si>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</si>
  <si>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</si>
  <si>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</si>
  <si>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</si>
  <si>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</si>
  <si>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</si>
  <si>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</si>
  <si>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</si>
  <si>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</si>
  <si>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</si>
  <si>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</si>
  <si>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</si>
  <si>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</si>
  <si>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</si>
  <si>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</si>
  <si>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</si>
  <si>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</si>
  <si>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</si>
  <si>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</si>
  <si>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</si>
  <si>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</si>
  <si>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</si>
  <si>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</si>
  <si>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</si>
  <si>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</si>
  <si>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</si>
  <si>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</si>
  <si>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</si>
  <si>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</si>
  <si>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</si>
  <si>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</si>
  <si>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</si>
  <si>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</si>
  <si>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</si>
  <si>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</si>
  <si>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</si>
  <si>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</si>
  <si>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</si>
  <si>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</si>
  <si>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</si>
  <si>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</si>
  <si>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</si>
  <si>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</si>
  <si>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</si>
  <si>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</si>
  <si>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</si>
  <si>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</si>
  <si>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</si>
  <si>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</si>
  <si>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</si>
  <si>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</si>
  <si>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</si>
  <si>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</si>
  <si>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</si>
  <si>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</si>
  <si>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</si>
  <si>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</si>
  <si>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</si>
  <si>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</si>
  <si>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</si>
  <si>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</si>
  <si>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</si>
  <si>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</si>
  <si>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</si>
  <si>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</si>
  <si>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</si>
  <si>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</si>
  <si>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</si>
  <si>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</si>
  <si>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</si>
  <si>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</si>
  <si>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</si>
  <si>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</si>
  <si>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</si>
  <si>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</si>
  <si>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</si>
  <si>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</si>
  <si>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</si>
  <si>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</si>
  <si>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</si>
  <si>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</si>
  <si>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</si>
  <si>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</si>
  <si>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</si>
  <si>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</si>
  <si>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</si>
  <si>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</si>
  <si>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</si>
  <si>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</si>
  <si>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</si>
  <si>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</si>
  <si>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</si>
  <si>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</si>
  <si>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</si>
  <si>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</si>
  <si>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</si>
  <si>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</si>
  <si>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</si>
  <si>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</si>
  <si>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</si>
  <si>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</si>
  <si>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</si>
  <si>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</si>
  <si>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</si>
  <si>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</si>
  <si>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</si>
  <si>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</si>
  <si>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</si>
  <si>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</si>
  <si>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</si>
  <si>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</si>
  <si>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</si>
  <si>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</si>
  <si>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</si>
  <si>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</si>
  <si>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</si>
  <si>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</si>
  <si>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</si>
  <si>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</si>
  <si>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</si>
  <si>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</si>
  <si>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</si>
  <si>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</si>
  <si>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</si>
  <si>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</si>
  <si>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</si>
  <si>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</si>
  <si>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</si>
  <si>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</si>
  <si>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</si>
  <si>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</si>
  <si>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</si>
  <si>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</si>
  <si>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</si>
  <si>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</si>
  <si>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</si>
  <si>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</si>
  <si>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</si>
  <si>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</si>
  <si>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</si>
  <si>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</si>
  <si>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</si>
  <si>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</si>
  <si>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</si>
  <si>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</si>
  <si>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</si>
  <si>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</si>
  <si>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</si>
  <si>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</si>
  <si>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</si>
  <si>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</si>
  <si>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</si>
  <si>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</si>
  <si>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</si>
  <si>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</si>
  <si>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</si>
  <si>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</si>
  <si>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</si>
  <si>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</si>
  <si>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</si>
  <si>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</si>
  <si>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</si>
  <si>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Zeshan </t>
  </si>
  <si>
    <t>Decent Store</t>
  </si>
  <si>
    <t>Rehman Store</t>
  </si>
  <si>
    <t xml:space="preserve">SS Bakers </t>
  </si>
  <si>
    <t>Al Hamd Store</t>
  </si>
  <si>
    <t>Rana Store</t>
  </si>
  <si>
    <t>Imran Store</t>
  </si>
  <si>
    <t>Mozam Store</t>
  </si>
  <si>
    <t>Chand Store</t>
  </si>
  <si>
    <t>Nazam Store</t>
  </si>
  <si>
    <t>Mashallah Store</t>
  </si>
  <si>
    <t>Hafiz Store</t>
  </si>
  <si>
    <t xml:space="preserve">Aono Bakers </t>
  </si>
  <si>
    <t>Al Hamad Store</t>
  </si>
  <si>
    <t>Haq Store</t>
  </si>
  <si>
    <t>Bilal Store</t>
  </si>
  <si>
    <t>Chohan Store</t>
  </si>
  <si>
    <t>Ahmad Store</t>
  </si>
  <si>
    <t xml:space="preserve">Gras Mart </t>
  </si>
  <si>
    <t xml:space="preserve">Kkies Bakers </t>
  </si>
  <si>
    <t>Phool Store</t>
  </si>
  <si>
    <t>Address: Nashter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</si>
</sst>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Decent Store</v>
      </c>
      <c r="T3" s="301">
        <f>+'1'!P35</f>
        <v>784.05289627118646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Rehman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SS Bakers 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Al Hamd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Rana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Imran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Mozam Store</v>
      </c>
      <c r="T9" s="301">
        <f>+'7'!P35</f>
        <v>9408.6347552542375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170</v>
      </c>
      <c r="I10" s="236">
        <f t="shared" si="0"/>
        <v>12348.8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987.904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432.20800000000003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10928.687999999998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2333.898305084746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66.312931525423735</v>
      </c>
      <c r="P10" s="311">
        <f t="shared" si="2"/>
        <v>13328.899236610168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3">
        <v>8</v>
      </c>
      <c r="S10" s="300" t="str">
        <f>+'8'!A6:A6</f>
        <v>Chand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7714.3679999999995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46.80912813559322</v>
      </c>
      <c r="P11" s="311">
        <f t="shared" si="2"/>
        <v>9408.6347552542375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3">
        <v>9</v>
      </c>
      <c r="S11" s="300" t="str">
        <f>+'9'!A6:A6</f>
        <v>Nazam Store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190</v>
      </c>
      <c r="I12" s="236">
        <f t="shared" si="0"/>
        <v>13801.6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1104.1279999999999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483.0560000000001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12214.416000000001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2608.4745762711873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74.114452881355959</v>
      </c>
      <c r="P12" s="311">
        <f t="shared" si="2"/>
        <v>14897.005029152544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20</v>
      </c>
      <c r="R12" s="313">
        <v>10</v>
      </c>
      <c r="S12" s="300" t="str">
        <f>+'10'!A6:A6</f>
        <v>Mashallah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Rehman Store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Hafiz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Aono Bakers </v>
      </c>
      <c r="T15" s="301">
        <f>+'13'!P35</f>
        <v>784.05289627118646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12</v>
      </c>
      <c r="H16" s="113">
        <f t="shared" ref="H16:M16" si="3">SUM(H7:H15)</f>
        <v>480</v>
      </c>
      <c r="I16" s="114">
        <f t="shared" si="3"/>
        <v>34867.199999999997</v>
      </c>
      <c r="J16" s="274">
        <f>SUM(J7:J15)</f>
        <v>2789.3760000000002</v>
      </c>
      <c r="K16" s="275">
        <f t="shared" si="3"/>
        <v>1220.3520000000001</v>
      </c>
      <c r="L16" s="276">
        <f t="shared" si="3"/>
        <v>0</v>
      </c>
      <c r="M16" s="232">
        <f t="shared" si="3"/>
        <v>30857.471999999998</v>
      </c>
      <c r="N16" s="233">
        <f>SUM(N7:N15)</f>
        <v>6589.8305084745771</v>
      </c>
      <c r="O16" s="101">
        <f>SUM(O7:O15)</f>
        <v>187.23651254237291</v>
      </c>
      <c r="P16" s="113">
        <f>SUM(P7:P15)</f>
        <v>37634.53902101695</v>
      </c>
      <c r="Q16" s="128">
        <f>SUM(Q7:Q15)</f>
        <v>80</v>
      </c>
      <c r="R16" s="313">
        <v>14</v>
      </c>
      <c r="S16" s="315" t="str">
        <f>+'14'!A6:A6</f>
        <v>Al Hamad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Haq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Bilal Store</v>
      </c>
      <c r="T18" s="301">
        <f>+'16'!P35</f>
        <v>784.05289627118646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34867.199999999997</v>
      </c>
      <c r="R19" s="299">
        <v>17</v>
      </c>
      <c r="S19" s="300" t="str">
        <f>+'17'!A6:A6</f>
        <v>Chohan Store</v>
      </c>
      <c r="T19" s="301">
        <f>+'17'!P35</f>
        <v>784.05289627118646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2789.3760000000002</v>
      </c>
      <c r="R20" s="299">
        <v>18</v>
      </c>
      <c r="S20" s="300" t="str">
        <f>+'18'!A6:A6</f>
        <v>Ahmad Store</v>
      </c>
      <c r="T20" s="301">
        <f>+'18'!P35</f>
        <v>784.05289627118646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1220.3520000000001</v>
      </c>
      <c r="R21" s="299">
        <v>19</v>
      </c>
      <c r="S21" s="300" t="str">
        <f>+'19'!A6:A6</f>
        <v xml:space="preserve">Gras Mart </v>
      </c>
      <c r="T21" s="301">
        <f>+'19'!P35</f>
        <v>6272.4231701694916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30857.471999999998</v>
      </c>
      <c r="R22" s="299">
        <v>20</v>
      </c>
      <c r="S22" s="300" t="str">
        <f>+'20'!A6:A6</f>
        <v xml:space="preserve">Kkies Bakers </v>
      </c>
      <c r="T22" s="301">
        <f>+'20'!P35</f>
        <v>6272.4231701694916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6589.8305084745771</v>
      </c>
      <c r="R23" s="299">
        <v>21</v>
      </c>
      <c r="S23" s="300" t="str">
        <f>+'21'!A6:A6</f>
        <v>Phool Store</v>
      </c>
      <c r="T23" s="301">
        <f>+'21'!P35</f>
        <v>3136.2115850847458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37447.302508474575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187.23651254237291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37634.53902101695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37634.539021016957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726.4</v>
      </c>
      <c r="J25" s="274">
        <f>SUM(J16:J24)</f>
        <v>58.112000000000002</v>
      </c>
      <c r="K25" s="275">
        <f t="shared" si="10"/>
        <v>25.424000000000003</v>
      </c>
      <c r="L25" s="276">
        <f t="shared" si="10"/>
        <v>0</v>
      </c>
      <c r="M25" s="232">
        <f t="shared" si="10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697.34400000000005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7714.3679999999995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9361.8256271186438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5" t="s">
        <v>88</v>
      </c>
      <c r="O35" s="346"/>
      <c r="P35" s="297">
        <f>+P33+P34</f>
        <v>9408.6347552542375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20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8.7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2026-10-22T11:51:16Z</dcterms:modified>
</cp:coreProperties>
</file>