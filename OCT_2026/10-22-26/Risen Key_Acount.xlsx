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8C79467-FEA2-4A53-BB25-6AA59391567E}" xr6:coauthVersionLast="47" xr6:coauthVersionMax="47" xr10:uidLastSave="{00000000-0000-0000-0000-000000000000}"/>
  <bookViews>
    <workbookView xWindow="-110" yWindow="-110" windowWidth="19420" windowHeight="10420" tabRatio="594" firstSheet="3" activeTab="8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3" i="44" l="1"/>
  <c r="O23" i="44" s="1"/>
  <c r="P23" i="44" s="1"/>
  <c r="K12" i="62"/>
  <c r="M17" i="44"/>
  <c r="O17" i="44" s="1"/>
  <c r="P17" i="44" s="1"/>
  <c r="M20" i="43"/>
  <c r="O20" i="43" s="1"/>
  <c r="P20" i="43" s="1"/>
  <c r="R20" i="43" s="1"/>
  <c r="M21" i="43"/>
  <c r="O21" i="43" s="1"/>
  <c r="P21" i="43" s="1"/>
  <c r="J7" i="62"/>
  <c r="M21" i="44"/>
  <c r="O21" i="44" s="1"/>
  <c r="P21" i="44" s="1"/>
  <c r="M16" i="44"/>
  <c r="M17" i="60"/>
  <c r="O17" i="60" s="1"/>
  <c r="P17" i="60" s="1"/>
  <c r="M16" i="59"/>
  <c r="M21" i="53"/>
  <c r="O21" i="53" s="1"/>
  <c r="P21" i="53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70" l="1"/>
  <c r="P25" i="70" s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<sst xmlns="http://schemas.openxmlformats.org/spreadsheetml/2006/main" count="3973" uniqueCount="534">
  <si>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</si>
  <si>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</si>
  <si>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</si>
  <si>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</si>
  <si>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</si>
  <si>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</si>
  <si>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</si>
  <si>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</si>
  <si>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</si>
  <si>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</si>
  <si>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</si>
  <si>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</si>
  <si>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</si>
  <si>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</si>
  <si>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</si>
  <si>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</si>
  <si>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</si>
  <si>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</si>
  <si>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</si>
  <si>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</si>
  <si>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</si>
  <si>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</si>
  <si>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</si>
  <si>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</si>
  <si>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</si>
  <si>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</si>
  <si>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</si>
  <si>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</si>
  <si>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</si>
  <si>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</si>
  <si>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</si>
  <si>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</si>
  <si>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</si>
  <si>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</si>
  <si>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</si>
  <si>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</si>
  <si>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</si>
  <si>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</si>
  <si>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</si>
  <si>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</si>
  <si>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</si>
  <si>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</si>
  <si>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</si>
  <si>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</si>
  <si>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</si>
  <si>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</si>
  <si>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</si>
  <si>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</si>
  <si>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</si>
  <si>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</si>
  <si>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</si>
  <si>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</si>
  <si>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</si>
  <si>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</si>
  <si>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</si>
  <si>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</si>
  <si>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</si>
  <si>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</si>
  <si>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</si>
  <si>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</si>
  <si>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</si>
  <si>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</si>
  <si>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</si>
  <si>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</si>
  <si>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</si>
  <si>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</si>
  <si>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</si>
  <si>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</si>
  <si>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</si>
  <si>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</si>
  <si>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</si>
  <si>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</si>
  <si>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</si>
  <si>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</si>
  <si>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</si>
  <si>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</si>
  <si>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</si>
  <si>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</si>
  <si>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</si>
  <si>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</si>
  <si>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</si>
  <si>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</si>
  <si>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</si>
  <si>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</si>
  <si>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</si>
  <si>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</si>
  <si>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</si>
  <si>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</si>
  <si>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</si>
  <si>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</si>
  <si>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</si>
  <si>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</si>
  <si>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</si>
  <si>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</si>
  <si>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</si>
  <si>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</si>
  <si>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</si>
  <si>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</si>
  <si>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</si>
  <si>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</si>
  <si>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</si>
  <si>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</si>
  <si>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</si>
  <si>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</si>
  <si>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</si>
  <si>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</si>
  <si>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</si>
  <si>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</si>
  <si>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</si>
  <si>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</si>
  <si>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</si>
  <si>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</si>
  <si>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</si>
  <si>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</si>
  <si>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</si>
  <si>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</si>
  <si>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</si>
  <si>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</si>
  <si>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</si>
  <si>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</si>
  <si>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</si>
  <si>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</si>
  <si>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</si>
  <si>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</si>
  <si>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</si>
  <si>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</si>
  <si>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</si>
  <si>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</si>
  <si>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</si>
  <si>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</si>
  <si>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</si>
  <si>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</si>
  <si>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</si>
  <si>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</si>
  <si>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</si>
  <si>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</si>
  <si>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</si>
  <si>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</si>
  <si>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</si>
  <si>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</si>
  <si>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</si>
  <si>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</si>
  <si>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</si>
  <si>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</si>
  <si>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</si>
  <si>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</si>
  <si>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</si>
  <si>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</si>
  <si>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</si>
  <si>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</si>
  <si>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</si>
  <si>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</si>
  <si>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</si>
  <si>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</si>
  <si>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</si>
  <si>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</si>
  <si>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</si>
  <si>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</si>
  <si>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</si>
  <si>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</si>
  <si>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</si>
  <si>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</si>
  <si>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</si>
  <si>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</si>
  <si>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</si>
  <si>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</si>
  <si>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</si>
  <si>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</si>
  <si>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</si>
  <si>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</si>
  <si>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</si>
  <si>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</si>
  <si>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</si>
  <si>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</si>
  <si>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</si>
  <si>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</si>
  <si>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</si>
  <si>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</si>
  <si>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</si>
  <si>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</si>
  <si>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</si>
  <si>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</si>
  <si>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</si>
  <si>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</si>
  <si>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</si>
  <si>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</si>
  <si>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</si>
  <si>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</si>
  <si>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</si>
  <si>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</si>
  <si>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</si>
  <si>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</si>
  <si>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</si>
  <si>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</si>
  <si>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</si>
  <si>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</si>
  <si>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</si>
  <si>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</si>
  <si>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</si>
  <si>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</si>
  <si>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</si>
  <si>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</si>
  <si>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</si>
  <si>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</si>
  <si>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</si>
  <si>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</si>
  <si>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</si>
  <si>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</si>
  <si>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</si>
  <si>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</si>
  <si>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</si>
  <si>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</si>
  <si>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</si>
  <si>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</si>
  <si>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</si>
  <si>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</si>
  <si>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</si>
  <si>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</si>
  <si>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</si>
  <si>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</si>
  <si>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</si>
  <si>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</si>
  <si>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</si>
  <si>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</si>
  <si>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</si>
  <si>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</si>
  <si>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</si>
  <si>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</si>
  <si>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</si>
  <si>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</si>
  <si>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</si>
  <si>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</si>
  <si>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</si>
  <si>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</si>
  <si>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</si>
  <si>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</si>
  <si>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</si>
  <si>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</si>
  <si>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</si>
  <si>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</si>
  <si>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</si>
  <si>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</si>
  <si>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</si>
  <si>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</si>
  <si>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</si>
  <si>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</si>
  <si>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</si>
  <si>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</si>
  <si>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</si>
  <si>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</si>
  <si>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</si>
  <si>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</si>
  <si>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</si>
  <si>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</si>
  <si>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</si>
  <si>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</si>
  <si>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</si>
  <si>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</si>
  <si>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</si>
  <si>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</si>
  <si>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</si>
  <si>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</si>
  <si>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</si>
  <si>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</si>
  <si>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</si>
  <si>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</si>
  <si>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</si>
  <si>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</si>
  <si>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</si>
  <si>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</si>
  <si>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</si>
  <si>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</si>
  <si>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</si>
  <si>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</si>
  <si>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</si>
  <si>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</si>
  <si>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</si>
  <si>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</si>
  <si>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</si>
  <si>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</si>
  <si>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</si>
  <si>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</si>
  <si>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</si>
  <si>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</si>
  <si>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</si>
  <si>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</si>
  <si>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</si>
  <si>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</si>
  <si>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</si>
  <si>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</si>
  <si>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</si>
  <si>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</si>
  <si>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</si>
  <si>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</si>
  <si>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</si>
  <si>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</si>
  <si>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</si>
  <si>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</si>
  <si>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</si>
  <si>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</si>
  <si>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</si>
  <si>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</si>
  <si>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</si>
  <si>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</si>
  <si>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</si>
  <si>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</si>
  <si>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</si>
  <si>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</si>
  <si>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</si>
  <si>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</si>
  <si>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</si>
  <si>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</si>
  <si>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</si>
  <si>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</si>
  <si>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</si>
  <si>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</si>
  <si>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</si>
  <si>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</si>
  <si>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</si>
  <si>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</si>
  <si>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</si>
  <si>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</si>
  <si>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</si>
  <si>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</si>
  <si>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</si>
  <si>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</si>
  <si>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</si>
  <si>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</si>
  <si>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</si>
  <si>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</si>
  <si>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</si>
  <si>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</si>
  <si>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</si>
  <si>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</si>
  <si>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</si>
  <si>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</si>
  <si>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</si>
  <si>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</si>
  <si>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</si>
  <si>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</si>
  <si>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</si>
  <si>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</si>
  <si>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</si>
  <si>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</si>
  <si>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</si>
  <si>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</si>
  <si>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</si>
  <si>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</si>
  <si>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</si>
  <si>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</si>
  <si>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</si>
  <si>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</si>
  <si>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</si>
  <si>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</si>
  <si>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</si>
  <si>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</si>
  <si>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</si>
  <si>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</si>
  <si>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</si>
  <si>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</si>
  <si>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</si>
  <si>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</si>
  <si>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</si>
  <si>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</si>
  <si>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</si>
  <si>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</si>
  <si>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</si>
  <si>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</si>
  <si>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</si>
  <si>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</si>
  <si>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</si>
  <si>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</si>
  <si>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</si>
  <si>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</si>
  <si>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</si>
  <si>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</si>
  <si>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</si>
  <si>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</si>
  <si>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</si>
  <si>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</si>
  <si>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</si>
  <si>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</si>
  <si>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</si>
  <si>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</si>
  <si>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</si>
  <si>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</si>
  <si>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</si>
  <si>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</si>
  <si>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</si>
  <si>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</si>
  <si>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</si>
  <si>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</si>
  <si>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</si>
  <si>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</si>
  <si>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</si>
  <si>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</si>
  <si>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</si>
  <si>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</si>
  <si>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</si>
  <si>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</si>
  <si>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</si>
  <si>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</si>
  <si>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</si>
  <si>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</si>
  <si>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</si>
  <si>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</si>
  <si>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</si>
  <si>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</si>
  <si>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</si>
  <si>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</si>
  <si>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</si>
  <si>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</si>
  <si>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</si>
  <si>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</si>
  <si>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</si>
  <si>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</si>
  <si>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</si>
  <si>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</si>
  <si>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</si>
  <si>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</si>
  <si>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</si>
  <si>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</si>
  <si>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</si>
  <si>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</si>
  <si>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</si>
  <si>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</si>
  <si>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</si>
  <si>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</si>
  <si>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</si>
  <si>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</si>
  <si>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</si>
  <si>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</si>
  <si>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</si>
  <si>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</si>
  <si>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</si>
  <si>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</si>
  <si>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</si>
  <si>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</si>
  <si>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</si>
  <si>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</si>
  <si>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</si>
  <si>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</si>
  <si>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</si>
  <si>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</si>
  <si>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</si>
  <si>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</si>
  <si>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</si>
  <si>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</si>
  <si>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</si>
  <si>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</si>
  <si>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</si>
  <si>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</si>
  <si>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</si>
  <si>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</si>
  <si>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</si>
  <si>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</si>
  <si>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</si>
  <si>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</si>
  <si>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</si>
  <si>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</si>
  <si>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</si>
  <si>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</si>
  <si>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</si>
  <si>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</si>
  <si>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</si>
  <si>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</si>
  <si>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</si>
  <si>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</si>
  <si>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</si>
  <si>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</si>
  <si>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</si>
  <si>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</si>
  <si>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</si>
  <si>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</si>
  <si>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</si>
  <si>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</si>
  <si>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</si>
  <si>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</si>
  <si>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</si>
  <si>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</si>
  <si>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</si>
  <si>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</si>
  <si>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</si>
  <si>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</si>
  <si>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</si>
  <si>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</si>
  <si>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</si>
  <si>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</si>
  <si>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</si>
  <si>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</si>
  <si>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</si>
  <si>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</si>
  <si>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</si>
  <si>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</si>
  <si>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</si>
  <si>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</si>
  <si>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</si>
  <si>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</si>
  <si>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</si>
  <si>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</si>
  <si>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</si>
  <si>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</si>
  <si>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</si>
  <si>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</si>
  <si>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</si>
  <si>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</si>
  <si>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</si>
  <si>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</si>
  <si>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</si>
  <si>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</si>
  <si>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</si>
  <si>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</si>
  <si>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MS/SB Traders</t>
  </si>
  <si>
    <t>NTN # : 4655329-3</t>
  </si>
  <si>
    <t>Invoice No # :156123</t>
  </si>
  <si>
    <t>_SB Traders</t>
  </si>
  <si>
    <t xml:space="preserve">Address: Shadbagh </t>
  </si>
  <si>
    <t>Address: Sabzazaar</t>
  </si>
  <si>
    <t>NTN # : 9725069-2</t>
  </si>
  <si>
    <t xml:space="preserve">TN Traders </t>
  </si>
  <si>
    <t xml:space="preserve">Address:Thoker Niaz Bagh </t>
  </si>
  <si>
    <t>NTN # :  9402653-2</t>
  </si>
  <si>
    <t>M.S Traders</t>
  </si>
  <si>
    <t>Address: Askari 11</t>
  </si>
  <si>
    <t>Shakoor</t>
  </si>
  <si>
    <t>Invoice No # : 156156</t>
  </si>
  <si>
    <t>Invoice No # : 61163</t>
  </si>
  <si>
    <t>Risen</t>
  </si>
  <si>
    <t xml:space="preserve">MS Rafaqat Sons </t>
  </si>
  <si>
    <t>Invoice No # : 159523</t>
  </si>
  <si>
    <t>CB Traders</t>
  </si>
  <si>
    <t xml:space="preserve">Address:Manawan </t>
  </si>
  <si>
    <t>NTN # : 4987374-2</t>
  </si>
  <si>
    <t>Invoice No # :5451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</si>
</sst>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S6" sqref="S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498</v>
      </c>
      <c r="F2" s="385"/>
      <c r="G2" s="385"/>
      <c r="H2" s="382" t="s">
        <v>527</v>
      </c>
      <c r="I2" s="382"/>
      <c r="J2" s="383"/>
      <c r="R2" s="379" t="s">
        <v>497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508</v>
      </c>
      <c r="F3" s="389"/>
      <c r="G3" s="389"/>
      <c r="H3" s="386">
        <f ca="1">TODAY()</f>
        <v>46317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00" t="str">
        <f>+'1'!A6:A6</f>
        <v>_SB Traders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MS Rafaqat Sons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TN Traders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M.S Traders</v>
      </c>
      <c r="T6" s="301">
        <f>+'4'!P35</f>
        <v>9376.5400036016945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120</v>
      </c>
      <c r="I7" s="235">
        <f>(G7*D7)*F7+H7*F7</f>
        <v>6295.5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881.37000000000012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5414.13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1189.8305084745757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33.019802542372879</v>
      </c>
      <c r="P7" s="310">
        <f>M7+N7+O7</f>
        <v>6636.9803110169496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CB Traders</v>
      </c>
      <c r="T7" s="301">
        <f>+'5'!P35</f>
        <v>21953.022236440676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MS/SB Traders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120</v>
      </c>
      <c r="I9" s="236">
        <f t="shared" si="0"/>
        <v>6295.5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881.37000000000012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220.34250000000003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5193.7875000000004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1189.8305084745757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31.918090042372878</v>
      </c>
      <c r="P9" s="311">
        <f t="shared" si="2"/>
        <v>6415.5360985169482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MS/SB Traders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160</v>
      </c>
      <c r="I10" s="236">
        <f t="shared" si="0"/>
        <v>11622.4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1627.1360000000002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9893.5679999999993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2196.6101694915255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60.450890847457629</v>
      </c>
      <c r="P10" s="311">
        <f t="shared" si="2"/>
        <v>12150.629060338983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MS/SB Traders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1</v>
      </c>
      <c r="R11" s="314">
        <v>9</v>
      </c>
      <c r="S11" s="300" t="str">
        <f>+'9'!A6:A6</f>
        <v>MS/SB Traders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813.5680000000001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4997.6319999999996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30.47968542372881</v>
      </c>
      <c r="P12" s="311">
        <f t="shared" si="2"/>
        <v>6126.4167701694905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MS/SB Traders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MS/SB Traders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MS/SB Traders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MS/SB Traders</v>
      </c>
      <c r="T15" s="301">
        <f>+'13'!P35</f>
        <v>0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117">
        <f>H16/40</f>
        <v>12</v>
      </c>
      <c r="H16" s="113">
        <f t="shared" ref="H16:M16" si="3">SUM(H7:H15)</f>
        <v>480</v>
      </c>
      <c r="I16" s="114">
        <f t="shared" si="3"/>
        <v>30024.600000000002</v>
      </c>
      <c r="J16" s="274">
        <f>SUM(J7:J15)</f>
        <v>4203.4440000000004</v>
      </c>
      <c r="K16" s="275">
        <f t="shared" si="3"/>
        <v>322.03850000000006</v>
      </c>
      <c r="L16" s="276">
        <f t="shared" si="3"/>
        <v>0</v>
      </c>
      <c r="M16" s="232">
        <f t="shared" si="3"/>
        <v>25499.1175</v>
      </c>
      <c r="N16" s="233">
        <f>SUM(N7:N15)</f>
        <v>5674.57627118644</v>
      </c>
      <c r="O16" s="101">
        <f>SUM(O7:O15)</f>
        <v>155.86846885593218</v>
      </c>
      <c r="P16" s="113">
        <f>SUM(P7:P15)</f>
        <v>31329.562240042371</v>
      </c>
      <c r="Q16" s="128">
        <f>SUM(Q7:Q15)</f>
        <v>1</v>
      </c>
      <c r="R16" s="314">
        <v>14</v>
      </c>
      <c r="S16" s="300" t="str">
        <f>+'14'!A6:A6</f>
        <v>MS/SB Traders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MS/SB Traders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MS/SB Traders</v>
      </c>
      <c r="T18" s="301">
        <f>+'16'!P35</f>
        <v>0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30024.600000000002</v>
      </c>
      <c r="R19" s="299">
        <v>17</v>
      </c>
      <c r="S19" s="300" t="str">
        <f>+'17'!A6:A6</f>
        <v>MS/SB Traders</v>
      </c>
      <c r="T19" s="301">
        <f>+'17'!P35</f>
        <v>0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4203.4440000000004</v>
      </c>
      <c r="R20" s="299">
        <v>18</v>
      </c>
      <c r="S20" s="300" t="str">
        <f>+'18'!A6:A6</f>
        <v>MS/SB Traders</v>
      </c>
      <c r="T20" s="301">
        <f>+'18'!P35</f>
        <v>0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322.03850000000006</v>
      </c>
      <c r="R21" s="299">
        <v>19</v>
      </c>
      <c r="S21" s="300" t="str">
        <f>+'19'!A6:A6</f>
        <v>MS/SB Traders</v>
      </c>
      <c r="T21" s="301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25499.117500000004</v>
      </c>
      <c r="R22" s="299">
        <v>20</v>
      </c>
      <c r="S22" s="300" t="str">
        <f>+'20'!A6:A6</f>
        <v>MS/SB Traders</v>
      </c>
      <c r="T22" s="301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5674.57627118644</v>
      </c>
      <c r="R23" s="299">
        <v>21</v>
      </c>
      <c r="S23" s="300" t="str">
        <f>+'21'!A6:A6</f>
        <v>MS/SB Traders</v>
      </c>
      <c r="T23" s="301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31173.693771186445</v>
      </c>
      <c r="R24" s="299">
        <v>22</v>
      </c>
      <c r="S24" s="300" t="str">
        <f>+'22'!A6:A6</f>
        <v>MS/SB Traders</v>
      </c>
      <c r="T24" s="301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155.86846885593218</v>
      </c>
      <c r="R25" s="299">
        <v>23</v>
      </c>
      <c r="S25" s="300" t="str">
        <f>+'23'!A6:A6</f>
        <v>MS/SB Traders</v>
      </c>
      <c r="T25" s="301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31329.562240042378</v>
      </c>
      <c r="R26" s="299">
        <v>24</v>
      </c>
      <c r="S26" s="300" t="str">
        <f>+'24'!A6:A6</f>
        <v>MS/SB Traders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00" t="str">
        <f>+'25'!A6:A6</f>
        <v>MS/SB Traders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MS/SB Traders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MS/SB Traders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MS/SB Traders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MS/SB Traders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MS/SB Traders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31329.562240042371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524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525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528</v>
      </c>
      <c r="B6" s="399"/>
      <c r="C6" s="399"/>
      <c r="F6" s="85"/>
      <c r="G6" s="86"/>
      <c r="K6" s="394" t="s">
        <v>69</v>
      </c>
      <c r="L6" s="394"/>
      <c r="M6" s="394"/>
      <c r="N6" s="396" t="s">
        <v>524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518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activeCell="H16" sqref="H16:H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526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8.75" customHeight="1" x14ac:dyDescent="0.4">
      <c r="A6" s="399" t="s">
        <v>519</v>
      </c>
      <c r="B6" s="399"/>
      <c r="C6" s="399"/>
      <c r="F6" s="85"/>
      <c r="G6" s="86"/>
      <c r="K6" s="394" t="s">
        <v>69</v>
      </c>
      <c r="L6" s="394"/>
      <c r="M6" s="394"/>
      <c r="N6" s="396" t="s">
        <v>524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521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520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>
        <v>1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529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46267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46266</v>
      </c>
      <c r="O5" s="393"/>
      <c r="P5" s="393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94" t="s">
        <v>69</v>
      </c>
      <c r="L6" s="394"/>
      <c r="M6" s="394"/>
      <c r="N6" s="396" t="s">
        <v>524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518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120</v>
      </c>
      <c r="I18" s="236">
        <f t="shared" si="0"/>
        <v>6295.5</v>
      </c>
      <c r="J18" s="272">
        <f t="shared" si="1"/>
        <v>881.37000000000012</v>
      </c>
      <c r="K18" s="128">
        <f t="shared" si="1"/>
        <v>220.34250000000003</v>
      </c>
      <c r="L18" s="119">
        <f t="shared" si="1"/>
        <v>0</v>
      </c>
      <c r="M18" s="230">
        <f t="shared" si="2"/>
        <v>5193.7875000000004</v>
      </c>
      <c r="N18" s="277">
        <f t="shared" si="3"/>
        <v>1189.8305084745757</v>
      </c>
      <c r="O18" s="239">
        <f t="shared" si="4"/>
        <v>31.918090042372878</v>
      </c>
      <c r="P18" s="311">
        <f t="shared" si="5"/>
        <v>6415.5360985169482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406.78400000000005</v>
      </c>
      <c r="K19" s="128">
        <f t="shared" si="1"/>
        <v>101.69600000000001</v>
      </c>
      <c r="L19" s="119">
        <f t="shared" si="1"/>
        <v>0</v>
      </c>
      <c r="M19" s="230">
        <f t="shared" si="2"/>
        <v>2397.12</v>
      </c>
      <c r="N19" s="277">
        <f t="shared" si="3"/>
        <v>549.15254237288138</v>
      </c>
      <c r="O19" s="239">
        <f t="shared" si="4"/>
        <v>14.731362711864406</v>
      </c>
      <c r="P19" s="311">
        <f t="shared" si="5"/>
        <v>2961.0039050847454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160</v>
      </c>
      <c r="I25" s="114">
        <f t="shared" si="7"/>
        <v>9201.1</v>
      </c>
      <c r="J25" s="274">
        <f>SUM(J16:J24)</f>
        <v>1288.1540000000002</v>
      </c>
      <c r="K25" s="275">
        <f t="shared" si="7"/>
        <v>322.03850000000006</v>
      </c>
      <c r="L25" s="276">
        <f t="shared" si="7"/>
        <v>0</v>
      </c>
      <c r="M25" s="232">
        <f t="shared" si="7"/>
        <v>7590.9075000000003</v>
      </c>
      <c r="N25" s="233">
        <f>SUM(N16:N24)</f>
        <v>1738.983050847457</v>
      </c>
      <c r="O25" s="101">
        <f>SUM(O16:O24)</f>
        <v>46.649452754237288</v>
      </c>
      <c r="P25" s="113">
        <f>SUM(P16:P24)</f>
        <v>9376.5400036016945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9201.1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1288.1540000000002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322.03850000000006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7590.9075000000003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1738.983050847457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9329.8905508474563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46.649452754237281</v>
      </c>
    </row>
    <row r="35" spans="2:16" ht="15.75" customHeight="1" thickBot="1" x14ac:dyDescent="0.4">
      <c r="N35" s="373" t="s">
        <v>88</v>
      </c>
      <c r="O35" s="374"/>
      <c r="P35" s="297">
        <f>+P33+P34</f>
        <v>9376.5400036016945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abSelected="1" topLeftCell="A6"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533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46317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46316</v>
      </c>
      <c r="O5" s="393"/>
      <c r="P5" s="393"/>
      <c r="R5" s="85"/>
      <c r="S5" s="266"/>
    </row>
    <row r="6" spans="1:22 16383:16384" ht="15" customHeight="1" x14ac:dyDescent="0.4">
      <c r="A6" s="399" t="s">
        <v>530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532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531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120</v>
      </c>
      <c r="I16" s="235">
        <f>(G16*D16)*F16+H16*F16</f>
        <v>6295.5</v>
      </c>
      <c r="J16" s="271">
        <f>$I16*S16</f>
        <v>881.37000000000012</v>
      </c>
      <c r="K16" s="127">
        <f>$I16*T16</f>
        <v>0</v>
      </c>
      <c r="L16" s="118">
        <f>$I16*U16</f>
        <v>0</v>
      </c>
      <c r="M16" s="229">
        <f>I16-SUM(J16:L16)</f>
        <v>5414.13</v>
      </c>
      <c r="N16" s="248">
        <f>+(G16*D16+H16)*V16</f>
        <v>1189.8305084745757</v>
      </c>
      <c r="O16" s="238">
        <f>(N16+M16)*$O$15</f>
        <v>33.019802542372879</v>
      </c>
      <c r="P16" s="310">
        <f>M16+N16+O16</f>
        <v>6636.9803110169496</v>
      </c>
      <c r="Q16" s="313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120</v>
      </c>
      <c r="I19" s="236">
        <f t="shared" si="0"/>
        <v>8716.7999999999993</v>
      </c>
      <c r="J19" s="272">
        <f t="shared" si="1"/>
        <v>1220.3520000000001</v>
      </c>
      <c r="K19" s="128">
        <f t="shared" si="1"/>
        <v>0</v>
      </c>
      <c r="L19" s="119">
        <f t="shared" si="1"/>
        <v>0</v>
      </c>
      <c r="M19" s="230">
        <f t="shared" si="2"/>
        <v>7496.4479999999994</v>
      </c>
      <c r="N19" s="277">
        <f t="shared" si="3"/>
        <v>1647.4576271186443</v>
      </c>
      <c r="O19" s="239">
        <f t="shared" si="4"/>
        <v>45.719528135593222</v>
      </c>
      <c r="P19" s="311">
        <f t="shared" si="5"/>
        <v>9189.6251552542362</v>
      </c>
      <c r="Q19" s="156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813.5680000000001</v>
      </c>
      <c r="K21" s="128">
        <f t="shared" si="1"/>
        <v>0</v>
      </c>
      <c r="L21" s="119">
        <f t="shared" si="1"/>
        <v>0</v>
      </c>
      <c r="M21" s="230">
        <f t="shared" si="2"/>
        <v>4997.6319999999996</v>
      </c>
      <c r="N21" s="277">
        <f t="shared" si="3"/>
        <v>1098.3050847457628</v>
      </c>
      <c r="O21" s="239">
        <f t="shared" si="4"/>
        <v>30.47968542372881</v>
      </c>
      <c r="P21" s="311">
        <f t="shared" si="5"/>
        <v>6126.4167701694905</v>
      </c>
      <c r="Q21" s="156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320</v>
      </c>
      <c r="I25" s="114">
        <f t="shared" si="7"/>
        <v>20823.5</v>
      </c>
      <c r="J25" s="274">
        <f>SUM(J16:J24)</f>
        <v>2915.2900000000004</v>
      </c>
      <c r="K25" s="275">
        <f t="shared" si="7"/>
        <v>0</v>
      </c>
      <c r="L25" s="276">
        <f t="shared" si="7"/>
        <v>0</v>
      </c>
      <c r="M25" s="232">
        <f t="shared" si="7"/>
        <v>17908.21</v>
      </c>
      <c r="N25" s="233">
        <f>SUM(N16:N24)</f>
        <v>3935.593220338983</v>
      </c>
      <c r="O25" s="101">
        <f>SUM(O16:O24)</f>
        <v>109.21901610169492</v>
      </c>
      <c r="P25" s="113">
        <f>SUM(P16:P24)</f>
        <v>21953.022236440676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20823.5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2915.2900000000004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17908.21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3935.593220338983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21843.803220338981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109.2190161016949</v>
      </c>
    </row>
    <row r="35" spans="2:16" ht="15.75" customHeight="1" thickBot="1" x14ac:dyDescent="0.4">
      <c r="N35" s="373" t="s">
        <v>88</v>
      </c>
      <c r="O35" s="374"/>
      <c r="P35" s="297">
        <f>+P33+P34</f>
        <v>21953.022236440676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46318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46317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2026-10-22T04:30:43Z</dcterms:modified>
</cp:coreProperties>
</file>