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451765C-4B8C-47A4-B150-A17E30F85A4C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M24" i="53" s="1"/>
  <c r="O24" i="53" s="1"/>
  <c r="P24" i="53" s="1"/>
  <c r="L24" i="53"/>
  <c r="J24" i="53"/>
  <c r="J24" i="58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72" l="1"/>
  <c r="O23" i="72" s="1"/>
  <c r="P23" i="72" s="1"/>
  <c r="M23" i="44"/>
  <c r="O23" i="44" s="1"/>
  <c r="P23" i="44" s="1"/>
  <c r="M24" i="44"/>
  <c r="O24" i="44" s="1"/>
  <c r="P24" i="44" s="1"/>
  <c r="M24" i="58"/>
  <c r="O24" i="58" s="1"/>
  <c r="P24" i="58" s="1"/>
  <c r="M24" i="43"/>
  <c r="O24" i="43" s="1"/>
  <c r="P24" i="43" s="1"/>
  <c r="M23" i="66"/>
  <c r="M23" i="54"/>
  <c r="O23" i="54" s="1"/>
  <c r="P23" i="54" s="1"/>
  <c r="M23" i="69"/>
  <c r="O23" i="69" s="1"/>
  <c r="P23" i="69" s="1"/>
  <c r="M23" i="53"/>
  <c r="O23" i="53" s="1"/>
  <c r="P23" i="53" s="1"/>
  <c r="M24" i="63"/>
  <c r="O24" i="63" s="1"/>
  <c r="P24" i="63" s="1"/>
  <c r="M20" i="71"/>
  <c r="O20" i="71" s="1"/>
  <c r="P20" i="71" s="1"/>
  <c r="R20" i="71" s="1"/>
  <c r="M21" i="51"/>
  <c r="M20" i="70"/>
  <c r="O20" i="70" s="1"/>
  <c r="P20" i="70" s="1"/>
  <c r="R20" i="70" s="1"/>
  <c r="M21" i="68"/>
  <c r="O21" i="68" s="1"/>
  <c r="P21" i="68" s="1"/>
  <c r="M17" i="72"/>
  <c r="O17" i="72" s="1"/>
  <c r="P17" i="72" s="1"/>
  <c r="M16" i="64"/>
  <c r="O16" i="64" s="1"/>
  <c r="P16" i="64" s="1"/>
  <c r="M16" i="65"/>
  <c r="M16" i="48"/>
  <c r="M16" i="60"/>
  <c r="O16" i="60" s="1"/>
  <c r="P16" i="60" s="1"/>
  <c r="M16" i="66"/>
  <c r="M16" i="44"/>
  <c r="M16" i="72"/>
  <c r="M18" i="67"/>
  <c r="O18" i="67" s="1"/>
  <c r="P18" i="67" s="1"/>
  <c r="M17" i="60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3" i="64"/>
  <c r="P23" i="64" s="1"/>
  <c r="O24" i="71"/>
  <c r="P24" i="71"/>
  <c r="O23" i="59"/>
  <c r="P23" i="59"/>
  <c r="O24" i="48"/>
  <c r="P24" i="48" s="1"/>
  <c r="O16" i="44"/>
  <c r="O22" i="51"/>
  <c r="P22" i="51" s="1"/>
  <c r="O23" i="60"/>
  <c r="P23" i="60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 s="1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4" i="55" l="1"/>
  <c r="O25" i="55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<sst xmlns="http://schemas.openxmlformats.org/spreadsheetml/2006/main" count="3918" uniqueCount="518">
  <si>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</si>
  <si>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</si>
  <si>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</si>
  <si>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</si>
  <si>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</si>
  <si>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</si>
  <si>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</si>
  <si>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</si>
  <si>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</si>
  <si>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</si>
  <si>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</si>
  <si>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</si>
  <si>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</si>
  <si>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</si>
  <si>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</si>
  <si>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</si>
  <si>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</si>
  <si>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</si>
  <si>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</si>
  <si>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</si>
  <si>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</si>
  <si>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</si>
  <si>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</si>
  <si>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</si>
  <si>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</si>
  <si>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</si>
  <si>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</si>
  <si>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</si>
  <si>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</si>
  <si>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</si>
  <si>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</si>
  <si>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</si>
  <si>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</si>
  <si>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</si>
  <si>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</si>
  <si>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</si>
  <si>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</si>
  <si>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</si>
  <si>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</si>
  <si>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</si>
  <si>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</si>
  <si>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</si>
  <si>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</si>
  <si>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</si>
  <si>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</si>
  <si>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</si>
  <si>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</si>
  <si>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</si>
  <si>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</si>
  <si>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</si>
  <si>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</si>
  <si>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</si>
  <si>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</si>
  <si>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</si>
  <si>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</si>
  <si>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</si>
  <si>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</si>
  <si>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</si>
  <si>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</si>
  <si>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</si>
  <si>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</si>
  <si>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</si>
  <si>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</si>
  <si>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</si>
  <si>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</si>
  <si>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</si>
  <si>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</si>
  <si>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</si>
  <si>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</si>
  <si>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</si>
  <si>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</si>
  <si>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</si>
  <si>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</si>
  <si>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</si>
  <si>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</si>
  <si>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</si>
  <si>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</si>
  <si>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</si>
  <si>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</si>
  <si>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</si>
  <si>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</si>
  <si>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</si>
  <si>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</si>
  <si>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</si>
  <si>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</si>
  <si>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</si>
  <si>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</si>
  <si>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</si>
  <si>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</si>
  <si>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</si>
  <si>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</si>
  <si>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</si>
  <si>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</si>
  <si>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</si>
  <si>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</si>
  <si>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</si>
  <si>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</si>
  <si>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</si>
  <si>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</si>
  <si>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</si>
  <si>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</si>
  <si>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</si>
  <si>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</si>
  <si>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</si>
  <si>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</si>
  <si>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</si>
  <si>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</si>
  <si>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</si>
  <si>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</si>
  <si>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</si>
  <si>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</si>
  <si>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</si>
  <si>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</si>
  <si>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</si>
  <si>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</si>
  <si>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</si>
  <si>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</si>
  <si>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</si>
  <si>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</si>
  <si>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</si>
  <si>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</si>
  <si>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</si>
  <si>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</si>
  <si>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</si>
  <si>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</si>
  <si>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</si>
  <si>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</si>
  <si>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</si>
  <si>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</si>
  <si>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</si>
  <si>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</si>
  <si>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</si>
  <si>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</si>
  <si>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</si>
  <si>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</si>
  <si>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</si>
  <si>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</si>
  <si>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</si>
  <si>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</si>
  <si>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</si>
  <si>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</si>
  <si>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</si>
  <si>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</si>
  <si>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</si>
  <si>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</si>
  <si>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</si>
  <si>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</si>
  <si>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</si>
  <si>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</si>
  <si>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</si>
  <si>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</si>
  <si>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</si>
  <si>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</si>
  <si>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</si>
  <si>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</si>
  <si>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</si>
  <si>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</si>
  <si>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</si>
  <si>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</si>
  <si>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</si>
  <si>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</si>
  <si>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</si>
  <si>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</si>
  <si>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</si>
  <si>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</si>
  <si>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</si>
  <si>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</si>
  <si>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</si>
  <si>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</si>
  <si>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</si>
  <si>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</si>
  <si>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</si>
  <si>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</si>
  <si>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</si>
  <si>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</si>
  <si>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</si>
  <si>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</si>
  <si>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</si>
  <si>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</si>
  <si>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</si>
  <si>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</si>
  <si>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</si>
  <si>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</si>
  <si>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</si>
  <si>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</si>
  <si>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</si>
  <si>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</si>
  <si>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</si>
  <si>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</si>
  <si>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</si>
  <si>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</si>
  <si>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</si>
  <si>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</si>
  <si>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</si>
  <si>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</si>
  <si>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</si>
  <si>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</si>
  <si>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</si>
  <si>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</si>
  <si>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</si>
  <si>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</si>
  <si>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</si>
  <si>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</si>
  <si>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</si>
  <si>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</si>
  <si>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</si>
  <si>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</si>
  <si>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</si>
  <si>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</si>
  <si>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</si>
  <si>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</si>
  <si>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</si>
  <si>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</si>
  <si>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</si>
  <si>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</si>
  <si>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</si>
  <si>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</si>
  <si>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</si>
  <si>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</si>
  <si>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</si>
  <si>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</si>
  <si>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</si>
  <si>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</si>
  <si>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</si>
  <si>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</si>
  <si>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</si>
  <si>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</si>
  <si>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</si>
  <si>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</si>
  <si>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</si>
  <si>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</si>
  <si>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</si>
  <si>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</si>
  <si>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</si>
  <si>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</si>
  <si>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</si>
  <si>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</si>
  <si>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</si>
  <si>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</si>
  <si>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</si>
  <si>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</si>
  <si>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</si>
  <si>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</si>
  <si>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</si>
  <si>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</si>
  <si>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</si>
  <si>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</si>
  <si>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</si>
  <si>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</si>
  <si>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</si>
  <si>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</si>
  <si>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</si>
  <si>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</si>
  <si>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</si>
  <si>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</si>
  <si>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</si>
  <si>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</si>
  <si>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</si>
  <si>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</si>
  <si>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</si>
  <si>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</si>
  <si>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</si>
  <si>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</si>
  <si>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</si>
  <si>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</si>
  <si>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</si>
  <si>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</si>
  <si>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</si>
  <si>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</si>
  <si>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</si>
  <si>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</si>
  <si>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</si>
  <si>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</si>
  <si>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</si>
  <si>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</si>
  <si>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</si>
  <si>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</si>
  <si>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</si>
  <si>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</si>
  <si>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</si>
  <si>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</si>
  <si>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</si>
  <si>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</si>
  <si>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</si>
  <si>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</si>
  <si>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</si>
  <si>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</si>
  <si>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</si>
  <si>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</si>
  <si>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</si>
  <si>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</si>
  <si>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</si>
  <si>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</si>
  <si>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</si>
  <si>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</si>
  <si>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</si>
  <si>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</si>
  <si>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</si>
  <si>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</si>
  <si>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</si>
  <si>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</si>
  <si>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</si>
  <si>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</si>
  <si>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</si>
  <si>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</si>
  <si>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</si>
  <si>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</si>
  <si>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</si>
  <si>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</si>
  <si>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</si>
  <si>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</si>
  <si>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</si>
  <si>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</si>
  <si>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</si>
  <si>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</si>
  <si>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</si>
  <si>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</si>
  <si>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</si>
  <si>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</si>
  <si>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</si>
  <si>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</si>
  <si>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</si>
  <si>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</si>
  <si>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</si>
  <si>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</si>
  <si>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</si>
  <si>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</si>
  <si>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</si>
  <si>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</si>
  <si>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</si>
  <si>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</si>
  <si>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</si>
  <si>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</si>
  <si>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</si>
  <si>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</si>
  <si>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</si>
  <si>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</si>
  <si>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</si>
  <si>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</si>
  <si>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</si>
  <si>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</si>
  <si>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</si>
  <si>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</si>
  <si>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</si>
  <si>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</si>
  <si>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</si>
  <si>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</si>
  <si>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</si>
  <si>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</si>
  <si>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</si>
  <si>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</si>
  <si>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</si>
  <si>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</si>
  <si>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</si>
  <si>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</si>
  <si>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</si>
  <si>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</si>
  <si>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</si>
  <si>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</si>
  <si>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</si>
  <si>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</si>
  <si>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</si>
  <si>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</si>
  <si>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</si>
  <si>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</si>
  <si>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</si>
  <si>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</si>
  <si>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</si>
  <si>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</si>
  <si>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</si>
  <si>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</si>
  <si>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</si>
  <si>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</si>
  <si>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</si>
  <si>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</si>
  <si>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</si>
  <si>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</si>
  <si>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</si>
  <si>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</si>
  <si>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</si>
  <si>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</si>
  <si>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</si>
  <si>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</si>
  <si>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</si>
  <si>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</si>
  <si>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</si>
  <si>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</si>
  <si>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</si>
  <si>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</si>
  <si>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</si>
  <si>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</si>
  <si>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</si>
  <si>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</si>
  <si>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</si>
  <si>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</si>
  <si>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</si>
  <si>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</si>
  <si>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</si>
  <si>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</si>
  <si>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</si>
  <si>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</si>
  <si>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</si>
  <si>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</si>
  <si>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</si>
  <si>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</si>
  <si>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</si>
  <si>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</si>
  <si>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</si>
  <si>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</si>
  <si>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</si>
  <si>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</si>
  <si>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</si>
  <si>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</si>
  <si>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</si>
  <si>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</si>
  <si>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</si>
  <si>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</si>
  <si>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</si>
  <si>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</si>
  <si>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</si>
  <si>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</si>
  <si>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</si>
  <si>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</si>
  <si>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</si>
  <si>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</si>
  <si>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</si>
  <si>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</si>
  <si>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</si>
  <si>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</si>
  <si>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</si>
  <si>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</si>
  <si>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</si>
  <si>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</si>
  <si>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</si>
  <si>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</si>
  <si>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</si>
  <si>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</si>
  <si>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</si>
  <si>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</si>
  <si>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</si>
  <si>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</si>
  <si>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</si>
  <si>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</si>
  <si>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</si>
  <si>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</si>
  <si>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</si>
  <si>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</si>
  <si>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</si>
  <si>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</si>
  <si>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</si>
  <si>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</si>
  <si>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</si>
  <si>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</si>
  <si>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</si>
  <si>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</si>
  <si>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</si>
  <si>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</si>
  <si>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</si>
  <si>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</si>
  <si>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</si>
  <si>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</si>
  <si>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</si>
  <si>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</si>
  <si>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</si>
  <si>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</si>
  <si>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</si>
  <si>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</si>
  <si>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</si>
  <si>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</si>
  <si>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</si>
  <si>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</si>
  <si>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</si>
  <si>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</si>
  <si>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</si>
  <si>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</si>
  <si>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</si>
  <si>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</si>
  <si>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</si>
  <si>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</si>
  <si>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</si>
  <si>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</si>
  <si>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</si>
  <si>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</si>
  <si>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</si>
  <si>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</si>
  <si>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</si>
  <si>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</si>
  <si>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</si>
  <si>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</si>
  <si>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</si>
  <si>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</si>
  <si>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</si>
  <si>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</si>
  <si>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</si>
  <si>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</si>
  <si>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</si>
  <si>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</si>
  <si>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</si>
  <si>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</si>
  <si>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</si>
  <si>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</si>
  <si>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</si>
  <si>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</si>
  <si>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</si>
  <si>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</si>
  <si>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</si>
  <si>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</si>
  <si>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</si>
  <si>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</si>
  <si>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</si>
  <si>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</si>
  <si>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</si>
  <si>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</si>
  <si>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Invoice No # :1210</t>
  </si>
  <si>
    <t>Aslam Super Market ( LDA )</t>
  </si>
  <si>
    <t>NTN #: 8538860-2</t>
  </si>
  <si>
    <t>Invoice No # :12145</t>
  </si>
  <si>
    <t>Address: LDA Riwind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</si>
</sst>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R11" sqref="R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512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46293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Aslam Super Market ( LDA )</v>
      </c>
      <c r="T3" s="301">
        <f>+'1'!P35</f>
        <v>79254.361185762711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Aslam Super Market ( LDA )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Aslam Super Market ( LDA )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Aslam Super Market ( LDA 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160</v>
      </c>
      <c r="I7" s="235">
        <f>(G7*D7)*F7+H7*F7</f>
        <v>8394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1007.28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7386.72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1586.440677966101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44.865803389830511</v>
      </c>
      <c r="P7" s="310">
        <f>M7+N7+O7</f>
        <v>9018.0264813559315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Aslam Super Market ( LDA 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160</v>
      </c>
      <c r="I8" s="236">
        <f t="shared" ref="I8:I14" si="0">(G8*D8)*F8+H8*F8</f>
        <v>8394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1007.28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7386.72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1586.440677966101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44.865803389830511</v>
      </c>
      <c r="P8" s="311">
        <f t="shared" ref="P8:P15" si="2">M8+N8+O8</f>
        <v>9018.0264813559315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Aslam Super Market ( LDA 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1259.0999999999999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9233.4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56.082254237288126</v>
      </c>
      <c r="P9" s="311">
        <f t="shared" si="2"/>
        <v>11272.533101694913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Aslam Super Market ( LDA 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1743.36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12784.64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77.652013559322029</v>
      </c>
      <c r="P10" s="311">
        <f t="shared" si="2"/>
        <v>15608.054725423728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Aslam Super Market ( LDA 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1743.36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12784.64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77.652013559322029</v>
      </c>
      <c r="P11" s="311">
        <f t="shared" si="2"/>
        <v>15608.054725423728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Aslam Super Market ( LDA 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240</v>
      </c>
      <c r="I12" s="236">
        <f t="shared" si="0"/>
        <v>17433.599999999999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2092.0319999999997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15341.567999999999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3294.9152542372885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93.182416271186455</v>
      </c>
      <c r="P12" s="311">
        <f t="shared" si="2"/>
        <v>18729.665670508475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Aslam Super Market ( LDA 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Aslam Super Market ( LDA 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Aslam Super Market ( LDA 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Aslam Super Market ( LDA )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29</v>
      </c>
      <c r="H16" s="113">
        <f t="shared" ref="H16:M16" si="3">SUM(H7:H15)</f>
        <v>1160</v>
      </c>
      <c r="I16" s="114">
        <f t="shared" si="3"/>
        <v>73770.100000000006</v>
      </c>
      <c r="J16" s="274">
        <f>SUM(J7:J15)</f>
        <v>8852.4119999999984</v>
      </c>
      <c r="K16" s="275">
        <f t="shared" si="3"/>
        <v>0</v>
      </c>
      <c r="L16" s="276">
        <f t="shared" si="3"/>
        <v>0</v>
      </c>
      <c r="M16" s="232">
        <f t="shared" si="3"/>
        <v>64917.687999999995</v>
      </c>
      <c r="N16" s="233">
        <f>SUM(N7:N15)</f>
        <v>13942.37288135593</v>
      </c>
      <c r="O16" s="101">
        <f>SUM(O7:O15)</f>
        <v>394.30030440677967</v>
      </c>
      <c r="P16" s="113">
        <f>SUM(P7:P15)</f>
        <v>79254.361185762711</v>
      </c>
      <c r="Q16" s="128">
        <f>SUM(Q7:Q15)</f>
        <v>0</v>
      </c>
      <c r="R16" s="313">
        <v>14</v>
      </c>
      <c r="S16" s="315" t="str">
        <f>+'14'!A6:A6</f>
        <v>Aslam Super Market ( LDA 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Aslam Super Market ( LDA 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Aslam Super Market ( LDA )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73770.100000000006</v>
      </c>
      <c r="R19" s="299">
        <v>17</v>
      </c>
      <c r="S19" s="300" t="str">
        <f>+'17'!A6:A6</f>
        <v>Aslam Super Market ( LDA )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8852.4119999999984</v>
      </c>
      <c r="R20" s="299">
        <v>18</v>
      </c>
      <c r="S20" s="300" t="str">
        <f>+'18'!A6:A6</f>
        <v>Aslam Super Market ( LDA )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0</v>
      </c>
      <c r="R21" s="299">
        <v>19</v>
      </c>
      <c r="S21" s="300" t="str">
        <f>+'19'!A6:A6</f>
        <v>Aslam Super Market ( LDA )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64917.688000000009</v>
      </c>
      <c r="R22" s="299">
        <v>20</v>
      </c>
      <c r="S22" s="300" t="str">
        <f>+'20'!A6:A6</f>
        <v>Aslam Super Market ( LDA )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13942.37288135593</v>
      </c>
      <c r="R23" s="299">
        <v>21</v>
      </c>
      <c r="S23" s="300" t="str">
        <f>+'21'!A6:A6</f>
        <v>Aslam Super Market ( LDA )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78860.060881355937</v>
      </c>
      <c r="R24" s="299">
        <v>22</v>
      </c>
      <c r="S24" s="300" t="str">
        <f>+'22'!A6:A6</f>
        <v>Aslam Super Market ( LDA )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394.30030440677967</v>
      </c>
      <c r="R25" s="299">
        <v>23</v>
      </c>
      <c r="S25" s="300" t="str">
        <f>+'23'!A6:A6</f>
        <v>Aslam Super Market ( LDA )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79254.361185762711</v>
      </c>
      <c r="R26" s="299">
        <v>24</v>
      </c>
      <c r="S26" s="300" t="str">
        <f>+'24'!A6:A6</f>
        <v>Aslam Super Market ( LDA 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Aslam Super Market ( LDA 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Aslam Super Market ( LDA 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Aslam Super Market ( LDA 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Aslam Super Market ( LDA 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Aslam Super Market ( LDA )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Aslam Super Market ( LDA )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79254.361185762711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I6" sqref="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7.2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160</v>
      </c>
      <c r="I16" s="235">
        <f>(G16*D16)*F16+H16*F16</f>
        <v>8394</v>
      </c>
      <c r="J16" s="271">
        <f>$I16*S16</f>
        <v>1007.28</v>
      </c>
      <c r="K16" s="127">
        <f>$I16*T16</f>
        <v>0</v>
      </c>
      <c r="L16" s="118">
        <f>$I16*U16</f>
        <v>0</v>
      </c>
      <c r="M16" s="229">
        <f>I16-SUM(J16:L16)</f>
        <v>7386.72</v>
      </c>
      <c r="N16" s="248">
        <f>+(G16*D16+H16)*V16</f>
        <v>1586.440677966101</v>
      </c>
      <c r="O16" s="238">
        <f>(N16+M16)*$O$15</f>
        <v>44.865803389830511</v>
      </c>
      <c r="P16" s="118">
        <f>M16+N16+O16</f>
        <v>9018.0264813559315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160</v>
      </c>
      <c r="I17" s="236">
        <f t="shared" ref="I17:I23" si="0">(G17*D17)*F17+H17*F17</f>
        <v>8394</v>
      </c>
      <c r="J17" s="272">
        <f t="shared" ref="J17:L24" si="1">$I17*S17</f>
        <v>1007.28</v>
      </c>
      <c r="K17" s="128">
        <f>$I17*T17</f>
        <v>0</v>
      </c>
      <c r="L17" s="119">
        <f>$I17*U17</f>
        <v>0</v>
      </c>
      <c r="M17" s="230">
        <f t="shared" ref="M17:M24" si="2">I17-SUM(J17:L17)</f>
        <v>7386.72</v>
      </c>
      <c r="N17" s="277">
        <f t="shared" ref="N17:N24" si="3">+(G17*D17+H17)*V17</f>
        <v>1586.440677966101</v>
      </c>
      <c r="O17" s="239">
        <f t="shared" ref="O17:O24" si="4">(N17+M17)*$O$15</f>
        <v>44.865803389830511</v>
      </c>
      <c r="P17" s="119">
        <f t="shared" ref="P17:P24" si="5">M17+N17+O17</f>
        <v>9018.0264813559315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1259.0999999999999</v>
      </c>
      <c r="K18" s="128">
        <f t="shared" si="1"/>
        <v>0</v>
      </c>
      <c r="L18" s="119">
        <f t="shared" si="1"/>
        <v>0</v>
      </c>
      <c r="M18" s="230">
        <f t="shared" si="2"/>
        <v>9233.4</v>
      </c>
      <c r="N18" s="277">
        <f t="shared" si="3"/>
        <v>1983.0508474576263</v>
      </c>
      <c r="O18" s="239">
        <f t="shared" si="4"/>
        <v>56.082254237288126</v>
      </c>
      <c r="P18" s="119">
        <f t="shared" si="5"/>
        <v>11272.533101694913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1743.36</v>
      </c>
      <c r="K19" s="128">
        <f t="shared" si="1"/>
        <v>0</v>
      </c>
      <c r="L19" s="119">
        <f t="shared" si="1"/>
        <v>0</v>
      </c>
      <c r="M19" s="230">
        <f t="shared" si="2"/>
        <v>12784.64</v>
      </c>
      <c r="N19" s="277">
        <f t="shared" si="3"/>
        <v>2745.7627118644068</v>
      </c>
      <c r="O19" s="239">
        <f t="shared" si="4"/>
        <v>77.652013559322029</v>
      </c>
      <c r="P19" s="119">
        <f t="shared" si="5"/>
        <v>15608.054725423728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1743.36</v>
      </c>
      <c r="K20" s="128">
        <f t="shared" si="1"/>
        <v>0</v>
      </c>
      <c r="L20" s="119">
        <f t="shared" si="1"/>
        <v>0</v>
      </c>
      <c r="M20" s="230">
        <f t="shared" si="2"/>
        <v>12784.64</v>
      </c>
      <c r="N20" s="277">
        <f t="shared" si="3"/>
        <v>2745.7627118644068</v>
      </c>
      <c r="O20" s="239">
        <f t="shared" si="4"/>
        <v>77.652013559322029</v>
      </c>
      <c r="P20" s="119">
        <f t="shared" si="5"/>
        <v>15608.054725423728</v>
      </c>
      <c r="Q20" s="319"/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240</v>
      </c>
      <c r="I21" s="236">
        <f t="shared" si="7"/>
        <v>17433.599999999999</v>
      </c>
      <c r="J21" s="272">
        <f t="shared" si="1"/>
        <v>2092.0319999999997</v>
      </c>
      <c r="K21" s="128">
        <f t="shared" si="1"/>
        <v>0</v>
      </c>
      <c r="L21" s="119">
        <f t="shared" si="1"/>
        <v>0</v>
      </c>
      <c r="M21" s="230">
        <f t="shared" si="2"/>
        <v>15341.567999999999</v>
      </c>
      <c r="N21" s="277">
        <f t="shared" si="3"/>
        <v>3294.9152542372885</v>
      </c>
      <c r="O21" s="239">
        <f t="shared" si="4"/>
        <v>93.182416271186455</v>
      </c>
      <c r="P21" s="119">
        <f t="shared" si="5"/>
        <v>18729.665670508475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1160</v>
      </c>
      <c r="I25" s="114">
        <f t="shared" ref="I25:M25" si="10">SUM(I16:I24)</f>
        <v>73770.100000000006</v>
      </c>
      <c r="J25" s="274">
        <f>SUM(J16:J24)</f>
        <v>8852.4119999999984</v>
      </c>
      <c r="K25" s="275">
        <f t="shared" si="10"/>
        <v>0</v>
      </c>
      <c r="L25" s="276">
        <f t="shared" si="10"/>
        <v>0</v>
      </c>
      <c r="M25" s="232">
        <f t="shared" si="10"/>
        <v>64917.687999999995</v>
      </c>
      <c r="N25" s="233">
        <f>SUM(N16:N24)</f>
        <v>13942.37288135593</v>
      </c>
      <c r="O25" s="101">
        <f>SUM(O16:O24)</f>
        <v>394.30030440677967</v>
      </c>
      <c r="P25" s="234">
        <f>SUM(P16:P24)</f>
        <v>79254.361185762711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73770.100000000006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8852.4119999999984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64917.688000000009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13942.37288135593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78860.060881355937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394.30030440677967</v>
      </c>
    </row>
    <row r="35" spans="2:16" ht="15.75" customHeight="1" thickBot="1" x14ac:dyDescent="0.4">
      <c r="N35" s="375" t="s">
        <v>88</v>
      </c>
      <c r="O35" s="376"/>
      <c r="P35" s="297">
        <f>+P33+P34</f>
        <v>79254.361185762711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8.7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8.7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46317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46316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2026-10-21T07:48:05Z</dcterms:modified>
</cp:coreProperties>
</file>