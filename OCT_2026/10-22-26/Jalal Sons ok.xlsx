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8BD8864-A555-4011-8E44-2986997B69DA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43"/>
  <c r="O20" i="43" s="1"/>
  <c r="P20" i="43" s="1"/>
  <c r="M21" i="43"/>
  <c r="O21" i="43" s="1"/>
  <c r="P21" i="43" s="1"/>
  <c r="K12" i="62"/>
  <c r="M16" i="48"/>
  <c r="M20" i="71"/>
  <c r="O20" i="71" s="1"/>
  <c r="P20" i="71" s="1"/>
  <c r="R20" i="71" s="1"/>
  <c r="M16" i="60"/>
  <c r="O16" i="60" s="1"/>
  <c r="P16" i="60" s="1"/>
  <c r="M16" i="58"/>
  <c r="O16" i="58" s="1"/>
  <c r="P16" i="58" s="1"/>
  <c r="M16" i="59"/>
  <c r="M21" i="51"/>
  <c r="M16" i="66"/>
  <c r="O16" i="66" s="1"/>
  <c r="M16" i="44"/>
  <c r="O16" i="44" s="1"/>
  <c r="M20" i="70"/>
  <c r="O20" i="70" s="1"/>
  <c r="P20" i="70" s="1"/>
  <c r="R20" i="70" s="1"/>
  <c r="M16" i="64"/>
  <c r="M16" i="65"/>
  <c r="M16" i="72"/>
  <c r="O16" i="72" s="1"/>
  <c r="P16" i="72" s="1"/>
  <c r="M18" i="67"/>
  <c r="O18" i="67" s="1"/>
  <c r="P18" i="67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<sst xmlns="http://schemas.openxmlformats.org/spreadsheetml/2006/main" count="3976" uniqueCount="519">
  <si>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</si>
  <si>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</si>
  <si>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</si>
  <si>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</si>
  <si>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</si>
  <si>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</si>
  <si>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</si>
  <si>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</si>
  <si>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</si>
  <si>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</si>
  <si>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</si>
  <si>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</si>
  <si>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</si>
  <si>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</si>
  <si>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</si>
  <si>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</si>
  <si>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</si>
  <si>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</si>
  <si>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</si>
  <si>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</si>
  <si>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</si>
  <si>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</si>
  <si>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</si>
  <si>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</si>
  <si>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</si>
  <si>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</si>
  <si>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</si>
  <si>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</si>
  <si>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</si>
  <si>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</si>
  <si>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</si>
  <si>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</si>
  <si>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</si>
  <si>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</si>
  <si>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</si>
  <si>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</si>
  <si>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</si>
  <si>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</si>
  <si>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</si>
  <si>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</si>
  <si>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</si>
  <si>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</si>
  <si>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</si>
  <si>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</si>
  <si>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</si>
  <si>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</si>
  <si>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</si>
  <si>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</si>
  <si>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</si>
  <si>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</si>
  <si>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</si>
  <si>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</si>
  <si>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</si>
  <si>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</si>
  <si>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</si>
  <si>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</si>
  <si>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</si>
  <si>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</si>
  <si>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</si>
  <si>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</si>
  <si>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</si>
  <si>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</si>
  <si>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</si>
  <si>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</si>
  <si>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</si>
  <si>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</si>
  <si>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</si>
  <si>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</si>
  <si>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</si>
  <si>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</si>
  <si>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</si>
  <si>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</si>
  <si>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</si>
  <si>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</si>
  <si>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</si>
  <si>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</si>
  <si>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</si>
  <si>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</si>
  <si>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</si>
  <si>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</si>
  <si>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</si>
  <si>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</si>
  <si>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</si>
  <si>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</si>
  <si>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</si>
  <si>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</si>
  <si>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</si>
  <si>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</si>
  <si>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</si>
  <si>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</si>
  <si>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</si>
  <si>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</si>
  <si>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</si>
  <si>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</si>
  <si>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</si>
  <si>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</si>
  <si>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</si>
  <si>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</si>
  <si>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</si>
  <si>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</si>
  <si>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</si>
  <si>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</si>
  <si>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</si>
  <si>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</si>
  <si>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</si>
  <si>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</si>
  <si>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</si>
  <si>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</si>
  <si>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</si>
  <si>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</si>
  <si>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</si>
  <si>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</si>
  <si>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</si>
  <si>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</si>
  <si>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</si>
  <si>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</si>
  <si>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</si>
  <si>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</si>
  <si>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</si>
  <si>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</si>
  <si>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</si>
  <si>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</si>
  <si>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</si>
  <si>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</si>
  <si>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</si>
  <si>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</si>
  <si>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</si>
  <si>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</si>
  <si>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</si>
  <si>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</si>
  <si>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</si>
  <si>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</si>
  <si>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</si>
  <si>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</si>
  <si>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</si>
  <si>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</si>
  <si>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</si>
  <si>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</si>
  <si>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</si>
  <si>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</si>
  <si>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</si>
  <si>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</si>
  <si>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</si>
  <si>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</si>
  <si>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</si>
  <si>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</si>
  <si>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</si>
  <si>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</si>
  <si>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</si>
  <si>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</si>
  <si>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</si>
  <si>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</si>
  <si>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</si>
  <si>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</si>
  <si>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</si>
  <si>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</si>
  <si>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</si>
  <si>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</si>
  <si>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</si>
  <si>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</si>
  <si>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</si>
  <si>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</si>
  <si>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</si>
  <si>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</si>
  <si>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</si>
  <si>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</si>
  <si>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</si>
  <si>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</si>
  <si>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</si>
  <si>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</si>
  <si>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</si>
  <si>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</si>
  <si>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</si>
  <si>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</si>
  <si>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</si>
  <si>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</si>
  <si>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</si>
  <si>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</si>
  <si>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</si>
  <si>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</si>
  <si>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</si>
  <si>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</si>
  <si>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</si>
  <si>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</si>
  <si>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</si>
  <si>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</si>
  <si>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</si>
  <si>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</si>
  <si>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</si>
  <si>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</si>
  <si>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</si>
  <si>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</si>
  <si>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</si>
  <si>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</si>
  <si>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</si>
  <si>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</si>
  <si>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</si>
  <si>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</si>
  <si>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</si>
  <si>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</si>
  <si>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</si>
  <si>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</si>
  <si>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</si>
  <si>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</si>
  <si>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</si>
  <si>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</si>
  <si>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</si>
  <si>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</si>
  <si>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</si>
  <si>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</si>
  <si>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</si>
  <si>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</si>
  <si>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</si>
  <si>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</si>
  <si>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</si>
  <si>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</si>
  <si>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</si>
  <si>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</si>
  <si>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</si>
  <si>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</si>
  <si>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</si>
  <si>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</si>
  <si>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</si>
  <si>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</si>
  <si>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</si>
  <si>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</si>
  <si>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</si>
  <si>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</si>
  <si>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</si>
  <si>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</si>
  <si>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</si>
  <si>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</si>
  <si>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</si>
  <si>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</si>
  <si>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</si>
  <si>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</si>
  <si>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</si>
  <si>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</si>
  <si>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</si>
  <si>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</si>
  <si>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</si>
  <si>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</si>
  <si>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</si>
  <si>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</si>
  <si>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</si>
  <si>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</si>
  <si>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</si>
  <si>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</si>
  <si>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</si>
  <si>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</si>
  <si>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</si>
  <si>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</si>
  <si>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</si>
  <si>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</si>
  <si>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</si>
  <si>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</si>
  <si>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</si>
  <si>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</si>
  <si>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</si>
  <si>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</si>
  <si>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</si>
  <si>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</si>
  <si>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</si>
  <si>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</si>
  <si>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</si>
  <si>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</si>
  <si>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</si>
  <si>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</si>
  <si>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</si>
  <si>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</si>
  <si>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</si>
  <si>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</si>
  <si>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</si>
  <si>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</si>
  <si>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</si>
  <si>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</si>
  <si>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</si>
  <si>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</si>
  <si>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</si>
  <si>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</si>
  <si>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</si>
  <si>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</si>
  <si>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</si>
  <si>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</si>
  <si>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</si>
  <si>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</si>
  <si>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</si>
  <si>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</si>
  <si>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</si>
  <si>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</si>
  <si>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</si>
  <si>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</si>
  <si>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</si>
  <si>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</si>
  <si>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</si>
  <si>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</si>
  <si>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</si>
  <si>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</si>
  <si>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</si>
  <si>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</si>
  <si>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</si>
  <si>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</si>
  <si>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</si>
  <si>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</si>
  <si>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</si>
  <si>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</si>
  <si>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</si>
  <si>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</si>
  <si>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</si>
  <si>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</si>
  <si>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</si>
  <si>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</si>
  <si>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</si>
  <si>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</si>
  <si>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</si>
  <si>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</si>
  <si>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</si>
  <si>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</si>
  <si>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</si>
  <si>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</si>
  <si>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</si>
  <si>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</si>
  <si>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</si>
  <si>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</si>
  <si>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</si>
  <si>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</si>
  <si>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</si>
  <si>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</si>
  <si>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</si>
  <si>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</si>
  <si>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</si>
  <si>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</si>
  <si>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</si>
  <si>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</si>
  <si>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</si>
  <si>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</si>
  <si>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</si>
  <si>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</si>
  <si>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</si>
  <si>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</si>
  <si>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</si>
  <si>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</si>
  <si>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</si>
  <si>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</si>
  <si>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</si>
  <si>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</si>
  <si>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</si>
  <si>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</si>
  <si>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</si>
  <si>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</si>
  <si>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</si>
  <si>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</si>
  <si>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</si>
  <si>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</si>
  <si>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</si>
  <si>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</si>
  <si>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</si>
  <si>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</si>
  <si>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</si>
  <si>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</si>
  <si>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</si>
  <si>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</si>
  <si>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</si>
  <si>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</si>
  <si>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</si>
  <si>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</si>
  <si>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</si>
  <si>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</si>
  <si>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</si>
  <si>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</si>
  <si>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</si>
  <si>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</si>
  <si>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</si>
  <si>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</si>
  <si>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</si>
  <si>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</si>
  <si>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</si>
  <si>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</si>
  <si>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</si>
  <si>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</si>
  <si>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</si>
  <si>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</si>
  <si>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</si>
  <si>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</si>
  <si>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</si>
  <si>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</si>
  <si>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</si>
  <si>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</si>
  <si>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</si>
  <si>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</si>
  <si>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</si>
  <si>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</si>
  <si>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</si>
  <si>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</si>
  <si>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</si>
  <si>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</si>
  <si>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</si>
  <si>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</si>
  <si>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</si>
  <si>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</si>
  <si>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</si>
  <si>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</si>
  <si>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</si>
  <si>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</si>
  <si>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</si>
  <si>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</si>
  <si>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</si>
  <si>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</si>
  <si>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</si>
  <si>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</si>
  <si>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</si>
  <si>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</si>
  <si>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</si>
  <si>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</si>
  <si>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</si>
  <si>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</si>
  <si>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</si>
  <si>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</si>
  <si>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</si>
  <si>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</si>
  <si>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</si>
  <si>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</si>
  <si>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</si>
  <si>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</si>
  <si>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</si>
  <si>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</si>
  <si>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</si>
  <si>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</si>
  <si>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</si>
  <si>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</si>
  <si>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</si>
  <si>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</si>
  <si>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</si>
  <si>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</si>
  <si>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</si>
  <si>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</si>
  <si>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</si>
  <si>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</si>
  <si>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</si>
  <si>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</si>
  <si>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</si>
  <si>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</si>
  <si>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</si>
  <si>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</si>
  <si>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</si>
  <si>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</si>
  <si>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</si>
  <si>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</si>
  <si>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</si>
  <si>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</si>
  <si>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</si>
  <si>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</si>
  <si>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</si>
  <si>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</si>
  <si>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</si>
  <si>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</si>
  <si>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</si>
  <si>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</si>
  <si>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</si>
  <si>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</si>
  <si>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</si>
  <si>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</si>
  <si>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</si>
  <si>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</si>
  <si>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</si>
  <si>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</si>
  <si>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</si>
  <si>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</si>
  <si>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</si>
  <si>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</si>
  <si>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</si>
  <si>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</si>
  <si>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</si>
  <si>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</si>
  <si>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</si>
  <si>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</si>
  <si>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</si>
  <si>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</si>
  <si>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</si>
  <si>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</si>
  <si>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</si>
  <si>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</si>
  <si>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</si>
  <si>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</si>
  <si>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</si>
  <si>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</si>
  <si>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</si>
  <si>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</si>
  <si>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</si>
  <si>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</si>
  <si>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</si>
  <si>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</si>
  <si>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</si>
  <si>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</si>
  <si>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</si>
  <si>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</si>
  <si>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</si>
  <si>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</si>
  <si>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</si>
  <si>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</si>
  <si>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</si>
  <si>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</si>
  <si>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</si>
  <si>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</si>
  <si>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</si>
  <si>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</si>
  <si>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</si>
  <si>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</si>
  <si>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</si>
  <si>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</si>
  <si>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</si>
  <si>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</si>
  <si>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</si>
  <si>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</si>
  <si>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 Main Market</t>
  </si>
  <si>
    <t xml:space="preserve">Address: Behria Orchard </t>
  </si>
  <si>
    <t>Invoice No # : 15141</t>
  </si>
  <si>
    <t>Invoice No # :124</t>
  </si>
  <si>
    <t xml:space="preserve">Address: Chatri Chowk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</si>
</sst>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/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f ca="1">TODAY()</f>
        <v>46318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Jalal Sons </v>
      </c>
      <c r="T3" s="301">
        <f>+'1'!P35</f>
        <v>29324.569620603816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391893.29628177965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1073</v>
      </c>
      <c r="I7" s="235">
        <f>(G7*D7)*F7+H7*F7</f>
        <v>56292.262499999997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8443.8393749999996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47848.423125000001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10639.067796610165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292.43745460805081</v>
      </c>
      <c r="P7" s="310">
        <f>M7+N7+O7</f>
        <v>58779.928376218217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7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1055</v>
      </c>
      <c r="I8" s="236">
        <f t="shared" ref="I8:I14" si="0">(G8*D8)*F8+H8*F8</f>
        <v>55347.9375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8302.1906249999993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47045.746874999997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10460.593220338978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287.53170047669488</v>
      </c>
      <c r="P8" s="311">
        <f t="shared" ref="P8:P15" si="2">M8+N8+O8</f>
        <v>57793.871795815678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25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1075</v>
      </c>
      <c r="I9" s="236">
        <f t="shared" si="0"/>
        <v>56397.1875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8459.578125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47937.609375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10658.89830508474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292.98253840042366</v>
      </c>
      <c r="P9" s="311">
        <f t="shared" si="2"/>
        <v>58889.49021848516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5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1080</v>
      </c>
      <c r="I10" s="236">
        <f t="shared" si="0"/>
        <v>78451.199999999997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11767.68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66683.51999999999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14827.118644067798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407.55319322033898</v>
      </c>
      <c r="P10" s="311">
        <f t="shared" si="2"/>
        <v>81918.191837288134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1080</v>
      </c>
      <c r="I11" s="236">
        <f t="shared" si="0"/>
        <v>78451.199999999997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11767.68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66683.51999999999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14827.118644067798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407.55319322033898</v>
      </c>
      <c r="P11" s="311">
        <f t="shared" si="2"/>
        <v>81918.191837288134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1080</v>
      </c>
      <c r="I12" s="236">
        <f t="shared" si="0"/>
        <v>78451.199999999997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11767.68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66683.51999999999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14827.118644067798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407.55319322033898</v>
      </c>
      <c r="P12" s="311">
        <f t="shared" si="2"/>
        <v>81918.191837288134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161.07499999999999</v>
      </c>
      <c r="H16" s="113">
        <f t="shared" ref="H16:M16" si="3">SUM(H7:H15)</f>
        <v>6443</v>
      </c>
      <c r="I16" s="114">
        <f t="shared" si="3"/>
        <v>403390.98750000005</v>
      </c>
      <c r="J16" s="274">
        <f>SUM(J7:J15)</f>
        <v>60508.648125</v>
      </c>
      <c r="K16" s="275">
        <f t="shared" si="3"/>
        <v>0</v>
      </c>
      <c r="L16" s="276">
        <f t="shared" si="3"/>
        <v>0</v>
      </c>
      <c r="M16" s="232">
        <f t="shared" si="3"/>
        <v>342882.33937499998</v>
      </c>
      <c r="N16" s="233">
        <f>SUM(N7:N15)</f>
        <v>76239.915254237276</v>
      </c>
      <c r="O16" s="101">
        <f>SUM(O7:O15)</f>
        <v>2095.6112731461862</v>
      </c>
      <c r="P16" s="113">
        <f>SUM(P7:P15)</f>
        <v>421217.86590238346</v>
      </c>
      <c r="Q16" s="128">
        <f>SUM(Q7:Q15)</f>
        <v>37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403390.98750000005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60508.648125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342882.33937500004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76239.915254237276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419122.25462923734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2095.6112731461862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421217.86590238352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421217.86590238346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5" sqref="H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516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46297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46296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500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73</v>
      </c>
      <c r="I16" s="235">
        <f>(G16*D16)*F16+H16*F16</f>
        <v>3829.7624999999998</v>
      </c>
      <c r="J16" s="271">
        <f>$I16*S16</f>
        <v>574.4643749999999</v>
      </c>
      <c r="K16" s="127">
        <f>$I16*T16</f>
        <v>0</v>
      </c>
      <c r="L16" s="118">
        <f>$I16*U16</f>
        <v>0</v>
      </c>
      <c r="M16" s="229">
        <f>I16-SUM(J16:L16)</f>
        <v>3255.2981249999998</v>
      </c>
      <c r="N16" s="248">
        <f>+(G16*D16+H16)*V16</f>
        <v>723.8135593220336</v>
      </c>
      <c r="O16" s="238">
        <f>(N16+M16)*$O$15</f>
        <v>19.895558421610168</v>
      </c>
      <c r="P16" s="310">
        <f>M16+N16+O16</f>
        <v>3999.0072427436435</v>
      </c>
      <c r="Q16" s="313">
        <v>7</v>
      </c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55</v>
      </c>
      <c r="I17" s="236">
        <f t="shared" ref="I17:I23" si="0">(G17*D17)*F17+H17*F17</f>
        <v>2885.4375</v>
      </c>
      <c r="J17" s="272">
        <f t="shared" ref="J17:L24" si="1">$I17*S17</f>
        <v>432.81562500000001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2452.6218749999998</v>
      </c>
      <c r="N17" s="277">
        <f t="shared" ref="N17:N24" si="3">+(G17*D17+H17)*V17</f>
        <v>545.33898305084722</v>
      </c>
      <c r="O17" s="239">
        <f t="shared" ref="O17:O24" si="4">(N17+M17)*$O$15</f>
        <v>14.989804290254236</v>
      </c>
      <c r="P17" s="311">
        <f t="shared" ref="P17:P24" si="5">M17+N17+O17</f>
        <v>3012.9506623411012</v>
      </c>
      <c r="Q17" s="156">
        <v>25</v>
      </c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75</v>
      </c>
      <c r="I18" s="236">
        <f t="shared" ref="I18:I21" si="7">(G18*D18)*F18+H18*F18</f>
        <v>3934.6875</v>
      </c>
      <c r="J18" s="272">
        <f t="shared" si="1"/>
        <v>590.203125</v>
      </c>
      <c r="K18" s="128">
        <f t="shared" si="1"/>
        <v>0</v>
      </c>
      <c r="L18" s="119">
        <f t="shared" si="1"/>
        <v>0</v>
      </c>
      <c r="M18" s="230">
        <f t="shared" si="2"/>
        <v>3344.484375</v>
      </c>
      <c r="N18" s="277">
        <f t="shared" si="3"/>
        <v>743.64406779660987</v>
      </c>
      <c r="O18" s="239">
        <f t="shared" si="4"/>
        <v>20.44064221398305</v>
      </c>
      <c r="P18" s="311">
        <f t="shared" si="5"/>
        <v>4108.569085010593</v>
      </c>
      <c r="Q18" s="156">
        <v>5</v>
      </c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871.68</v>
      </c>
      <c r="K19" s="128">
        <f t="shared" si="1"/>
        <v>0</v>
      </c>
      <c r="L19" s="119">
        <f t="shared" si="1"/>
        <v>0</v>
      </c>
      <c r="M19" s="230">
        <f t="shared" si="2"/>
        <v>4939.5199999999995</v>
      </c>
      <c r="N19" s="277">
        <f t="shared" si="3"/>
        <v>1098.3050847457628</v>
      </c>
      <c r="O19" s="239">
        <f t="shared" si="4"/>
        <v>30.189125423728811</v>
      </c>
      <c r="P19" s="311">
        <f t="shared" si="5"/>
        <v>6068.014210169491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871.68</v>
      </c>
      <c r="K20" s="128">
        <f t="shared" si="1"/>
        <v>0</v>
      </c>
      <c r="L20" s="119">
        <f t="shared" si="1"/>
        <v>0</v>
      </c>
      <c r="M20" s="230">
        <f t="shared" si="2"/>
        <v>4939.5199999999995</v>
      </c>
      <c r="N20" s="277">
        <f t="shared" si="3"/>
        <v>1098.3050847457628</v>
      </c>
      <c r="O20" s="239">
        <f t="shared" si="4"/>
        <v>30.189125423728811</v>
      </c>
      <c r="P20" s="311">
        <f t="shared" si="5"/>
        <v>6068.014210169491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871.68</v>
      </c>
      <c r="K21" s="128">
        <f t="shared" si="1"/>
        <v>0</v>
      </c>
      <c r="L21" s="119">
        <f t="shared" si="1"/>
        <v>0</v>
      </c>
      <c r="M21" s="230">
        <f t="shared" si="2"/>
        <v>4939.5199999999995</v>
      </c>
      <c r="N21" s="277">
        <f t="shared" si="3"/>
        <v>1098.3050847457628</v>
      </c>
      <c r="O21" s="239">
        <f t="shared" si="4"/>
        <v>30.189125423728811</v>
      </c>
      <c r="P21" s="311">
        <f t="shared" si="5"/>
        <v>6068.014210169491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443</v>
      </c>
      <c r="I25" s="114">
        <f t="shared" ref="I25:M25" si="10">SUM(I16:I24)</f>
        <v>28083.487500000003</v>
      </c>
      <c r="J25" s="274">
        <f>SUM(J16:J24)</f>
        <v>4212.5231249999997</v>
      </c>
      <c r="K25" s="275">
        <f t="shared" si="10"/>
        <v>0</v>
      </c>
      <c r="L25" s="276">
        <f t="shared" si="10"/>
        <v>0</v>
      </c>
      <c r="M25" s="232">
        <f t="shared" si="10"/>
        <v>23870.964375</v>
      </c>
      <c r="N25" s="233">
        <f>SUM(N16:N24)</f>
        <v>5307.7118644067787</v>
      </c>
      <c r="O25" s="101">
        <f>SUM(O16:O24)</f>
        <v>145.89338119703388</v>
      </c>
      <c r="P25" s="113">
        <f>SUM(P16:P24)</f>
        <v>29324.569620603812</v>
      </c>
      <c r="Q25" s="128">
        <f>SUM(Q16:Q24)</f>
        <v>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28083.487500000003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4212.5231249999997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23870.964375000003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5307.7118644067787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29178.676239406781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145.8933811970339</v>
      </c>
    </row>
    <row r="35" spans="2:16" ht="15.75" customHeight="1" thickBot="1" x14ac:dyDescent="0.4">
      <c r="N35" s="346" t="s">
        <v>88</v>
      </c>
      <c r="O35" s="347"/>
      <c r="P35" s="297">
        <f>+P33+P34</f>
        <v>29324.569620603816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10" width="8.36328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517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46317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46316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9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9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1000</v>
      </c>
      <c r="I16" s="235">
        <f>(G16*D16)*F16+H16*F16</f>
        <v>52462.5</v>
      </c>
      <c r="J16" s="271">
        <f>$I16*S16</f>
        <v>7869.375</v>
      </c>
      <c r="K16" s="127">
        <f>$I16*T16</f>
        <v>0</v>
      </c>
      <c r="L16" s="118">
        <f>$I16*U16</f>
        <v>0</v>
      </c>
      <c r="M16" s="229">
        <f>I16-SUM(J16:L16)</f>
        <v>44593.125</v>
      </c>
      <c r="N16" s="248">
        <f>+(G16*D16+H16)*V16</f>
        <v>9915.2542372881308</v>
      </c>
      <c r="O16" s="238">
        <f>(N16+M16)*$O$15</f>
        <v>272.54189618644062</v>
      </c>
      <c r="P16" s="118">
        <f>M16+N16+O16</f>
        <v>54780.921133474571</v>
      </c>
      <c r="Q16" s="320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1000</v>
      </c>
      <c r="I17" s="236">
        <f t="shared" ref="I17:I23" si="0">(G17*D17)*F17+H17*F17</f>
        <v>52462.5</v>
      </c>
      <c r="J17" s="272">
        <f t="shared" ref="J17:L24" si="1">$I17*S17</f>
        <v>7869.375</v>
      </c>
      <c r="K17" s="128">
        <f>$I17*T17</f>
        <v>0</v>
      </c>
      <c r="L17" s="119">
        <f>$I17*U17</f>
        <v>0</v>
      </c>
      <c r="M17" s="230">
        <f t="shared" ref="M17:M24" si="2">I17-SUM(J17:L17)</f>
        <v>44593.125</v>
      </c>
      <c r="N17" s="277">
        <f t="shared" ref="N17:N24" si="3">+(G17*D17+H17)*V17</f>
        <v>9915.2542372881308</v>
      </c>
      <c r="O17" s="239">
        <f t="shared" ref="O17:O24" si="4">(N17+M17)*$O$15</f>
        <v>272.54189618644062</v>
      </c>
      <c r="P17" s="119">
        <f t="shared" ref="P17:P24" si="5">M17+N17+O17</f>
        <v>54780.921133474571</v>
      </c>
      <c r="Q17" s="321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1000</v>
      </c>
      <c r="I18" s="236">
        <f t="shared" si="0"/>
        <v>52462.5</v>
      </c>
      <c r="J18" s="272">
        <f t="shared" si="1"/>
        <v>7869.375</v>
      </c>
      <c r="K18" s="128">
        <f t="shared" si="1"/>
        <v>0</v>
      </c>
      <c r="L18" s="119">
        <f t="shared" si="1"/>
        <v>0</v>
      </c>
      <c r="M18" s="230">
        <f t="shared" si="2"/>
        <v>44593.125</v>
      </c>
      <c r="N18" s="277">
        <f t="shared" si="3"/>
        <v>9915.2542372881308</v>
      </c>
      <c r="O18" s="239">
        <f t="shared" si="4"/>
        <v>272.54189618644062</v>
      </c>
      <c r="P18" s="119">
        <f t="shared" si="5"/>
        <v>54780.921133474571</v>
      </c>
      <c r="Q18" s="321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1000</v>
      </c>
      <c r="I19" s="236">
        <f t="shared" si="0"/>
        <v>72640</v>
      </c>
      <c r="J19" s="272">
        <f t="shared" si="1"/>
        <v>10896</v>
      </c>
      <c r="K19" s="128">
        <f t="shared" si="1"/>
        <v>0</v>
      </c>
      <c r="L19" s="119">
        <f t="shared" si="1"/>
        <v>0</v>
      </c>
      <c r="M19" s="230">
        <f t="shared" si="2"/>
        <v>61744</v>
      </c>
      <c r="N19" s="277">
        <f t="shared" si="3"/>
        <v>13728.813559322034</v>
      </c>
      <c r="O19" s="239">
        <f t="shared" si="4"/>
        <v>377.36406779661019</v>
      </c>
      <c r="P19" s="119">
        <f t="shared" si="5"/>
        <v>75850.177627118639</v>
      </c>
      <c r="Q19" s="321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1000</v>
      </c>
      <c r="I20" s="236">
        <f t="shared" si="0"/>
        <v>72640</v>
      </c>
      <c r="J20" s="272">
        <f t="shared" si="1"/>
        <v>10896</v>
      </c>
      <c r="K20" s="128">
        <f t="shared" si="1"/>
        <v>0</v>
      </c>
      <c r="L20" s="119">
        <f t="shared" si="1"/>
        <v>0</v>
      </c>
      <c r="M20" s="230">
        <f t="shared" si="2"/>
        <v>61744</v>
      </c>
      <c r="N20" s="277">
        <f t="shared" si="3"/>
        <v>13728.813559322034</v>
      </c>
      <c r="O20" s="239">
        <f t="shared" si="4"/>
        <v>377.36406779661019</v>
      </c>
      <c r="P20" s="119">
        <f t="shared" si="5"/>
        <v>75850.177627118639</v>
      </c>
      <c r="Q20" s="321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1000</v>
      </c>
      <c r="I21" s="236">
        <f t="shared" si="0"/>
        <v>72640</v>
      </c>
      <c r="J21" s="272">
        <f t="shared" si="1"/>
        <v>10896</v>
      </c>
      <c r="K21" s="128">
        <f t="shared" si="1"/>
        <v>0</v>
      </c>
      <c r="L21" s="119">
        <f t="shared" si="1"/>
        <v>0</v>
      </c>
      <c r="M21" s="230">
        <f t="shared" si="2"/>
        <v>61744</v>
      </c>
      <c r="N21" s="277">
        <f t="shared" si="3"/>
        <v>13728.813559322034</v>
      </c>
      <c r="O21" s="239">
        <f t="shared" si="4"/>
        <v>377.36406779661019</v>
      </c>
      <c r="P21" s="119">
        <f t="shared" si="5"/>
        <v>75850.177627118639</v>
      </c>
      <c r="Q21" s="321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6000</v>
      </c>
      <c r="I25" s="114">
        <f t="shared" si="7"/>
        <v>375307.5</v>
      </c>
      <c r="J25" s="274">
        <f>SUM(J16:J24)</f>
        <v>56296.125</v>
      </c>
      <c r="K25" s="275">
        <f t="shared" si="7"/>
        <v>0</v>
      </c>
      <c r="L25" s="276">
        <f t="shared" si="7"/>
        <v>0</v>
      </c>
      <c r="M25" s="232">
        <f t="shared" si="7"/>
        <v>319011.375</v>
      </c>
      <c r="N25" s="233">
        <f>SUM(N16:N24)</f>
        <v>70932.203389830494</v>
      </c>
      <c r="O25" s="101">
        <f>SUM(O16:O24)</f>
        <v>1949.7178919491525</v>
      </c>
      <c r="P25" s="234">
        <f>SUM(P16:P24)</f>
        <v>391893.29628177965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375307.5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56296.125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319011.375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70932.203389830494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389943.57838983048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1949.7178919491525</v>
      </c>
    </row>
    <row r="35" spans="2:16" ht="15.75" customHeight="1" thickBot="1" x14ac:dyDescent="0.4">
      <c r="N35" s="346" t="s">
        <v>88</v>
      </c>
      <c r="O35" s="347"/>
      <c r="P35" s="297">
        <f>+P33+P34</f>
        <v>391893.29628177965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46319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46318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2026-10-23T05:04:25Z</dcterms:modified>
</cp:coreProperties>
</file>