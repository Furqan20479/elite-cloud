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1D9249F-8261-4CC8-B803-5270D487B33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16" i="48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O25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<sst xmlns="http://schemas.openxmlformats.org/spreadsheetml/2006/main" count="3948" uniqueCount="535">
  <si>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</si>
  <si>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</si>
  <si>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</si>
  <si>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</si>
  <si>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</si>
  <si>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</si>
  <si>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</si>
  <si>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</si>
  <si>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</si>
  <si>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</si>
  <si>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</si>
  <si>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</si>
  <si>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</si>
  <si>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</si>
  <si>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</si>
  <si>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</si>
  <si>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</si>
  <si>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</si>
  <si>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</si>
  <si>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</si>
  <si>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</si>
  <si>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</si>
  <si>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</si>
  <si>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</si>
  <si>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</si>
  <si>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</si>
  <si>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</si>
  <si>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</si>
  <si>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</si>
  <si>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</si>
  <si>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</si>
  <si>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</si>
  <si>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</si>
  <si>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</si>
  <si>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</si>
  <si>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</si>
  <si>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</si>
  <si>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</si>
  <si>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</si>
  <si>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</si>
  <si>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</si>
  <si>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</si>
  <si>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</si>
  <si>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</si>
  <si>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</si>
  <si>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</si>
  <si>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</si>
  <si>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</si>
  <si>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</si>
  <si>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</si>
  <si>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</si>
  <si>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</si>
  <si>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</si>
  <si>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</si>
  <si>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</si>
  <si>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</si>
  <si>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</si>
  <si>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</si>
  <si>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</si>
  <si>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</si>
  <si>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</si>
  <si>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</si>
  <si>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</si>
  <si>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</si>
  <si>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</si>
  <si>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</si>
  <si>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</si>
  <si>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</si>
  <si>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</si>
  <si>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</si>
  <si>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</si>
  <si>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</si>
  <si>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</si>
  <si>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</si>
  <si>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</si>
  <si>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</si>
  <si>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</si>
  <si>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</si>
  <si>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</si>
  <si>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</si>
  <si>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</si>
  <si>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</si>
  <si>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</si>
  <si>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</si>
  <si>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</si>
  <si>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</si>
  <si>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</si>
  <si>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</si>
  <si>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</si>
  <si>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</si>
  <si>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</si>
  <si>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</si>
  <si>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</si>
  <si>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</si>
  <si>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</si>
  <si>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</si>
  <si>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</si>
  <si>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</si>
  <si>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</si>
  <si>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</si>
  <si>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</si>
  <si>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</si>
  <si>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</si>
  <si>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</si>
  <si>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</si>
  <si>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</si>
  <si>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</si>
  <si>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</si>
  <si>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</si>
  <si>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</si>
  <si>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</si>
  <si>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</si>
  <si>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</si>
  <si>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</si>
  <si>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</si>
  <si>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</si>
  <si>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</si>
  <si>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</si>
  <si>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</si>
  <si>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</si>
  <si>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</si>
  <si>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</si>
  <si>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</si>
  <si>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</si>
  <si>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</si>
  <si>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</si>
  <si>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</si>
  <si>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</si>
  <si>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</si>
  <si>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</si>
  <si>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</si>
  <si>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</si>
  <si>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</si>
  <si>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</si>
  <si>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</si>
  <si>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</si>
  <si>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</si>
  <si>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</si>
  <si>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</si>
  <si>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</si>
  <si>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</si>
  <si>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</si>
  <si>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</si>
  <si>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</si>
  <si>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</si>
  <si>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</si>
  <si>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</si>
  <si>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</si>
  <si>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</si>
  <si>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</si>
  <si>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</si>
  <si>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</si>
  <si>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</si>
  <si>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</si>
  <si>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</si>
  <si>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</si>
  <si>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</si>
  <si>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</si>
  <si>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</si>
  <si>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</si>
  <si>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</si>
  <si>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</si>
  <si>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</si>
  <si>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</si>
  <si>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</si>
  <si>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</si>
  <si>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</si>
  <si>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</si>
  <si>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</si>
  <si>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</si>
  <si>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</si>
  <si>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</si>
  <si>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</si>
  <si>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</si>
  <si>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</si>
  <si>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</si>
  <si>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</si>
  <si>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</si>
  <si>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</si>
  <si>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</si>
  <si>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</si>
  <si>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</si>
  <si>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</si>
  <si>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</si>
  <si>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</si>
  <si>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</si>
  <si>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</si>
  <si>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</si>
  <si>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</si>
  <si>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</si>
  <si>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</si>
  <si>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</si>
  <si>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</si>
  <si>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</si>
  <si>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</si>
  <si>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</si>
  <si>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</si>
  <si>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</si>
  <si>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</si>
  <si>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</si>
  <si>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</si>
  <si>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</si>
  <si>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</si>
  <si>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</si>
  <si>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</si>
  <si>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</si>
  <si>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</si>
  <si>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</si>
  <si>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</si>
  <si>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</si>
  <si>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</si>
  <si>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</si>
  <si>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</si>
  <si>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</si>
  <si>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</si>
  <si>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</si>
  <si>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</si>
  <si>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</si>
  <si>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</si>
  <si>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</si>
  <si>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</si>
  <si>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</si>
  <si>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</si>
  <si>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</si>
  <si>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</si>
  <si>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</si>
  <si>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</si>
  <si>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</si>
  <si>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</si>
  <si>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</si>
  <si>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</si>
  <si>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</si>
  <si>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</si>
  <si>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</si>
  <si>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</si>
  <si>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</si>
  <si>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</si>
  <si>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</si>
  <si>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</si>
  <si>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</si>
  <si>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</si>
  <si>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</si>
  <si>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</si>
  <si>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</si>
  <si>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</si>
  <si>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</si>
  <si>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</si>
  <si>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</si>
  <si>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</si>
  <si>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</si>
  <si>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</si>
  <si>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</si>
  <si>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</si>
  <si>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</si>
  <si>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</si>
  <si>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</si>
  <si>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</si>
  <si>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</si>
  <si>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</si>
  <si>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</si>
  <si>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</si>
  <si>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</si>
  <si>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</si>
  <si>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</si>
  <si>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</si>
  <si>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</si>
  <si>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</si>
  <si>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</si>
  <si>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</si>
  <si>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</si>
  <si>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</si>
  <si>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</si>
  <si>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</si>
  <si>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</si>
  <si>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</si>
  <si>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</si>
  <si>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</si>
  <si>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</si>
  <si>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</si>
  <si>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</si>
  <si>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</si>
  <si>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</si>
  <si>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</si>
  <si>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</si>
  <si>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</si>
  <si>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</si>
  <si>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</si>
  <si>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</si>
  <si>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</si>
  <si>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</si>
  <si>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</si>
  <si>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</si>
  <si>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</si>
  <si>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</si>
  <si>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</si>
  <si>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</si>
  <si>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</si>
  <si>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</si>
  <si>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</si>
  <si>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</si>
  <si>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</si>
  <si>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</si>
  <si>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</si>
  <si>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</si>
  <si>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</si>
  <si>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</si>
  <si>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</si>
  <si>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</si>
  <si>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</si>
  <si>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</si>
  <si>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</si>
  <si>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</si>
  <si>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</si>
  <si>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</si>
  <si>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</si>
  <si>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</si>
  <si>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</si>
  <si>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</si>
  <si>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</si>
  <si>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</si>
  <si>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</si>
  <si>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</si>
  <si>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</si>
  <si>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</si>
  <si>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</si>
  <si>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</si>
  <si>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</si>
  <si>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</si>
  <si>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</si>
  <si>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</si>
  <si>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</si>
  <si>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</si>
  <si>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</si>
  <si>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</si>
  <si>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</si>
  <si>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</si>
  <si>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</si>
  <si>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</si>
  <si>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</si>
  <si>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</si>
  <si>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</si>
  <si>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</si>
  <si>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</si>
  <si>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</si>
  <si>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</si>
  <si>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</si>
  <si>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</si>
  <si>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</si>
  <si>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</si>
  <si>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</si>
  <si>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</si>
  <si>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</si>
  <si>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</si>
  <si>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</si>
  <si>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</si>
  <si>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</si>
  <si>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</si>
  <si>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</si>
  <si>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</si>
  <si>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</si>
  <si>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</si>
  <si>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</si>
  <si>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</si>
  <si>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</si>
  <si>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</si>
  <si>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</si>
  <si>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</si>
  <si>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</si>
  <si>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</si>
  <si>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</si>
  <si>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</si>
  <si>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</si>
  <si>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</si>
  <si>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</si>
  <si>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</si>
  <si>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</si>
  <si>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</si>
  <si>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</si>
  <si>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</si>
  <si>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</si>
  <si>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</si>
  <si>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</si>
  <si>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</si>
  <si>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</si>
  <si>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</si>
  <si>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</si>
  <si>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</si>
  <si>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</si>
  <si>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</si>
  <si>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</si>
  <si>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</si>
  <si>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</si>
  <si>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</si>
  <si>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</si>
  <si>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</si>
  <si>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</si>
  <si>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</si>
  <si>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</si>
  <si>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</si>
  <si>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</si>
  <si>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</si>
  <si>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</si>
  <si>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</si>
  <si>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</si>
  <si>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</si>
  <si>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</si>
  <si>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</si>
  <si>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</si>
  <si>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</si>
  <si>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</si>
  <si>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</si>
  <si>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</si>
  <si>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</si>
  <si>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</si>
  <si>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</si>
  <si>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</si>
  <si>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</si>
  <si>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</si>
  <si>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</si>
  <si>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</si>
  <si>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</si>
  <si>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</si>
  <si>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</si>
  <si>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</si>
  <si>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</si>
  <si>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</si>
  <si>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</si>
  <si>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</si>
  <si>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</si>
  <si>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</si>
  <si>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</si>
  <si>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</si>
  <si>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</si>
  <si>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</si>
  <si>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</si>
  <si>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</si>
  <si>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</si>
  <si>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</si>
  <si>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</si>
  <si>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</si>
  <si>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</si>
  <si>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</si>
  <si>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</si>
  <si>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</si>
  <si>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</si>
  <si>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</si>
  <si>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</si>
  <si>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</si>
  <si>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</si>
  <si>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</si>
  <si>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</si>
  <si>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</si>
  <si>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</si>
  <si>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</si>
  <si>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</si>
  <si>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</si>
  <si>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</si>
  <si>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</si>
  <si>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</si>
  <si>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</si>
  <si>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</si>
  <si>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</si>
  <si>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</si>
  <si>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</si>
  <si>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</si>
  <si>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</si>
  <si>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</si>
  <si>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</si>
  <si>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</si>
  <si>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</si>
  <si>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</si>
  <si>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</si>
  <si>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</si>
  <si>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</si>
  <si>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</si>
  <si>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</si>
  <si>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</si>
  <si>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</si>
  <si>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</si>
  <si>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</si>
  <si>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</si>
  <si>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</si>
  <si>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</si>
  <si>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</si>
  <si>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</si>
  <si>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</si>
  <si>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</si>
  <si>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</si>
  <si>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</si>
  <si>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</si>
  <si>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</si>
  <si>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</si>
  <si>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</si>
  <si>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</si>
  <si>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</si>
  <si>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</si>
  <si>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</si>
  <si>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</si>
  <si>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</si>
  <si>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</si>
  <si>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</si>
  <si>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</si>
  <si>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</si>
  <si>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</si>
  <si>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</si>
  <si>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</si>
  <si>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</si>
  <si>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</si>
  <si>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</si>
  <si>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</si>
  <si>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</si>
  <si>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</si>
  <si>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</si>
  <si>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</si>
  <si>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</si>
  <si>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Paradiase store</t>
  </si>
  <si>
    <t xml:space="preserve">Address: Punjab Society </t>
  </si>
  <si>
    <t>Punjab Store</t>
  </si>
  <si>
    <t xml:space="preserve">Marhaba Mart </t>
  </si>
  <si>
    <t>Address: Punjab Society Shingai Road</t>
  </si>
  <si>
    <t>Hamad Super Store</t>
  </si>
  <si>
    <t xml:space="preserve">Address: Oposite Marhaba Mart </t>
  </si>
  <si>
    <t>Imran Kereyana Store</t>
  </si>
  <si>
    <t xml:space="preserve">Address: Shokat Town </t>
  </si>
  <si>
    <t>Ravi Store</t>
  </si>
  <si>
    <t>Niazi Store</t>
  </si>
  <si>
    <t>Dua Book Center</t>
  </si>
  <si>
    <t>Bhai Bhai Store</t>
  </si>
  <si>
    <t xml:space="preserve">Address:shokat Town </t>
  </si>
  <si>
    <t>Ahmad Brothers</t>
  </si>
  <si>
    <t>China Groccery Store</t>
  </si>
  <si>
    <t>Address: Ghazi Road</t>
  </si>
  <si>
    <t>Hygine Store</t>
  </si>
  <si>
    <t>Usman GS\</t>
  </si>
  <si>
    <t>Address: Defence Fort Main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</si>
</sst>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7" sqref="J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Paradiase store</v>
      </c>
      <c r="T3" s="301">
        <f>+'1'!P35</f>
        <v>339.75773742584738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Punjab Store</v>
      </c>
      <c r="T4" s="301">
        <f>+'2'!P35</f>
        <v>10802.526335847459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Marhaba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Hamad Super Store</v>
      </c>
      <c r="T6" s="301">
        <f>+'4'!P35</f>
        <v>7004.2118028559335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41</v>
      </c>
      <c r="I7" s="235">
        <f>(G7*D7)*F7+H7*F7</f>
        <v>2150.9625000000001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172.077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75.283687500000013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1903.6018125000001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406.52542372881339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11.550636181144068</v>
      </c>
      <c r="P7" s="310">
        <f>M7+N7+O7</f>
        <v>2321.6778724099577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27</v>
      </c>
      <c r="R7" s="313">
        <v>5</v>
      </c>
      <c r="S7" s="300" t="str">
        <f>+'5'!A6:A6</f>
        <v>Imran Kereyana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58</v>
      </c>
      <c r="I8" s="236">
        <f t="shared" ref="I8:I14" si="0">(G8*D8)*F8+H8*F8</f>
        <v>3042.8249999999998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243.42599999999999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106.498875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2692.9001249999997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575.08474576271169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16.339924353813558</v>
      </c>
      <c r="P8" s="311">
        <f t="shared" ref="P8:P15" si="2">M8+N8+O8</f>
        <v>3284.3247951165249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24</v>
      </c>
      <c r="R8" s="313">
        <v>6</v>
      </c>
      <c r="S8" s="300" t="str">
        <f>+'6'!A6:A6</f>
        <v>Ravi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54</v>
      </c>
      <c r="I9" s="236">
        <f t="shared" si="0"/>
        <v>2832.9749999999999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226.63799999999998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99.154125000000022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2507.182875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535.42372881355914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15.213033019067797</v>
      </c>
      <c r="P9" s="311">
        <f t="shared" si="2"/>
        <v>3057.8196368326271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31</v>
      </c>
      <c r="R9" s="313">
        <v>7</v>
      </c>
      <c r="S9" s="300" t="str">
        <f>+'7'!A6:A6</f>
        <v>Niazi Store</v>
      </c>
      <c r="T9" s="301">
        <f>+'7'!P35</f>
        <v>226.50515828389825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113</v>
      </c>
      <c r="I10" s="236">
        <f t="shared" si="0"/>
        <v>8208.32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656.66560000000004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287.29120000000006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7264.3631999999998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1551.3559322033898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44.078595661016948</v>
      </c>
      <c r="P10" s="311">
        <f t="shared" si="2"/>
        <v>8859.7977278644066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Dua Book Center</v>
      </c>
      <c r="T10" s="301">
        <f>+'8'!P35</f>
        <v>3136.2115850847463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59</v>
      </c>
      <c r="I11" s="236">
        <f t="shared" si="0"/>
        <v>4285.76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342.86080000000004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150.00160000000002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3792.8976000000002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810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23.014488000000004</v>
      </c>
      <c r="P11" s="311">
        <f t="shared" si="2"/>
        <v>4625.912088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Bhai Bhai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165</v>
      </c>
      <c r="I12" s="236">
        <f t="shared" si="0"/>
        <v>11985.6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958.84800000000007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419.49600000000009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10607.256000000001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2265.2542372881358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64.362551186440683</v>
      </c>
      <c r="P12" s="311">
        <f t="shared" si="2"/>
        <v>12936.872788474579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Ahmad Brothers</v>
      </c>
      <c r="T12" s="301">
        <f>+'10'!P35</f>
        <v>679.51547485169476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China Groccery Store</v>
      </c>
      <c r="T13" s="301">
        <f>+'11'!P35</f>
        <v>3489.0420590942799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Hygine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Usman GS\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12.25</v>
      </c>
      <c r="H16" s="113">
        <f t="shared" ref="H16:M16" si="3">SUM(H7:H15)</f>
        <v>490</v>
      </c>
      <c r="I16" s="114">
        <f t="shared" si="3"/>
        <v>32506.442499999997</v>
      </c>
      <c r="J16" s="274">
        <f>SUM(J7:J15)</f>
        <v>2600.5153999999998</v>
      </c>
      <c r="K16" s="275">
        <f t="shared" si="3"/>
        <v>1137.7254875000003</v>
      </c>
      <c r="L16" s="276">
        <f t="shared" si="3"/>
        <v>0</v>
      </c>
      <c r="M16" s="232">
        <f t="shared" si="3"/>
        <v>28768.201612500001</v>
      </c>
      <c r="N16" s="233">
        <f>SUM(N7:N15)</f>
        <v>6143.6440677966093</v>
      </c>
      <c r="O16" s="101">
        <f>SUM(O7:O15)</f>
        <v>174.55922840148304</v>
      </c>
      <c r="P16" s="113">
        <f>SUM(P7:P15)</f>
        <v>35086.404908698096</v>
      </c>
      <c r="Q16" s="128">
        <f>SUM(Q7:Q15)</f>
        <v>122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32506.442499999997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2600.5153999999998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1137.7254875000003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28768.201612499997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6143.6440677966093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34911.84568029661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174.55922840148304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35086.404908698096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35086.404908698096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314.77499999999998</v>
      </c>
      <c r="J25" s="274">
        <f>SUM(J16:J24)</f>
        <v>25.181999999999999</v>
      </c>
      <c r="K25" s="275">
        <f t="shared" si="10"/>
        <v>11.017125</v>
      </c>
      <c r="L25" s="276">
        <f t="shared" si="10"/>
        <v>0</v>
      </c>
      <c r="M25" s="232">
        <f t="shared" si="10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0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119">
        <f t="shared" si="5"/>
        <v>1881.7269510508474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</v>
      </c>
      <c r="I20" s="236">
        <f t="shared" si="0"/>
        <v>1743.3600000000001</v>
      </c>
      <c r="J20" s="272">
        <f t="shared" si="1"/>
        <v>139.46880000000002</v>
      </c>
      <c r="K20" s="128">
        <f t="shared" si="1"/>
        <v>61.017600000000009</v>
      </c>
      <c r="L20" s="119">
        <f t="shared" si="1"/>
        <v>0</v>
      </c>
      <c r="M20" s="230">
        <f t="shared" si="2"/>
        <v>1542.8736000000001</v>
      </c>
      <c r="N20" s="277">
        <f t="shared" si="3"/>
        <v>329.49152542372883</v>
      </c>
      <c r="O20" s="239">
        <f t="shared" si="4"/>
        <v>9.3618256271186446</v>
      </c>
      <c r="P20" s="119">
        <f t="shared" si="5"/>
        <v>1881.7269510508474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96</v>
      </c>
      <c r="I25" s="114">
        <f t="shared" si="7"/>
        <v>6489.18</v>
      </c>
      <c r="J25" s="274">
        <f>SUM(J16:J24)</f>
        <v>519.13440000000003</v>
      </c>
      <c r="K25" s="275">
        <f t="shared" si="7"/>
        <v>227.12130000000005</v>
      </c>
      <c r="L25" s="276">
        <f t="shared" si="7"/>
        <v>0</v>
      </c>
      <c r="M25" s="232">
        <f t="shared" si="7"/>
        <v>5742.9242999999997</v>
      </c>
      <c r="N25" s="233">
        <f>SUM(N16:N24)</f>
        <v>1226.4406779661017</v>
      </c>
      <c r="O25" s="101">
        <f>SUM(O16:O24)</f>
        <v>34.846824889830508</v>
      </c>
      <c r="P25" s="234">
        <f>SUM(P16:P24)</f>
        <v>7004.2118028559325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6489.18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519.13440000000003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227.12130000000005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5742.9243000000006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1226.4406779661017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6969.3649779661027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34.846824889830515</v>
      </c>
    </row>
    <row r="35" spans="2:16" ht="15.75" customHeight="1" thickBot="1" x14ac:dyDescent="0.4">
      <c r="N35" s="374" t="s">
        <v>88</v>
      </c>
      <c r="O35" s="375"/>
      <c r="P35" s="297">
        <f>+P33+P34</f>
        <v>7004.2118028559335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3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209.85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16.788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7.3447500000000003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185.71724999999998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225.3782669491525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74" t="s">
        <v>88</v>
      </c>
      <c r="O35" s="375"/>
      <c r="P35" s="297">
        <f>+P33+P34</f>
        <v>226.50515828389825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0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119">
        <f t="shared" si="5"/>
        <v>1254.4846340338984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52</v>
      </c>
      <c r="I25" s="114">
        <f t="shared" si="7"/>
        <v>3232.4875000000002</v>
      </c>
      <c r="J25" s="274">
        <f>SUM(J16:J24)</f>
        <v>258.59899999999999</v>
      </c>
      <c r="K25" s="275">
        <f t="shared" si="7"/>
        <v>113.13706250000001</v>
      </c>
      <c r="L25" s="276">
        <f t="shared" si="7"/>
        <v>0</v>
      </c>
      <c r="M25" s="232">
        <f t="shared" si="7"/>
        <v>2860.7514375000001</v>
      </c>
      <c r="N25" s="233">
        <f>SUM(N16:N24)</f>
        <v>610.93220338983042</v>
      </c>
      <c r="O25" s="101">
        <f>SUM(O16:O24)</f>
        <v>17.358418204449155</v>
      </c>
      <c r="P25" s="234">
        <f>SUM(P16:P24)</f>
        <v>3489.0420590942795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3232.4875000000002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258.59899999999999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113.13706250000001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2860.7514375000001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610.93220338983042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3471.6836408898307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17.358418204449155</v>
      </c>
    </row>
    <row r="35" spans="2:16" ht="15.75" customHeight="1" thickBot="1" x14ac:dyDescent="0.4">
      <c r="N35" s="374" t="s">
        <v>88</v>
      </c>
      <c r="O35" s="375"/>
      <c r="P35" s="297">
        <f>+P33+P34</f>
        <v>3489.0420590942799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2026-10-22T11:48:29Z</dcterms:modified>
</cp:coreProperties>
</file>