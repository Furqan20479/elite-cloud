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2FA15A-F046-44CF-AE38-13E82FA47A90}" xr6:coauthVersionLast="47" xr6:coauthVersionMax="47" xr10:uidLastSave="{00000000-0000-0000-0000-000000000000}"/>
  <bookViews>
    <workbookView xWindow="-110" yWindow="-110" windowWidth="19420" windowHeight="10420" tabRatio="948" firstSheet="3" activeTab="7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<sst xmlns="http://schemas.openxmlformats.org/spreadsheetml/2006/main" count="3948" uniqueCount="522">
  <si>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</si>
  <si>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</si>
  <si>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</si>
  <si>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</si>
  <si>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</si>
  <si>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</si>
  <si>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</si>
  <si>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</si>
  <si>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</si>
  <si>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</si>
  <si>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</si>
  <si>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</si>
  <si>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</si>
  <si>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</si>
  <si>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</si>
  <si>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</si>
  <si>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</si>
  <si>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</si>
  <si>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</si>
  <si>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</si>
  <si>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</si>
  <si>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</si>
  <si>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</si>
  <si>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</si>
  <si>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</si>
  <si>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</si>
  <si>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</si>
  <si>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</si>
  <si>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</si>
  <si>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</si>
  <si>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</si>
  <si>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</si>
  <si>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</si>
  <si>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</si>
  <si>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</si>
  <si>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</si>
  <si>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</si>
  <si>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</si>
  <si>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</si>
  <si>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</si>
  <si>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</si>
  <si>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</si>
  <si>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</si>
  <si>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</si>
  <si>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</si>
  <si>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</si>
  <si>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</si>
  <si>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</si>
  <si>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</si>
  <si>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</si>
  <si>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</si>
  <si>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</si>
  <si>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</si>
  <si>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</si>
  <si>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</si>
  <si>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</si>
  <si>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</si>
  <si>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</si>
  <si>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</si>
  <si>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</si>
  <si>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</si>
  <si>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</si>
  <si>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</si>
  <si>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</si>
  <si>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</si>
  <si>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</si>
  <si>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</si>
  <si>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</si>
  <si>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</si>
  <si>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</si>
  <si>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</si>
  <si>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</si>
  <si>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</si>
  <si>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</si>
  <si>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</si>
  <si>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</si>
  <si>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</si>
  <si>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</si>
  <si>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</si>
  <si>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</si>
  <si>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</si>
  <si>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</si>
  <si>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</si>
  <si>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</si>
  <si>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</si>
  <si>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</si>
  <si>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</si>
  <si>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</si>
  <si>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</si>
  <si>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</si>
  <si>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</si>
  <si>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</si>
  <si>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</si>
  <si>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</si>
  <si>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</si>
  <si>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</si>
  <si>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</si>
  <si>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</si>
  <si>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</si>
  <si>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</si>
  <si>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</si>
  <si>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</si>
  <si>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</si>
  <si>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</si>
  <si>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</si>
  <si>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</si>
  <si>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</si>
  <si>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</si>
  <si>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</si>
  <si>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</si>
  <si>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</si>
  <si>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</si>
  <si>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</si>
  <si>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</si>
  <si>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</si>
  <si>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</si>
  <si>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</si>
  <si>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</si>
  <si>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</si>
  <si>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</si>
  <si>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</si>
  <si>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</si>
  <si>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</si>
  <si>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</si>
  <si>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</si>
  <si>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</si>
  <si>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</si>
  <si>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</si>
  <si>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</si>
  <si>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</si>
  <si>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</si>
  <si>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</si>
  <si>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</si>
  <si>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</si>
  <si>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</si>
  <si>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</si>
  <si>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</si>
  <si>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</si>
  <si>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</si>
  <si>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</si>
  <si>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</si>
  <si>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</si>
  <si>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</si>
  <si>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</si>
  <si>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</si>
  <si>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</si>
  <si>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</si>
  <si>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</si>
  <si>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</si>
  <si>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</si>
  <si>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</si>
  <si>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</si>
  <si>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</si>
  <si>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</si>
  <si>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</si>
  <si>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</si>
  <si>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</si>
  <si>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</si>
  <si>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</si>
  <si>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</si>
  <si>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</si>
  <si>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</si>
  <si>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</si>
  <si>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</si>
  <si>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</si>
  <si>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</si>
  <si>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</si>
  <si>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</si>
  <si>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</si>
  <si>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</si>
  <si>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</si>
  <si>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</si>
  <si>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</si>
  <si>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</si>
  <si>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</si>
  <si>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</si>
  <si>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</si>
  <si>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</si>
  <si>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</si>
  <si>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</si>
  <si>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</si>
  <si>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</si>
  <si>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</si>
  <si>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</si>
  <si>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</si>
  <si>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</si>
  <si>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</si>
  <si>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</si>
  <si>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</si>
  <si>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</si>
  <si>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</si>
  <si>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</si>
  <si>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</si>
  <si>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</si>
  <si>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</si>
  <si>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</si>
  <si>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</si>
  <si>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</si>
  <si>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</si>
  <si>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</si>
  <si>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</si>
  <si>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</si>
  <si>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</si>
  <si>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</si>
  <si>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</si>
  <si>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</si>
  <si>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</si>
  <si>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</si>
  <si>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</si>
  <si>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</si>
  <si>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</si>
  <si>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</si>
  <si>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</si>
  <si>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</si>
  <si>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</si>
  <si>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</si>
  <si>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</si>
  <si>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</si>
  <si>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</si>
  <si>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</si>
  <si>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</si>
  <si>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</si>
  <si>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</si>
  <si>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</si>
  <si>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</si>
  <si>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</si>
  <si>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</si>
  <si>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</si>
  <si>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</si>
  <si>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</si>
  <si>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</si>
  <si>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</si>
  <si>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</si>
  <si>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</si>
  <si>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</si>
  <si>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</si>
  <si>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</si>
  <si>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</si>
  <si>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</si>
  <si>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</si>
  <si>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</si>
  <si>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</si>
  <si>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</si>
  <si>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</si>
  <si>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</si>
  <si>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</si>
  <si>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</si>
  <si>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</si>
  <si>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</si>
  <si>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</si>
  <si>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</si>
  <si>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</si>
  <si>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</si>
  <si>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</si>
  <si>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</si>
  <si>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</si>
  <si>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</si>
  <si>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</si>
  <si>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</si>
  <si>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</si>
  <si>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</si>
  <si>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</si>
  <si>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</si>
  <si>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</si>
  <si>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</si>
  <si>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</si>
  <si>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</si>
  <si>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</si>
  <si>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</si>
  <si>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</si>
  <si>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</si>
  <si>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</si>
  <si>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</si>
  <si>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</si>
  <si>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</si>
  <si>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</si>
  <si>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</si>
  <si>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</si>
  <si>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</si>
  <si>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</si>
  <si>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</si>
  <si>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</si>
  <si>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</si>
  <si>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</si>
  <si>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</si>
  <si>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</si>
  <si>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</si>
  <si>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</si>
  <si>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</si>
  <si>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</si>
  <si>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</si>
  <si>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</si>
  <si>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</si>
  <si>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</si>
  <si>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</si>
  <si>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</si>
  <si>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</si>
  <si>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</si>
  <si>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</si>
  <si>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</si>
  <si>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</si>
  <si>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</si>
  <si>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</si>
  <si>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</si>
  <si>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</si>
  <si>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</si>
  <si>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</si>
  <si>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</si>
  <si>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</si>
  <si>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</si>
  <si>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</si>
  <si>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</si>
  <si>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</si>
  <si>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</si>
  <si>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</si>
  <si>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</si>
  <si>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</si>
  <si>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</si>
  <si>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</si>
  <si>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</si>
  <si>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</si>
  <si>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</si>
  <si>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</si>
  <si>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</si>
  <si>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</si>
  <si>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</si>
  <si>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</si>
  <si>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</si>
  <si>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</si>
  <si>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</si>
  <si>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</si>
  <si>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</si>
  <si>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</si>
  <si>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</si>
  <si>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</si>
  <si>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</si>
  <si>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</si>
  <si>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</si>
  <si>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</si>
  <si>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</si>
  <si>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</si>
  <si>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</si>
  <si>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</si>
  <si>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</si>
  <si>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</si>
  <si>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</si>
  <si>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</si>
  <si>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</si>
  <si>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</si>
  <si>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</si>
  <si>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</si>
  <si>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</si>
  <si>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</si>
  <si>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</si>
  <si>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</si>
  <si>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</si>
  <si>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</si>
  <si>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</si>
  <si>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</si>
  <si>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</si>
  <si>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</si>
  <si>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</si>
  <si>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</si>
  <si>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</si>
  <si>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</si>
  <si>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</si>
  <si>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</si>
  <si>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</si>
  <si>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</si>
  <si>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</si>
  <si>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</si>
  <si>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</si>
  <si>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</si>
  <si>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</si>
  <si>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</si>
  <si>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</si>
  <si>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</si>
  <si>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</si>
  <si>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</si>
  <si>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</si>
  <si>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</si>
  <si>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</si>
  <si>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</si>
  <si>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</si>
  <si>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</si>
  <si>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</si>
  <si>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</si>
  <si>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</si>
  <si>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</si>
  <si>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</si>
  <si>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</si>
  <si>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</si>
  <si>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</si>
  <si>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</si>
  <si>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</si>
  <si>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</si>
  <si>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</si>
  <si>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</si>
  <si>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</si>
  <si>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</si>
  <si>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</si>
  <si>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</si>
  <si>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</si>
  <si>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</si>
  <si>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</si>
  <si>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</si>
  <si>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</si>
  <si>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</si>
  <si>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</si>
  <si>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</si>
  <si>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</si>
  <si>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</si>
  <si>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</si>
  <si>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</si>
  <si>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</si>
  <si>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</si>
  <si>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</si>
  <si>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</si>
  <si>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</si>
  <si>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</si>
  <si>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</si>
  <si>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</si>
  <si>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</si>
  <si>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</si>
  <si>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</si>
  <si>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</si>
  <si>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</si>
  <si>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</si>
  <si>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</si>
  <si>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</si>
  <si>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</si>
  <si>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</si>
  <si>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</si>
  <si>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</si>
  <si>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</si>
  <si>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</si>
  <si>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</si>
  <si>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</si>
  <si>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</si>
  <si>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</si>
  <si>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</si>
  <si>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</si>
  <si>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</si>
  <si>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</si>
  <si>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</si>
  <si>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</si>
  <si>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</si>
  <si>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</si>
  <si>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</si>
  <si>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</si>
  <si>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</si>
  <si>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</si>
  <si>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</si>
  <si>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</si>
  <si>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</si>
  <si>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</si>
  <si>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</si>
  <si>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</si>
  <si>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</si>
  <si>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</si>
  <si>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</si>
  <si>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</si>
  <si>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</si>
  <si>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</si>
  <si>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</si>
  <si>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</si>
  <si>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</si>
  <si>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</si>
  <si>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</si>
  <si>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</si>
  <si>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</si>
  <si>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</si>
  <si>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</si>
  <si>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</si>
  <si>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</si>
  <si>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</si>
  <si>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</si>
  <si>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</si>
  <si>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</si>
  <si>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</si>
  <si>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</si>
  <si>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</si>
  <si>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</si>
  <si>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</si>
  <si>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</si>
  <si>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</si>
  <si>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</si>
  <si>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</si>
  <si>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</si>
  <si>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</si>
  <si>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</si>
  <si>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</si>
  <si>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</si>
  <si>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</si>
  <si>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</si>
  <si>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</si>
  <si>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</si>
  <si>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</si>
  <si>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</si>
  <si>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</si>
  <si>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</si>
  <si>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</si>
  <si>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</si>
  <si>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</si>
  <si>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</si>
  <si>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</si>
  <si>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</si>
  <si>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</si>
  <si>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</si>
  <si>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</si>
  <si>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</si>
  <si>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</si>
  <si>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</si>
  <si>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</si>
  <si>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</si>
  <si>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QF Mart </t>
  </si>
  <si>
    <t xml:space="preserve">Address: Shah jmal Road </t>
  </si>
  <si>
    <t xml:space="preserve">Mehmood Store </t>
  </si>
  <si>
    <t xml:space="preserve">Kashmir bakery </t>
  </si>
  <si>
    <t>Address: Fozlia colony</t>
  </si>
  <si>
    <t xml:space="preserve">New Data Store </t>
  </si>
  <si>
    <t xml:space="preserve">Ch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</si>
</sst>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J2" workbookViewId="0">
      <selection activeCell="U12" sqref="U12:W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QF Mart 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Mehmood Store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Kashmir bakery </v>
      </c>
      <c r="T5" s="301">
        <f>+'3'!P35</f>
        <v>6097.2154901694912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New Data Store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Ch Store </v>
      </c>
      <c r="T7" s="301">
        <f>+'5'!P35</f>
        <v>2352.1586888135594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63</v>
      </c>
      <c r="I10" s="236">
        <f t="shared" si="0"/>
        <v>4576.32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160.17120000000003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3962.8751999999995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864.9152542372882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24.13895227118644</v>
      </c>
      <c r="P10" s="311">
        <f t="shared" si="2"/>
        <v>4851.9294065084741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23</v>
      </c>
      <c r="I11" s="236">
        <f t="shared" si="0"/>
        <v>1670.72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133.6576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58.475200000000001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1478.5871999999999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315.76271186440681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8.9717495593220349</v>
      </c>
      <c r="P11" s="311">
        <f t="shared" si="2"/>
        <v>1803.3216614237288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</v>
      </c>
      <c r="I12" s="236">
        <f t="shared" si="0"/>
        <v>4648.96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459.08480000000003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162.71360000000001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4027.1615999999999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878.64406779661022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24.52902833898305</v>
      </c>
      <c r="P12" s="311">
        <f t="shared" si="2"/>
        <v>4930.3346961355937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24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4.3499999999999996</v>
      </c>
      <c r="H16" s="113">
        <f t="shared" ref="H16:M16" si="3">SUM(H7:H15)</f>
        <v>174</v>
      </c>
      <c r="I16" s="114">
        <f t="shared" si="3"/>
        <v>12155.1</v>
      </c>
      <c r="J16" s="274">
        <f>SUM(J7:J15)</f>
        <v>1146.7440000000001</v>
      </c>
      <c r="K16" s="275">
        <f t="shared" si="3"/>
        <v>425.4285000000001</v>
      </c>
      <c r="L16" s="276">
        <f t="shared" si="3"/>
        <v>0</v>
      </c>
      <c r="M16" s="232">
        <f t="shared" si="3"/>
        <v>10582.9275</v>
      </c>
      <c r="N16" s="233">
        <f>SUM(N7:N15)</f>
        <v>2297.2881355932204</v>
      </c>
      <c r="O16" s="101">
        <f>SUM(O7:O15)</f>
        <v>64.401078177966099</v>
      </c>
      <c r="P16" s="113">
        <f>SUM(P7:P15)</f>
        <v>12944.616713771185</v>
      </c>
      <c r="Q16" s="128">
        <f>SUM(Q7:Q15)</f>
        <v>24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12155.1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1146.7440000000001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425.4285000000001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10582.9275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2297.2881355932204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12880.21563559322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64.401078177966099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12944.616713771185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12944.616713771187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639.23199999999997</v>
      </c>
      <c r="K25" s="275">
        <f t="shared" si="7"/>
        <v>203.39200000000002</v>
      </c>
      <c r="L25" s="276">
        <f t="shared" si="7"/>
        <v>0</v>
      </c>
      <c r="M25" s="232">
        <f t="shared" si="7"/>
        <v>4968.576</v>
      </c>
      <c r="N25" s="233">
        <f>SUM(N16:N24)</f>
        <v>1098.3050847457628</v>
      </c>
      <c r="O25" s="101">
        <f>SUM(O16:O24)</f>
        <v>30.334405423728814</v>
      </c>
      <c r="P25" s="234">
        <f>SUM(P16:P24)</f>
        <v>6097.2154901694912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639.23199999999997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4968.576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6066.8810847457626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30.334405423728814</v>
      </c>
    </row>
    <row r="35" spans="2:16" ht="15.75" customHeight="1" thickBot="1" x14ac:dyDescent="0.4">
      <c r="N35" s="345" t="s">
        <v>88</v>
      </c>
      <c r="O35" s="346"/>
      <c r="P35" s="297">
        <f>+P33+P34</f>
        <v>6097.2154901694912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abSelected="1" topLeftCell="A11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46319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46318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2026-10-23T05:16:14Z</dcterms:modified>
</cp:coreProperties>
</file>