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A2EBBE8-3973-49CE-BFBF-454B894FE2F1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<sst xmlns="http://schemas.openxmlformats.org/spreadsheetml/2006/main" count="3948" uniqueCount="522">
  <si>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</si>
  <si>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</si>
  <si>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</si>
  <si>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</si>
  <si>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</si>
  <si>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</si>
  <si>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</si>
  <si>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</si>
  <si>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</si>
  <si>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</si>
  <si>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</si>
  <si>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</si>
  <si>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</si>
  <si>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</si>
  <si>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</si>
  <si>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</si>
  <si>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</si>
  <si>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</si>
  <si>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</si>
  <si>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</si>
  <si>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</si>
  <si>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</si>
  <si>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</si>
  <si>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</si>
  <si>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</si>
  <si>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</si>
  <si>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</si>
  <si>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</si>
  <si>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</si>
  <si>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</si>
  <si>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</si>
  <si>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</si>
  <si>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</si>
  <si>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</si>
  <si>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</si>
  <si>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</si>
  <si>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</si>
  <si>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</si>
  <si>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</si>
  <si>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</si>
  <si>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</si>
  <si>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</si>
  <si>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</si>
  <si>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</si>
  <si>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</si>
  <si>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</si>
  <si>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</si>
  <si>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</si>
  <si>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</si>
  <si>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</si>
  <si>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</si>
  <si>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</si>
  <si>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</si>
  <si>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</si>
  <si>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</si>
  <si>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</si>
  <si>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</si>
  <si>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</si>
  <si>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</si>
  <si>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</si>
  <si>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</si>
  <si>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</si>
  <si>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</si>
  <si>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</si>
  <si>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</si>
  <si>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</si>
  <si>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</si>
  <si>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</si>
  <si>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</si>
  <si>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</si>
  <si>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</si>
  <si>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</si>
  <si>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</si>
  <si>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</si>
  <si>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</si>
  <si>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</si>
  <si>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</si>
  <si>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</si>
  <si>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</si>
  <si>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</si>
  <si>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</si>
  <si>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</si>
  <si>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</si>
  <si>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</si>
  <si>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</si>
  <si>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</si>
  <si>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</si>
  <si>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</si>
  <si>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</si>
  <si>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</si>
  <si>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</si>
  <si>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</si>
  <si>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</si>
  <si>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</si>
  <si>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</si>
  <si>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</si>
  <si>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</si>
  <si>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</si>
  <si>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</si>
  <si>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</si>
  <si>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</si>
  <si>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</si>
  <si>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</si>
  <si>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</si>
  <si>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</si>
  <si>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</si>
  <si>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</si>
  <si>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</si>
  <si>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</si>
  <si>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</si>
  <si>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</si>
  <si>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</si>
  <si>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</si>
  <si>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</si>
  <si>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</si>
  <si>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</si>
  <si>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</si>
  <si>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</si>
  <si>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</si>
  <si>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</si>
  <si>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</si>
  <si>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</si>
  <si>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</si>
  <si>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</si>
  <si>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</si>
  <si>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</si>
  <si>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</si>
  <si>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</si>
  <si>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</si>
  <si>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</si>
  <si>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</si>
  <si>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</si>
  <si>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</si>
  <si>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</si>
  <si>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</si>
  <si>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</si>
  <si>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</si>
  <si>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</si>
  <si>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</si>
  <si>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</si>
  <si>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</si>
  <si>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</si>
  <si>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</si>
  <si>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</si>
  <si>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</si>
  <si>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</si>
  <si>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</si>
  <si>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</si>
  <si>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</si>
  <si>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</si>
  <si>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</si>
  <si>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</si>
  <si>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</si>
  <si>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</si>
  <si>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</si>
  <si>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</si>
  <si>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</si>
  <si>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</si>
  <si>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</si>
  <si>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</si>
  <si>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</si>
  <si>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</si>
  <si>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</si>
  <si>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</si>
  <si>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</si>
  <si>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</si>
  <si>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</si>
  <si>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</si>
  <si>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</si>
  <si>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</si>
  <si>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</si>
  <si>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</si>
  <si>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</si>
  <si>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</si>
  <si>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</si>
  <si>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</si>
  <si>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</si>
  <si>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</si>
  <si>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</si>
  <si>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</si>
  <si>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</si>
  <si>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</si>
  <si>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</si>
  <si>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</si>
  <si>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</si>
  <si>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</si>
  <si>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</si>
  <si>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</si>
  <si>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</si>
  <si>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</si>
  <si>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</si>
  <si>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</si>
  <si>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</si>
  <si>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</si>
  <si>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</si>
  <si>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</si>
  <si>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</si>
  <si>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</si>
  <si>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</si>
  <si>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</si>
  <si>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</si>
  <si>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</si>
  <si>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</si>
  <si>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</si>
  <si>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</si>
  <si>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</si>
  <si>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</si>
  <si>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</si>
  <si>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</si>
  <si>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</si>
  <si>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</si>
  <si>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</si>
  <si>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</si>
  <si>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</si>
  <si>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</si>
  <si>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</si>
  <si>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</si>
  <si>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</si>
  <si>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</si>
  <si>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</si>
  <si>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</si>
  <si>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</si>
  <si>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</si>
  <si>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</si>
  <si>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</si>
  <si>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</si>
  <si>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</si>
  <si>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</si>
  <si>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</si>
  <si>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</si>
  <si>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</si>
  <si>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</si>
  <si>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</si>
  <si>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</si>
  <si>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</si>
  <si>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</si>
  <si>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</si>
  <si>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</si>
  <si>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</si>
  <si>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</si>
  <si>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</si>
  <si>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</si>
  <si>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</si>
  <si>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</si>
  <si>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</si>
  <si>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</si>
  <si>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</si>
  <si>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</si>
  <si>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</si>
  <si>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</si>
  <si>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</si>
  <si>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</si>
  <si>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</si>
  <si>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</si>
  <si>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</si>
  <si>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</si>
  <si>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</si>
  <si>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</si>
  <si>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</si>
  <si>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</si>
  <si>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</si>
  <si>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</si>
  <si>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</si>
  <si>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</si>
  <si>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</si>
  <si>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</si>
  <si>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</si>
  <si>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</si>
  <si>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</si>
  <si>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</si>
  <si>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</si>
  <si>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</si>
  <si>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</si>
  <si>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</si>
  <si>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</si>
  <si>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</si>
  <si>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</si>
  <si>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</si>
  <si>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</si>
  <si>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</si>
  <si>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</si>
  <si>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</si>
  <si>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</si>
  <si>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</si>
  <si>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</si>
  <si>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</si>
  <si>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</si>
  <si>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</si>
  <si>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</si>
  <si>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</si>
  <si>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</si>
  <si>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</si>
  <si>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</si>
  <si>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</si>
  <si>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</si>
  <si>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</si>
  <si>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</si>
  <si>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</si>
  <si>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</si>
  <si>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</si>
  <si>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</si>
  <si>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</si>
  <si>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</si>
  <si>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</si>
  <si>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</si>
  <si>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</si>
  <si>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</si>
  <si>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</si>
  <si>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</si>
  <si>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</si>
  <si>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</si>
  <si>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</si>
  <si>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</si>
  <si>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</si>
  <si>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</si>
  <si>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</si>
  <si>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</si>
  <si>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</si>
  <si>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</si>
  <si>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</si>
  <si>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</si>
  <si>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</si>
  <si>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</si>
  <si>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</si>
  <si>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</si>
  <si>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</si>
  <si>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</si>
  <si>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</si>
  <si>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</si>
  <si>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</si>
  <si>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</si>
  <si>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</si>
  <si>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</si>
  <si>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</si>
  <si>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</si>
  <si>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</si>
  <si>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</si>
  <si>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</si>
  <si>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</si>
  <si>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</si>
  <si>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</si>
  <si>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</si>
  <si>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</si>
  <si>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</si>
  <si>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</si>
  <si>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</si>
  <si>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</si>
  <si>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</si>
  <si>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</si>
  <si>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</si>
  <si>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</si>
  <si>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</si>
  <si>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</si>
  <si>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</si>
  <si>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</si>
  <si>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</si>
  <si>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</si>
  <si>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</si>
  <si>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</si>
  <si>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</si>
  <si>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</si>
  <si>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</si>
  <si>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</si>
  <si>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</si>
  <si>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</si>
  <si>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</si>
  <si>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</si>
  <si>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</si>
  <si>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</si>
  <si>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</si>
  <si>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</si>
  <si>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</si>
  <si>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</si>
  <si>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</si>
  <si>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</si>
  <si>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</si>
  <si>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</si>
  <si>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</si>
  <si>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</si>
  <si>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</si>
  <si>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</si>
  <si>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</si>
  <si>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</si>
  <si>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</si>
  <si>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</si>
  <si>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</si>
  <si>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</si>
  <si>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</si>
  <si>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</si>
  <si>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</si>
  <si>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</si>
  <si>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</si>
  <si>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</si>
  <si>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</si>
  <si>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</si>
  <si>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</si>
  <si>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</si>
  <si>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</si>
  <si>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</si>
  <si>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</si>
  <si>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</si>
  <si>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</si>
  <si>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</si>
  <si>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</si>
  <si>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</si>
  <si>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</si>
  <si>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</si>
  <si>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</si>
  <si>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</si>
  <si>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</si>
  <si>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</si>
  <si>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</si>
  <si>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</si>
  <si>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</si>
  <si>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</si>
  <si>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</si>
  <si>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</si>
  <si>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</si>
  <si>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</si>
  <si>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</si>
  <si>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</si>
  <si>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</si>
  <si>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</si>
  <si>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</si>
  <si>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</si>
  <si>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</si>
  <si>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</si>
  <si>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</si>
  <si>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</si>
  <si>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</si>
  <si>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</si>
  <si>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</si>
  <si>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</si>
  <si>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</si>
  <si>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</si>
  <si>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</si>
  <si>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</si>
  <si>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</si>
  <si>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</si>
  <si>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</si>
  <si>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</si>
  <si>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</si>
  <si>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</si>
  <si>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</si>
  <si>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</si>
  <si>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</si>
  <si>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</si>
  <si>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</si>
  <si>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</si>
  <si>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</si>
  <si>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</si>
  <si>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</si>
  <si>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</si>
  <si>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</si>
  <si>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</si>
  <si>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</si>
  <si>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</si>
  <si>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</si>
  <si>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</si>
  <si>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</si>
  <si>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</si>
  <si>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</si>
  <si>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</si>
  <si>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</si>
  <si>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</si>
  <si>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</si>
  <si>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</si>
  <si>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</si>
  <si>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</si>
  <si>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</si>
  <si>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</si>
  <si>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</si>
  <si>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</si>
  <si>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</si>
  <si>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</si>
  <si>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</si>
  <si>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</si>
  <si>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</si>
  <si>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</si>
  <si>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</si>
  <si>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</si>
  <si>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</si>
  <si>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</si>
  <si>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</si>
  <si>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</si>
  <si>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</si>
  <si>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</si>
  <si>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</si>
  <si>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</si>
  <si>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</si>
  <si>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</si>
  <si>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</si>
  <si>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</si>
  <si>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</si>
  <si>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</si>
  <si>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</si>
  <si>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</si>
  <si>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</si>
  <si>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</si>
  <si>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</si>
  <si>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</si>
  <si>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</si>
  <si>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</si>
  <si>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</si>
  <si>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</si>
  <si>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</si>
  <si>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</si>
  <si>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</si>
  <si>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</si>
  <si>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</si>
  <si>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</si>
  <si>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</si>
  <si>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</si>
  <si>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</si>
  <si>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</si>
  <si>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 xml:space="preserve">QF Mart </t>
  </si>
  <si>
    <t xml:space="preserve">Address: Shah jmal Road </t>
  </si>
  <si>
    <t xml:space="preserve">Mehmood Store </t>
  </si>
  <si>
    <t xml:space="preserve">Kashmir bakery </t>
  </si>
  <si>
    <t>Address: Fozlia colony</t>
  </si>
  <si>
    <t xml:space="preserve">New Data Store </t>
  </si>
  <si>
    <t xml:space="preserve">Ch Store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</si>
</sst>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3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46317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QF Mart </v>
      </c>
      <c r="T3" s="301">
        <f>+'1'!P35</f>
        <v>3136.2115850847463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Mehmood Store </v>
      </c>
      <c r="T4" s="301">
        <f>+'2'!P35</f>
        <v>1359.0309497033895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Kashmir bakery </v>
      </c>
      <c r="T5" s="301">
        <f>+'3'!P35</f>
        <v>6097.2154901694912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New Data Store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Ch Store </v>
      </c>
      <c r="T7" s="301">
        <f>+'5'!P35</f>
        <v>2352.1586888135594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</v>
      </c>
      <c r="I9" s="236">
        <f t="shared" si="0"/>
        <v>629.54999999999995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50.363999999999997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22.03425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557.15174999999999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118.98305084745758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3.3806740042372878</v>
      </c>
      <c r="P9" s="311">
        <f t="shared" si="2"/>
        <v>679.51547485169488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63</v>
      </c>
      <c r="I10" s="236">
        <f t="shared" si="0"/>
        <v>4576.32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453.27360000000004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160.17120000000003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3962.8751999999995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864.9152542372882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24.13895227118644</v>
      </c>
      <c r="P10" s="311">
        <f t="shared" si="2"/>
        <v>4851.9294065084741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23</v>
      </c>
      <c r="I11" s="236">
        <f t="shared" si="0"/>
        <v>1670.72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133.6576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58.475200000000001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1478.5871999999999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315.76271186440681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8.9717495593220349</v>
      </c>
      <c r="P11" s="311">
        <f t="shared" si="2"/>
        <v>1803.3216614237288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64</v>
      </c>
      <c r="I12" s="236">
        <f t="shared" si="0"/>
        <v>4648.96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459.08480000000003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162.71360000000001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4027.1615999999999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878.64406779661022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24.52902833898305</v>
      </c>
      <c r="P12" s="311">
        <f t="shared" si="2"/>
        <v>4930.3346961355937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24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4.3499999999999996</v>
      </c>
      <c r="H16" s="113">
        <f t="shared" ref="H16:M16" si="3">SUM(H7:H15)</f>
        <v>174</v>
      </c>
      <c r="I16" s="114">
        <f t="shared" si="3"/>
        <v>12155.1</v>
      </c>
      <c r="J16" s="274">
        <f>SUM(J7:J15)</f>
        <v>1146.7440000000001</v>
      </c>
      <c r="K16" s="275">
        <f t="shared" si="3"/>
        <v>425.4285000000001</v>
      </c>
      <c r="L16" s="276">
        <f t="shared" si="3"/>
        <v>0</v>
      </c>
      <c r="M16" s="232">
        <f t="shared" si="3"/>
        <v>10582.9275</v>
      </c>
      <c r="N16" s="233">
        <f>SUM(N7:N15)</f>
        <v>2297.2881355932204</v>
      </c>
      <c r="O16" s="101">
        <f>SUM(O7:O15)</f>
        <v>64.401078177966099</v>
      </c>
      <c r="P16" s="113">
        <f>SUM(P7:P15)</f>
        <v>12944.616713771185</v>
      </c>
      <c r="Q16" s="128">
        <f>SUM(Q7:Q15)</f>
        <v>24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12155.1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1146.7440000000001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425.4285000000001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10582.9275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2297.2881355932204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12880.21563559322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64.401078177966099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12944.616713771185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12944.616713771187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7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7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7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2905.6000000000004</v>
      </c>
      <c r="J25" s="274">
        <f>SUM(J16:J24)</f>
        <v>232.44800000000004</v>
      </c>
      <c r="K25" s="275">
        <f t="shared" si="10"/>
        <v>101.696</v>
      </c>
      <c r="L25" s="276">
        <f t="shared" si="10"/>
        <v>0</v>
      </c>
      <c r="M25" s="232">
        <f t="shared" si="10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1259.0999999999999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100.72799999999999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44.0685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1114.3034999999998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1352.2696016949149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74" t="s">
        <v>88</v>
      </c>
      <c r="O35" s="375"/>
      <c r="P35" s="297">
        <f>+P33+P34</f>
        <v>1359.0309497033895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8.7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319.61599999999999</v>
      </c>
      <c r="K19" s="128">
        <f t="shared" si="1"/>
        <v>101.69600000000001</v>
      </c>
      <c r="L19" s="119">
        <f t="shared" si="1"/>
        <v>0</v>
      </c>
      <c r="M19" s="230">
        <f t="shared" si="2"/>
        <v>2484.288</v>
      </c>
      <c r="N19" s="277">
        <f t="shared" si="3"/>
        <v>549.15254237288138</v>
      </c>
      <c r="O19" s="239">
        <f t="shared" si="4"/>
        <v>15.167202711864407</v>
      </c>
      <c r="P19" s="119">
        <f t="shared" si="5"/>
        <v>3048.6077450847456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319.61599999999999</v>
      </c>
      <c r="K21" s="128">
        <f t="shared" si="1"/>
        <v>101.69600000000001</v>
      </c>
      <c r="L21" s="119">
        <f t="shared" si="1"/>
        <v>0</v>
      </c>
      <c r="M21" s="230">
        <f t="shared" si="2"/>
        <v>2484.288</v>
      </c>
      <c r="N21" s="277">
        <f t="shared" si="3"/>
        <v>549.15254237288138</v>
      </c>
      <c r="O21" s="239">
        <f t="shared" si="4"/>
        <v>15.167202711864407</v>
      </c>
      <c r="P21" s="119">
        <f t="shared" si="5"/>
        <v>3048.6077450847456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639.23199999999997</v>
      </c>
      <c r="K25" s="275">
        <f t="shared" si="7"/>
        <v>203.39200000000002</v>
      </c>
      <c r="L25" s="276">
        <f t="shared" si="7"/>
        <v>0</v>
      </c>
      <c r="M25" s="232">
        <f t="shared" si="7"/>
        <v>4968.576</v>
      </c>
      <c r="N25" s="233">
        <f>SUM(N16:N24)</f>
        <v>1098.3050847457628</v>
      </c>
      <c r="O25" s="101">
        <f>SUM(O16:O24)</f>
        <v>30.334405423728814</v>
      </c>
      <c r="P25" s="234">
        <f>SUM(P16:P24)</f>
        <v>6097.2154901694912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5811.2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639.23199999999997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203.39200000000002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4968.576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6066.8810847457626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30.334405423728814</v>
      </c>
    </row>
    <row r="35" spans="2:16" ht="15.75" customHeight="1" thickBot="1" x14ac:dyDescent="0.4">
      <c r="N35" s="374" t="s">
        <v>88</v>
      </c>
      <c r="O35" s="375"/>
      <c r="P35" s="297">
        <f>+P33+P34</f>
        <v>6097.2154901694912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1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24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30</v>
      </c>
      <c r="I25" s="114">
        <f t="shared" si="7"/>
        <v>2179.1999999999998</v>
      </c>
      <c r="J25" s="274">
        <f>SUM(J16:J24)</f>
        <v>174.33600000000001</v>
      </c>
      <c r="K25" s="275">
        <f t="shared" si="7"/>
        <v>76.272000000000006</v>
      </c>
      <c r="L25" s="276">
        <f t="shared" si="7"/>
        <v>0</v>
      </c>
      <c r="M25" s="232">
        <f t="shared" si="7"/>
        <v>1928.5920000000001</v>
      </c>
      <c r="N25" s="233">
        <f>SUM(N16:N24)</f>
        <v>411.86440677966107</v>
      </c>
      <c r="O25" s="101">
        <f>SUM(O16:O24)</f>
        <v>11.702282033898307</v>
      </c>
      <c r="P25" s="234">
        <f>SUM(P16:P24)</f>
        <v>2352.1586888135594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2179.1999999999998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174.33600000000001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76.272000000000006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1928.5919999999999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411.86440677966107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2340.4564067796609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11.702282033898305</v>
      </c>
    </row>
    <row r="35" spans="2:16" ht="15.75" customHeight="1" thickBot="1" x14ac:dyDescent="0.4">
      <c r="N35" s="374" t="s">
        <v>88</v>
      </c>
      <c r="O35" s="375"/>
      <c r="P35" s="297">
        <f>+P33+P34</f>
        <v>2352.1586888135594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46318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46317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2026-10-22T11:14:43Z</dcterms:modified>
</cp:coreProperties>
</file>