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F08101-B48F-45A5-A007-BB13756AFF9C}" xr6:coauthVersionLast="47" xr6:coauthVersionMax="47" xr10:uidLastSave="{00000000-0000-0000-0000-000000000000}"/>
  <bookViews>
    <workbookView xWindow="-110" yWindow="-110" windowWidth="19420" windowHeight="10420" tabRatio="948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<sst xmlns="http://schemas.openxmlformats.org/spreadsheetml/2006/main" count="3948" uniqueCount="522">
  <si>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</si>
  <si>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</si>
  <si>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</si>
  <si>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</si>
  <si>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</si>
  <si>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</si>
  <si>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</si>
  <si>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</si>
  <si>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</si>
  <si>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</si>
  <si>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</si>
  <si>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</si>
  <si>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</si>
  <si>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</si>
  <si>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</si>
  <si>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</si>
  <si>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</si>
  <si>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</si>
  <si>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</si>
  <si>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</si>
  <si>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</si>
  <si>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</si>
  <si>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</si>
  <si>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</si>
  <si>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</si>
  <si>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</si>
  <si>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</si>
  <si>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</si>
  <si>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</si>
  <si>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</si>
  <si>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</si>
  <si>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</si>
  <si>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</si>
  <si>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</si>
  <si>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</si>
  <si>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</si>
  <si>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</si>
  <si>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</si>
  <si>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</si>
  <si>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</si>
  <si>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</si>
  <si>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</si>
  <si>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</si>
  <si>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</si>
  <si>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</si>
  <si>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</si>
  <si>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</si>
  <si>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</si>
  <si>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</si>
  <si>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</si>
  <si>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</si>
  <si>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</si>
  <si>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</si>
  <si>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</si>
  <si>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</si>
  <si>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</si>
  <si>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</si>
  <si>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</si>
  <si>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</si>
  <si>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</si>
  <si>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</si>
  <si>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</si>
  <si>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</si>
  <si>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</si>
  <si>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</si>
  <si>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</si>
  <si>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</si>
  <si>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</si>
  <si>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</si>
  <si>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</si>
  <si>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</si>
  <si>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</si>
  <si>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</si>
  <si>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</si>
  <si>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</si>
  <si>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</si>
  <si>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</si>
  <si>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</si>
  <si>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</si>
  <si>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</si>
  <si>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</si>
  <si>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</si>
  <si>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</si>
  <si>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</si>
  <si>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</si>
  <si>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</si>
  <si>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</si>
  <si>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</si>
  <si>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</si>
  <si>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</si>
  <si>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</si>
  <si>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</si>
  <si>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</si>
  <si>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</si>
  <si>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</si>
  <si>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</si>
  <si>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</si>
  <si>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</si>
  <si>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</si>
  <si>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</si>
  <si>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</si>
  <si>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</si>
  <si>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</si>
  <si>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</si>
  <si>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</si>
  <si>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</si>
  <si>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</si>
  <si>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</si>
  <si>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</si>
  <si>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</si>
  <si>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</si>
  <si>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</si>
  <si>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</si>
  <si>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</si>
  <si>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</si>
  <si>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</si>
  <si>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</si>
  <si>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</si>
  <si>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</si>
  <si>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</si>
  <si>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</si>
  <si>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</si>
  <si>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</si>
  <si>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</si>
  <si>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</si>
  <si>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</si>
  <si>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</si>
  <si>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</si>
  <si>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</si>
  <si>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</si>
  <si>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</si>
  <si>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</si>
  <si>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</si>
  <si>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</si>
  <si>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</si>
  <si>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</si>
  <si>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</si>
  <si>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</si>
  <si>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</si>
  <si>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</si>
  <si>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</si>
  <si>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</si>
  <si>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</si>
  <si>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</si>
  <si>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</si>
  <si>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</si>
  <si>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</si>
  <si>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</si>
  <si>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</si>
  <si>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</si>
  <si>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</si>
  <si>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</si>
  <si>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</si>
  <si>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</si>
  <si>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</si>
  <si>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</si>
  <si>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</si>
  <si>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</si>
  <si>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</si>
  <si>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</si>
  <si>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</si>
  <si>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</si>
  <si>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</si>
  <si>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</si>
  <si>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</si>
  <si>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</si>
  <si>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</si>
  <si>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</si>
  <si>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</si>
  <si>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</si>
  <si>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</si>
  <si>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</si>
  <si>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</si>
  <si>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</si>
  <si>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</si>
  <si>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</si>
  <si>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</si>
  <si>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</si>
  <si>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</si>
  <si>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</si>
  <si>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</si>
  <si>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</si>
  <si>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</si>
  <si>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</si>
  <si>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</si>
  <si>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</si>
  <si>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</si>
  <si>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</si>
  <si>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</si>
  <si>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</si>
  <si>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</si>
  <si>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</si>
  <si>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</si>
  <si>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</si>
  <si>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</si>
  <si>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</si>
  <si>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</si>
  <si>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</si>
  <si>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</si>
  <si>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</si>
  <si>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</si>
  <si>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</si>
  <si>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</si>
  <si>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</si>
  <si>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</si>
  <si>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</si>
  <si>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</si>
  <si>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</si>
  <si>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</si>
  <si>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</si>
  <si>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</si>
  <si>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</si>
  <si>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</si>
  <si>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</si>
  <si>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</si>
  <si>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</si>
  <si>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</si>
  <si>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</si>
  <si>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</si>
  <si>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</si>
  <si>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</si>
  <si>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</si>
  <si>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</si>
  <si>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</si>
  <si>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</si>
  <si>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</si>
  <si>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</si>
  <si>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</si>
  <si>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</si>
  <si>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</si>
  <si>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</si>
  <si>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</si>
  <si>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</si>
  <si>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</si>
  <si>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</si>
  <si>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</si>
  <si>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</si>
  <si>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</si>
  <si>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</si>
  <si>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</si>
  <si>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</si>
  <si>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</si>
  <si>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</si>
  <si>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</si>
  <si>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</si>
  <si>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</si>
  <si>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</si>
  <si>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</si>
  <si>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</si>
  <si>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</si>
  <si>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</si>
  <si>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</si>
  <si>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</si>
  <si>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</si>
  <si>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</si>
  <si>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</si>
  <si>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</si>
  <si>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</si>
  <si>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</si>
  <si>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</si>
  <si>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</si>
  <si>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</si>
  <si>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</si>
  <si>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</si>
  <si>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</si>
  <si>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</si>
  <si>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</si>
  <si>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</si>
  <si>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</si>
  <si>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</si>
  <si>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</si>
  <si>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</si>
  <si>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</si>
  <si>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</si>
  <si>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</si>
  <si>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</si>
  <si>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</si>
  <si>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</si>
  <si>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</si>
  <si>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</si>
  <si>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</si>
  <si>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</si>
  <si>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</si>
  <si>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</si>
  <si>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</si>
  <si>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</si>
  <si>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</si>
  <si>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</si>
  <si>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</si>
  <si>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</si>
  <si>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</si>
  <si>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</si>
  <si>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</si>
  <si>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</si>
  <si>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</si>
  <si>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</si>
  <si>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</si>
  <si>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</si>
  <si>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</si>
  <si>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</si>
  <si>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</si>
  <si>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</si>
  <si>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</si>
  <si>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</si>
  <si>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</si>
  <si>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</si>
  <si>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</si>
  <si>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</si>
  <si>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</si>
  <si>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</si>
  <si>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</si>
  <si>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</si>
  <si>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</si>
  <si>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</si>
  <si>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</si>
  <si>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</si>
  <si>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</si>
  <si>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</si>
  <si>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</si>
  <si>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</si>
  <si>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</si>
  <si>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</si>
  <si>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</si>
  <si>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</si>
  <si>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</si>
  <si>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</si>
  <si>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</si>
  <si>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</si>
  <si>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</si>
  <si>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</si>
  <si>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</si>
  <si>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</si>
  <si>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</si>
  <si>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</si>
  <si>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</si>
  <si>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</si>
  <si>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</si>
  <si>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</si>
  <si>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</si>
  <si>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</si>
  <si>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</si>
  <si>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</si>
  <si>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</si>
  <si>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</si>
  <si>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</si>
  <si>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</si>
  <si>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</si>
  <si>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</si>
  <si>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</si>
  <si>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</si>
  <si>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</si>
  <si>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</si>
  <si>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</si>
  <si>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</si>
  <si>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</si>
  <si>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</si>
  <si>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</si>
  <si>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</si>
  <si>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</si>
  <si>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</si>
  <si>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</si>
  <si>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</si>
  <si>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</si>
  <si>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</si>
  <si>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</si>
  <si>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</si>
  <si>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</si>
  <si>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</si>
  <si>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</si>
  <si>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</si>
  <si>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</si>
  <si>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</si>
  <si>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</si>
  <si>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</si>
  <si>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</si>
  <si>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</si>
  <si>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</si>
  <si>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</si>
  <si>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</si>
  <si>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</si>
  <si>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</si>
  <si>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</si>
  <si>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</si>
  <si>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</si>
  <si>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</si>
  <si>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</si>
  <si>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</si>
  <si>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</si>
  <si>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</si>
  <si>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</si>
  <si>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</si>
  <si>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</si>
  <si>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</si>
  <si>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</si>
  <si>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</si>
  <si>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</si>
  <si>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</si>
  <si>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</si>
  <si>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</si>
  <si>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</si>
  <si>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</si>
  <si>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</si>
  <si>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</si>
  <si>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</si>
  <si>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</si>
  <si>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</si>
  <si>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</si>
  <si>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</si>
  <si>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</si>
  <si>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</si>
  <si>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</si>
  <si>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</si>
  <si>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</si>
  <si>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</si>
  <si>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</si>
  <si>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</si>
  <si>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</si>
  <si>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</si>
  <si>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</si>
  <si>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</si>
  <si>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</si>
  <si>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</si>
  <si>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</si>
  <si>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</si>
  <si>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</si>
  <si>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</si>
  <si>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</si>
  <si>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</si>
  <si>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</si>
  <si>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</si>
  <si>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</si>
  <si>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</si>
  <si>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</si>
  <si>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</si>
  <si>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</si>
  <si>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</si>
  <si>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</si>
  <si>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</si>
  <si>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</si>
  <si>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</si>
  <si>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</si>
  <si>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</si>
  <si>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</si>
  <si>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</si>
  <si>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</si>
  <si>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</si>
  <si>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</si>
  <si>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</si>
  <si>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</si>
  <si>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</si>
  <si>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</si>
  <si>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</si>
  <si>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</si>
  <si>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</si>
  <si>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</si>
  <si>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</si>
  <si>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</si>
  <si>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</si>
  <si>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</si>
  <si>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</si>
  <si>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</si>
  <si>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</si>
  <si>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</si>
  <si>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</si>
  <si>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</si>
  <si>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</si>
  <si>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</si>
  <si>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</si>
  <si>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</si>
  <si>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</si>
  <si>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</si>
  <si>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</si>
  <si>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</si>
  <si>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</si>
  <si>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</si>
  <si>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</si>
  <si>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</si>
  <si>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</si>
  <si>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</si>
  <si>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</si>
  <si>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</si>
  <si>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</si>
  <si>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</si>
  <si>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</si>
  <si>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</si>
  <si>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</si>
  <si>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</si>
  <si>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</si>
  <si>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</si>
  <si>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</si>
  <si>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</si>
  <si>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</si>
  <si>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</si>
  <si>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</si>
  <si>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</si>
  <si>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</si>
  <si>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</si>
  <si>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</si>
  <si>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</si>
  <si>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</si>
  <si>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</si>
  <si>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</si>
  <si>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</si>
  <si>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</si>
  <si>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</si>
  <si>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</si>
  <si>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</si>
  <si>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</si>
  <si>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</si>
  <si>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</si>
  <si>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</si>
  <si>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</si>
  <si>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</si>
  <si>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</si>
  <si>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</si>
  <si>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 xml:space="preserve">QF Mart </t>
  </si>
  <si>
    <t xml:space="preserve">Address: Shah jmal Road </t>
  </si>
  <si>
    <t xml:space="preserve">Mehmood Store </t>
  </si>
  <si>
    <t xml:space="preserve">Kashmir bakery </t>
  </si>
  <si>
    <t>Address: Fozlia colony</t>
  </si>
  <si>
    <t xml:space="preserve">New Data Store </t>
  </si>
  <si>
    <t xml:space="preserve">Ch Store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</si>
</sst>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5" sqref="S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QF Mart 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Mehmood Store </v>
      </c>
      <c r="T4" s="301">
        <f>+'2'!P35</f>
        <v>1359.0309497033895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Kashmir bakery </v>
      </c>
      <c r="T5" s="301">
        <f>+'3'!P35</f>
        <v>6097.2154901694912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New Data Store </v>
      </c>
      <c r="T6" s="301">
        <f>+'4'!P35</f>
        <v>1881.7269510508474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Ch Store </v>
      </c>
      <c r="T7" s="301">
        <f>+'5'!P35</f>
        <v>2352.1586888135594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63</v>
      </c>
      <c r="I10" s="236">
        <f t="shared" si="0"/>
        <v>4576.32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453.27360000000004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160.17120000000003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3962.8751999999995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864.9152542372882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24.13895227118644</v>
      </c>
      <c r="P10" s="311">
        <f t="shared" si="2"/>
        <v>4851.9294065084741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23</v>
      </c>
      <c r="I11" s="236">
        <f t="shared" si="0"/>
        <v>1670.72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133.6576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58.475200000000001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1478.5871999999999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315.76271186440681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8.9717495593220349</v>
      </c>
      <c r="P11" s="311">
        <f t="shared" si="2"/>
        <v>1803.3216614237288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</v>
      </c>
      <c r="I12" s="236">
        <f t="shared" si="0"/>
        <v>6392.32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598.55359999999996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223.73120000000003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5570.0351999999993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1208.1355932203392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33.890853966101695</v>
      </c>
      <c r="P12" s="311">
        <f t="shared" si="2"/>
        <v>6812.0616471864405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4.95</v>
      </c>
      <c r="H16" s="113">
        <f t="shared" ref="H16:M16" si="3">SUM(H7:H15)</f>
        <v>198</v>
      </c>
      <c r="I16" s="114">
        <f t="shared" si="3"/>
        <v>13898.46</v>
      </c>
      <c r="J16" s="274">
        <f>SUM(J7:J15)</f>
        <v>1286.2128</v>
      </c>
      <c r="K16" s="275">
        <f t="shared" si="3"/>
        <v>486.44610000000011</v>
      </c>
      <c r="L16" s="276">
        <f t="shared" si="3"/>
        <v>0</v>
      </c>
      <c r="M16" s="232">
        <f t="shared" si="3"/>
        <v>12125.801099999999</v>
      </c>
      <c r="N16" s="233">
        <f>SUM(N7:N15)</f>
        <v>2626.7796610169494</v>
      </c>
      <c r="O16" s="101">
        <f>SUM(O7:O15)</f>
        <v>73.762903805084747</v>
      </c>
      <c r="P16" s="113">
        <f>SUM(P7:P15)</f>
        <v>14826.343664822034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13898.46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1286.2128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486.44610000000011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12125.801100000001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2626.7796610169494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14752.58076101695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73.762903805084747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14826.343664822036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14826.343664822034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1259.0999999999999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100.72799999999999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44.0685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1114.3034999999998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1352.2696016949149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45" t="s">
        <v>88</v>
      </c>
      <c r="O35" s="346"/>
      <c r="P35" s="297">
        <f>+P33+P34</f>
        <v>1359.0309497033895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319.61599999999999</v>
      </c>
      <c r="K19" s="128">
        <f t="shared" si="1"/>
        <v>101.69600000000001</v>
      </c>
      <c r="L19" s="119">
        <f t="shared" si="1"/>
        <v>0</v>
      </c>
      <c r="M19" s="230">
        <f t="shared" si="2"/>
        <v>2484.288</v>
      </c>
      <c r="N19" s="277">
        <f t="shared" si="3"/>
        <v>549.15254237288138</v>
      </c>
      <c r="O19" s="239">
        <f t="shared" si="4"/>
        <v>15.167202711864407</v>
      </c>
      <c r="P19" s="119">
        <f t="shared" si="5"/>
        <v>3048.6077450847456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319.61599999999999</v>
      </c>
      <c r="K21" s="128">
        <f t="shared" si="1"/>
        <v>101.69600000000001</v>
      </c>
      <c r="L21" s="119">
        <f t="shared" si="1"/>
        <v>0</v>
      </c>
      <c r="M21" s="230">
        <f t="shared" si="2"/>
        <v>2484.288</v>
      </c>
      <c r="N21" s="277">
        <f t="shared" si="3"/>
        <v>549.15254237288138</v>
      </c>
      <c r="O21" s="239">
        <f t="shared" si="4"/>
        <v>15.167202711864407</v>
      </c>
      <c r="P21" s="119">
        <f t="shared" si="5"/>
        <v>3048.6077450847456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639.23199999999997</v>
      </c>
      <c r="K25" s="275">
        <f t="shared" si="7"/>
        <v>203.39200000000002</v>
      </c>
      <c r="L25" s="276">
        <f t="shared" si="7"/>
        <v>0</v>
      </c>
      <c r="M25" s="232">
        <f t="shared" si="7"/>
        <v>4968.576</v>
      </c>
      <c r="N25" s="233">
        <f>SUM(N16:N24)</f>
        <v>1098.3050847457628</v>
      </c>
      <c r="O25" s="101">
        <f>SUM(O16:O24)</f>
        <v>30.334405423728814</v>
      </c>
      <c r="P25" s="234">
        <f>SUM(P16:P24)</f>
        <v>6097.2154901694912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5811.2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639.23199999999997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203.39200000000002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4968.576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6066.8810847457626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30.334405423728814</v>
      </c>
    </row>
    <row r="35" spans="2:16" ht="15.75" customHeight="1" thickBot="1" x14ac:dyDescent="0.4">
      <c r="N35" s="345" t="s">
        <v>88</v>
      </c>
      <c r="O35" s="346"/>
      <c r="P35" s="297">
        <f>+P33+P34</f>
        <v>6097.2154901694912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24</v>
      </c>
      <c r="I21" s="236">
        <f t="shared" si="0"/>
        <v>1743.3600000000001</v>
      </c>
      <c r="J21" s="272">
        <f t="shared" si="1"/>
        <v>139.46880000000002</v>
      </c>
      <c r="K21" s="128">
        <f t="shared" si="1"/>
        <v>61.017600000000009</v>
      </c>
      <c r="L21" s="119">
        <f t="shared" si="1"/>
        <v>0</v>
      </c>
      <c r="M21" s="230">
        <f t="shared" si="2"/>
        <v>1542.8736000000001</v>
      </c>
      <c r="N21" s="277">
        <f t="shared" si="3"/>
        <v>329.49152542372883</v>
      </c>
      <c r="O21" s="239">
        <f t="shared" si="4"/>
        <v>9.3618256271186446</v>
      </c>
      <c r="P21" s="119">
        <f t="shared" si="5"/>
        <v>1881.7269510508474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2026-10-22T05:05:43Z</dcterms:modified>
</cp:coreProperties>
</file>