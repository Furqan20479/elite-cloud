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5D380F1-166C-4864-AA18-F7DC1C34770A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<sst xmlns="http://schemas.openxmlformats.org/spreadsheetml/2006/main" count="3948" uniqueCount="522">
  <si>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</si>
  <si>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</si>
  <si>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</si>
  <si>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</si>
  <si>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</si>
  <si>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</si>
  <si>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</si>
  <si>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</si>
  <si>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</si>
  <si>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</si>
  <si>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</si>
  <si>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</si>
  <si>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</si>
  <si>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</si>
  <si>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</si>
  <si>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</si>
  <si>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</si>
  <si>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</si>
  <si>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</si>
  <si>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</si>
  <si>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</si>
  <si>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</si>
  <si>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</si>
  <si>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</si>
  <si>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</si>
  <si>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</si>
  <si>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</si>
  <si>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</si>
  <si>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</si>
  <si>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</si>
  <si>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</si>
  <si>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</si>
  <si>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</si>
  <si>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</si>
  <si>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</si>
  <si>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</si>
  <si>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</si>
  <si>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</si>
  <si>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</si>
  <si>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</si>
  <si>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</si>
  <si>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</si>
  <si>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</si>
  <si>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</si>
  <si>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</si>
  <si>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</si>
  <si>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</si>
  <si>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</si>
  <si>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</si>
  <si>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</si>
  <si>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</si>
  <si>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</si>
  <si>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</si>
  <si>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</si>
  <si>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</si>
  <si>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</si>
  <si>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</si>
  <si>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</si>
  <si>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</si>
  <si>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</si>
  <si>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</si>
  <si>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</si>
  <si>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</si>
  <si>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</si>
  <si>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</si>
  <si>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</si>
  <si>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</si>
  <si>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</si>
  <si>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</si>
  <si>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</si>
  <si>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</si>
  <si>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</si>
  <si>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</si>
  <si>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</si>
  <si>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</si>
  <si>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</si>
  <si>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</si>
  <si>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</si>
  <si>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</si>
  <si>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</si>
  <si>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</si>
  <si>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</si>
  <si>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</si>
  <si>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</si>
  <si>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</si>
  <si>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</si>
  <si>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</si>
  <si>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</si>
  <si>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</si>
  <si>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</si>
  <si>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</si>
  <si>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</si>
  <si>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</si>
  <si>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</si>
  <si>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</si>
  <si>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</si>
  <si>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</si>
  <si>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</si>
  <si>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</si>
  <si>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</si>
  <si>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</si>
  <si>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</si>
  <si>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</si>
  <si>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</si>
  <si>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</si>
  <si>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</si>
  <si>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</si>
  <si>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</si>
  <si>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</si>
  <si>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</si>
  <si>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</si>
  <si>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</si>
  <si>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</si>
  <si>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</si>
  <si>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</si>
  <si>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</si>
  <si>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</si>
  <si>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</si>
  <si>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</si>
  <si>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</si>
  <si>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</si>
  <si>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</si>
  <si>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</si>
  <si>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</si>
  <si>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</si>
  <si>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</si>
  <si>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</si>
  <si>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</si>
  <si>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</si>
  <si>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</si>
  <si>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</si>
  <si>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</si>
  <si>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</si>
  <si>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</si>
  <si>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</si>
  <si>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</si>
  <si>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</si>
  <si>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</si>
  <si>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</si>
  <si>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</si>
  <si>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</si>
  <si>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</si>
  <si>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</si>
  <si>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</si>
  <si>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</si>
  <si>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</si>
  <si>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</si>
  <si>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</si>
  <si>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</si>
  <si>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</si>
  <si>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</si>
  <si>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</si>
  <si>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</si>
  <si>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</si>
  <si>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</si>
  <si>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</si>
  <si>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</si>
  <si>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</si>
  <si>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</si>
  <si>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</si>
  <si>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</si>
  <si>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</si>
  <si>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</si>
  <si>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</si>
  <si>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</si>
  <si>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</si>
  <si>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</si>
  <si>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</si>
  <si>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</si>
  <si>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</si>
  <si>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</si>
  <si>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</si>
  <si>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</si>
  <si>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</si>
  <si>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</si>
  <si>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</si>
  <si>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</si>
  <si>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</si>
  <si>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</si>
  <si>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</si>
  <si>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</si>
  <si>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</si>
  <si>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</si>
  <si>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</si>
  <si>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</si>
  <si>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</si>
  <si>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</si>
  <si>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</si>
  <si>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</si>
  <si>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</si>
  <si>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</si>
  <si>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</si>
  <si>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</si>
  <si>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</si>
  <si>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</si>
  <si>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</si>
  <si>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</si>
  <si>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</si>
  <si>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</si>
  <si>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</si>
  <si>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</si>
  <si>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</si>
  <si>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</si>
  <si>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</si>
  <si>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</si>
  <si>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</si>
  <si>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</si>
  <si>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</si>
  <si>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</si>
  <si>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</si>
  <si>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</si>
  <si>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</si>
  <si>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</si>
  <si>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</si>
  <si>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</si>
  <si>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</si>
  <si>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</si>
  <si>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</si>
  <si>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</si>
  <si>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</si>
  <si>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</si>
  <si>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</si>
  <si>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</si>
  <si>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</si>
  <si>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</si>
  <si>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</si>
  <si>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</si>
  <si>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</si>
  <si>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</si>
  <si>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</si>
  <si>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</si>
  <si>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</si>
  <si>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</si>
  <si>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</si>
  <si>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</si>
  <si>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</si>
  <si>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</si>
  <si>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</si>
  <si>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</si>
  <si>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</si>
  <si>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</si>
  <si>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</si>
  <si>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</si>
  <si>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</si>
  <si>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</si>
  <si>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</si>
  <si>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</si>
  <si>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</si>
  <si>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</si>
  <si>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</si>
  <si>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</si>
  <si>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</si>
  <si>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</si>
  <si>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</si>
  <si>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</si>
  <si>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</si>
  <si>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</si>
  <si>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</si>
  <si>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</si>
  <si>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</si>
  <si>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</si>
  <si>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</si>
  <si>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</si>
  <si>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</si>
  <si>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</si>
  <si>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</si>
  <si>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</si>
  <si>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</si>
  <si>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</si>
  <si>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</si>
  <si>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</si>
  <si>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</si>
  <si>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</si>
  <si>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</si>
  <si>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</si>
  <si>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</si>
  <si>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</si>
  <si>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</si>
  <si>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</si>
  <si>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</si>
  <si>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</si>
  <si>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</si>
  <si>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</si>
  <si>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</si>
  <si>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</si>
  <si>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</si>
  <si>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</si>
  <si>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</si>
  <si>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</si>
  <si>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</si>
  <si>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</si>
  <si>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</si>
  <si>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</si>
  <si>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</si>
  <si>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</si>
  <si>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</si>
  <si>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</si>
  <si>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</si>
  <si>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</si>
  <si>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</si>
  <si>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</si>
  <si>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</si>
  <si>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</si>
  <si>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</si>
  <si>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</si>
  <si>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</si>
  <si>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</si>
  <si>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</si>
  <si>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</si>
  <si>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</si>
  <si>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</si>
  <si>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</si>
  <si>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</si>
  <si>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</si>
  <si>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</si>
  <si>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</si>
  <si>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</si>
  <si>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</si>
  <si>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</si>
  <si>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</si>
  <si>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</si>
  <si>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</si>
  <si>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</si>
  <si>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</si>
  <si>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</si>
  <si>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</si>
  <si>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</si>
  <si>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</si>
  <si>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</si>
  <si>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</si>
  <si>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</si>
  <si>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</si>
  <si>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</si>
  <si>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</si>
  <si>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</si>
  <si>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</si>
  <si>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</si>
  <si>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</si>
  <si>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</si>
  <si>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</si>
  <si>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</si>
  <si>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</si>
  <si>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</si>
  <si>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</si>
  <si>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</si>
  <si>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</si>
  <si>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</si>
  <si>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</si>
  <si>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</si>
  <si>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</si>
  <si>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</si>
  <si>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</si>
  <si>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</si>
  <si>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</si>
  <si>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</si>
  <si>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</si>
  <si>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</si>
  <si>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</si>
  <si>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</si>
  <si>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</si>
  <si>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</si>
  <si>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</si>
  <si>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</si>
  <si>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</si>
  <si>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</si>
  <si>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</si>
  <si>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</si>
  <si>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</si>
  <si>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</si>
  <si>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</si>
  <si>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</si>
  <si>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</si>
  <si>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</si>
  <si>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</si>
  <si>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</si>
  <si>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</si>
  <si>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</si>
  <si>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</si>
  <si>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</si>
  <si>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</si>
  <si>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</si>
  <si>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</si>
  <si>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</si>
  <si>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</si>
  <si>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</si>
  <si>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</si>
  <si>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</si>
  <si>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</si>
  <si>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</si>
  <si>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</si>
  <si>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</si>
  <si>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</si>
  <si>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</si>
  <si>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</si>
  <si>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</si>
  <si>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</si>
  <si>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</si>
  <si>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</si>
  <si>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</si>
  <si>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</si>
  <si>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</si>
  <si>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</si>
  <si>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</si>
  <si>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</si>
  <si>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</si>
  <si>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</si>
  <si>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</si>
  <si>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</si>
  <si>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</si>
  <si>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</si>
  <si>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</si>
  <si>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</si>
  <si>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</si>
  <si>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</si>
  <si>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</si>
  <si>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</si>
  <si>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</si>
  <si>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</si>
  <si>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</si>
  <si>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</si>
  <si>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</si>
  <si>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</si>
  <si>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</si>
  <si>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</si>
  <si>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</si>
  <si>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</si>
  <si>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</si>
  <si>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</si>
  <si>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</si>
  <si>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</si>
  <si>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</si>
  <si>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</si>
  <si>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</si>
  <si>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</si>
  <si>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</si>
  <si>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</si>
  <si>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</si>
  <si>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</si>
  <si>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</si>
  <si>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</si>
  <si>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</si>
  <si>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</si>
  <si>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</si>
  <si>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</si>
  <si>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</si>
  <si>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</si>
  <si>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</si>
  <si>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</si>
  <si>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</si>
  <si>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</si>
  <si>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</si>
  <si>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</si>
  <si>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</si>
  <si>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</si>
  <si>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</si>
  <si>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</si>
  <si>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</si>
  <si>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</si>
  <si>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</si>
  <si>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</si>
  <si>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</si>
  <si>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</si>
  <si>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</si>
  <si>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</si>
  <si>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</si>
  <si>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</si>
  <si>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</si>
  <si>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</si>
  <si>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</si>
  <si>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</si>
  <si>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</si>
  <si>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</si>
  <si>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</si>
  <si>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</si>
  <si>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</si>
  <si>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</si>
  <si>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</si>
  <si>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</si>
  <si>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</si>
  <si>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</si>
  <si>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</si>
  <si>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</si>
  <si>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</si>
  <si>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</si>
  <si>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</si>
  <si>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</si>
  <si>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</si>
  <si>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</si>
  <si>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</si>
  <si>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</si>
  <si>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</si>
  <si>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</si>
  <si>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</si>
  <si>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</si>
  <si>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</si>
  <si>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</si>
  <si>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</si>
  <si>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</si>
  <si>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</si>
  <si>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</si>
  <si>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</si>
  <si>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</si>
  <si>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</si>
  <si>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</si>
  <si>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</si>
  <si>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</si>
  <si>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</si>
  <si>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</si>
  <si>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</si>
  <si>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</si>
  <si>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</si>
  <si>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</si>
  <si>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</si>
  <si>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</si>
  <si>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</si>
  <si>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 xml:space="preserve">QF Mart </t>
  </si>
  <si>
    <t xml:space="preserve">Address: Shah jmal Road </t>
  </si>
  <si>
    <t xml:space="preserve">Mehmood Store </t>
  </si>
  <si>
    <t xml:space="preserve">Kashmir bakery </t>
  </si>
  <si>
    <t>Address: Fozlia colony</t>
  </si>
  <si>
    <t xml:space="preserve">New Data Store </t>
  </si>
  <si>
    <t xml:space="preserve">Ch Store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</si>
</sst>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QF Mart </v>
      </c>
      <c r="T3" s="301">
        <f>+'1'!P35</f>
        <v>3136.2115850847463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Mehmood Store </v>
      </c>
      <c r="T4" s="301">
        <f>+'2'!P35</f>
        <v>1359.0309497033895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Kashmir bakery </v>
      </c>
      <c r="T5" s="301">
        <f>+'3'!P35</f>
        <v>6272.4231701694916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New Data Store </v>
      </c>
      <c r="T6" s="301">
        <f>+'4'!P35</f>
        <v>1881.7269510508474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Ch Store </v>
      </c>
      <c r="T7" s="301">
        <f>+'5'!P35</f>
        <v>2352.1586888135594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</v>
      </c>
      <c r="I9" s="236">
        <f t="shared" si="0"/>
        <v>629.54999999999995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50.363999999999997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22.03425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557.15174999999999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118.98305084745758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3.3806740042372878</v>
      </c>
      <c r="P9" s="311">
        <f t="shared" si="2"/>
        <v>679.51547485169488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63</v>
      </c>
      <c r="I10" s="236">
        <f t="shared" si="0"/>
        <v>4576.32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366.10560000000004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160.17120000000003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4050.0431999999996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864.9152542372882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24.574792271186443</v>
      </c>
      <c r="P10" s="311">
        <f t="shared" si="2"/>
        <v>4939.5332465084739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23</v>
      </c>
      <c r="I11" s="236">
        <f t="shared" si="0"/>
        <v>1670.72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133.6576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58.475200000000001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1478.5871999999999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315.76271186440681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8.9717495593220349</v>
      </c>
      <c r="P11" s="311">
        <f t="shared" si="2"/>
        <v>1803.3216614237288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88</v>
      </c>
      <c r="I12" s="236">
        <f t="shared" si="0"/>
        <v>6392.32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511.38560000000001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223.73120000000003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5657.2031999999999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1208.1355932203392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34.326693966101701</v>
      </c>
      <c r="P12" s="311">
        <f t="shared" si="2"/>
        <v>6899.6654871864403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4.95</v>
      </c>
      <c r="H16" s="113">
        <f t="shared" ref="H16:M16" si="3">SUM(H7:H15)</f>
        <v>198</v>
      </c>
      <c r="I16" s="114">
        <f t="shared" si="3"/>
        <v>13898.46</v>
      </c>
      <c r="J16" s="274">
        <f>SUM(J7:J15)</f>
        <v>1111.8768</v>
      </c>
      <c r="K16" s="275">
        <f t="shared" si="3"/>
        <v>486.44610000000011</v>
      </c>
      <c r="L16" s="276">
        <f t="shared" si="3"/>
        <v>0</v>
      </c>
      <c r="M16" s="232">
        <f t="shared" si="3"/>
        <v>12300.1371</v>
      </c>
      <c r="N16" s="233">
        <f>SUM(N7:N15)</f>
        <v>2626.7796610169494</v>
      </c>
      <c r="O16" s="101">
        <f>SUM(O7:O15)</f>
        <v>74.634583805084759</v>
      </c>
      <c r="P16" s="113">
        <f>SUM(P7:P15)</f>
        <v>15001.551344822034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13898.46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1111.8768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486.44610000000011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12300.1371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2626.7796610169494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14926.91676101695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74.634583805084759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15001.551344822035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15001.551344822034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7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7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7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2905.6000000000004</v>
      </c>
      <c r="J25" s="274">
        <f>SUM(J16:J24)</f>
        <v>232.44800000000004</v>
      </c>
      <c r="K25" s="275">
        <f t="shared" si="10"/>
        <v>101.696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3136.2115850847463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1259.0999999999999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100.72799999999999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44.0685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1114.3034999999998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1352.2696016949149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45" t="s">
        <v>88</v>
      </c>
      <c r="O35" s="346"/>
      <c r="P35" s="297">
        <f>+P33+P34</f>
        <v>1359.0309497033895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519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24</v>
      </c>
      <c r="I21" s="236">
        <f t="shared" si="0"/>
        <v>1743.3600000000001</v>
      </c>
      <c r="J21" s="272">
        <f t="shared" si="1"/>
        <v>139.46880000000002</v>
      </c>
      <c r="K21" s="128">
        <f t="shared" si="1"/>
        <v>61.017600000000009</v>
      </c>
      <c r="L21" s="119">
        <f t="shared" si="1"/>
        <v>0</v>
      </c>
      <c r="M21" s="230">
        <f t="shared" si="2"/>
        <v>1542.8736000000001</v>
      </c>
      <c r="N21" s="277">
        <f t="shared" si="3"/>
        <v>329.49152542372883</v>
      </c>
      <c r="O21" s="239">
        <f t="shared" si="4"/>
        <v>9.3618256271186446</v>
      </c>
      <c r="P21" s="119">
        <f t="shared" si="5"/>
        <v>1881.7269510508474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1743.3600000000001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139.46880000000002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61.017600000000009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1542.8736000000001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1872.3651254237288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5" t="s">
        <v>88</v>
      </c>
      <c r="O35" s="346"/>
      <c r="P35" s="297">
        <f>+P33+P34</f>
        <v>1881.7269510508474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234">
        <f>SUM(P16:P24)</f>
        <v>2352.1586888135594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2179.1999999999998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174.33600000000001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76.272000000000006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1928.5919999999999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2340.4564067796609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45" t="s">
        <v>88</v>
      </c>
      <c r="O35" s="346"/>
      <c r="P35" s="297">
        <f>+P33+P34</f>
        <v>2352.1586888135594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2026-10-21T11:55:55Z</dcterms:modified>
</cp:coreProperties>
</file>