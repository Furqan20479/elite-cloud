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A6234C9-BFCD-4362-B99B-F5AB16A94CE2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44" l="1"/>
  <c r="O23" i="44" s="1"/>
  <c r="P23" i="44" s="1"/>
  <c r="K12" i="62"/>
  <c r="M17" i="44"/>
  <c r="O17" i="44" s="1"/>
  <c r="P17" i="44" s="1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<sst xmlns="http://schemas.openxmlformats.org/spreadsheetml/2006/main" count="3974" uniqueCount="535">
  <si>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</si>
  <si>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</si>
  <si>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</si>
  <si>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</si>
  <si>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</si>
  <si>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</si>
  <si>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</si>
  <si>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</si>
  <si>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</si>
  <si>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</si>
  <si>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</si>
  <si>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</si>
  <si>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</si>
  <si>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</si>
  <si>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</si>
  <si>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</si>
  <si>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</si>
  <si>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</si>
  <si>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</si>
  <si>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</si>
  <si>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</si>
  <si>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</si>
  <si>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</si>
  <si>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</si>
  <si>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</si>
  <si>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</si>
  <si>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</si>
  <si>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</si>
  <si>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</si>
  <si>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</si>
  <si>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</si>
  <si>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</si>
  <si>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</si>
  <si>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</si>
  <si>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</si>
  <si>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</si>
  <si>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</si>
  <si>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</si>
  <si>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</si>
  <si>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</si>
  <si>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</si>
  <si>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</si>
  <si>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</si>
  <si>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</si>
  <si>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</si>
  <si>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</si>
  <si>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</si>
  <si>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</si>
  <si>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</si>
  <si>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</si>
  <si>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</si>
  <si>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</si>
  <si>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</si>
  <si>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</si>
  <si>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</si>
  <si>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</si>
  <si>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</si>
  <si>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</si>
  <si>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</si>
  <si>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</si>
  <si>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</si>
  <si>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</si>
  <si>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</si>
  <si>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</si>
  <si>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</si>
  <si>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</si>
  <si>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</si>
  <si>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</si>
  <si>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</si>
  <si>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</si>
  <si>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</si>
  <si>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</si>
  <si>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</si>
  <si>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</si>
  <si>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</si>
  <si>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</si>
  <si>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</si>
  <si>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</si>
  <si>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</si>
  <si>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</si>
  <si>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</si>
  <si>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</si>
  <si>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</si>
  <si>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</si>
  <si>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</si>
  <si>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</si>
  <si>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</si>
  <si>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</si>
  <si>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</si>
  <si>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</si>
  <si>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</si>
  <si>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</si>
  <si>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</si>
  <si>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</si>
  <si>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</si>
  <si>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</si>
  <si>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</si>
  <si>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</si>
  <si>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</si>
  <si>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</si>
  <si>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</si>
  <si>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</si>
  <si>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</si>
  <si>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</si>
  <si>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</si>
  <si>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</si>
  <si>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</si>
  <si>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</si>
  <si>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</si>
  <si>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</si>
  <si>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</si>
  <si>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</si>
  <si>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</si>
  <si>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</si>
  <si>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</si>
  <si>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</si>
  <si>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</si>
  <si>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</si>
  <si>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</si>
  <si>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</si>
  <si>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</si>
  <si>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</si>
  <si>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</si>
  <si>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</si>
  <si>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</si>
  <si>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</si>
  <si>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</si>
  <si>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</si>
  <si>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</si>
  <si>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</si>
  <si>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</si>
  <si>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</si>
  <si>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</si>
  <si>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</si>
  <si>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</si>
  <si>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</si>
  <si>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</si>
  <si>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</si>
  <si>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</si>
  <si>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</si>
  <si>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</si>
  <si>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</si>
  <si>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</si>
  <si>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</si>
  <si>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</si>
  <si>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</si>
  <si>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</si>
  <si>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</si>
  <si>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</si>
  <si>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</si>
  <si>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</si>
  <si>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</si>
  <si>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</si>
  <si>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</si>
  <si>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</si>
  <si>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</si>
  <si>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</si>
  <si>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</si>
  <si>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</si>
  <si>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</si>
  <si>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</si>
  <si>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</si>
  <si>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</si>
  <si>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</si>
  <si>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</si>
  <si>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</si>
  <si>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</si>
  <si>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</si>
  <si>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</si>
  <si>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</si>
  <si>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</si>
  <si>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</si>
  <si>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</si>
  <si>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</si>
  <si>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</si>
  <si>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</si>
  <si>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</si>
  <si>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</si>
  <si>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</si>
  <si>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</si>
  <si>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</si>
  <si>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</si>
  <si>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</si>
  <si>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</si>
  <si>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</si>
  <si>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</si>
  <si>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</si>
  <si>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</si>
  <si>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</si>
  <si>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</si>
  <si>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</si>
  <si>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</si>
  <si>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</si>
  <si>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</si>
  <si>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</si>
  <si>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</si>
  <si>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</si>
  <si>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</si>
  <si>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</si>
  <si>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</si>
  <si>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</si>
  <si>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</si>
  <si>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</si>
  <si>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</si>
  <si>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</si>
  <si>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</si>
  <si>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</si>
  <si>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</si>
  <si>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</si>
  <si>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</si>
  <si>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</si>
  <si>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</si>
  <si>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</si>
  <si>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</si>
  <si>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</si>
  <si>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</si>
  <si>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</si>
  <si>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</si>
  <si>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</si>
  <si>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</si>
  <si>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</si>
  <si>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</si>
  <si>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</si>
  <si>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</si>
  <si>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</si>
  <si>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</si>
  <si>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</si>
  <si>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</si>
  <si>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</si>
  <si>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</si>
  <si>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</si>
  <si>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</si>
  <si>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</si>
  <si>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</si>
  <si>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</si>
  <si>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</si>
  <si>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</si>
  <si>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</si>
  <si>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</si>
  <si>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</si>
  <si>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</si>
  <si>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</si>
  <si>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</si>
  <si>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</si>
  <si>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</si>
  <si>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</si>
  <si>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</si>
  <si>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</si>
  <si>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</si>
  <si>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</si>
  <si>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</si>
  <si>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</si>
  <si>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</si>
  <si>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</si>
  <si>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</si>
  <si>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</si>
  <si>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</si>
  <si>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</si>
  <si>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</si>
  <si>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</si>
  <si>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</si>
  <si>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</si>
  <si>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</si>
  <si>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</si>
  <si>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</si>
  <si>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</si>
  <si>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</si>
  <si>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</si>
  <si>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</si>
  <si>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</si>
  <si>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</si>
  <si>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</si>
  <si>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</si>
  <si>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</si>
  <si>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</si>
  <si>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</si>
  <si>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</si>
  <si>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</si>
  <si>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</si>
  <si>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</si>
  <si>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</si>
  <si>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</si>
  <si>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</si>
  <si>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</si>
  <si>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</si>
  <si>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</si>
  <si>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</si>
  <si>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</si>
  <si>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</si>
  <si>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</si>
  <si>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</si>
  <si>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</si>
  <si>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</si>
  <si>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</si>
  <si>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</si>
  <si>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</si>
  <si>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</si>
  <si>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</si>
  <si>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</si>
  <si>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</si>
  <si>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</si>
  <si>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</si>
  <si>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</si>
  <si>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</si>
  <si>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</si>
  <si>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</si>
  <si>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</si>
  <si>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</si>
  <si>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</si>
  <si>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</si>
  <si>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</si>
  <si>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</si>
  <si>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</si>
  <si>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</si>
  <si>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</si>
  <si>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</si>
  <si>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</si>
  <si>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</si>
  <si>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</si>
  <si>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</si>
  <si>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</si>
  <si>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</si>
  <si>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</si>
  <si>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</si>
  <si>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</si>
  <si>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</si>
  <si>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</si>
  <si>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</si>
  <si>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</si>
  <si>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</si>
  <si>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</si>
  <si>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</si>
  <si>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</si>
  <si>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</si>
  <si>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</si>
  <si>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</si>
  <si>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</si>
  <si>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</si>
  <si>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</si>
  <si>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</si>
  <si>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</si>
  <si>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</si>
  <si>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</si>
  <si>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</si>
  <si>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</si>
  <si>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</si>
  <si>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</si>
  <si>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</si>
  <si>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</si>
  <si>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</si>
  <si>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</si>
  <si>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</si>
  <si>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</si>
  <si>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</si>
  <si>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</si>
  <si>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</si>
  <si>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</si>
  <si>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</si>
  <si>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</si>
  <si>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</si>
  <si>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</si>
  <si>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</si>
  <si>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</si>
  <si>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</si>
  <si>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</si>
  <si>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</si>
  <si>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</si>
  <si>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</si>
  <si>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</si>
  <si>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</si>
  <si>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</si>
  <si>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</si>
  <si>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</si>
  <si>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</si>
  <si>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</si>
  <si>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</si>
  <si>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</si>
  <si>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</si>
  <si>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</si>
  <si>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</si>
  <si>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</si>
  <si>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</si>
  <si>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</si>
  <si>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</si>
  <si>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</si>
  <si>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</si>
  <si>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</si>
  <si>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</si>
  <si>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</si>
  <si>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</si>
  <si>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</si>
  <si>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</si>
  <si>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</si>
  <si>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</si>
  <si>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</si>
  <si>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</si>
  <si>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</si>
  <si>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</si>
  <si>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</si>
  <si>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</si>
  <si>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</si>
  <si>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</si>
  <si>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</si>
  <si>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</si>
  <si>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</si>
  <si>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</si>
  <si>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</si>
  <si>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</si>
  <si>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</si>
  <si>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</si>
  <si>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</si>
  <si>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</si>
  <si>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</si>
  <si>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</si>
  <si>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</si>
  <si>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</si>
  <si>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</si>
  <si>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</si>
  <si>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</si>
  <si>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</si>
  <si>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</si>
  <si>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</si>
  <si>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</si>
  <si>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</si>
  <si>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</si>
  <si>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</si>
  <si>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</si>
  <si>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</si>
  <si>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</si>
  <si>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</si>
  <si>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</si>
  <si>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</si>
  <si>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</si>
  <si>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</si>
  <si>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</si>
  <si>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</si>
  <si>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</si>
  <si>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</si>
  <si>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</si>
  <si>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</si>
  <si>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</si>
  <si>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</si>
  <si>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</si>
  <si>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</si>
  <si>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</si>
  <si>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</si>
  <si>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</si>
  <si>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</si>
  <si>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</si>
  <si>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</si>
  <si>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</si>
  <si>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</si>
  <si>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</si>
  <si>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</si>
  <si>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</si>
  <si>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</si>
  <si>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</si>
  <si>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</si>
  <si>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</si>
  <si>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</si>
  <si>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</si>
  <si>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</si>
  <si>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</si>
  <si>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</si>
  <si>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</si>
  <si>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</si>
  <si>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</si>
  <si>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</si>
  <si>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</si>
  <si>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</si>
  <si>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</si>
  <si>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</si>
  <si>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</si>
  <si>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</si>
  <si>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</si>
  <si>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</si>
  <si>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</si>
  <si>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</si>
  <si>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</si>
  <si>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</si>
  <si>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</si>
  <si>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</si>
  <si>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</si>
  <si>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</si>
  <si>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</si>
  <si>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</si>
  <si>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</si>
  <si>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</si>
  <si>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</si>
  <si>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</si>
  <si>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</si>
  <si>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</si>
  <si>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</si>
  <si>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</si>
  <si>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</si>
  <si>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</si>
  <si>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</si>
  <si>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</si>
  <si>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</si>
  <si>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</si>
  <si>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</si>
  <si>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</si>
  <si>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</si>
  <si>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</si>
  <si>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</si>
  <si>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</si>
  <si>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</si>
  <si>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</si>
  <si>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</si>
  <si>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</si>
  <si>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</si>
  <si>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</si>
  <si>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</si>
  <si>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</si>
  <si>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</si>
  <si>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</si>
  <si>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</si>
  <si>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Address: Sabzazaar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</si>
  <si>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</si>
  <si>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</si>
  <si>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</si>
  <si>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</si>
  <si>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</si>
  <si>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</si>
  <si>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</si>
  <si>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156156</t>
  </si>
  <si>
    <t>Invoice No # : 61163</t>
  </si>
  <si>
    <t>Risen</t>
  </si>
  <si>
    <t xml:space="preserve">MS Rafaqat Sons </t>
  </si>
  <si>
    <t>Invoice No # : 159523</t>
  </si>
  <si>
    <t>CB Traders</t>
  </si>
  <si>
    <t xml:space="preserve">Address:Manawan </t>
  </si>
  <si>
    <t>NTN # : 4987374-2</t>
  </si>
  <si>
    <t>Invoice No # :5451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</si>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</sst>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527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46317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Rafaqat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5414.13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33.019802542372879</v>
      </c>
      <c r="P7" s="310">
        <f>M7+N7+O7</f>
        <v>6636.9803110169496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CB Traders</v>
      </c>
      <c r="T7" s="301">
        <f>+'5'!P35</f>
        <v>21953.022236440676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7496.4479999999994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45.719528135593222</v>
      </c>
      <c r="P10" s="311">
        <f t="shared" si="2"/>
        <v>9189.6251552542362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4997.6319999999996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30.47968542372881</v>
      </c>
      <c r="P12" s="311">
        <f t="shared" si="2"/>
        <v>6126.4167701694905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</v>
      </c>
      <c r="H16" s="113">
        <f t="shared" ref="H16:M16" si="3">SUM(H7:H15)</f>
        <v>320</v>
      </c>
      <c r="I16" s="114">
        <f t="shared" si="3"/>
        <v>20823.5</v>
      </c>
      <c r="J16" s="274">
        <f>SUM(J7:J15)</f>
        <v>2915.2900000000004</v>
      </c>
      <c r="K16" s="275">
        <f t="shared" si="3"/>
        <v>0</v>
      </c>
      <c r="L16" s="276">
        <f t="shared" si="3"/>
        <v>0</v>
      </c>
      <c r="M16" s="232">
        <f t="shared" si="3"/>
        <v>17908.21</v>
      </c>
      <c r="N16" s="233">
        <f>SUM(N7:N15)</f>
        <v>3935.593220338983</v>
      </c>
      <c r="O16" s="101">
        <f>SUM(O7:O15)</f>
        <v>109.21901610169492</v>
      </c>
      <c r="P16" s="113">
        <f>SUM(P7:P15)</f>
        <v>21953.022236440676</v>
      </c>
      <c r="Q16" s="128">
        <f>SUM(Q7:Q15)</f>
        <v>1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20823.5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2915.2900000000004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17908.21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3935.593220338983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21843.803220338981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109.21901610169492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21953.022236440676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21953.022236440676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526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529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46266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8"/>
  <sheetViews>
    <sheetView tabSelected="1" workbookViewId="0">
      <selection activeCell="J2" sqref="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534</v>
      </c>
    </row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46316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532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0</v>
      </c>
      <c r="L16" s="118">
        <f>$I16*U16</f>
        <v>0</v>
      </c>
      <c r="M16" s="229">
        <f>I16-SUM(J16:L16)</f>
        <v>5414.13</v>
      </c>
      <c r="N16" s="248">
        <f>+(G16*D16+H16)*V16</f>
        <v>1189.8305084745757</v>
      </c>
      <c r="O16" s="238">
        <f>(N16+M16)*$O$15</f>
        <v>33.019802542372879</v>
      </c>
      <c r="P16" s="310">
        <f>M16+N16+O16</f>
        <v>6636.9803110169496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0</v>
      </c>
      <c r="L19" s="119">
        <f t="shared" si="1"/>
        <v>0</v>
      </c>
      <c r="M19" s="230">
        <f t="shared" si="2"/>
        <v>7496.4479999999994</v>
      </c>
      <c r="N19" s="277">
        <f t="shared" si="3"/>
        <v>1647.4576271186443</v>
      </c>
      <c r="O19" s="239">
        <f t="shared" si="4"/>
        <v>45.719528135593222</v>
      </c>
      <c r="P19" s="311">
        <f t="shared" si="5"/>
        <v>9189.6251552542362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0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311">
        <f t="shared" si="5"/>
        <v>6126.4167701694905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320</v>
      </c>
      <c r="I25" s="114">
        <f t="shared" si="7"/>
        <v>20823.5</v>
      </c>
      <c r="J25" s="274">
        <f>SUM(J16:J24)</f>
        <v>2915.2900000000004</v>
      </c>
      <c r="K25" s="275">
        <f t="shared" si="7"/>
        <v>0</v>
      </c>
      <c r="L25" s="276">
        <f t="shared" si="7"/>
        <v>0</v>
      </c>
      <c r="M25" s="232">
        <f t="shared" si="7"/>
        <v>17908.21</v>
      </c>
      <c r="N25" s="233">
        <f>SUM(N16:N24)</f>
        <v>3935.593220338983</v>
      </c>
      <c r="O25" s="101">
        <f>SUM(O16:O24)</f>
        <v>109.21901610169492</v>
      </c>
      <c r="P25" s="113">
        <f>SUM(P16:P24)</f>
        <v>21953.022236440676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20823.5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2915.2900000000004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17908.21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3935.593220338983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21843.803220338981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109.2190161016949</v>
      </c>
    </row>
    <row r="35" spans="2:16" ht="15.75" customHeight="1" thickBot="1" x14ac:dyDescent="0.4">
      <c r="N35" s="344" t="s">
        <v>88</v>
      </c>
      <c r="O35" s="345"/>
      <c r="P35" s="297">
        <f>+P33+P34</f>
        <v>21953.022236440676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46318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46317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2026-10-22T09:48:12Z</dcterms:modified>
</cp:coreProperties>
</file>