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6\Desktop\Elite-Git\"/>
    </mc:Choice>
  </mc:AlternateContent>
  <xr:revisionPtr revIDLastSave="0" documentId="13_ncr:1_{7D3ED7C7-AB94-4F99-B336-00F2A18E79DE}" xr6:coauthVersionLast="47" xr6:coauthVersionMax="47" xr10:uidLastSave="{00000000-0000-0000-0000-000000000000}"/>
  <bookViews>
    <workbookView xWindow="-110" yWindow="-110" windowWidth="19420" windowHeight="10420" xr2:uid="{4AEE6371-F34D-490E-9664-B5033CDC9B85}"/>
  </bookViews>
  <sheets>
    <sheet name="STT Report" sheetId="1" r:id="rId1"/>
    <sheet name="Inventory" sheetId="4" r:id="rId2"/>
  </sheets>
  <definedNames>
    <definedName name="_xlnm._FilterDatabase" localSheetId="0" hidden="1">'STT Report'!$A$1:$AP$425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74" i="1" l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266" i="1" l="1"/>
  <c r="S267" i="1"/>
  <c r="S268" i="1"/>
  <c r="S269" i="1"/>
  <c r="S270" i="1"/>
  <c r="S271" i="1"/>
  <c r="S272" i="1"/>
  <c r="S273" i="1"/>
  <c r="R263" i="1" l="1"/>
  <c r="R264" i="1"/>
  <c r="R265" i="1"/>
  <c r="R266" i="1"/>
  <c r="R267" i="1"/>
  <c r="R268" i="1"/>
  <c r="S252" i="1" l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N262" i="1"/>
  <c r="S249" i="1" l="1"/>
  <c r="S250" i="1"/>
  <c r="S251" i="1"/>
  <c r="S248" i="1" l="1"/>
  <c r="S247" i="1"/>
  <c r="S246" i="1"/>
  <c r="S245" i="1" l="1"/>
  <c r="S244" i="1"/>
  <c r="S243" i="1"/>
  <c r="S242" i="1"/>
  <c r="S241" i="1"/>
  <c r="S240" i="1" l="1"/>
  <c r="S239" i="1"/>
  <c r="S238" i="1" l="1"/>
  <c r="S237" i="1"/>
  <c r="S236" i="1"/>
  <c r="S235" i="1"/>
  <c r="S234" i="1" l="1"/>
  <c r="S233" i="1"/>
  <c r="S232" i="1"/>
  <c r="S231" i="1"/>
  <c r="S230" i="1"/>
  <c r="S229" i="1"/>
  <c r="N229" i="1"/>
  <c r="F30" i="4" l="1"/>
  <c r="F29" i="4"/>
  <c r="F28" i="4"/>
  <c r="F27" i="4"/>
  <c r="F26" i="4"/>
  <c r="F25" i="4"/>
  <c r="F24" i="4"/>
  <c r="E31" i="4"/>
  <c r="G30" i="4"/>
  <c r="G29" i="4"/>
  <c r="G28" i="4"/>
  <c r="H30" i="4"/>
  <c r="H29" i="4"/>
  <c r="H28" i="4"/>
  <c r="L29" i="4"/>
  <c r="M29" i="4" s="1"/>
  <c r="L28" i="4"/>
  <c r="M28" i="4" s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L30" i="4" l="1"/>
  <c r="M30" i="4" s="1"/>
  <c r="E14" i="4"/>
  <c r="S227" i="1"/>
  <c r="S228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06" i="1" l="1"/>
  <c r="S207" i="1"/>
  <c r="S208" i="1"/>
  <c r="S209" i="1"/>
  <c r="S210" i="1"/>
  <c r="S211" i="1"/>
  <c r="S212" i="1"/>
  <c r="S5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3" i="1"/>
  <c r="S425" i="1" l="1"/>
  <c r="AH106" i="1"/>
  <c r="Z106" i="1"/>
  <c r="Y106" i="1"/>
  <c r="X106" i="1"/>
  <c r="V106" i="1"/>
  <c r="U106" i="1"/>
  <c r="T106" i="1"/>
  <c r="AH95" i="1"/>
  <c r="Z95" i="1"/>
  <c r="Y95" i="1"/>
  <c r="X95" i="1"/>
  <c r="V95" i="1"/>
  <c r="U95" i="1"/>
  <c r="T95" i="1"/>
  <c r="AH94" i="1"/>
  <c r="Z94" i="1"/>
  <c r="Y94" i="1"/>
  <c r="X94" i="1"/>
  <c r="V94" i="1"/>
  <c r="U94" i="1"/>
  <c r="T94" i="1"/>
  <c r="AH93" i="1"/>
  <c r="Z93" i="1"/>
  <c r="Y93" i="1"/>
  <c r="X93" i="1"/>
  <c r="V93" i="1"/>
  <c r="U93" i="1"/>
  <c r="T93" i="1"/>
  <c r="AH92" i="1"/>
  <c r="Z92" i="1"/>
  <c r="Y92" i="1"/>
  <c r="X92" i="1"/>
  <c r="V92" i="1"/>
  <c r="U92" i="1"/>
  <c r="T92" i="1"/>
  <c r="AH79" i="1"/>
  <c r="Z79" i="1"/>
  <c r="Y79" i="1"/>
  <c r="X79" i="1"/>
  <c r="V79" i="1"/>
  <c r="U79" i="1"/>
  <c r="T79" i="1"/>
  <c r="AH78" i="1"/>
  <c r="Z78" i="1"/>
  <c r="Y78" i="1"/>
  <c r="X78" i="1"/>
  <c r="V78" i="1"/>
  <c r="U78" i="1"/>
  <c r="T78" i="1"/>
  <c r="AH77" i="1"/>
  <c r="Z77" i="1"/>
  <c r="Y77" i="1"/>
  <c r="X77" i="1"/>
  <c r="V77" i="1"/>
  <c r="U77" i="1"/>
  <c r="T77" i="1"/>
  <c r="AH62" i="1"/>
  <c r="Z62" i="1"/>
  <c r="Y62" i="1"/>
  <c r="X62" i="1"/>
  <c r="V62" i="1"/>
  <c r="U62" i="1"/>
  <c r="T62" i="1"/>
  <c r="AH61" i="1"/>
  <c r="Z61" i="1"/>
  <c r="Y61" i="1"/>
  <c r="X61" i="1"/>
  <c r="V61" i="1"/>
  <c r="U61" i="1"/>
  <c r="T61" i="1"/>
  <c r="AA106" i="1"/>
  <c r="AA107" i="1"/>
  <c r="T107" i="1"/>
  <c r="U107" i="1"/>
  <c r="V107" i="1"/>
  <c r="X107" i="1"/>
  <c r="Y107" i="1"/>
  <c r="Z107" i="1"/>
  <c r="AH107" i="1"/>
  <c r="W106" i="1"/>
  <c r="W107" i="1"/>
  <c r="W45" i="1"/>
  <c r="W46" i="1"/>
  <c r="W61" i="1"/>
  <c r="AE62" i="1"/>
  <c r="AG62" i="1" s="1"/>
  <c r="AI62" i="1" s="1"/>
  <c r="AE77" i="1"/>
  <c r="AG77" i="1" s="1"/>
  <c r="AI77" i="1" s="1"/>
  <c r="W78" i="1"/>
  <c r="AE79" i="1"/>
  <c r="AG79" i="1" s="1"/>
  <c r="AI79" i="1" s="1"/>
  <c r="W92" i="1"/>
  <c r="AE93" i="1"/>
  <c r="AG93" i="1" s="1"/>
  <c r="AI93" i="1" s="1"/>
  <c r="W94" i="1"/>
  <c r="W95" i="1"/>
  <c r="AE39" i="1"/>
  <c r="AG39" i="1" s="1"/>
  <c r="W40" i="1"/>
  <c r="W41" i="1"/>
  <c r="AA95" i="1"/>
  <c r="AA94" i="1"/>
  <c r="AA93" i="1"/>
  <c r="AA92" i="1"/>
  <c r="AA77" i="1"/>
  <c r="AA78" i="1"/>
  <c r="AA79" i="1"/>
  <c r="AA61" i="1"/>
  <c r="AA62" i="1"/>
  <c r="AA45" i="1"/>
  <c r="T45" i="1"/>
  <c r="U45" i="1"/>
  <c r="V45" i="1"/>
  <c r="X45" i="1"/>
  <c r="Y45" i="1"/>
  <c r="Z45" i="1"/>
  <c r="AH45" i="1"/>
  <c r="AA46" i="1"/>
  <c r="T46" i="1"/>
  <c r="U46" i="1"/>
  <c r="V46" i="1"/>
  <c r="X46" i="1"/>
  <c r="Y46" i="1"/>
  <c r="Z46" i="1"/>
  <c r="AH46" i="1"/>
  <c r="AA39" i="1"/>
  <c r="T39" i="1"/>
  <c r="U39" i="1"/>
  <c r="V39" i="1"/>
  <c r="X39" i="1"/>
  <c r="Y39" i="1"/>
  <c r="Z39" i="1"/>
  <c r="AH39" i="1"/>
  <c r="AA40" i="1"/>
  <c r="T40" i="1"/>
  <c r="U40" i="1"/>
  <c r="V40" i="1"/>
  <c r="X40" i="1"/>
  <c r="Y40" i="1"/>
  <c r="Z40" i="1"/>
  <c r="AH40" i="1"/>
  <c r="AA41" i="1"/>
  <c r="T41" i="1"/>
  <c r="U41" i="1"/>
  <c r="V41" i="1"/>
  <c r="X41" i="1"/>
  <c r="Y41" i="1"/>
  <c r="Z41" i="1"/>
  <c r="AH41" i="1"/>
  <c r="V3" i="1"/>
  <c r="U3" i="1"/>
  <c r="T3" i="1"/>
  <c r="AE94" i="1" l="1"/>
  <c r="AG94" i="1" s="1"/>
  <c r="AI94" i="1" s="1"/>
  <c r="AE95" i="1"/>
  <c r="AG95" i="1" s="1"/>
  <c r="AI95" i="1" s="1"/>
  <c r="AK95" i="1" s="1"/>
  <c r="AL95" i="1" s="1"/>
  <c r="AE61" i="1"/>
  <c r="AG61" i="1" s="1"/>
  <c r="AI61" i="1" s="1"/>
  <c r="W93" i="1"/>
  <c r="AE92" i="1"/>
  <c r="AE78" i="1"/>
  <c r="AG78" i="1" s="1"/>
  <c r="AI78" i="1" s="1"/>
  <c r="AE106" i="1"/>
  <c r="AG106" i="1" s="1"/>
  <c r="AI106" i="1" s="1"/>
  <c r="W79" i="1"/>
  <c r="W77" i="1"/>
  <c r="W62" i="1"/>
  <c r="W39" i="1"/>
  <c r="AK77" i="1"/>
  <c r="AL77" i="1" s="1"/>
  <c r="AK79" i="1"/>
  <c r="AL79" i="1" s="1"/>
  <c r="AK93" i="1"/>
  <c r="AL93" i="1" s="1"/>
  <c r="AK62" i="1"/>
  <c r="AL62" i="1" s="1"/>
  <c r="AE107" i="1"/>
  <c r="AG107" i="1" s="1"/>
  <c r="AE41" i="1"/>
  <c r="AG41" i="1" s="1"/>
  <c r="AE40" i="1"/>
  <c r="AG40" i="1" s="1"/>
  <c r="AI40" i="1" s="1"/>
  <c r="AK40" i="1" s="1"/>
  <c r="AL40" i="1" s="1"/>
  <c r="AE46" i="1"/>
  <c r="AG46" i="1" s="1"/>
  <c r="AI46" i="1" s="1"/>
  <c r="AK46" i="1" s="1"/>
  <c r="AL46" i="1" s="1"/>
  <c r="AE45" i="1"/>
  <c r="AG45" i="1" s="1"/>
  <c r="AI45" i="1" s="1"/>
  <c r="AK45" i="1" s="1"/>
  <c r="AL45" i="1" s="1"/>
  <c r="AI39" i="1"/>
  <c r="AK39" i="1" s="1"/>
  <c r="AL39" i="1" s="1"/>
  <c r="W3" i="1"/>
  <c r="AI107" i="1" l="1"/>
  <c r="AK107" i="1" s="1"/>
  <c r="AL107" i="1" s="1"/>
  <c r="AG92" i="1"/>
  <c r="AI92" i="1" s="1"/>
  <c r="AK92" i="1" s="1"/>
  <c r="AL92" i="1" s="1"/>
  <c r="AI41" i="1"/>
  <c r="AK41" i="1" s="1"/>
  <c r="AL41" i="1" s="1"/>
  <c r="AK106" i="1"/>
  <c r="AL106" i="1" s="1"/>
  <c r="AK94" i="1"/>
  <c r="AL94" i="1" s="1"/>
  <c r="AK61" i="1"/>
  <c r="AL61" i="1" s="1"/>
  <c r="AK78" i="1"/>
  <c r="AL78" i="1" s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42" i="1"/>
  <c r="AH43" i="1"/>
  <c r="AH44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6" i="1"/>
  <c r="AH97" i="1"/>
  <c r="AH98" i="1"/>
  <c r="AH99" i="1"/>
  <c r="AH100" i="1"/>
  <c r="AH101" i="1"/>
  <c r="AH102" i="1"/>
  <c r="AH103" i="1"/>
  <c r="AH104" i="1"/>
  <c r="AH105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3" i="1"/>
  <c r="AH425" i="1" l="1"/>
  <c r="J425" i="1"/>
  <c r="AF429" i="1"/>
  <c r="AD429" i="1"/>
  <c r="AC429" i="1"/>
  <c r="E10" i="4"/>
  <c r="K31" i="4"/>
  <c r="J31" i="4"/>
  <c r="I31" i="4"/>
  <c r="H27" i="4"/>
  <c r="G27" i="4"/>
  <c r="L27" i="4" s="1"/>
  <c r="H26" i="4"/>
  <c r="G26" i="4"/>
  <c r="H25" i="4"/>
  <c r="G25" i="4"/>
  <c r="L25" i="4" s="1"/>
  <c r="H24" i="4"/>
  <c r="G24" i="4"/>
  <c r="F18" i="4"/>
  <c r="E18" i="4"/>
  <c r="F14" i="4"/>
  <c r="H13" i="4"/>
  <c r="H12" i="4"/>
  <c r="F10" i="4"/>
  <c r="L24" i="4" l="1"/>
  <c r="L26" i="4"/>
  <c r="J429" i="1"/>
  <c r="G11" i="4" s="1"/>
  <c r="M26" i="4"/>
  <c r="F19" i="4"/>
  <c r="M27" i="4"/>
  <c r="H31" i="4"/>
  <c r="F31" i="4"/>
  <c r="E19" i="4"/>
  <c r="M24" i="4"/>
  <c r="M25" i="4"/>
  <c r="G31" i="4"/>
  <c r="H11" i="4" l="1"/>
  <c r="H14" i="4" s="1"/>
  <c r="G14" i="4"/>
  <c r="L31" i="4"/>
  <c r="M31" i="4" s="1"/>
  <c r="X4" i="1" l="1"/>
  <c r="Y4" i="1"/>
  <c r="Z4" i="1"/>
  <c r="X5" i="1"/>
  <c r="Y5" i="1"/>
  <c r="Z5" i="1"/>
  <c r="X6" i="1"/>
  <c r="Y6" i="1"/>
  <c r="Z6" i="1"/>
  <c r="X7" i="1"/>
  <c r="Y7" i="1"/>
  <c r="Z7" i="1"/>
  <c r="X8" i="1"/>
  <c r="Y8" i="1"/>
  <c r="Z8" i="1"/>
  <c r="X9" i="1"/>
  <c r="Y9" i="1"/>
  <c r="Z9" i="1"/>
  <c r="X10" i="1"/>
  <c r="Y10" i="1"/>
  <c r="Z10" i="1"/>
  <c r="X11" i="1"/>
  <c r="Y11" i="1"/>
  <c r="Z11" i="1"/>
  <c r="X12" i="1"/>
  <c r="Y12" i="1"/>
  <c r="Z12" i="1"/>
  <c r="X13" i="1"/>
  <c r="Y13" i="1"/>
  <c r="Z13" i="1"/>
  <c r="X14" i="1"/>
  <c r="Y14" i="1"/>
  <c r="Z14" i="1"/>
  <c r="X15" i="1"/>
  <c r="Y15" i="1"/>
  <c r="Z15" i="1"/>
  <c r="X16" i="1"/>
  <c r="Y16" i="1"/>
  <c r="Z16" i="1"/>
  <c r="X17" i="1"/>
  <c r="Y17" i="1"/>
  <c r="Z17" i="1"/>
  <c r="X18" i="1"/>
  <c r="Y18" i="1"/>
  <c r="Z18" i="1"/>
  <c r="X19" i="1"/>
  <c r="Y19" i="1"/>
  <c r="Z19" i="1"/>
  <c r="X20" i="1"/>
  <c r="Y20" i="1"/>
  <c r="Z20" i="1"/>
  <c r="X21" i="1"/>
  <c r="Y21" i="1"/>
  <c r="Z21" i="1"/>
  <c r="X22" i="1"/>
  <c r="Y22" i="1"/>
  <c r="Z22" i="1"/>
  <c r="X23" i="1"/>
  <c r="Y23" i="1"/>
  <c r="Z23" i="1"/>
  <c r="X24" i="1"/>
  <c r="Y24" i="1"/>
  <c r="Z24" i="1"/>
  <c r="X25" i="1"/>
  <c r="Y25" i="1"/>
  <c r="Z25" i="1"/>
  <c r="X26" i="1"/>
  <c r="Y26" i="1"/>
  <c r="Z26" i="1"/>
  <c r="X27" i="1"/>
  <c r="Y27" i="1"/>
  <c r="Z27" i="1"/>
  <c r="X28" i="1"/>
  <c r="Y28" i="1"/>
  <c r="Z28" i="1"/>
  <c r="X29" i="1"/>
  <c r="Y29" i="1"/>
  <c r="Z29" i="1"/>
  <c r="X30" i="1"/>
  <c r="Y30" i="1"/>
  <c r="Z30" i="1"/>
  <c r="X31" i="1"/>
  <c r="Y31" i="1"/>
  <c r="Z31" i="1"/>
  <c r="X32" i="1"/>
  <c r="Y32" i="1"/>
  <c r="Z32" i="1"/>
  <c r="X33" i="1"/>
  <c r="Y33" i="1"/>
  <c r="Z33" i="1"/>
  <c r="X34" i="1"/>
  <c r="Y34" i="1"/>
  <c r="Z34" i="1"/>
  <c r="X35" i="1"/>
  <c r="Y35" i="1"/>
  <c r="Z35" i="1"/>
  <c r="X36" i="1"/>
  <c r="Y36" i="1"/>
  <c r="Z36" i="1"/>
  <c r="X37" i="1"/>
  <c r="Y37" i="1"/>
  <c r="Z37" i="1"/>
  <c r="X38" i="1"/>
  <c r="Y38" i="1"/>
  <c r="Z38" i="1"/>
  <c r="X42" i="1"/>
  <c r="Y42" i="1"/>
  <c r="Z42" i="1"/>
  <c r="X43" i="1"/>
  <c r="Y43" i="1"/>
  <c r="Z43" i="1"/>
  <c r="X44" i="1"/>
  <c r="Y44" i="1"/>
  <c r="Z44" i="1"/>
  <c r="X47" i="1"/>
  <c r="Y47" i="1"/>
  <c r="Z47" i="1"/>
  <c r="X48" i="1"/>
  <c r="Y48" i="1"/>
  <c r="Z48" i="1"/>
  <c r="X49" i="1"/>
  <c r="Y49" i="1"/>
  <c r="Z49" i="1"/>
  <c r="X50" i="1"/>
  <c r="Y50" i="1"/>
  <c r="Z50" i="1"/>
  <c r="X51" i="1"/>
  <c r="Y51" i="1"/>
  <c r="Z51" i="1"/>
  <c r="X52" i="1"/>
  <c r="Y52" i="1"/>
  <c r="Z52" i="1"/>
  <c r="X53" i="1"/>
  <c r="Y53" i="1"/>
  <c r="Z53" i="1"/>
  <c r="X54" i="1"/>
  <c r="Y54" i="1"/>
  <c r="Z54" i="1"/>
  <c r="X55" i="1"/>
  <c r="Y55" i="1"/>
  <c r="Z55" i="1"/>
  <c r="X56" i="1"/>
  <c r="Y56" i="1"/>
  <c r="Z56" i="1"/>
  <c r="X57" i="1"/>
  <c r="Y57" i="1"/>
  <c r="Z57" i="1"/>
  <c r="X58" i="1"/>
  <c r="Y58" i="1"/>
  <c r="Z58" i="1"/>
  <c r="X59" i="1"/>
  <c r="Y59" i="1"/>
  <c r="Z59" i="1"/>
  <c r="X60" i="1"/>
  <c r="Y60" i="1"/>
  <c r="Z60" i="1"/>
  <c r="X63" i="1"/>
  <c r="Y63" i="1"/>
  <c r="Z63" i="1"/>
  <c r="X64" i="1"/>
  <c r="Y64" i="1"/>
  <c r="Z64" i="1"/>
  <c r="X65" i="1"/>
  <c r="Y65" i="1"/>
  <c r="Z65" i="1"/>
  <c r="X66" i="1"/>
  <c r="Y66" i="1"/>
  <c r="Z66" i="1"/>
  <c r="X67" i="1"/>
  <c r="Y67" i="1"/>
  <c r="Z67" i="1"/>
  <c r="X68" i="1"/>
  <c r="Y68" i="1"/>
  <c r="Z68" i="1"/>
  <c r="X69" i="1"/>
  <c r="Y69" i="1"/>
  <c r="Z69" i="1"/>
  <c r="X70" i="1"/>
  <c r="Y70" i="1"/>
  <c r="Z70" i="1"/>
  <c r="X71" i="1"/>
  <c r="Y71" i="1"/>
  <c r="Z71" i="1"/>
  <c r="X72" i="1"/>
  <c r="Y72" i="1"/>
  <c r="Z72" i="1"/>
  <c r="X73" i="1"/>
  <c r="Y73" i="1"/>
  <c r="Z73" i="1"/>
  <c r="X74" i="1"/>
  <c r="Y74" i="1"/>
  <c r="Z74" i="1"/>
  <c r="X75" i="1"/>
  <c r="Y75" i="1"/>
  <c r="Z75" i="1"/>
  <c r="X76" i="1"/>
  <c r="Y76" i="1"/>
  <c r="Z76" i="1"/>
  <c r="X80" i="1"/>
  <c r="Y80" i="1"/>
  <c r="Z80" i="1"/>
  <c r="X81" i="1"/>
  <c r="Y81" i="1"/>
  <c r="Z81" i="1"/>
  <c r="X82" i="1"/>
  <c r="Y82" i="1"/>
  <c r="Z82" i="1"/>
  <c r="X83" i="1"/>
  <c r="Y83" i="1"/>
  <c r="Z83" i="1"/>
  <c r="X84" i="1"/>
  <c r="Y84" i="1"/>
  <c r="Z84" i="1"/>
  <c r="X85" i="1"/>
  <c r="Y85" i="1"/>
  <c r="Z85" i="1"/>
  <c r="X86" i="1"/>
  <c r="Y86" i="1"/>
  <c r="Z86" i="1"/>
  <c r="X87" i="1"/>
  <c r="Y87" i="1"/>
  <c r="Z87" i="1"/>
  <c r="X88" i="1"/>
  <c r="Y88" i="1"/>
  <c r="Z88" i="1"/>
  <c r="X89" i="1"/>
  <c r="Y89" i="1"/>
  <c r="Z89" i="1"/>
  <c r="X90" i="1"/>
  <c r="Y90" i="1"/>
  <c r="Z90" i="1"/>
  <c r="X91" i="1"/>
  <c r="Y91" i="1"/>
  <c r="Z91" i="1"/>
  <c r="X96" i="1"/>
  <c r="Y96" i="1"/>
  <c r="Z96" i="1"/>
  <c r="X97" i="1"/>
  <c r="Y97" i="1"/>
  <c r="Z97" i="1"/>
  <c r="X98" i="1"/>
  <c r="Y98" i="1"/>
  <c r="Z98" i="1"/>
  <c r="X99" i="1"/>
  <c r="Y99" i="1"/>
  <c r="Z99" i="1"/>
  <c r="X100" i="1"/>
  <c r="Y100" i="1"/>
  <c r="Z100" i="1"/>
  <c r="X101" i="1"/>
  <c r="Y101" i="1"/>
  <c r="Z101" i="1"/>
  <c r="X102" i="1"/>
  <c r="Y102" i="1"/>
  <c r="Z102" i="1"/>
  <c r="X103" i="1"/>
  <c r="Y103" i="1"/>
  <c r="Z103" i="1"/>
  <c r="X104" i="1"/>
  <c r="Y104" i="1"/>
  <c r="Z104" i="1"/>
  <c r="X105" i="1"/>
  <c r="Y105" i="1"/>
  <c r="Z105" i="1"/>
  <c r="X108" i="1"/>
  <c r="Y108" i="1"/>
  <c r="Z108" i="1"/>
  <c r="X109" i="1"/>
  <c r="Y109" i="1"/>
  <c r="Z109" i="1"/>
  <c r="X110" i="1"/>
  <c r="Y110" i="1"/>
  <c r="Z110" i="1"/>
  <c r="X111" i="1"/>
  <c r="Y111" i="1"/>
  <c r="Z111" i="1"/>
  <c r="X112" i="1"/>
  <c r="Y112" i="1"/>
  <c r="Z112" i="1"/>
  <c r="X113" i="1"/>
  <c r="Y113" i="1"/>
  <c r="Z113" i="1"/>
  <c r="X114" i="1"/>
  <c r="Y114" i="1"/>
  <c r="Z114" i="1"/>
  <c r="X115" i="1"/>
  <c r="Y115" i="1"/>
  <c r="Z115" i="1"/>
  <c r="X116" i="1"/>
  <c r="Y116" i="1"/>
  <c r="Z116" i="1"/>
  <c r="X117" i="1"/>
  <c r="Y117" i="1"/>
  <c r="Z117" i="1"/>
  <c r="X118" i="1"/>
  <c r="Y118" i="1"/>
  <c r="Z118" i="1"/>
  <c r="X119" i="1"/>
  <c r="Y119" i="1"/>
  <c r="Z119" i="1"/>
  <c r="X120" i="1"/>
  <c r="Y120" i="1"/>
  <c r="Z120" i="1"/>
  <c r="X121" i="1"/>
  <c r="Y121" i="1"/>
  <c r="Z121" i="1"/>
  <c r="X122" i="1"/>
  <c r="Y122" i="1"/>
  <c r="Z122" i="1"/>
  <c r="X123" i="1"/>
  <c r="Y123" i="1"/>
  <c r="Z123" i="1"/>
  <c r="X124" i="1"/>
  <c r="Y124" i="1"/>
  <c r="Z124" i="1"/>
  <c r="X125" i="1"/>
  <c r="Y125" i="1"/>
  <c r="Z125" i="1"/>
  <c r="X126" i="1"/>
  <c r="Y126" i="1"/>
  <c r="Z126" i="1"/>
  <c r="X127" i="1"/>
  <c r="Y127" i="1"/>
  <c r="Z127" i="1"/>
  <c r="X128" i="1"/>
  <c r="Y128" i="1"/>
  <c r="Z128" i="1"/>
  <c r="X129" i="1"/>
  <c r="Y129" i="1"/>
  <c r="Z129" i="1"/>
  <c r="X130" i="1"/>
  <c r="Y130" i="1"/>
  <c r="Z130" i="1"/>
  <c r="X131" i="1"/>
  <c r="Y131" i="1"/>
  <c r="Z131" i="1"/>
  <c r="X132" i="1"/>
  <c r="Y132" i="1"/>
  <c r="Z132" i="1"/>
  <c r="X133" i="1"/>
  <c r="Y133" i="1"/>
  <c r="Z133" i="1"/>
  <c r="X134" i="1"/>
  <c r="Y134" i="1"/>
  <c r="Z134" i="1"/>
  <c r="X135" i="1"/>
  <c r="Y135" i="1"/>
  <c r="Z135" i="1"/>
  <c r="X136" i="1"/>
  <c r="Y136" i="1"/>
  <c r="Z136" i="1"/>
  <c r="X137" i="1"/>
  <c r="Y137" i="1"/>
  <c r="Z137" i="1"/>
  <c r="X138" i="1"/>
  <c r="Y138" i="1"/>
  <c r="Z138" i="1"/>
  <c r="X139" i="1"/>
  <c r="Y139" i="1"/>
  <c r="Z139" i="1"/>
  <c r="X140" i="1"/>
  <c r="Y140" i="1"/>
  <c r="Z140" i="1"/>
  <c r="X141" i="1"/>
  <c r="Y141" i="1"/>
  <c r="Z141" i="1"/>
  <c r="X142" i="1"/>
  <c r="Y142" i="1"/>
  <c r="Z142" i="1"/>
  <c r="X143" i="1"/>
  <c r="Y143" i="1"/>
  <c r="Z143" i="1"/>
  <c r="X144" i="1"/>
  <c r="Y144" i="1"/>
  <c r="Z144" i="1"/>
  <c r="X145" i="1"/>
  <c r="Y145" i="1"/>
  <c r="Z145" i="1"/>
  <c r="X146" i="1"/>
  <c r="Y146" i="1"/>
  <c r="Z146" i="1"/>
  <c r="X147" i="1"/>
  <c r="Y147" i="1"/>
  <c r="Z147" i="1"/>
  <c r="X148" i="1"/>
  <c r="Y148" i="1"/>
  <c r="Z148" i="1"/>
  <c r="X149" i="1"/>
  <c r="Y149" i="1"/>
  <c r="Z149" i="1"/>
  <c r="X150" i="1"/>
  <c r="Y150" i="1"/>
  <c r="Z150" i="1"/>
  <c r="X151" i="1"/>
  <c r="Y151" i="1"/>
  <c r="Z151" i="1"/>
  <c r="X152" i="1"/>
  <c r="Y152" i="1"/>
  <c r="Z152" i="1"/>
  <c r="X153" i="1"/>
  <c r="Y153" i="1"/>
  <c r="Z153" i="1"/>
  <c r="X154" i="1"/>
  <c r="Y154" i="1"/>
  <c r="Z154" i="1"/>
  <c r="X155" i="1"/>
  <c r="Y155" i="1"/>
  <c r="Z155" i="1"/>
  <c r="X156" i="1"/>
  <c r="Y156" i="1"/>
  <c r="Z156" i="1"/>
  <c r="X157" i="1"/>
  <c r="Y157" i="1"/>
  <c r="Z157" i="1"/>
  <c r="X158" i="1"/>
  <c r="Y158" i="1"/>
  <c r="Z158" i="1"/>
  <c r="X159" i="1"/>
  <c r="Y159" i="1"/>
  <c r="Z159" i="1"/>
  <c r="X160" i="1"/>
  <c r="Y160" i="1"/>
  <c r="Z160" i="1"/>
  <c r="X161" i="1"/>
  <c r="Y161" i="1"/>
  <c r="Z161" i="1"/>
  <c r="X162" i="1"/>
  <c r="Y162" i="1"/>
  <c r="Z162" i="1"/>
  <c r="X163" i="1"/>
  <c r="Y163" i="1"/>
  <c r="Z163" i="1"/>
  <c r="X164" i="1"/>
  <c r="Y164" i="1"/>
  <c r="Z164" i="1"/>
  <c r="X165" i="1"/>
  <c r="Y165" i="1"/>
  <c r="Z165" i="1"/>
  <c r="X166" i="1"/>
  <c r="Y166" i="1"/>
  <c r="Z166" i="1"/>
  <c r="X167" i="1"/>
  <c r="Y167" i="1"/>
  <c r="Z167" i="1"/>
  <c r="X168" i="1"/>
  <c r="Y168" i="1"/>
  <c r="Z168" i="1"/>
  <c r="X169" i="1"/>
  <c r="Y169" i="1"/>
  <c r="Z169" i="1"/>
  <c r="X170" i="1"/>
  <c r="Y170" i="1"/>
  <c r="Z170" i="1"/>
  <c r="X171" i="1"/>
  <c r="Y171" i="1"/>
  <c r="Z171" i="1"/>
  <c r="X172" i="1"/>
  <c r="Y172" i="1"/>
  <c r="Z172" i="1"/>
  <c r="X173" i="1"/>
  <c r="Y173" i="1"/>
  <c r="Z173" i="1"/>
  <c r="X174" i="1"/>
  <c r="Y174" i="1"/>
  <c r="Z174" i="1"/>
  <c r="X175" i="1"/>
  <c r="Y175" i="1"/>
  <c r="Z175" i="1"/>
  <c r="X176" i="1"/>
  <c r="Y176" i="1"/>
  <c r="Z176" i="1"/>
  <c r="X177" i="1"/>
  <c r="Y177" i="1"/>
  <c r="Z177" i="1"/>
  <c r="X178" i="1"/>
  <c r="Y178" i="1"/>
  <c r="Z178" i="1"/>
  <c r="X179" i="1"/>
  <c r="Y179" i="1"/>
  <c r="Z179" i="1"/>
  <c r="X180" i="1"/>
  <c r="Y180" i="1"/>
  <c r="Z180" i="1"/>
  <c r="X181" i="1"/>
  <c r="Y181" i="1"/>
  <c r="Z181" i="1"/>
  <c r="X182" i="1"/>
  <c r="Y182" i="1"/>
  <c r="Z182" i="1"/>
  <c r="X183" i="1"/>
  <c r="Y183" i="1"/>
  <c r="Z183" i="1"/>
  <c r="X184" i="1"/>
  <c r="Y184" i="1"/>
  <c r="Z184" i="1"/>
  <c r="X185" i="1"/>
  <c r="Y185" i="1"/>
  <c r="Z185" i="1"/>
  <c r="X186" i="1"/>
  <c r="Y186" i="1"/>
  <c r="Z186" i="1"/>
  <c r="X187" i="1"/>
  <c r="Y187" i="1"/>
  <c r="Z187" i="1"/>
  <c r="X188" i="1"/>
  <c r="Y188" i="1"/>
  <c r="Z188" i="1"/>
  <c r="X189" i="1"/>
  <c r="Y189" i="1"/>
  <c r="Z189" i="1"/>
  <c r="X190" i="1"/>
  <c r="Y190" i="1"/>
  <c r="Z190" i="1"/>
  <c r="X191" i="1"/>
  <c r="Y191" i="1"/>
  <c r="Z191" i="1"/>
  <c r="X192" i="1"/>
  <c r="Y192" i="1"/>
  <c r="Z192" i="1"/>
  <c r="X193" i="1"/>
  <c r="Y193" i="1"/>
  <c r="Z193" i="1"/>
  <c r="X194" i="1"/>
  <c r="Y194" i="1"/>
  <c r="Z194" i="1"/>
  <c r="X195" i="1"/>
  <c r="Y195" i="1"/>
  <c r="Z195" i="1"/>
  <c r="X196" i="1"/>
  <c r="Y196" i="1"/>
  <c r="Z196" i="1"/>
  <c r="X197" i="1"/>
  <c r="Y197" i="1"/>
  <c r="Z197" i="1"/>
  <c r="X198" i="1"/>
  <c r="Y198" i="1"/>
  <c r="Z198" i="1"/>
  <c r="X199" i="1"/>
  <c r="Y199" i="1"/>
  <c r="Z199" i="1"/>
  <c r="X200" i="1"/>
  <c r="Y200" i="1"/>
  <c r="Z200" i="1"/>
  <c r="X201" i="1"/>
  <c r="Y201" i="1"/>
  <c r="Z201" i="1"/>
  <c r="X202" i="1"/>
  <c r="Y202" i="1"/>
  <c r="Z202" i="1"/>
  <c r="X203" i="1"/>
  <c r="Y203" i="1"/>
  <c r="Z203" i="1"/>
  <c r="X204" i="1"/>
  <c r="Y204" i="1"/>
  <c r="Z204" i="1"/>
  <c r="X205" i="1"/>
  <c r="Y205" i="1"/>
  <c r="Z205" i="1"/>
  <c r="X206" i="1"/>
  <c r="Y206" i="1"/>
  <c r="Z206" i="1"/>
  <c r="X207" i="1"/>
  <c r="Y207" i="1"/>
  <c r="Z207" i="1"/>
  <c r="X208" i="1"/>
  <c r="Y208" i="1"/>
  <c r="Z208" i="1"/>
  <c r="X209" i="1"/>
  <c r="Y209" i="1"/>
  <c r="Z209" i="1"/>
  <c r="X210" i="1"/>
  <c r="Y210" i="1"/>
  <c r="Z210" i="1"/>
  <c r="X211" i="1"/>
  <c r="Y211" i="1"/>
  <c r="Z211" i="1"/>
  <c r="X212" i="1"/>
  <c r="Y212" i="1"/>
  <c r="Z212" i="1"/>
  <c r="X213" i="1"/>
  <c r="Y213" i="1"/>
  <c r="Z213" i="1"/>
  <c r="X214" i="1"/>
  <c r="Y214" i="1"/>
  <c r="Z214" i="1"/>
  <c r="X215" i="1"/>
  <c r="Y215" i="1"/>
  <c r="Z215" i="1"/>
  <c r="X216" i="1"/>
  <c r="Y216" i="1"/>
  <c r="Z216" i="1"/>
  <c r="X217" i="1"/>
  <c r="Y217" i="1"/>
  <c r="Z217" i="1"/>
  <c r="X218" i="1"/>
  <c r="Y218" i="1"/>
  <c r="Z218" i="1"/>
  <c r="X219" i="1"/>
  <c r="Y219" i="1"/>
  <c r="Z219" i="1"/>
  <c r="X220" i="1"/>
  <c r="Y220" i="1"/>
  <c r="Z220" i="1"/>
  <c r="X221" i="1"/>
  <c r="Y221" i="1"/>
  <c r="Z221" i="1"/>
  <c r="X222" i="1"/>
  <c r="Y222" i="1"/>
  <c r="Z222" i="1"/>
  <c r="X223" i="1"/>
  <c r="Y223" i="1"/>
  <c r="Z223" i="1"/>
  <c r="X224" i="1"/>
  <c r="Y224" i="1"/>
  <c r="Z224" i="1"/>
  <c r="X225" i="1"/>
  <c r="Y225" i="1"/>
  <c r="Z225" i="1"/>
  <c r="X226" i="1"/>
  <c r="Y226" i="1"/>
  <c r="Z226" i="1"/>
  <c r="X227" i="1"/>
  <c r="Y227" i="1"/>
  <c r="Z227" i="1"/>
  <c r="X228" i="1"/>
  <c r="Y228" i="1"/>
  <c r="Z228" i="1"/>
  <c r="X229" i="1"/>
  <c r="Y229" i="1"/>
  <c r="Z229" i="1"/>
  <c r="X230" i="1"/>
  <c r="Y230" i="1"/>
  <c r="Z230" i="1"/>
  <c r="X231" i="1"/>
  <c r="Y231" i="1"/>
  <c r="Z231" i="1"/>
  <c r="X232" i="1"/>
  <c r="Y232" i="1"/>
  <c r="Z232" i="1"/>
  <c r="X233" i="1"/>
  <c r="Y233" i="1"/>
  <c r="Z233" i="1"/>
  <c r="X234" i="1"/>
  <c r="Y234" i="1"/>
  <c r="Z234" i="1"/>
  <c r="X235" i="1"/>
  <c r="Y235" i="1"/>
  <c r="Z235" i="1"/>
  <c r="X236" i="1"/>
  <c r="Y236" i="1"/>
  <c r="Z236" i="1"/>
  <c r="X237" i="1"/>
  <c r="Y237" i="1"/>
  <c r="Z237" i="1"/>
  <c r="X238" i="1"/>
  <c r="Y238" i="1"/>
  <c r="Z238" i="1"/>
  <c r="X239" i="1"/>
  <c r="Y239" i="1"/>
  <c r="Z239" i="1"/>
  <c r="X240" i="1"/>
  <c r="Y240" i="1"/>
  <c r="Z240" i="1"/>
  <c r="X241" i="1"/>
  <c r="Y241" i="1"/>
  <c r="Z241" i="1"/>
  <c r="X242" i="1"/>
  <c r="Y242" i="1"/>
  <c r="Z242" i="1"/>
  <c r="X243" i="1"/>
  <c r="Y243" i="1"/>
  <c r="Z243" i="1"/>
  <c r="X244" i="1"/>
  <c r="Y244" i="1"/>
  <c r="Z244" i="1"/>
  <c r="X245" i="1"/>
  <c r="Y245" i="1"/>
  <c r="Z245" i="1"/>
  <c r="X246" i="1"/>
  <c r="Y246" i="1"/>
  <c r="Z246" i="1"/>
  <c r="X247" i="1"/>
  <c r="Y247" i="1"/>
  <c r="Z247" i="1"/>
  <c r="X248" i="1"/>
  <c r="Y248" i="1"/>
  <c r="Z248" i="1"/>
  <c r="X249" i="1"/>
  <c r="Y249" i="1"/>
  <c r="Z249" i="1"/>
  <c r="X250" i="1"/>
  <c r="Y250" i="1"/>
  <c r="Z250" i="1"/>
  <c r="X251" i="1"/>
  <c r="Y251" i="1"/>
  <c r="Z251" i="1"/>
  <c r="X252" i="1"/>
  <c r="Y252" i="1"/>
  <c r="Z252" i="1"/>
  <c r="X253" i="1"/>
  <c r="Y253" i="1"/>
  <c r="Z253" i="1"/>
  <c r="X254" i="1"/>
  <c r="Y254" i="1"/>
  <c r="Z254" i="1"/>
  <c r="X255" i="1"/>
  <c r="Y255" i="1"/>
  <c r="Z255" i="1"/>
  <c r="X256" i="1"/>
  <c r="Y256" i="1"/>
  <c r="Z256" i="1"/>
  <c r="X257" i="1"/>
  <c r="Y257" i="1"/>
  <c r="Z257" i="1"/>
  <c r="X258" i="1"/>
  <c r="Y258" i="1"/>
  <c r="Z258" i="1"/>
  <c r="X259" i="1"/>
  <c r="Y259" i="1"/>
  <c r="Z259" i="1"/>
  <c r="X260" i="1"/>
  <c r="Y260" i="1"/>
  <c r="Z260" i="1"/>
  <c r="X261" i="1"/>
  <c r="Y261" i="1"/>
  <c r="Z261" i="1"/>
  <c r="X262" i="1"/>
  <c r="Y262" i="1"/>
  <c r="Z262" i="1"/>
  <c r="X263" i="1"/>
  <c r="Y263" i="1"/>
  <c r="Z263" i="1"/>
  <c r="X264" i="1"/>
  <c r="Y264" i="1"/>
  <c r="Z264" i="1"/>
  <c r="X265" i="1"/>
  <c r="Y265" i="1"/>
  <c r="Z265" i="1"/>
  <c r="X266" i="1"/>
  <c r="Y266" i="1"/>
  <c r="Z266" i="1"/>
  <c r="X267" i="1"/>
  <c r="Y267" i="1"/>
  <c r="Z267" i="1"/>
  <c r="X268" i="1"/>
  <c r="Y268" i="1"/>
  <c r="Z268" i="1"/>
  <c r="X269" i="1"/>
  <c r="Y269" i="1"/>
  <c r="Z269" i="1"/>
  <c r="X270" i="1"/>
  <c r="Y270" i="1"/>
  <c r="Z270" i="1"/>
  <c r="X271" i="1"/>
  <c r="Y271" i="1"/>
  <c r="Z271" i="1"/>
  <c r="X272" i="1"/>
  <c r="Y272" i="1"/>
  <c r="Z272" i="1"/>
  <c r="X273" i="1"/>
  <c r="Y273" i="1"/>
  <c r="Z273" i="1"/>
  <c r="X274" i="1"/>
  <c r="Y274" i="1"/>
  <c r="Z274" i="1"/>
  <c r="X275" i="1"/>
  <c r="Y275" i="1"/>
  <c r="Z275" i="1"/>
  <c r="X276" i="1"/>
  <c r="Y276" i="1"/>
  <c r="Z276" i="1"/>
  <c r="X277" i="1"/>
  <c r="Y277" i="1"/>
  <c r="Z277" i="1"/>
  <c r="X278" i="1"/>
  <c r="Y278" i="1"/>
  <c r="Z278" i="1"/>
  <c r="X279" i="1"/>
  <c r="Y279" i="1"/>
  <c r="Z279" i="1"/>
  <c r="X280" i="1"/>
  <c r="Y280" i="1"/>
  <c r="Z280" i="1"/>
  <c r="X281" i="1"/>
  <c r="Y281" i="1"/>
  <c r="Z281" i="1"/>
  <c r="X282" i="1"/>
  <c r="Y282" i="1"/>
  <c r="Z282" i="1"/>
  <c r="X283" i="1"/>
  <c r="Y283" i="1"/>
  <c r="Z283" i="1"/>
  <c r="X284" i="1"/>
  <c r="Y284" i="1"/>
  <c r="Z284" i="1"/>
  <c r="X285" i="1"/>
  <c r="Y285" i="1"/>
  <c r="Z285" i="1"/>
  <c r="X286" i="1"/>
  <c r="Y286" i="1"/>
  <c r="Z286" i="1"/>
  <c r="X287" i="1"/>
  <c r="Y287" i="1"/>
  <c r="Z287" i="1"/>
  <c r="X288" i="1"/>
  <c r="Y288" i="1"/>
  <c r="Z288" i="1"/>
  <c r="X289" i="1"/>
  <c r="Y289" i="1"/>
  <c r="Z289" i="1"/>
  <c r="X290" i="1"/>
  <c r="Y290" i="1"/>
  <c r="Z290" i="1"/>
  <c r="X291" i="1"/>
  <c r="Y291" i="1"/>
  <c r="Z291" i="1"/>
  <c r="X292" i="1"/>
  <c r="Y292" i="1"/>
  <c r="Z292" i="1"/>
  <c r="X293" i="1"/>
  <c r="Y293" i="1"/>
  <c r="Z293" i="1"/>
  <c r="X294" i="1"/>
  <c r="Y294" i="1"/>
  <c r="Z294" i="1"/>
  <c r="X295" i="1"/>
  <c r="Y295" i="1"/>
  <c r="Z295" i="1"/>
  <c r="X296" i="1"/>
  <c r="Y296" i="1"/>
  <c r="Z296" i="1"/>
  <c r="X297" i="1"/>
  <c r="Y297" i="1"/>
  <c r="Z297" i="1"/>
  <c r="X298" i="1"/>
  <c r="Y298" i="1"/>
  <c r="Z298" i="1"/>
  <c r="X299" i="1"/>
  <c r="Y299" i="1"/>
  <c r="Z299" i="1"/>
  <c r="X300" i="1"/>
  <c r="Y300" i="1"/>
  <c r="Z300" i="1"/>
  <c r="X301" i="1"/>
  <c r="Y301" i="1"/>
  <c r="Z301" i="1"/>
  <c r="X302" i="1"/>
  <c r="Y302" i="1"/>
  <c r="Z302" i="1"/>
  <c r="X303" i="1"/>
  <c r="Y303" i="1"/>
  <c r="Z303" i="1"/>
  <c r="X304" i="1"/>
  <c r="Y304" i="1"/>
  <c r="Z304" i="1"/>
  <c r="X305" i="1"/>
  <c r="Y305" i="1"/>
  <c r="Z305" i="1"/>
  <c r="X306" i="1"/>
  <c r="Y306" i="1"/>
  <c r="Z306" i="1"/>
  <c r="X307" i="1"/>
  <c r="Y307" i="1"/>
  <c r="Z307" i="1"/>
  <c r="X308" i="1"/>
  <c r="Y308" i="1"/>
  <c r="Z308" i="1"/>
  <c r="X309" i="1"/>
  <c r="Y309" i="1"/>
  <c r="Z309" i="1"/>
  <c r="X310" i="1"/>
  <c r="Y310" i="1"/>
  <c r="Z310" i="1"/>
  <c r="X311" i="1"/>
  <c r="Y311" i="1"/>
  <c r="Z311" i="1"/>
  <c r="X312" i="1"/>
  <c r="Y312" i="1"/>
  <c r="Z312" i="1"/>
  <c r="X313" i="1"/>
  <c r="Y313" i="1"/>
  <c r="Z313" i="1"/>
  <c r="X314" i="1"/>
  <c r="Y314" i="1"/>
  <c r="Z314" i="1"/>
  <c r="X315" i="1"/>
  <c r="Y315" i="1"/>
  <c r="Z315" i="1"/>
  <c r="X316" i="1"/>
  <c r="Y316" i="1"/>
  <c r="Z316" i="1"/>
  <c r="X317" i="1"/>
  <c r="Y317" i="1"/>
  <c r="Z317" i="1"/>
  <c r="X318" i="1"/>
  <c r="Y318" i="1"/>
  <c r="Z318" i="1"/>
  <c r="X319" i="1"/>
  <c r="Y319" i="1"/>
  <c r="Z319" i="1"/>
  <c r="X320" i="1"/>
  <c r="Y320" i="1"/>
  <c r="Z320" i="1"/>
  <c r="X321" i="1"/>
  <c r="Y321" i="1"/>
  <c r="Z321" i="1"/>
  <c r="X322" i="1"/>
  <c r="Y322" i="1"/>
  <c r="Z322" i="1"/>
  <c r="X323" i="1"/>
  <c r="Y323" i="1"/>
  <c r="Z323" i="1"/>
  <c r="X324" i="1"/>
  <c r="Y324" i="1"/>
  <c r="Z324" i="1"/>
  <c r="X325" i="1"/>
  <c r="Y325" i="1"/>
  <c r="Z325" i="1"/>
  <c r="X326" i="1"/>
  <c r="Y326" i="1"/>
  <c r="Z326" i="1"/>
  <c r="X327" i="1"/>
  <c r="Y327" i="1"/>
  <c r="Z327" i="1"/>
  <c r="X328" i="1"/>
  <c r="Y328" i="1"/>
  <c r="Z328" i="1"/>
  <c r="X329" i="1"/>
  <c r="Y329" i="1"/>
  <c r="Z329" i="1"/>
  <c r="X330" i="1"/>
  <c r="Y330" i="1"/>
  <c r="Z330" i="1"/>
  <c r="X331" i="1"/>
  <c r="Y331" i="1"/>
  <c r="Z331" i="1"/>
  <c r="X332" i="1"/>
  <c r="Y332" i="1"/>
  <c r="Z332" i="1"/>
  <c r="X333" i="1"/>
  <c r="Y333" i="1"/>
  <c r="Z333" i="1"/>
  <c r="X334" i="1"/>
  <c r="Y334" i="1"/>
  <c r="Z334" i="1"/>
  <c r="X335" i="1"/>
  <c r="Y335" i="1"/>
  <c r="Z335" i="1"/>
  <c r="X336" i="1"/>
  <c r="Y336" i="1"/>
  <c r="Z336" i="1"/>
  <c r="X337" i="1"/>
  <c r="Y337" i="1"/>
  <c r="Z337" i="1"/>
  <c r="X338" i="1"/>
  <c r="Y338" i="1"/>
  <c r="Z338" i="1"/>
  <c r="X339" i="1"/>
  <c r="Y339" i="1"/>
  <c r="Z339" i="1"/>
  <c r="X340" i="1"/>
  <c r="Y340" i="1"/>
  <c r="Z340" i="1"/>
  <c r="X341" i="1"/>
  <c r="Y341" i="1"/>
  <c r="Z341" i="1"/>
  <c r="X342" i="1"/>
  <c r="Y342" i="1"/>
  <c r="Z342" i="1"/>
  <c r="X343" i="1"/>
  <c r="Y343" i="1"/>
  <c r="Z343" i="1"/>
  <c r="X344" i="1"/>
  <c r="Y344" i="1"/>
  <c r="Z344" i="1"/>
  <c r="X345" i="1"/>
  <c r="Y345" i="1"/>
  <c r="Z345" i="1"/>
  <c r="X346" i="1"/>
  <c r="Y346" i="1"/>
  <c r="Z346" i="1"/>
  <c r="X347" i="1"/>
  <c r="Y347" i="1"/>
  <c r="Z347" i="1"/>
  <c r="X348" i="1"/>
  <c r="Y348" i="1"/>
  <c r="Z348" i="1"/>
  <c r="X349" i="1"/>
  <c r="Y349" i="1"/>
  <c r="Z349" i="1"/>
  <c r="X350" i="1"/>
  <c r="Y350" i="1"/>
  <c r="Z350" i="1"/>
  <c r="X351" i="1"/>
  <c r="Y351" i="1"/>
  <c r="Z351" i="1"/>
  <c r="X352" i="1"/>
  <c r="Y352" i="1"/>
  <c r="Z352" i="1"/>
  <c r="X353" i="1"/>
  <c r="Y353" i="1"/>
  <c r="Z353" i="1"/>
  <c r="X354" i="1"/>
  <c r="Y354" i="1"/>
  <c r="Z354" i="1"/>
  <c r="X355" i="1"/>
  <c r="Y355" i="1"/>
  <c r="Z355" i="1"/>
  <c r="X356" i="1"/>
  <c r="Y356" i="1"/>
  <c r="Z356" i="1"/>
  <c r="X357" i="1"/>
  <c r="Y357" i="1"/>
  <c r="Z357" i="1"/>
  <c r="X358" i="1"/>
  <c r="Y358" i="1"/>
  <c r="Z358" i="1"/>
  <c r="X359" i="1"/>
  <c r="Y359" i="1"/>
  <c r="Z359" i="1"/>
  <c r="X360" i="1"/>
  <c r="Y360" i="1"/>
  <c r="Z360" i="1"/>
  <c r="X361" i="1"/>
  <c r="Y361" i="1"/>
  <c r="Z361" i="1"/>
  <c r="X362" i="1"/>
  <c r="Y362" i="1"/>
  <c r="Z362" i="1"/>
  <c r="X363" i="1"/>
  <c r="Y363" i="1"/>
  <c r="Z363" i="1"/>
  <c r="X364" i="1"/>
  <c r="Y364" i="1"/>
  <c r="Z364" i="1"/>
  <c r="X365" i="1"/>
  <c r="Y365" i="1"/>
  <c r="Z365" i="1"/>
  <c r="X366" i="1"/>
  <c r="Y366" i="1"/>
  <c r="Z366" i="1"/>
  <c r="X367" i="1"/>
  <c r="Y367" i="1"/>
  <c r="Z367" i="1"/>
  <c r="X368" i="1"/>
  <c r="Y368" i="1"/>
  <c r="Z368" i="1"/>
  <c r="X369" i="1"/>
  <c r="Y369" i="1"/>
  <c r="Z369" i="1"/>
  <c r="X370" i="1"/>
  <c r="Y370" i="1"/>
  <c r="Z370" i="1"/>
  <c r="X371" i="1"/>
  <c r="Y371" i="1"/>
  <c r="Z371" i="1"/>
  <c r="X372" i="1"/>
  <c r="Y372" i="1"/>
  <c r="Z372" i="1"/>
  <c r="X373" i="1"/>
  <c r="Y373" i="1"/>
  <c r="Z373" i="1"/>
  <c r="X374" i="1"/>
  <c r="Y374" i="1"/>
  <c r="Z374" i="1"/>
  <c r="X375" i="1"/>
  <c r="Y375" i="1"/>
  <c r="Z375" i="1"/>
  <c r="X376" i="1"/>
  <c r="Y376" i="1"/>
  <c r="Z376" i="1"/>
  <c r="X377" i="1"/>
  <c r="Y377" i="1"/>
  <c r="Z377" i="1"/>
  <c r="X378" i="1"/>
  <c r="Y378" i="1"/>
  <c r="Z378" i="1"/>
  <c r="X379" i="1"/>
  <c r="Y379" i="1"/>
  <c r="Z379" i="1"/>
  <c r="X380" i="1"/>
  <c r="Y380" i="1"/>
  <c r="Z380" i="1"/>
  <c r="X381" i="1"/>
  <c r="Y381" i="1"/>
  <c r="Z381" i="1"/>
  <c r="X382" i="1"/>
  <c r="Y382" i="1"/>
  <c r="Z382" i="1"/>
  <c r="X383" i="1"/>
  <c r="Y383" i="1"/>
  <c r="Z383" i="1"/>
  <c r="X384" i="1"/>
  <c r="Y384" i="1"/>
  <c r="Z384" i="1"/>
  <c r="X385" i="1"/>
  <c r="Y385" i="1"/>
  <c r="Z385" i="1"/>
  <c r="X386" i="1"/>
  <c r="Y386" i="1"/>
  <c r="Z386" i="1"/>
  <c r="X387" i="1"/>
  <c r="Y387" i="1"/>
  <c r="Z387" i="1"/>
  <c r="X388" i="1"/>
  <c r="Y388" i="1"/>
  <c r="Z388" i="1"/>
  <c r="X389" i="1"/>
  <c r="Y389" i="1"/>
  <c r="Z389" i="1"/>
  <c r="X390" i="1"/>
  <c r="Y390" i="1"/>
  <c r="Z390" i="1"/>
  <c r="X391" i="1"/>
  <c r="Y391" i="1"/>
  <c r="Z391" i="1"/>
  <c r="X392" i="1"/>
  <c r="Y392" i="1"/>
  <c r="Z392" i="1"/>
  <c r="X393" i="1"/>
  <c r="Y393" i="1"/>
  <c r="Z393" i="1"/>
  <c r="X394" i="1"/>
  <c r="Y394" i="1"/>
  <c r="Z394" i="1"/>
  <c r="X395" i="1"/>
  <c r="Y395" i="1"/>
  <c r="Z395" i="1"/>
  <c r="X396" i="1"/>
  <c r="Y396" i="1"/>
  <c r="Z396" i="1"/>
  <c r="X397" i="1"/>
  <c r="Y397" i="1"/>
  <c r="Z397" i="1"/>
  <c r="X398" i="1"/>
  <c r="Y398" i="1"/>
  <c r="Z398" i="1"/>
  <c r="X399" i="1"/>
  <c r="Y399" i="1"/>
  <c r="Z399" i="1"/>
  <c r="X400" i="1"/>
  <c r="Y400" i="1"/>
  <c r="Z400" i="1"/>
  <c r="X401" i="1"/>
  <c r="Y401" i="1"/>
  <c r="Z401" i="1"/>
  <c r="X402" i="1"/>
  <c r="Y402" i="1"/>
  <c r="Z402" i="1"/>
  <c r="X403" i="1"/>
  <c r="Y403" i="1"/>
  <c r="Z403" i="1"/>
  <c r="X404" i="1"/>
  <c r="Y404" i="1"/>
  <c r="Z404" i="1"/>
  <c r="X405" i="1"/>
  <c r="Y405" i="1"/>
  <c r="Z405" i="1"/>
  <c r="X406" i="1"/>
  <c r="Y406" i="1"/>
  <c r="Z406" i="1"/>
  <c r="X407" i="1"/>
  <c r="Y407" i="1"/>
  <c r="Z407" i="1"/>
  <c r="X408" i="1"/>
  <c r="Y408" i="1"/>
  <c r="Z408" i="1"/>
  <c r="X409" i="1"/>
  <c r="Y409" i="1"/>
  <c r="Z409" i="1"/>
  <c r="X410" i="1"/>
  <c r="Y410" i="1"/>
  <c r="Z410" i="1"/>
  <c r="X411" i="1"/>
  <c r="Y411" i="1"/>
  <c r="Z411" i="1"/>
  <c r="X412" i="1"/>
  <c r="Y412" i="1"/>
  <c r="Z412" i="1"/>
  <c r="X413" i="1"/>
  <c r="Y413" i="1"/>
  <c r="Z413" i="1"/>
  <c r="X414" i="1"/>
  <c r="Y414" i="1"/>
  <c r="Z414" i="1"/>
  <c r="X415" i="1"/>
  <c r="Y415" i="1"/>
  <c r="Z415" i="1"/>
  <c r="X416" i="1"/>
  <c r="Y416" i="1"/>
  <c r="Z416" i="1"/>
  <c r="X417" i="1"/>
  <c r="Y417" i="1"/>
  <c r="Z417" i="1"/>
  <c r="X418" i="1"/>
  <c r="Y418" i="1"/>
  <c r="Z418" i="1"/>
  <c r="X419" i="1"/>
  <c r="Y419" i="1"/>
  <c r="Z419" i="1"/>
  <c r="X420" i="1"/>
  <c r="Y420" i="1"/>
  <c r="Z420" i="1"/>
  <c r="X421" i="1"/>
  <c r="Y421" i="1"/>
  <c r="Z421" i="1"/>
  <c r="X422" i="1"/>
  <c r="Y422" i="1"/>
  <c r="Z422" i="1"/>
  <c r="X423" i="1"/>
  <c r="Y423" i="1"/>
  <c r="Z423" i="1"/>
  <c r="X424" i="1"/>
  <c r="Y424" i="1"/>
  <c r="Z424" i="1"/>
  <c r="Z3" i="1"/>
  <c r="Y3" i="1"/>
  <c r="X3" i="1"/>
  <c r="T4" i="1"/>
  <c r="U4" i="1"/>
  <c r="V4" i="1"/>
  <c r="T5" i="1"/>
  <c r="U5" i="1"/>
  <c r="V5" i="1"/>
  <c r="T6" i="1"/>
  <c r="U6" i="1"/>
  <c r="V6" i="1"/>
  <c r="T7" i="1"/>
  <c r="U7" i="1"/>
  <c r="V7" i="1"/>
  <c r="T8" i="1"/>
  <c r="U8" i="1"/>
  <c r="V8" i="1"/>
  <c r="T9" i="1"/>
  <c r="U9" i="1"/>
  <c r="V9" i="1"/>
  <c r="T10" i="1"/>
  <c r="U10" i="1"/>
  <c r="V10" i="1"/>
  <c r="T11" i="1"/>
  <c r="U11" i="1"/>
  <c r="V11" i="1"/>
  <c r="T12" i="1"/>
  <c r="U12" i="1"/>
  <c r="V12" i="1"/>
  <c r="T13" i="1"/>
  <c r="U13" i="1"/>
  <c r="V13" i="1"/>
  <c r="T14" i="1"/>
  <c r="U14" i="1"/>
  <c r="V14" i="1"/>
  <c r="T15" i="1"/>
  <c r="U15" i="1"/>
  <c r="V15" i="1"/>
  <c r="T16" i="1"/>
  <c r="U16" i="1"/>
  <c r="V16" i="1"/>
  <c r="T17" i="1"/>
  <c r="U17" i="1"/>
  <c r="V17" i="1"/>
  <c r="T18" i="1"/>
  <c r="U18" i="1"/>
  <c r="V18" i="1"/>
  <c r="T19" i="1"/>
  <c r="U19" i="1"/>
  <c r="V19" i="1"/>
  <c r="T20" i="1"/>
  <c r="U20" i="1"/>
  <c r="V20" i="1"/>
  <c r="T21" i="1"/>
  <c r="U21" i="1"/>
  <c r="V21" i="1"/>
  <c r="T22" i="1"/>
  <c r="U22" i="1"/>
  <c r="V22" i="1"/>
  <c r="T23" i="1"/>
  <c r="U23" i="1"/>
  <c r="V23" i="1"/>
  <c r="T24" i="1"/>
  <c r="U24" i="1"/>
  <c r="V24" i="1"/>
  <c r="T25" i="1"/>
  <c r="U25" i="1"/>
  <c r="V25" i="1"/>
  <c r="T26" i="1"/>
  <c r="U26" i="1"/>
  <c r="V26" i="1"/>
  <c r="T27" i="1"/>
  <c r="U27" i="1"/>
  <c r="V27" i="1"/>
  <c r="T28" i="1"/>
  <c r="U28" i="1"/>
  <c r="V28" i="1"/>
  <c r="T29" i="1"/>
  <c r="U29" i="1"/>
  <c r="V29" i="1"/>
  <c r="T30" i="1"/>
  <c r="U30" i="1"/>
  <c r="V30" i="1"/>
  <c r="T31" i="1"/>
  <c r="U31" i="1"/>
  <c r="V31" i="1"/>
  <c r="T32" i="1"/>
  <c r="U32" i="1"/>
  <c r="V32" i="1"/>
  <c r="T33" i="1"/>
  <c r="U33" i="1"/>
  <c r="V33" i="1"/>
  <c r="T34" i="1"/>
  <c r="U34" i="1"/>
  <c r="V34" i="1"/>
  <c r="T35" i="1"/>
  <c r="U35" i="1"/>
  <c r="V35" i="1"/>
  <c r="T36" i="1"/>
  <c r="U36" i="1"/>
  <c r="V36" i="1"/>
  <c r="T37" i="1"/>
  <c r="U37" i="1"/>
  <c r="V37" i="1"/>
  <c r="T38" i="1"/>
  <c r="U38" i="1"/>
  <c r="V38" i="1"/>
  <c r="T42" i="1"/>
  <c r="U42" i="1"/>
  <c r="V42" i="1"/>
  <c r="T43" i="1"/>
  <c r="U43" i="1"/>
  <c r="V43" i="1"/>
  <c r="T44" i="1"/>
  <c r="U44" i="1"/>
  <c r="V44" i="1"/>
  <c r="T47" i="1"/>
  <c r="U47" i="1"/>
  <c r="V47" i="1"/>
  <c r="T48" i="1"/>
  <c r="U48" i="1"/>
  <c r="V48" i="1"/>
  <c r="T49" i="1"/>
  <c r="U49" i="1"/>
  <c r="V49" i="1"/>
  <c r="T50" i="1"/>
  <c r="U50" i="1"/>
  <c r="V50" i="1"/>
  <c r="T51" i="1"/>
  <c r="U51" i="1"/>
  <c r="V51" i="1"/>
  <c r="T52" i="1"/>
  <c r="U52" i="1"/>
  <c r="V52" i="1"/>
  <c r="T53" i="1"/>
  <c r="U53" i="1"/>
  <c r="V53" i="1"/>
  <c r="T54" i="1"/>
  <c r="U54" i="1"/>
  <c r="V54" i="1"/>
  <c r="T55" i="1"/>
  <c r="U55" i="1"/>
  <c r="V55" i="1"/>
  <c r="T56" i="1"/>
  <c r="U56" i="1"/>
  <c r="V56" i="1"/>
  <c r="T57" i="1"/>
  <c r="U57" i="1"/>
  <c r="V57" i="1"/>
  <c r="T58" i="1"/>
  <c r="U58" i="1"/>
  <c r="V58" i="1"/>
  <c r="T59" i="1"/>
  <c r="U59" i="1"/>
  <c r="V59" i="1"/>
  <c r="T60" i="1"/>
  <c r="U60" i="1"/>
  <c r="V60" i="1"/>
  <c r="T63" i="1"/>
  <c r="U63" i="1"/>
  <c r="V63" i="1"/>
  <c r="T64" i="1"/>
  <c r="U64" i="1"/>
  <c r="V64" i="1"/>
  <c r="T65" i="1"/>
  <c r="U65" i="1"/>
  <c r="V65" i="1"/>
  <c r="T66" i="1"/>
  <c r="U66" i="1"/>
  <c r="V66" i="1"/>
  <c r="T67" i="1"/>
  <c r="U67" i="1"/>
  <c r="V67" i="1"/>
  <c r="T68" i="1"/>
  <c r="U68" i="1"/>
  <c r="V68" i="1"/>
  <c r="T69" i="1"/>
  <c r="U69" i="1"/>
  <c r="V69" i="1"/>
  <c r="T70" i="1"/>
  <c r="U70" i="1"/>
  <c r="V70" i="1"/>
  <c r="T71" i="1"/>
  <c r="U71" i="1"/>
  <c r="V71" i="1"/>
  <c r="T72" i="1"/>
  <c r="U72" i="1"/>
  <c r="V72" i="1"/>
  <c r="T73" i="1"/>
  <c r="U73" i="1"/>
  <c r="V73" i="1"/>
  <c r="T74" i="1"/>
  <c r="U74" i="1"/>
  <c r="V74" i="1"/>
  <c r="T75" i="1"/>
  <c r="U75" i="1"/>
  <c r="V75" i="1"/>
  <c r="T76" i="1"/>
  <c r="U76" i="1"/>
  <c r="V76" i="1"/>
  <c r="T80" i="1"/>
  <c r="U80" i="1"/>
  <c r="V80" i="1"/>
  <c r="T81" i="1"/>
  <c r="U81" i="1"/>
  <c r="V81" i="1"/>
  <c r="T82" i="1"/>
  <c r="U82" i="1"/>
  <c r="V82" i="1"/>
  <c r="T83" i="1"/>
  <c r="U83" i="1"/>
  <c r="V83" i="1"/>
  <c r="T84" i="1"/>
  <c r="U84" i="1"/>
  <c r="V84" i="1"/>
  <c r="T85" i="1"/>
  <c r="U85" i="1"/>
  <c r="V85" i="1"/>
  <c r="T86" i="1"/>
  <c r="U86" i="1"/>
  <c r="V86" i="1"/>
  <c r="T87" i="1"/>
  <c r="U87" i="1"/>
  <c r="V87" i="1"/>
  <c r="T88" i="1"/>
  <c r="U88" i="1"/>
  <c r="V88" i="1"/>
  <c r="T89" i="1"/>
  <c r="U89" i="1"/>
  <c r="V89" i="1"/>
  <c r="T90" i="1"/>
  <c r="U90" i="1"/>
  <c r="V90" i="1"/>
  <c r="T91" i="1"/>
  <c r="U91" i="1"/>
  <c r="V91" i="1"/>
  <c r="T96" i="1"/>
  <c r="U96" i="1"/>
  <c r="V96" i="1"/>
  <c r="T97" i="1"/>
  <c r="U97" i="1"/>
  <c r="V97" i="1"/>
  <c r="T98" i="1"/>
  <c r="U98" i="1"/>
  <c r="V98" i="1"/>
  <c r="T99" i="1"/>
  <c r="U99" i="1"/>
  <c r="V99" i="1"/>
  <c r="T100" i="1"/>
  <c r="U100" i="1"/>
  <c r="V100" i="1"/>
  <c r="T101" i="1"/>
  <c r="U101" i="1"/>
  <c r="V101" i="1"/>
  <c r="T102" i="1"/>
  <c r="U102" i="1"/>
  <c r="V102" i="1"/>
  <c r="T103" i="1"/>
  <c r="U103" i="1"/>
  <c r="V103" i="1"/>
  <c r="T104" i="1"/>
  <c r="U104" i="1"/>
  <c r="V104" i="1"/>
  <c r="T105" i="1"/>
  <c r="U105" i="1"/>
  <c r="V105" i="1"/>
  <c r="T108" i="1"/>
  <c r="U108" i="1"/>
  <c r="V108" i="1"/>
  <c r="T109" i="1"/>
  <c r="U109" i="1"/>
  <c r="V109" i="1"/>
  <c r="T110" i="1"/>
  <c r="U110" i="1"/>
  <c r="V110" i="1"/>
  <c r="T111" i="1"/>
  <c r="U111" i="1"/>
  <c r="V111" i="1"/>
  <c r="T112" i="1"/>
  <c r="U112" i="1"/>
  <c r="V112" i="1"/>
  <c r="T113" i="1"/>
  <c r="U113" i="1"/>
  <c r="V113" i="1"/>
  <c r="T114" i="1"/>
  <c r="U114" i="1"/>
  <c r="V114" i="1"/>
  <c r="T115" i="1"/>
  <c r="U115" i="1"/>
  <c r="V115" i="1"/>
  <c r="T116" i="1"/>
  <c r="U116" i="1"/>
  <c r="V116" i="1"/>
  <c r="T117" i="1"/>
  <c r="U117" i="1"/>
  <c r="V117" i="1"/>
  <c r="T118" i="1"/>
  <c r="U118" i="1"/>
  <c r="V118" i="1"/>
  <c r="T119" i="1"/>
  <c r="U119" i="1"/>
  <c r="V119" i="1"/>
  <c r="T120" i="1"/>
  <c r="U120" i="1"/>
  <c r="V120" i="1"/>
  <c r="T121" i="1"/>
  <c r="U121" i="1"/>
  <c r="V121" i="1"/>
  <c r="T122" i="1"/>
  <c r="U122" i="1"/>
  <c r="V122" i="1"/>
  <c r="T123" i="1"/>
  <c r="U123" i="1"/>
  <c r="V123" i="1"/>
  <c r="T124" i="1"/>
  <c r="U124" i="1"/>
  <c r="V124" i="1"/>
  <c r="T125" i="1"/>
  <c r="U125" i="1"/>
  <c r="V125" i="1"/>
  <c r="T126" i="1"/>
  <c r="U126" i="1"/>
  <c r="V126" i="1"/>
  <c r="T127" i="1"/>
  <c r="U127" i="1"/>
  <c r="V127" i="1"/>
  <c r="T128" i="1"/>
  <c r="U128" i="1"/>
  <c r="V128" i="1"/>
  <c r="T129" i="1"/>
  <c r="U129" i="1"/>
  <c r="V129" i="1"/>
  <c r="T130" i="1"/>
  <c r="U130" i="1"/>
  <c r="V130" i="1"/>
  <c r="T131" i="1"/>
  <c r="U131" i="1"/>
  <c r="V131" i="1"/>
  <c r="T132" i="1"/>
  <c r="U132" i="1"/>
  <c r="V132" i="1"/>
  <c r="T133" i="1"/>
  <c r="U133" i="1"/>
  <c r="V133" i="1"/>
  <c r="T134" i="1"/>
  <c r="U134" i="1"/>
  <c r="V134" i="1"/>
  <c r="T135" i="1"/>
  <c r="U135" i="1"/>
  <c r="V135" i="1"/>
  <c r="T136" i="1"/>
  <c r="U136" i="1"/>
  <c r="V136" i="1"/>
  <c r="T137" i="1"/>
  <c r="U137" i="1"/>
  <c r="V137" i="1"/>
  <c r="T138" i="1"/>
  <c r="U138" i="1"/>
  <c r="V138" i="1"/>
  <c r="T139" i="1"/>
  <c r="U139" i="1"/>
  <c r="V139" i="1"/>
  <c r="T140" i="1"/>
  <c r="U140" i="1"/>
  <c r="V140" i="1"/>
  <c r="T141" i="1"/>
  <c r="U141" i="1"/>
  <c r="V141" i="1"/>
  <c r="T142" i="1"/>
  <c r="U142" i="1"/>
  <c r="V142" i="1"/>
  <c r="T143" i="1"/>
  <c r="U143" i="1"/>
  <c r="V143" i="1"/>
  <c r="T144" i="1"/>
  <c r="U144" i="1"/>
  <c r="V144" i="1"/>
  <c r="T145" i="1"/>
  <c r="U145" i="1"/>
  <c r="V145" i="1"/>
  <c r="T146" i="1"/>
  <c r="U146" i="1"/>
  <c r="V146" i="1"/>
  <c r="T147" i="1"/>
  <c r="U147" i="1"/>
  <c r="V147" i="1"/>
  <c r="T148" i="1"/>
  <c r="U148" i="1"/>
  <c r="V148" i="1"/>
  <c r="T149" i="1"/>
  <c r="U149" i="1"/>
  <c r="V149" i="1"/>
  <c r="T150" i="1"/>
  <c r="U150" i="1"/>
  <c r="V150" i="1"/>
  <c r="T151" i="1"/>
  <c r="U151" i="1"/>
  <c r="V151" i="1"/>
  <c r="T152" i="1"/>
  <c r="U152" i="1"/>
  <c r="V152" i="1"/>
  <c r="T153" i="1"/>
  <c r="U153" i="1"/>
  <c r="V153" i="1"/>
  <c r="T154" i="1"/>
  <c r="U154" i="1"/>
  <c r="V154" i="1"/>
  <c r="T155" i="1"/>
  <c r="U155" i="1"/>
  <c r="V155" i="1"/>
  <c r="T156" i="1"/>
  <c r="U156" i="1"/>
  <c r="V156" i="1"/>
  <c r="T157" i="1"/>
  <c r="U157" i="1"/>
  <c r="V157" i="1"/>
  <c r="T158" i="1"/>
  <c r="U158" i="1"/>
  <c r="V158" i="1"/>
  <c r="T159" i="1"/>
  <c r="U159" i="1"/>
  <c r="V159" i="1"/>
  <c r="T160" i="1"/>
  <c r="U160" i="1"/>
  <c r="V160" i="1"/>
  <c r="T161" i="1"/>
  <c r="U161" i="1"/>
  <c r="V161" i="1"/>
  <c r="T162" i="1"/>
  <c r="U162" i="1"/>
  <c r="V162" i="1"/>
  <c r="T163" i="1"/>
  <c r="U163" i="1"/>
  <c r="V163" i="1"/>
  <c r="T164" i="1"/>
  <c r="U164" i="1"/>
  <c r="V164" i="1"/>
  <c r="T165" i="1"/>
  <c r="U165" i="1"/>
  <c r="V165" i="1"/>
  <c r="T166" i="1"/>
  <c r="U166" i="1"/>
  <c r="V166" i="1"/>
  <c r="T167" i="1"/>
  <c r="U167" i="1"/>
  <c r="V167" i="1"/>
  <c r="T168" i="1"/>
  <c r="U168" i="1"/>
  <c r="V168" i="1"/>
  <c r="T169" i="1"/>
  <c r="U169" i="1"/>
  <c r="V169" i="1"/>
  <c r="T170" i="1"/>
  <c r="U170" i="1"/>
  <c r="V170" i="1"/>
  <c r="T171" i="1"/>
  <c r="U171" i="1"/>
  <c r="V171" i="1"/>
  <c r="T172" i="1"/>
  <c r="U172" i="1"/>
  <c r="V172" i="1"/>
  <c r="T173" i="1"/>
  <c r="U173" i="1"/>
  <c r="V173" i="1"/>
  <c r="T174" i="1"/>
  <c r="U174" i="1"/>
  <c r="V174" i="1"/>
  <c r="T175" i="1"/>
  <c r="U175" i="1"/>
  <c r="V175" i="1"/>
  <c r="T176" i="1"/>
  <c r="U176" i="1"/>
  <c r="V176" i="1"/>
  <c r="T177" i="1"/>
  <c r="U177" i="1"/>
  <c r="V177" i="1"/>
  <c r="T178" i="1"/>
  <c r="U178" i="1"/>
  <c r="V178" i="1"/>
  <c r="T179" i="1"/>
  <c r="U179" i="1"/>
  <c r="V179" i="1"/>
  <c r="T180" i="1"/>
  <c r="U180" i="1"/>
  <c r="V180" i="1"/>
  <c r="T181" i="1"/>
  <c r="U181" i="1"/>
  <c r="V181" i="1"/>
  <c r="T182" i="1"/>
  <c r="U182" i="1"/>
  <c r="V182" i="1"/>
  <c r="T183" i="1"/>
  <c r="U183" i="1"/>
  <c r="V183" i="1"/>
  <c r="T184" i="1"/>
  <c r="U184" i="1"/>
  <c r="V184" i="1"/>
  <c r="T185" i="1"/>
  <c r="U185" i="1"/>
  <c r="V185" i="1"/>
  <c r="T186" i="1"/>
  <c r="U186" i="1"/>
  <c r="V186" i="1"/>
  <c r="T187" i="1"/>
  <c r="U187" i="1"/>
  <c r="V187" i="1"/>
  <c r="T188" i="1"/>
  <c r="U188" i="1"/>
  <c r="V188" i="1"/>
  <c r="T189" i="1"/>
  <c r="U189" i="1"/>
  <c r="V189" i="1"/>
  <c r="T190" i="1"/>
  <c r="U190" i="1"/>
  <c r="V190" i="1"/>
  <c r="T191" i="1"/>
  <c r="U191" i="1"/>
  <c r="V191" i="1"/>
  <c r="T192" i="1"/>
  <c r="U192" i="1"/>
  <c r="V192" i="1"/>
  <c r="T193" i="1"/>
  <c r="U193" i="1"/>
  <c r="V193" i="1"/>
  <c r="T194" i="1"/>
  <c r="U194" i="1"/>
  <c r="V194" i="1"/>
  <c r="T195" i="1"/>
  <c r="U195" i="1"/>
  <c r="V195" i="1"/>
  <c r="T196" i="1"/>
  <c r="U196" i="1"/>
  <c r="V196" i="1"/>
  <c r="T197" i="1"/>
  <c r="U197" i="1"/>
  <c r="V197" i="1"/>
  <c r="T198" i="1"/>
  <c r="U198" i="1"/>
  <c r="V198" i="1"/>
  <c r="T199" i="1"/>
  <c r="U199" i="1"/>
  <c r="V199" i="1"/>
  <c r="T200" i="1"/>
  <c r="U200" i="1"/>
  <c r="V200" i="1"/>
  <c r="T201" i="1"/>
  <c r="U201" i="1"/>
  <c r="V201" i="1"/>
  <c r="T202" i="1"/>
  <c r="U202" i="1"/>
  <c r="V202" i="1"/>
  <c r="T203" i="1"/>
  <c r="U203" i="1"/>
  <c r="V203" i="1"/>
  <c r="T204" i="1"/>
  <c r="U204" i="1"/>
  <c r="V204" i="1"/>
  <c r="T205" i="1"/>
  <c r="U205" i="1"/>
  <c r="V205" i="1"/>
  <c r="T206" i="1"/>
  <c r="U206" i="1"/>
  <c r="V206" i="1"/>
  <c r="T207" i="1"/>
  <c r="U207" i="1"/>
  <c r="V207" i="1"/>
  <c r="T208" i="1"/>
  <c r="U208" i="1"/>
  <c r="V208" i="1"/>
  <c r="T209" i="1"/>
  <c r="U209" i="1"/>
  <c r="V209" i="1"/>
  <c r="T210" i="1"/>
  <c r="U210" i="1"/>
  <c r="V210" i="1"/>
  <c r="T211" i="1"/>
  <c r="U211" i="1"/>
  <c r="V211" i="1"/>
  <c r="T212" i="1"/>
  <c r="U212" i="1"/>
  <c r="V212" i="1"/>
  <c r="T213" i="1"/>
  <c r="U213" i="1"/>
  <c r="V213" i="1"/>
  <c r="T214" i="1"/>
  <c r="U214" i="1"/>
  <c r="V214" i="1"/>
  <c r="T215" i="1"/>
  <c r="U215" i="1"/>
  <c r="V215" i="1"/>
  <c r="T216" i="1"/>
  <c r="U216" i="1"/>
  <c r="V216" i="1"/>
  <c r="T217" i="1"/>
  <c r="U217" i="1"/>
  <c r="V217" i="1"/>
  <c r="T218" i="1"/>
  <c r="U218" i="1"/>
  <c r="V218" i="1"/>
  <c r="T219" i="1"/>
  <c r="U219" i="1"/>
  <c r="V219" i="1"/>
  <c r="T220" i="1"/>
  <c r="U220" i="1"/>
  <c r="V220" i="1"/>
  <c r="T221" i="1"/>
  <c r="U221" i="1"/>
  <c r="V221" i="1"/>
  <c r="T222" i="1"/>
  <c r="U222" i="1"/>
  <c r="V222" i="1"/>
  <c r="T223" i="1"/>
  <c r="U223" i="1"/>
  <c r="V223" i="1"/>
  <c r="T224" i="1"/>
  <c r="U224" i="1"/>
  <c r="V224" i="1"/>
  <c r="T225" i="1"/>
  <c r="U225" i="1"/>
  <c r="V225" i="1"/>
  <c r="T226" i="1"/>
  <c r="U226" i="1"/>
  <c r="V226" i="1"/>
  <c r="T227" i="1"/>
  <c r="U227" i="1"/>
  <c r="V227" i="1"/>
  <c r="T228" i="1"/>
  <c r="U228" i="1"/>
  <c r="V228" i="1"/>
  <c r="T229" i="1"/>
  <c r="U229" i="1"/>
  <c r="V229" i="1"/>
  <c r="T230" i="1"/>
  <c r="U230" i="1"/>
  <c r="V230" i="1"/>
  <c r="T231" i="1"/>
  <c r="U231" i="1"/>
  <c r="V231" i="1"/>
  <c r="T232" i="1"/>
  <c r="U232" i="1"/>
  <c r="V232" i="1"/>
  <c r="T233" i="1"/>
  <c r="U233" i="1"/>
  <c r="V233" i="1"/>
  <c r="T234" i="1"/>
  <c r="U234" i="1"/>
  <c r="V234" i="1"/>
  <c r="T235" i="1"/>
  <c r="U235" i="1"/>
  <c r="V235" i="1"/>
  <c r="T236" i="1"/>
  <c r="U236" i="1"/>
  <c r="V236" i="1"/>
  <c r="T237" i="1"/>
  <c r="U237" i="1"/>
  <c r="V237" i="1"/>
  <c r="T238" i="1"/>
  <c r="U238" i="1"/>
  <c r="V238" i="1"/>
  <c r="T239" i="1"/>
  <c r="U239" i="1"/>
  <c r="V239" i="1"/>
  <c r="T240" i="1"/>
  <c r="U240" i="1"/>
  <c r="V240" i="1"/>
  <c r="T241" i="1"/>
  <c r="U241" i="1"/>
  <c r="V241" i="1"/>
  <c r="T242" i="1"/>
  <c r="U242" i="1"/>
  <c r="V242" i="1"/>
  <c r="T243" i="1"/>
  <c r="U243" i="1"/>
  <c r="V243" i="1"/>
  <c r="T244" i="1"/>
  <c r="U244" i="1"/>
  <c r="V244" i="1"/>
  <c r="T245" i="1"/>
  <c r="U245" i="1"/>
  <c r="V245" i="1"/>
  <c r="T246" i="1"/>
  <c r="U246" i="1"/>
  <c r="V246" i="1"/>
  <c r="T247" i="1"/>
  <c r="U247" i="1"/>
  <c r="V247" i="1"/>
  <c r="T248" i="1"/>
  <c r="U248" i="1"/>
  <c r="V248" i="1"/>
  <c r="T249" i="1"/>
  <c r="U249" i="1"/>
  <c r="V249" i="1"/>
  <c r="T250" i="1"/>
  <c r="U250" i="1"/>
  <c r="V250" i="1"/>
  <c r="T251" i="1"/>
  <c r="U251" i="1"/>
  <c r="V251" i="1"/>
  <c r="T252" i="1"/>
  <c r="U252" i="1"/>
  <c r="V252" i="1"/>
  <c r="T253" i="1"/>
  <c r="U253" i="1"/>
  <c r="V253" i="1"/>
  <c r="T254" i="1"/>
  <c r="U254" i="1"/>
  <c r="V254" i="1"/>
  <c r="T255" i="1"/>
  <c r="U255" i="1"/>
  <c r="V255" i="1"/>
  <c r="T256" i="1"/>
  <c r="U256" i="1"/>
  <c r="V256" i="1"/>
  <c r="T257" i="1"/>
  <c r="U257" i="1"/>
  <c r="V257" i="1"/>
  <c r="T258" i="1"/>
  <c r="U258" i="1"/>
  <c r="V258" i="1"/>
  <c r="T259" i="1"/>
  <c r="U259" i="1"/>
  <c r="V259" i="1"/>
  <c r="T260" i="1"/>
  <c r="U260" i="1"/>
  <c r="V260" i="1"/>
  <c r="T261" i="1"/>
  <c r="U261" i="1"/>
  <c r="V261" i="1"/>
  <c r="T262" i="1"/>
  <c r="U262" i="1"/>
  <c r="V262" i="1"/>
  <c r="T263" i="1"/>
  <c r="U263" i="1"/>
  <c r="V263" i="1"/>
  <c r="T264" i="1"/>
  <c r="U264" i="1"/>
  <c r="V264" i="1"/>
  <c r="T265" i="1"/>
  <c r="U265" i="1"/>
  <c r="V265" i="1"/>
  <c r="T266" i="1"/>
  <c r="U266" i="1"/>
  <c r="V266" i="1"/>
  <c r="T267" i="1"/>
  <c r="U267" i="1"/>
  <c r="V267" i="1"/>
  <c r="T268" i="1"/>
  <c r="U268" i="1"/>
  <c r="V268" i="1"/>
  <c r="T269" i="1"/>
  <c r="U269" i="1"/>
  <c r="V269" i="1"/>
  <c r="T270" i="1"/>
  <c r="U270" i="1"/>
  <c r="V270" i="1"/>
  <c r="T271" i="1"/>
  <c r="U271" i="1"/>
  <c r="V271" i="1"/>
  <c r="T272" i="1"/>
  <c r="U272" i="1"/>
  <c r="V272" i="1"/>
  <c r="T273" i="1"/>
  <c r="U273" i="1"/>
  <c r="V273" i="1"/>
  <c r="T274" i="1"/>
  <c r="U274" i="1"/>
  <c r="V274" i="1"/>
  <c r="T275" i="1"/>
  <c r="U275" i="1"/>
  <c r="V275" i="1"/>
  <c r="T276" i="1"/>
  <c r="U276" i="1"/>
  <c r="V276" i="1"/>
  <c r="T277" i="1"/>
  <c r="U277" i="1"/>
  <c r="V277" i="1"/>
  <c r="T278" i="1"/>
  <c r="U278" i="1"/>
  <c r="V278" i="1"/>
  <c r="T279" i="1"/>
  <c r="U279" i="1"/>
  <c r="V279" i="1"/>
  <c r="T280" i="1"/>
  <c r="U280" i="1"/>
  <c r="V280" i="1"/>
  <c r="T281" i="1"/>
  <c r="U281" i="1"/>
  <c r="V281" i="1"/>
  <c r="T282" i="1"/>
  <c r="U282" i="1"/>
  <c r="V282" i="1"/>
  <c r="T283" i="1"/>
  <c r="U283" i="1"/>
  <c r="V283" i="1"/>
  <c r="T284" i="1"/>
  <c r="U284" i="1"/>
  <c r="V284" i="1"/>
  <c r="T285" i="1"/>
  <c r="U285" i="1"/>
  <c r="V285" i="1"/>
  <c r="T286" i="1"/>
  <c r="U286" i="1"/>
  <c r="V286" i="1"/>
  <c r="T287" i="1"/>
  <c r="U287" i="1"/>
  <c r="V287" i="1"/>
  <c r="T288" i="1"/>
  <c r="U288" i="1"/>
  <c r="V288" i="1"/>
  <c r="T289" i="1"/>
  <c r="U289" i="1"/>
  <c r="V289" i="1"/>
  <c r="T290" i="1"/>
  <c r="U290" i="1"/>
  <c r="V290" i="1"/>
  <c r="T291" i="1"/>
  <c r="U291" i="1"/>
  <c r="V291" i="1"/>
  <c r="T292" i="1"/>
  <c r="U292" i="1"/>
  <c r="V292" i="1"/>
  <c r="T293" i="1"/>
  <c r="U293" i="1"/>
  <c r="V293" i="1"/>
  <c r="T294" i="1"/>
  <c r="U294" i="1"/>
  <c r="V294" i="1"/>
  <c r="T295" i="1"/>
  <c r="U295" i="1"/>
  <c r="V295" i="1"/>
  <c r="T296" i="1"/>
  <c r="U296" i="1"/>
  <c r="V296" i="1"/>
  <c r="T297" i="1"/>
  <c r="U297" i="1"/>
  <c r="V297" i="1"/>
  <c r="T298" i="1"/>
  <c r="U298" i="1"/>
  <c r="V298" i="1"/>
  <c r="T299" i="1"/>
  <c r="U299" i="1"/>
  <c r="V299" i="1"/>
  <c r="T300" i="1"/>
  <c r="U300" i="1"/>
  <c r="V300" i="1"/>
  <c r="T301" i="1"/>
  <c r="U301" i="1"/>
  <c r="V301" i="1"/>
  <c r="T302" i="1"/>
  <c r="U302" i="1"/>
  <c r="V302" i="1"/>
  <c r="T303" i="1"/>
  <c r="U303" i="1"/>
  <c r="V303" i="1"/>
  <c r="T304" i="1"/>
  <c r="U304" i="1"/>
  <c r="V304" i="1"/>
  <c r="T305" i="1"/>
  <c r="U305" i="1"/>
  <c r="V305" i="1"/>
  <c r="T306" i="1"/>
  <c r="U306" i="1"/>
  <c r="V306" i="1"/>
  <c r="T307" i="1"/>
  <c r="U307" i="1"/>
  <c r="V307" i="1"/>
  <c r="T308" i="1"/>
  <c r="U308" i="1"/>
  <c r="V308" i="1"/>
  <c r="T309" i="1"/>
  <c r="U309" i="1"/>
  <c r="V309" i="1"/>
  <c r="T310" i="1"/>
  <c r="U310" i="1"/>
  <c r="V310" i="1"/>
  <c r="T311" i="1"/>
  <c r="U311" i="1"/>
  <c r="V311" i="1"/>
  <c r="T312" i="1"/>
  <c r="U312" i="1"/>
  <c r="V312" i="1"/>
  <c r="T313" i="1"/>
  <c r="U313" i="1"/>
  <c r="V313" i="1"/>
  <c r="T314" i="1"/>
  <c r="U314" i="1"/>
  <c r="V314" i="1"/>
  <c r="T315" i="1"/>
  <c r="U315" i="1"/>
  <c r="V315" i="1"/>
  <c r="T316" i="1"/>
  <c r="U316" i="1"/>
  <c r="V316" i="1"/>
  <c r="T317" i="1"/>
  <c r="U317" i="1"/>
  <c r="V317" i="1"/>
  <c r="T318" i="1"/>
  <c r="U318" i="1"/>
  <c r="V318" i="1"/>
  <c r="T319" i="1"/>
  <c r="U319" i="1"/>
  <c r="V319" i="1"/>
  <c r="T320" i="1"/>
  <c r="U320" i="1"/>
  <c r="V320" i="1"/>
  <c r="T321" i="1"/>
  <c r="U321" i="1"/>
  <c r="V321" i="1"/>
  <c r="T322" i="1"/>
  <c r="U322" i="1"/>
  <c r="V322" i="1"/>
  <c r="T323" i="1"/>
  <c r="U323" i="1"/>
  <c r="V323" i="1"/>
  <c r="T324" i="1"/>
  <c r="U324" i="1"/>
  <c r="V324" i="1"/>
  <c r="T325" i="1"/>
  <c r="U325" i="1"/>
  <c r="V325" i="1"/>
  <c r="T326" i="1"/>
  <c r="U326" i="1"/>
  <c r="V326" i="1"/>
  <c r="T327" i="1"/>
  <c r="U327" i="1"/>
  <c r="V327" i="1"/>
  <c r="T328" i="1"/>
  <c r="U328" i="1"/>
  <c r="V328" i="1"/>
  <c r="T329" i="1"/>
  <c r="U329" i="1"/>
  <c r="V329" i="1"/>
  <c r="T330" i="1"/>
  <c r="U330" i="1"/>
  <c r="V330" i="1"/>
  <c r="T331" i="1"/>
  <c r="U331" i="1"/>
  <c r="V331" i="1"/>
  <c r="T332" i="1"/>
  <c r="U332" i="1"/>
  <c r="V332" i="1"/>
  <c r="T333" i="1"/>
  <c r="U333" i="1"/>
  <c r="V333" i="1"/>
  <c r="T334" i="1"/>
  <c r="U334" i="1"/>
  <c r="V334" i="1"/>
  <c r="T335" i="1"/>
  <c r="U335" i="1"/>
  <c r="V335" i="1"/>
  <c r="T336" i="1"/>
  <c r="U336" i="1"/>
  <c r="V336" i="1"/>
  <c r="T337" i="1"/>
  <c r="U337" i="1"/>
  <c r="V337" i="1"/>
  <c r="T338" i="1"/>
  <c r="U338" i="1"/>
  <c r="V338" i="1"/>
  <c r="T339" i="1"/>
  <c r="U339" i="1"/>
  <c r="V339" i="1"/>
  <c r="T340" i="1"/>
  <c r="U340" i="1"/>
  <c r="V340" i="1"/>
  <c r="T341" i="1"/>
  <c r="U341" i="1"/>
  <c r="V341" i="1"/>
  <c r="T342" i="1"/>
  <c r="U342" i="1"/>
  <c r="V342" i="1"/>
  <c r="T343" i="1"/>
  <c r="U343" i="1"/>
  <c r="V343" i="1"/>
  <c r="T344" i="1"/>
  <c r="U344" i="1"/>
  <c r="V344" i="1"/>
  <c r="T345" i="1"/>
  <c r="U345" i="1"/>
  <c r="V345" i="1"/>
  <c r="T346" i="1"/>
  <c r="U346" i="1"/>
  <c r="V346" i="1"/>
  <c r="T347" i="1"/>
  <c r="U347" i="1"/>
  <c r="V347" i="1"/>
  <c r="T348" i="1"/>
  <c r="U348" i="1"/>
  <c r="V348" i="1"/>
  <c r="T349" i="1"/>
  <c r="U349" i="1"/>
  <c r="V349" i="1"/>
  <c r="T350" i="1"/>
  <c r="U350" i="1"/>
  <c r="V350" i="1"/>
  <c r="T351" i="1"/>
  <c r="U351" i="1"/>
  <c r="V351" i="1"/>
  <c r="T352" i="1"/>
  <c r="U352" i="1"/>
  <c r="V352" i="1"/>
  <c r="T353" i="1"/>
  <c r="U353" i="1"/>
  <c r="V353" i="1"/>
  <c r="T354" i="1"/>
  <c r="U354" i="1"/>
  <c r="V354" i="1"/>
  <c r="T355" i="1"/>
  <c r="U355" i="1"/>
  <c r="V355" i="1"/>
  <c r="T356" i="1"/>
  <c r="U356" i="1"/>
  <c r="V356" i="1"/>
  <c r="T357" i="1"/>
  <c r="U357" i="1"/>
  <c r="V357" i="1"/>
  <c r="T358" i="1"/>
  <c r="U358" i="1"/>
  <c r="V358" i="1"/>
  <c r="T359" i="1"/>
  <c r="U359" i="1"/>
  <c r="V359" i="1"/>
  <c r="T360" i="1"/>
  <c r="U360" i="1"/>
  <c r="V360" i="1"/>
  <c r="T361" i="1"/>
  <c r="U361" i="1"/>
  <c r="V361" i="1"/>
  <c r="T362" i="1"/>
  <c r="U362" i="1"/>
  <c r="V362" i="1"/>
  <c r="T363" i="1"/>
  <c r="U363" i="1"/>
  <c r="V363" i="1"/>
  <c r="T364" i="1"/>
  <c r="U364" i="1"/>
  <c r="V364" i="1"/>
  <c r="T365" i="1"/>
  <c r="U365" i="1"/>
  <c r="V365" i="1"/>
  <c r="T366" i="1"/>
  <c r="U366" i="1"/>
  <c r="V366" i="1"/>
  <c r="T367" i="1"/>
  <c r="U367" i="1"/>
  <c r="V367" i="1"/>
  <c r="T368" i="1"/>
  <c r="U368" i="1"/>
  <c r="V368" i="1"/>
  <c r="T369" i="1"/>
  <c r="U369" i="1"/>
  <c r="V369" i="1"/>
  <c r="T370" i="1"/>
  <c r="U370" i="1"/>
  <c r="V370" i="1"/>
  <c r="T371" i="1"/>
  <c r="U371" i="1"/>
  <c r="V371" i="1"/>
  <c r="T372" i="1"/>
  <c r="U372" i="1"/>
  <c r="V372" i="1"/>
  <c r="T373" i="1"/>
  <c r="U373" i="1"/>
  <c r="V373" i="1"/>
  <c r="T374" i="1"/>
  <c r="U374" i="1"/>
  <c r="V374" i="1"/>
  <c r="T375" i="1"/>
  <c r="U375" i="1"/>
  <c r="V375" i="1"/>
  <c r="T376" i="1"/>
  <c r="U376" i="1"/>
  <c r="V376" i="1"/>
  <c r="T377" i="1"/>
  <c r="U377" i="1"/>
  <c r="V377" i="1"/>
  <c r="T378" i="1"/>
  <c r="U378" i="1"/>
  <c r="V378" i="1"/>
  <c r="T379" i="1"/>
  <c r="U379" i="1"/>
  <c r="V379" i="1"/>
  <c r="T380" i="1"/>
  <c r="U380" i="1"/>
  <c r="V380" i="1"/>
  <c r="T381" i="1"/>
  <c r="U381" i="1"/>
  <c r="V381" i="1"/>
  <c r="T382" i="1"/>
  <c r="U382" i="1"/>
  <c r="V382" i="1"/>
  <c r="T383" i="1"/>
  <c r="U383" i="1"/>
  <c r="V383" i="1"/>
  <c r="T384" i="1"/>
  <c r="U384" i="1"/>
  <c r="V384" i="1"/>
  <c r="T385" i="1"/>
  <c r="U385" i="1"/>
  <c r="V385" i="1"/>
  <c r="T386" i="1"/>
  <c r="U386" i="1"/>
  <c r="V386" i="1"/>
  <c r="T387" i="1"/>
  <c r="U387" i="1"/>
  <c r="V387" i="1"/>
  <c r="T388" i="1"/>
  <c r="U388" i="1"/>
  <c r="V388" i="1"/>
  <c r="T389" i="1"/>
  <c r="U389" i="1"/>
  <c r="V389" i="1"/>
  <c r="T390" i="1"/>
  <c r="U390" i="1"/>
  <c r="V390" i="1"/>
  <c r="T391" i="1"/>
  <c r="U391" i="1"/>
  <c r="V391" i="1"/>
  <c r="T392" i="1"/>
  <c r="U392" i="1"/>
  <c r="V392" i="1"/>
  <c r="T393" i="1"/>
  <c r="U393" i="1"/>
  <c r="V393" i="1"/>
  <c r="T394" i="1"/>
  <c r="U394" i="1"/>
  <c r="V394" i="1"/>
  <c r="T395" i="1"/>
  <c r="U395" i="1"/>
  <c r="V395" i="1"/>
  <c r="T396" i="1"/>
  <c r="U396" i="1"/>
  <c r="V396" i="1"/>
  <c r="T397" i="1"/>
  <c r="U397" i="1"/>
  <c r="V397" i="1"/>
  <c r="T398" i="1"/>
  <c r="U398" i="1"/>
  <c r="V398" i="1"/>
  <c r="T399" i="1"/>
  <c r="U399" i="1"/>
  <c r="V399" i="1"/>
  <c r="T400" i="1"/>
  <c r="U400" i="1"/>
  <c r="V400" i="1"/>
  <c r="T401" i="1"/>
  <c r="U401" i="1"/>
  <c r="V401" i="1"/>
  <c r="T402" i="1"/>
  <c r="U402" i="1"/>
  <c r="V402" i="1"/>
  <c r="T403" i="1"/>
  <c r="U403" i="1"/>
  <c r="V403" i="1"/>
  <c r="T404" i="1"/>
  <c r="U404" i="1"/>
  <c r="V404" i="1"/>
  <c r="T405" i="1"/>
  <c r="U405" i="1"/>
  <c r="V405" i="1"/>
  <c r="T406" i="1"/>
  <c r="U406" i="1"/>
  <c r="V406" i="1"/>
  <c r="T407" i="1"/>
  <c r="U407" i="1"/>
  <c r="V407" i="1"/>
  <c r="T408" i="1"/>
  <c r="U408" i="1"/>
  <c r="V408" i="1"/>
  <c r="T409" i="1"/>
  <c r="U409" i="1"/>
  <c r="V409" i="1"/>
  <c r="T410" i="1"/>
  <c r="U410" i="1"/>
  <c r="V410" i="1"/>
  <c r="T411" i="1"/>
  <c r="U411" i="1"/>
  <c r="V411" i="1"/>
  <c r="T412" i="1"/>
  <c r="U412" i="1"/>
  <c r="V412" i="1"/>
  <c r="T413" i="1"/>
  <c r="U413" i="1"/>
  <c r="V413" i="1"/>
  <c r="T414" i="1"/>
  <c r="U414" i="1"/>
  <c r="V414" i="1"/>
  <c r="T415" i="1"/>
  <c r="U415" i="1"/>
  <c r="V415" i="1"/>
  <c r="T416" i="1"/>
  <c r="U416" i="1"/>
  <c r="V416" i="1"/>
  <c r="T417" i="1"/>
  <c r="U417" i="1"/>
  <c r="V417" i="1"/>
  <c r="T418" i="1"/>
  <c r="U418" i="1"/>
  <c r="V418" i="1"/>
  <c r="T419" i="1"/>
  <c r="U419" i="1"/>
  <c r="V419" i="1"/>
  <c r="T420" i="1"/>
  <c r="U420" i="1"/>
  <c r="V420" i="1"/>
  <c r="T421" i="1"/>
  <c r="U421" i="1"/>
  <c r="V421" i="1"/>
  <c r="T422" i="1"/>
  <c r="U422" i="1"/>
  <c r="V422" i="1"/>
  <c r="T423" i="1"/>
  <c r="U423" i="1"/>
  <c r="V423" i="1"/>
  <c r="T424" i="1"/>
  <c r="U424" i="1"/>
  <c r="V424" i="1"/>
  <c r="U425" i="1" l="1"/>
  <c r="U429" i="1" s="1"/>
  <c r="T425" i="1"/>
  <c r="T429" i="1" s="1"/>
  <c r="V425" i="1"/>
  <c r="V429" i="1" s="1"/>
  <c r="S429" i="1" l="1"/>
  <c r="L425" i="1"/>
  <c r="M425" i="1"/>
  <c r="O425" i="1"/>
  <c r="P425" i="1"/>
  <c r="Q425" i="1"/>
  <c r="X425" i="1"/>
  <c r="X429" i="1" s="1"/>
  <c r="Y425" i="1"/>
  <c r="Y429" i="1" s="1"/>
  <c r="Z425" i="1"/>
  <c r="Z429" i="1" s="1"/>
  <c r="K425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42" i="1"/>
  <c r="AA43" i="1"/>
  <c r="AA44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6" i="1"/>
  <c r="AA97" i="1"/>
  <c r="AA98" i="1"/>
  <c r="AA99" i="1"/>
  <c r="AA100" i="1"/>
  <c r="AA101" i="1"/>
  <c r="AA102" i="1"/>
  <c r="AA103" i="1"/>
  <c r="AA104" i="1"/>
  <c r="AA105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R4" i="1"/>
  <c r="AA4" i="1" s="1"/>
  <c r="R5" i="1"/>
  <c r="AA5" i="1" s="1"/>
  <c r="AA6" i="1"/>
  <c r="AA7" i="1"/>
  <c r="AA8" i="1"/>
  <c r="AA9" i="1"/>
  <c r="AA10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42" i="1"/>
  <c r="AE43" i="1"/>
  <c r="AE44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6" i="1"/>
  <c r="AE97" i="1"/>
  <c r="AE98" i="1"/>
  <c r="AE99" i="1"/>
  <c r="AE100" i="1"/>
  <c r="AE101" i="1"/>
  <c r="AE102" i="1"/>
  <c r="AE103" i="1"/>
  <c r="AE104" i="1"/>
  <c r="AE105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9" i="1"/>
  <c r="AE8" i="1"/>
  <c r="AE4" i="1"/>
  <c r="AE5" i="1"/>
  <c r="AE6" i="1"/>
  <c r="AE7" i="1"/>
  <c r="M429" i="1" l="1"/>
  <c r="G15" i="4" s="1"/>
  <c r="K429" i="1"/>
  <c r="G17" i="4" s="1"/>
  <c r="H17" i="4" s="1"/>
  <c r="Q429" i="1"/>
  <c r="G7" i="4" s="1"/>
  <c r="L429" i="1"/>
  <c r="G16" i="4" s="1"/>
  <c r="H16" i="4" s="1"/>
  <c r="O429" i="1"/>
  <c r="G9" i="4" s="1"/>
  <c r="H9" i="4" s="1"/>
  <c r="P429" i="1"/>
  <c r="G8" i="4" s="1"/>
  <c r="H8" i="4" s="1"/>
  <c r="W5" i="1"/>
  <c r="AG408" i="1"/>
  <c r="AI408" i="1" s="1"/>
  <c r="AK408" i="1" s="1"/>
  <c r="W408" i="1"/>
  <c r="W396" i="1"/>
  <c r="AG376" i="1"/>
  <c r="AI376" i="1" s="1"/>
  <c r="AK376" i="1" s="1"/>
  <c r="W376" i="1"/>
  <c r="W356" i="1"/>
  <c r="AG340" i="1"/>
  <c r="AI340" i="1" s="1"/>
  <c r="AK340" i="1" s="1"/>
  <c r="W340" i="1"/>
  <c r="W324" i="1"/>
  <c r="W308" i="1"/>
  <c r="W292" i="1"/>
  <c r="AG272" i="1"/>
  <c r="AI272" i="1" s="1"/>
  <c r="AK272" i="1" s="1"/>
  <c r="W272" i="1"/>
  <c r="W252" i="1"/>
  <c r="AG232" i="1"/>
  <c r="AI232" i="1" s="1"/>
  <c r="AK232" i="1" s="1"/>
  <c r="W232" i="1"/>
  <c r="W219" i="1"/>
  <c r="AG203" i="1"/>
  <c r="AI203" i="1" s="1"/>
  <c r="AK203" i="1" s="1"/>
  <c r="W203" i="1"/>
  <c r="W187" i="1"/>
  <c r="AG171" i="1"/>
  <c r="AI171" i="1" s="1"/>
  <c r="AK171" i="1" s="1"/>
  <c r="W171" i="1"/>
  <c r="W155" i="1"/>
  <c r="AG135" i="1"/>
  <c r="AI135" i="1" s="1"/>
  <c r="AK135" i="1" s="1"/>
  <c r="W135" i="1"/>
  <c r="W123" i="1"/>
  <c r="AG102" i="1"/>
  <c r="AI102" i="1" s="1"/>
  <c r="AK102" i="1" s="1"/>
  <c r="W102" i="1"/>
  <c r="W86" i="1"/>
  <c r="AG63" i="1"/>
  <c r="AI63" i="1" s="1"/>
  <c r="AK63" i="1" s="1"/>
  <c r="W63" i="1"/>
  <c r="W32" i="1"/>
  <c r="AG17" i="1"/>
  <c r="AI17" i="1" s="1"/>
  <c r="AK17" i="1" s="1"/>
  <c r="W17" i="1"/>
  <c r="W411" i="1"/>
  <c r="AG375" i="1"/>
  <c r="AI375" i="1" s="1"/>
  <c r="W375" i="1"/>
  <c r="W339" i="1"/>
  <c r="AG311" i="1"/>
  <c r="AI311" i="1" s="1"/>
  <c r="AK311" i="1" s="1"/>
  <c r="W311" i="1"/>
  <c r="W283" i="1"/>
  <c r="AG255" i="1"/>
  <c r="AI255" i="1" s="1"/>
  <c r="AK255" i="1" s="1"/>
  <c r="W255" i="1"/>
  <c r="W235" i="1"/>
  <c r="AG210" i="1"/>
  <c r="AI210" i="1" s="1"/>
  <c r="AK210" i="1" s="1"/>
  <c r="W210" i="1"/>
  <c r="W190" i="1"/>
  <c r="AG162" i="1"/>
  <c r="AI162" i="1" s="1"/>
  <c r="AK162" i="1" s="1"/>
  <c r="W162" i="1"/>
  <c r="W142" i="1"/>
  <c r="AG122" i="1"/>
  <c r="AI122" i="1" s="1"/>
  <c r="AK122" i="1" s="1"/>
  <c r="W122" i="1"/>
  <c r="W110" i="1"/>
  <c r="AG97" i="1"/>
  <c r="AI97" i="1" s="1"/>
  <c r="AK97" i="1" s="1"/>
  <c r="W97" i="1"/>
  <c r="W89" i="1"/>
  <c r="AG85" i="1"/>
  <c r="AI85" i="1" s="1"/>
  <c r="AK85" i="1" s="1"/>
  <c r="W85" i="1"/>
  <c r="W81" i="1"/>
  <c r="AG74" i="1"/>
  <c r="AI74" i="1" s="1"/>
  <c r="AK74" i="1" s="1"/>
  <c r="W74" i="1"/>
  <c r="W60" i="1"/>
  <c r="AG56" i="1"/>
  <c r="AI56" i="1" s="1"/>
  <c r="AK56" i="1" s="1"/>
  <c r="W56" i="1"/>
  <c r="W52" i="1"/>
  <c r="AG48" i="1"/>
  <c r="AI48" i="1" s="1"/>
  <c r="AK48" i="1" s="1"/>
  <c r="W48" i="1"/>
  <c r="W44" i="1"/>
  <c r="W35" i="1"/>
  <c r="AG31" i="1"/>
  <c r="AI31" i="1" s="1"/>
  <c r="AK31" i="1" s="1"/>
  <c r="W31" i="1"/>
  <c r="W27" i="1"/>
  <c r="AG24" i="1"/>
  <c r="AI24" i="1" s="1"/>
  <c r="AK24" i="1" s="1"/>
  <c r="W24" i="1"/>
  <c r="W20" i="1"/>
  <c r="AG16" i="1"/>
  <c r="AI16" i="1" s="1"/>
  <c r="AK16" i="1" s="1"/>
  <c r="W16" i="1"/>
  <c r="W12" i="1"/>
  <c r="AG424" i="1"/>
  <c r="AI424" i="1" s="1"/>
  <c r="AK424" i="1" s="1"/>
  <c r="W424" i="1"/>
  <c r="W416" i="1"/>
  <c r="AG404" i="1"/>
  <c r="AI404" i="1" s="1"/>
  <c r="AK404" i="1" s="1"/>
  <c r="W404" i="1"/>
  <c r="W392" i="1"/>
  <c r="AG380" i="1"/>
  <c r="AI380" i="1" s="1"/>
  <c r="AK380" i="1" s="1"/>
  <c r="W380" i="1"/>
  <c r="W368" i="1"/>
  <c r="AG360" i="1"/>
  <c r="AI360" i="1" s="1"/>
  <c r="AK360" i="1" s="1"/>
  <c r="W360" i="1"/>
  <c r="W348" i="1"/>
  <c r="AG336" i="1"/>
  <c r="W336" i="1"/>
  <c r="W328" i="1"/>
  <c r="AG316" i="1"/>
  <c r="AI316" i="1" s="1"/>
  <c r="W316" i="1"/>
  <c r="W304" i="1"/>
  <c r="AG296" i="1"/>
  <c r="AI296" i="1" s="1"/>
  <c r="AK296" i="1" s="1"/>
  <c r="W296" i="1"/>
  <c r="W284" i="1"/>
  <c r="AG276" i="1"/>
  <c r="AI276" i="1" s="1"/>
  <c r="W276" i="1"/>
  <c r="W264" i="1"/>
  <c r="AG256" i="1"/>
  <c r="AI256" i="1" s="1"/>
  <c r="AK256" i="1" s="1"/>
  <c r="W256" i="1"/>
  <c r="W244" i="1"/>
  <c r="AG236" i="1"/>
  <c r="AI236" i="1" s="1"/>
  <c r="AK236" i="1" s="1"/>
  <c r="W236" i="1"/>
  <c r="W226" i="1"/>
  <c r="AG215" i="1"/>
  <c r="AI215" i="1" s="1"/>
  <c r="AK215" i="1" s="1"/>
  <c r="W215" i="1"/>
  <c r="W207" i="1"/>
  <c r="AG195" i="1"/>
  <c r="AI195" i="1" s="1"/>
  <c r="AK195" i="1" s="1"/>
  <c r="W195" i="1"/>
  <c r="W183" i="1"/>
  <c r="AG175" i="1"/>
  <c r="AI175" i="1" s="1"/>
  <c r="AK175" i="1" s="1"/>
  <c r="W175" i="1"/>
  <c r="W163" i="1"/>
  <c r="AG151" i="1"/>
  <c r="AI151" i="1" s="1"/>
  <c r="AK151" i="1" s="1"/>
  <c r="W151" i="1"/>
  <c r="W143" i="1"/>
  <c r="AG131" i="1"/>
  <c r="AI131" i="1" s="1"/>
  <c r="AK131" i="1" s="1"/>
  <c r="W131" i="1"/>
  <c r="W119" i="1"/>
  <c r="AG111" i="1"/>
  <c r="AI111" i="1" s="1"/>
  <c r="AK111" i="1" s="1"/>
  <c r="W111" i="1"/>
  <c r="W98" i="1"/>
  <c r="AG82" i="1"/>
  <c r="AI82" i="1" s="1"/>
  <c r="AK82" i="1" s="1"/>
  <c r="W82" i="1"/>
  <c r="W71" i="1"/>
  <c r="AG57" i="1"/>
  <c r="AI57" i="1" s="1"/>
  <c r="AK57" i="1" s="1"/>
  <c r="W57" i="1"/>
  <c r="W49" i="1"/>
  <c r="W28" i="1"/>
  <c r="AG21" i="1"/>
  <c r="AI21" i="1" s="1"/>
  <c r="AK21" i="1" s="1"/>
  <c r="W21" i="1"/>
  <c r="W423" i="1"/>
  <c r="AG415" i="1"/>
  <c r="AI415" i="1" s="1"/>
  <c r="W415" i="1"/>
  <c r="W407" i="1"/>
  <c r="AG399" i="1"/>
  <c r="AI399" i="1" s="1"/>
  <c r="W399" i="1"/>
  <c r="W391" i="1"/>
  <c r="AG383" i="1"/>
  <c r="AI383" i="1" s="1"/>
  <c r="W383" i="1"/>
  <c r="W367" i="1"/>
  <c r="AG359" i="1"/>
  <c r="AI359" i="1" s="1"/>
  <c r="W359" i="1"/>
  <c r="W351" i="1"/>
  <c r="AG343" i="1"/>
  <c r="AI343" i="1" s="1"/>
  <c r="W343" i="1"/>
  <c r="W331" i="1"/>
  <c r="AG327" i="1"/>
  <c r="AI327" i="1" s="1"/>
  <c r="W327" i="1"/>
  <c r="W319" i="1"/>
  <c r="AG303" i="1"/>
  <c r="AI303" i="1" s="1"/>
  <c r="W303" i="1"/>
  <c r="W295" i="1"/>
  <c r="AG291" i="1"/>
  <c r="AI291" i="1" s="1"/>
  <c r="AK291" i="1" s="1"/>
  <c r="W291" i="1"/>
  <c r="W279" i="1"/>
  <c r="AG267" i="1"/>
  <c r="AI267" i="1" s="1"/>
  <c r="W267" i="1"/>
  <c r="W259" i="1"/>
  <c r="AG247" i="1"/>
  <c r="AI247" i="1" s="1"/>
  <c r="AK247" i="1" s="1"/>
  <c r="W247" i="1"/>
  <c r="W239" i="1"/>
  <c r="AG227" i="1"/>
  <c r="AI227" i="1" s="1"/>
  <c r="AK227" i="1" s="1"/>
  <c r="W227" i="1"/>
  <c r="AG214" i="1"/>
  <c r="AI214" i="1" s="1"/>
  <c r="AK214" i="1" s="1"/>
  <c r="W214" i="1"/>
  <c r="W202" i="1"/>
  <c r="AG194" i="1"/>
  <c r="AI194" i="1" s="1"/>
  <c r="AK194" i="1" s="1"/>
  <c r="W194" i="1"/>
  <c r="W182" i="1"/>
  <c r="AG174" i="1"/>
  <c r="AI174" i="1" s="1"/>
  <c r="AK174" i="1" s="1"/>
  <c r="W174" i="1"/>
  <c r="W170" i="1"/>
  <c r="AG158" i="1"/>
  <c r="AI158" i="1" s="1"/>
  <c r="AK158" i="1" s="1"/>
  <c r="W158" i="1"/>
  <c r="W146" i="1"/>
  <c r="AG134" i="1"/>
  <c r="AI134" i="1" s="1"/>
  <c r="AK134" i="1" s="1"/>
  <c r="W134" i="1"/>
  <c r="W130" i="1"/>
  <c r="AG118" i="1"/>
  <c r="AI118" i="1" s="1"/>
  <c r="AK118" i="1" s="1"/>
  <c r="W118" i="1"/>
  <c r="W105" i="1"/>
  <c r="AG70" i="1"/>
  <c r="AI70" i="1" s="1"/>
  <c r="AK70" i="1" s="1"/>
  <c r="W70" i="1"/>
  <c r="W7" i="1"/>
  <c r="AG8" i="1"/>
  <c r="AI8" i="1" s="1"/>
  <c r="AK8" i="1" s="1"/>
  <c r="W8" i="1"/>
  <c r="W422" i="1"/>
  <c r="AG418" i="1"/>
  <c r="AI418" i="1" s="1"/>
  <c r="AK418" i="1" s="1"/>
  <c r="W418" i="1"/>
  <c r="W414" i="1"/>
  <c r="AG410" i="1"/>
  <c r="AI410" i="1" s="1"/>
  <c r="W410" i="1"/>
  <c r="W406" i="1"/>
  <c r="AG402" i="1"/>
  <c r="AI402" i="1" s="1"/>
  <c r="AK402" i="1" s="1"/>
  <c r="W402" i="1"/>
  <c r="W398" i="1"/>
  <c r="AG394" i="1"/>
  <c r="AI394" i="1" s="1"/>
  <c r="W394" i="1"/>
  <c r="W390" i="1"/>
  <c r="AG386" i="1"/>
  <c r="AI386" i="1" s="1"/>
  <c r="AK386" i="1" s="1"/>
  <c r="W386" i="1"/>
  <c r="W382" i="1"/>
  <c r="AG378" i="1"/>
  <c r="AI378" i="1" s="1"/>
  <c r="W378" i="1"/>
  <c r="W374" i="1"/>
  <c r="AG370" i="1"/>
  <c r="W370" i="1"/>
  <c r="W366" i="1"/>
  <c r="AG362" i="1"/>
  <c r="AI362" i="1" s="1"/>
  <c r="W362" i="1"/>
  <c r="W358" i="1"/>
  <c r="AG354" i="1"/>
  <c r="AI354" i="1" s="1"/>
  <c r="W354" i="1"/>
  <c r="W350" i="1"/>
  <c r="AG346" i="1"/>
  <c r="AI346" i="1" s="1"/>
  <c r="W346" i="1"/>
  <c r="W342" i="1"/>
  <c r="AG338" i="1"/>
  <c r="AI338" i="1" s="1"/>
  <c r="W338" i="1"/>
  <c r="W334" i="1"/>
  <c r="AG330" i="1"/>
  <c r="AI330" i="1" s="1"/>
  <c r="W330" i="1"/>
  <c r="W326" i="1"/>
  <c r="AG322" i="1"/>
  <c r="AI322" i="1" s="1"/>
  <c r="W322" i="1"/>
  <c r="W318" i="1"/>
  <c r="AG314" i="1"/>
  <c r="AI314" i="1" s="1"/>
  <c r="W314" i="1"/>
  <c r="W310" i="1"/>
  <c r="AG306" i="1"/>
  <c r="AI306" i="1" s="1"/>
  <c r="W306" i="1"/>
  <c r="W302" i="1"/>
  <c r="AG298" i="1"/>
  <c r="AI298" i="1" s="1"/>
  <c r="W298" i="1"/>
  <c r="W294" i="1"/>
  <c r="AG290" i="1"/>
  <c r="AI290" i="1" s="1"/>
  <c r="W290" i="1"/>
  <c r="W286" i="1"/>
  <c r="AG282" i="1"/>
  <c r="AI282" i="1" s="1"/>
  <c r="W282" i="1"/>
  <c r="W278" i="1"/>
  <c r="AG274" i="1"/>
  <c r="AI274" i="1" s="1"/>
  <c r="W274" i="1"/>
  <c r="W270" i="1"/>
  <c r="AG266" i="1"/>
  <c r="AI266" i="1" s="1"/>
  <c r="W266" i="1"/>
  <c r="W262" i="1"/>
  <c r="AG258" i="1"/>
  <c r="AI258" i="1" s="1"/>
  <c r="W258" i="1"/>
  <c r="AG254" i="1"/>
  <c r="AI254" i="1" s="1"/>
  <c r="W254" i="1"/>
  <c r="AG250" i="1"/>
  <c r="AI250" i="1" s="1"/>
  <c r="W250" i="1"/>
  <c r="W246" i="1"/>
  <c r="AG242" i="1"/>
  <c r="AI242" i="1" s="1"/>
  <c r="W242" i="1"/>
  <c r="W238" i="1"/>
  <c r="AG234" i="1"/>
  <c r="AI234" i="1" s="1"/>
  <c r="W234" i="1"/>
  <c r="W230" i="1"/>
  <c r="AG224" i="1"/>
  <c r="AI224" i="1" s="1"/>
  <c r="W224" i="1"/>
  <c r="AG221" i="1"/>
  <c r="W221" i="1"/>
  <c r="W217" i="1"/>
  <c r="AG213" i="1"/>
  <c r="AI213" i="1" s="1"/>
  <c r="W213" i="1"/>
  <c r="W209" i="1"/>
  <c r="AG205" i="1"/>
  <c r="AI205" i="1" s="1"/>
  <c r="W205" i="1"/>
  <c r="W201" i="1"/>
  <c r="AG197" i="1"/>
  <c r="AI197" i="1" s="1"/>
  <c r="W197" i="1"/>
  <c r="AG193" i="1"/>
  <c r="AI193" i="1" s="1"/>
  <c r="W193" i="1"/>
  <c r="AG189" i="1"/>
  <c r="AI189" i="1" s="1"/>
  <c r="W189" i="1"/>
  <c r="W185" i="1"/>
  <c r="AG181" i="1"/>
  <c r="AI181" i="1" s="1"/>
  <c r="W181" i="1"/>
  <c r="W177" i="1"/>
  <c r="AG173" i="1"/>
  <c r="W173" i="1"/>
  <c r="W169" i="1"/>
  <c r="AG165" i="1"/>
  <c r="AI165" i="1" s="1"/>
  <c r="W165" i="1"/>
  <c r="AG161" i="1"/>
  <c r="AI161" i="1" s="1"/>
  <c r="W161" i="1"/>
  <c r="AG157" i="1"/>
  <c r="AI157" i="1" s="1"/>
  <c r="W157" i="1"/>
  <c r="W153" i="1"/>
  <c r="AG149" i="1"/>
  <c r="AI149" i="1" s="1"/>
  <c r="W149" i="1"/>
  <c r="W145" i="1"/>
  <c r="AG141" i="1"/>
  <c r="AI141" i="1" s="1"/>
  <c r="W141" i="1"/>
  <c r="AG137" i="1"/>
  <c r="AI137" i="1" s="1"/>
  <c r="W137" i="1"/>
  <c r="AG133" i="1"/>
  <c r="AI133" i="1" s="1"/>
  <c r="W133" i="1"/>
  <c r="AG129" i="1"/>
  <c r="AI129" i="1" s="1"/>
  <c r="W129" i="1"/>
  <c r="AG125" i="1"/>
  <c r="AI125" i="1" s="1"/>
  <c r="W125" i="1"/>
  <c r="W121" i="1"/>
  <c r="AG117" i="1"/>
  <c r="AI117" i="1" s="1"/>
  <c r="W117" i="1"/>
  <c r="W113" i="1"/>
  <c r="AG109" i="1"/>
  <c r="AI109" i="1" s="1"/>
  <c r="W109" i="1"/>
  <c r="W104" i="1"/>
  <c r="AG100" i="1"/>
  <c r="W100" i="1"/>
  <c r="AG96" i="1"/>
  <c r="AI96" i="1" s="1"/>
  <c r="W96" i="1"/>
  <c r="AG88" i="1"/>
  <c r="AI88" i="1" s="1"/>
  <c r="W88" i="1"/>
  <c r="AG84" i="1"/>
  <c r="AI84" i="1" s="1"/>
  <c r="W84" i="1"/>
  <c r="AG80" i="1"/>
  <c r="AI80" i="1" s="1"/>
  <c r="W80" i="1"/>
  <c r="W73" i="1"/>
  <c r="AG69" i="1"/>
  <c r="AI69" i="1" s="1"/>
  <c r="W69" i="1"/>
  <c r="W65" i="1"/>
  <c r="AG59" i="1"/>
  <c r="AI59" i="1" s="1"/>
  <c r="W59" i="1"/>
  <c r="AG55" i="1"/>
  <c r="AI55" i="1" s="1"/>
  <c r="W55" i="1"/>
  <c r="AG51" i="1"/>
  <c r="AI51" i="1" s="1"/>
  <c r="W51" i="1"/>
  <c r="AG43" i="1"/>
  <c r="AI43" i="1" s="1"/>
  <c r="W43" i="1"/>
  <c r="AG38" i="1"/>
  <c r="AI38" i="1" s="1"/>
  <c r="W38" i="1"/>
  <c r="AG34" i="1"/>
  <c r="AI34" i="1" s="1"/>
  <c r="W34" i="1"/>
  <c r="W30" i="1"/>
  <c r="AG26" i="1"/>
  <c r="AI26" i="1" s="1"/>
  <c r="W26" i="1"/>
  <c r="AG23" i="1"/>
  <c r="AI23" i="1" s="1"/>
  <c r="W23" i="1"/>
  <c r="AG19" i="1"/>
  <c r="AI19" i="1" s="1"/>
  <c r="W19" i="1"/>
  <c r="W15" i="1"/>
  <c r="AG11" i="1"/>
  <c r="W11" i="1"/>
  <c r="AG420" i="1"/>
  <c r="AI420" i="1" s="1"/>
  <c r="AK420" i="1" s="1"/>
  <c r="W420" i="1"/>
  <c r="AG412" i="1"/>
  <c r="AI412" i="1" s="1"/>
  <c r="AK412" i="1" s="1"/>
  <c r="W412" i="1"/>
  <c r="AG400" i="1"/>
  <c r="AI400" i="1" s="1"/>
  <c r="AK400" i="1" s="1"/>
  <c r="W400" i="1"/>
  <c r="AG388" i="1"/>
  <c r="AI388" i="1" s="1"/>
  <c r="AK388" i="1" s="1"/>
  <c r="W388" i="1"/>
  <c r="AG384" i="1"/>
  <c r="AI384" i="1" s="1"/>
  <c r="AK384" i="1" s="1"/>
  <c r="W384" i="1"/>
  <c r="AG372" i="1"/>
  <c r="AI372" i="1" s="1"/>
  <c r="AK372" i="1" s="1"/>
  <c r="W372" i="1"/>
  <c r="W364" i="1"/>
  <c r="AG352" i="1"/>
  <c r="AI352" i="1" s="1"/>
  <c r="AK352" i="1" s="1"/>
  <c r="W352" i="1"/>
  <c r="AG344" i="1"/>
  <c r="AI344" i="1" s="1"/>
  <c r="W344" i="1"/>
  <c r="AG332" i="1"/>
  <c r="AI332" i="1" s="1"/>
  <c r="AK332" i="1" s="1"/>
  <c r="W332" i="1"/>
  <c r="AG320" i="1"/>
  <c r="AI320" i="1" s="1"/>
  <c r="AK320" i="1" s="1"/>
  <c r="W320" i="1"/>
  <c r="AG312" i="1"/>
  <c r="AI312" i="1" s="1"/>
  <c r="W312" i="1"/>
  <c r="W300" i="1"/>
  <c r="AG288" i="1"/>
  <c r="AI288" i="1" s="1"/>
  <c r="W288" i="1"/>
  <c r="AG280" i="1"/>
  <c r="AI280" i="1" s="1"/>
  <c r="AK280" i="1" s="1"/>
  <c r="W280" i="1"/>
  <c r="AG268" i="1"/>
  <c r="AI268" i="1" s="1"/>
  <c r="AK268" i="1" s="1"/>
  <c r="W268" i="1"/>
  <c r="W260" i="1"/>
  <c r="AG248" i="1"/>
  <c r="AI248" i="1" s="1"/>
  <c r="AK248" i="1" s="1"/>
  <c r="W248" i="1"/>
  <c r="AG240" i="1"/>
  <c r="AI240" i="1" s="1"/>
  <c r="AK240" i="1" s="1"/>
  <c r="W240" i="1"/>
  <c r="AG228" i="1"/>
  <c r="AI228" i="1" s="1"/>
  <c r="AK228" i="1" s="1"/>
  <c r="W228" i="1"/>
  <c r="AG222" i="1"/>
  <c r="AI222" i="1" s="1"/>
  <c r="AK222" i="1" s="1"/>
  <c r="W222" i="1"/>
  <c r="AG211" i="1"/>
  <c r="W211" i="1"/>
  <c r="AG199" i="1"/>
  <c r="AI199" i="1" s="1"/>
  <c r="AK199" i="1" s="1"/>
  <c r="W199" i="1"/>
  <c r="AG191" i="1"/>
  <c r="AI191" i="1" s="1"/>
  <c r="AK191" i="1" s="1"/>
  <c r="W191" i="1"/>
  <c r="AG179" i="1"/>
  <c r="AI179" i="1" s="1"/>
  <c r="AK179" i="1" s="1"/>
  <c r="W179" i="1"/>
  <c r="AG167" i="1"/>
  <c r="AI167" i="1" s="1"/>
  <c r="AK167" i="1" s="1"/>
  <c r="W167" i="1"/>
  <c r="AG159" i="1"/>
  <c r="AI159" i="1" s="1"/>
  <c r="AK159" i="1" s="1"/>
  <c r="W159" i="1"/>
  <c r="AG147" i="1"/>
  <c r="AI147" i="1" s="1"/>
  <c r="AK147" i="1" s="1"/>
  <c r="W147" i="1"/>
  <c r="AG139" i="1"/>
  <c r="AI139" i="1" s="1"/>
  <c r="AK139" i="1" s="1"/>
  <c r="W139" i="1"/>
  <c r="AG127" i="1"/>
  <c r="AI127" i="1" s="1"/>
  <c r="AK127" i="1" s="1"/>
  <c r="W127" i="1"/>
  <c r="AG115" i="1"/>
  <c r="AI115" i="1" s="1"/>
  <c r="AK115" i="1" s="1"/>
  <c r="W115" i="1"/>
  <c r="AG90" i="1"/>
  <c r="AI90" i="1" s="1"/>
  <c r="AK90" i="1" s="1"/>
  <c r="W90" i="1"/>
  <c r="AG75" i="1"/>
  <c r="W75" i="1"/>
  <c r="AG67" i="1"/>
  <c r="AI67" i="1" s="1"/>
  <c r="AK67" i="1" s="1"/>
  <c r="W67" i="1"/>
  <c r="AG53" i="1"/>
  <c r="AI53" i="1" s="1"/>
  <c r="AK53" i="1" s="1"/>
  <c r="W53" i="1"/>
  <c r="AG47" i="1"/>
  <c r="AI47" i="1" s="1"/>
  <c r="AK47" i="1" s="1"/>
  <c r="W47" i="1"/>
  <c r="AG36" i="1"/>
  <c r="AI36" i="1" s="1"/>
  <c r="AK36" i="1" s="1"/>
  <c r="W36" i="1"/>
  <c r="W25" i="1"/>
  <c r="AG13" i="1"/>
  <c r="AI13" i="1" s="1"/>
  <c r="AK13" i="1" s="1"/>
  <c r="W13" i="1"/>
  <c r="AG4" i="1"/>
  <c r="AI4" i="1" s="1"/>
  <c r="AK4" i="1" s="1"/>
  <c r="W4" i="1"/>
  <c r="AG419" i="1"/>
  <c r="AI419" i="1" s="1"/>
  <c r="W419" i="1"/>
  <c r="AG403" i="1"/>
  <c r="AI403" i="1" s="1"/>
  <c r="W403" i="1"/>
  <c r="AG395" i="1"/>
  <c r="AI395" i="1" s="1"/>
  <c r="W395" i="1"/>
  <c r="AG387" i="1"/>
  <c r="AI387" i="1" s="1"/>
  <c r="W387" i="1"/>
  <c r="AG379" i="1"/>
  <c r="AI379" i="1" s="1"/>
  <c r="W379" i="1"/>
  <c r="W371" i="1"/>
  <c r="AG363" i="1"/>
  <c r="AI363" i="1" s="1"/>
  <c r="W363" i="1"/>
  <c r="AG355" i="1"/>
  <c r="AI355" i="1" s="1"/>
  <c r="W355" i="1"/>
  <c r="AG347" i="1"/>
  <c r="AI347" i="1" s="1"/>
  <c r="AK347" i="1" s="1"/>
  <c r="W347" i="1"/>
  <c r="AG335" i="1"/>
  <c r="AI335" i="1" s="1"/>
  <c r="W335" i="1"/>
  <c r="AG323" i="1"/>
  <c r="AI323" i="1" s="1"/>
  <c r="AK323" i="1" s="1"/>
  <c r="W323" i="1"/>
  <c r="AG315" i="1"/>
  <c r="AI315" i="1" s="1"/>
  <c r="W315" i="1"/>
  <c r="AG307" i="1"/>
  <c r="AI307" i="1" s="1"/>
  <c r="W307" i="1"/>
  <c r="AG299" i="1"/>
  <c r="AI299" i="1" s="1"/>
  <c r="W299" i="1"/>
  <c r="AG287" i="1"/>
  <c r="AI287" i="1" s="1"/>
  <c r="W287" i="1"/>
  <c r="W275" i="1"/>
  <c r="AG271" i="1"/>
  <c r="AI271" i="1" s="1"/>
  <c r="AK271" i="1" s="1"/>
  <c r="W271" i="1"/>
  <c r="AG263" i="1"/>
  <c r="W263" i="1"/>
  <c r="AG251" i="1"/>
  <c r="AI251" i="1" s="1"/>
  <c r="W251" i="1"/>
  <c r="AG243" i="1"/>
  <c r="AI243" i="1" s="1"/>
  <c r="AK243" i="1" s="1"/>
  <c r="W243" i="1"/>
  <c r="AG231" i="1"/>
  <c r="AI231" i="1" s="1"/>
  <c r="AK231" i="1" s="1"/>
  <c r="W231" i="1"/>
  <c r="AG225" i="1"/>
  <c r="AI225" i="1" s="1"/>
  <c r="AK225" i="1" s="1"/>
  <c r="W225" i="1"/>
  <c r="AG218" i="1"/>
  <c r="AI218" i="1" s="1"/>
  <c r="AK218" i="1" s="1"/>
  <c r="W218" i="1"/>
  <c r="AG206" i="1"/>
  <c r="AI206" i="1" s="1"/>
  <c r="AK206" i="1" s="1"/>
  <c r="W206" i="1"/>
  <c r="AG198" i="1"/>
  <c r="AI198" i="1" s="1"/>
  <c r="AK198" i="1" s="1"/>
  <c r="W198" i="1"/>
  <c r="AG186" i="1"/>
  <c r="AI186" i="1" s="1"/>
  <c r="AK186" i="1" s="1"/>
  <c r="W186" i="1"/>
  <c r="AG178" i="1"/>
  <c r="AI178" i="1" s="1"/>
  <c r="AK178" i="1" s="1"/>
  <c r="W178" i="1"/>
  <c r="AG166" i="1"/>
  <c r="AI166" i="1" s="1"/>
  <c r="AK166" i="1" s="1"/>
  <c r="W166" i="1"/>
  <c r="AG154" i="1"/>
  <c r="AI154" i="1" s="1"/>
  <c r="AK154" i="1" s="1"/>
  <c r="W154" i="1"/>
  <c r="AG150" i="1"/>
  <c r="AI150" i="1" s="1"/>
  <c r="AK150" i="1" s="1"/>
  <c r="W150" i="1"/>
  <c r="AG138" i="1"/>
  <c r="W138" i="1"/>
  <c r="AG126" i="1"/>
  <c r="AI126" i="1" s="1"/>
  <c r="AK126" i="1" s="1"/>
  <c r="W126" i="1"/>
  <c r="AG114" i="1"/>
  <c r="AI114" i="1" s="1"/>
  <c r="AK114" i="1" s="1"/>
  <c r="W114" i="1"/>
  <c r="AG101" i="1"/>
  <c r="AI101" i="1" s="1"/>
  <c r="AK101" i="1" s="1"/>
  <c r="W101" i="1"/>
  <c r="AG66" i="1"/>
  <c r="AI66" i="1" s="1"/>
  <c r="AK66" i="1" s="1"/>
  <c r="W66" i="1"/>
  <c r="AG6" i="1"/>
  <c r="AI6" i="1" s="1"/>
  <c r="W6" i="1"/>
  <c r="AG9" i="1"/>
  <c r="AI9" i="1" s="1"/>
  <c r="AK9" i="1" s="1"/>
  <c r="W9" i="1"/>
  <c r="AG421" i="1"/>
  <c r="AI421" i="1" s="1"/>
  <c r="AK421" i="1" s="1"/>
  <c r="W421" i="1"/>
  <c r="AG417" i="1"/>
  <c r="AI417" i="1" s="1"/>
  <c r="AK417" i="1" s="1"/>
  <c r="W417" i="1"/>
  <c r="AG413" i="1"/>
  <c r="AI413" i="1" s="1"/>
  <c r="AK413" i="1" s="1"/>
  <c r="W413" i="1"/>
  <c r="AG409" i="1"/>
  <c r="AI409" i="1" s="1"/>
  <c r="AK409" i="1" s="1"/>
  <c r="W409" i="1"/>
  <c r="AG405" i="1"/>
  <c r="AI405" i="1" s="1"/>
  <c r="AK405" i="1" s="1"/>
  <c r="W405" i="1"/>
  <c r="AG401" i="1"/>
  <c r="AI401" i="1" s="1"/>
  <c r="AK401" i="1" s="1"/>
  <c r="W401" i="1"/>
  <c r="AG397" i="1"/>
  <c r="AI397" i="1" s="1"/>
  <c r="AK397" i="1" s="1"/>
  <c r="W397" i="1"/>
  <c r="AG393" i="1"/>
  <c r="W393" i="1"/>
  <c r="AG389" i="1"/>
  <c r="AI389" i="1" s="1"/>
  <c r="AK389" i="1" s="1"/>
  <c r="W389" i="1"/>
  <c r="AG385" i="1"/>
  <c r="AI385" i="1" s="1"/>
  <c r="AK385" i="1" s="1"/>
  <c r="W385" i="1"/>
  <c r="AG381" i="1"/>
  <c r="AI381" i="1" s="1"/>
  <c r="AK381" i="1" s="1"/>
  <c r="W381" i="1"/>
  <c r="AG377" i="1"/>
  <c r="AI377" i="1" s="1"/>
  <c r="AK377" i="1" s="1"/>
  <c r="W377" i="1"/>
  <c r="AG373" i="1"/>
  <c r="AI373" i="1" s="1"/>
  <c r="AK373" i="1" s="1"/>
  <c r="W373" i="1"/>
  <c r="AG369" i="1"/>
  <c r="AI369" i="1" s="1"/>
  <c r="AK369" i="1" s="1"/>
  <c r="W369" i="1"/>
  <c r="AG365" i="1"/>
  <c r="AI365" i="1" s="1"/>
  <c r="AK365" i="1" s="1"/>
  <c r="W365" i="1"/>
  <c r="AG361" i="1"/>
  <c r="W361" i="1"/>
  <c r="AG357" i="1"/>
  <c r="AI357" i="1" s="1"/>
  <c r="AK357" i="1" s="1"/>
  <c r="W357" i="1"/>
  <c r="AG353" i="1"/>
  <c r="AI353" i="1" s="1"/>
  <c r="AK353" i="1" s="1"/>
  <c r="W353" i="1"/>
  <c r="AG349" i="1"/>
  <c r="AI349" i="1" s="1"/>
  <c r="W349" i="1"/>
  <c r="AG345" i="1"/>
  <c r="AI345" i="1" s="1"/>
  <c r="AK345" i="1" s="1"/>
  <c r="W345" i="1"/>
  <c r="AG341" i="1"/>
  <c r="AI341" i="1" s="1"/>
  <c r="W341" i="1"/>
  <c r="AG337" i="1"/>
  <c r="AI337" i="1" s="1"/>
  <c r="AK337" i="1" s="1"/>
  <c r="W337" i="1"/>
  <c r="AG333" i="1"/>
  <c r="AI333" i="1" s="1"/>
  <c r="AK333" i="1" s="1"/>
  <c r="W333" i="1"/>
  <c r="AG329" i="1"/>
  <c r="AI329" i="1" s="1"/>
  <c r="AK329" i="1" s="1"/>
  <c r="W329" i="1"/>
  <c r="W325" i="1"/>
  <c r="AG321" i="1"/>
  <c r="AI321" i="1" s="1"/>
  <c r="AK321" i="1" s="1"/>
  <c r="W321" i="1"/>
  <c r="AG317" i="1"/>
  <c r="AI317" i="1" s="1"/>
  <c r="AK317" i="1" s="1"/>
  <c r="W317" i="1"/>
  <c r="AG313" i="1"/>
  <c r="AI313" i="1" s="1"/>
  <c r="AK313" i="1" s="1"/>
  <c r="W313" i="1"/>
  <c r="AG309" i="1"/>
  <c r="AI309" i="1" s="1"/>
  <c r="AK309" i="1" s="1"/>
  <c r="W309" i="1"/>
  <c r="AG305" i="1"/>
  <c r="AI305" i="1" s="1"/>
  <c r="AK305" i="1" s="1"/>
  <c r="W305" i="1"/>
  <c r="AG301" i="1"/>
  <c r="AI301" i="1" s="1"/>
  <c r="W301" i="1"/>
  <c r="AG297" i="1"/>
  <c r="AI297" i="1" s="1"/>
  <c r="W297" i="1"/>
  <c r="AG293" i="1"/>
  <c r="AI293" i="1" s="1"/>
  <c r="W293" i="1"/>
  <c r="AG289" i="1"/>
  <c r="AI289" i="1" s="1"/>
  <c r="W289" i="1"/>
  <c r="AG285" i="1"/>
  <c r="AI285" i="1" s="1"/>
  <c r="W285" i="1"/>
  <c r="AG281" i="1"/>
  <c r="AI281" i="1" s="1"/>
  <c r="W281" i="1"/>
  <c r="AG277" i="1"/>
  <c r="AI277" i="1" s="1"/>
  <c r="AK277" i="1" s="1"/>
  <c r="W277" i="1"/>
  <c r="AG273" i="1"/>
  <c r="AI273" i="1" s="1"/>
  <c r="AK273" i="1" s="1"/>
  <c r="W273" i="1"/>
  <c r="AG269" i="1"/>
  <c r="AI269" i="1" s="1"/>
  <c r="AK269" i="1" s="1"/>
  <c r="W269" i="1"/>
  <c r="W265" i="1"/>
  <c r="AG261" i="1"/>
  <c r="AI261" i="1" s="1"/>
  <c r="AK261" i="1" s="1"/>
  <c r="W261" i="1"/>
  <c r="AG257" i="1"/>
  <c r="AI257" i="1" s="1"/>
  <c r="W257" i="1"/>
  <c r="AG253" i="1"/>
  <c r="AI253" i="1" s="1"/>
  <c r="W253" i="1"/>
  <c r="AG249" i="1"/>
  <c r="AI249" i="1" s="1"/>
  <c r="W249" i="1"/>
  <c r="AG245" i="1"/>
  <c r="AI245" i="1" s="1"/>
  <c r="W245" i="1"/>
  <c r="AG241" i="1"/>
  <c r="AI241" i="1" s="1"/>
  <c r="W241" i="1"/>
  <c r="AG237" i="1"/>
  <c r="AI237" i="1" s="1"/>
  <c r="W237" i="1"/>
  <c r="AG233" i="1"/>
  <c r="W233" i="1"/>
  <c r="AG229" i="1"/>
  <c r="AI229" i="1" s="1"/>
  <c r="W229" i="1"/>
  <c r="AG223" i="1"/>
  <c r="AI223" i="1" s="1"/>
  <c r="W223" i="1"/>
  <c r="AG220" i="1"/>
  <c r="AI220" i="1" s="1"/>
  <c r="AK220" i="1" s="1"/>
  <c r="W220" i="1"/>
  <c r="AG216" i="1"/>
  <c r="AI216" i="1" s="1"/>
  <c r="AK216" i="1" s="1"/>
  <c r="W216" i="1"/>
  <c r="AG212" i="1"/>
  <c r="AI212" i="1" s="1"/>
  <c r="W212" i="1"/>
  <c r="AG208" i="1"/>
  <c r="AI208" i="1" s="1"/>
  <c r="W208" i="1"/>
  <c r="AG204" i="1"/>
  <c r="AI204" i="1" s="1"/>
  <c r="W204" i="1"/>
  <c r="AG200" i="1"/>
  <c r="W200" i="1"/>
  <c r="AG196" i="1"/>
  <c r="AI196" i="1" s="1"/>
  <c r="AK196" i="1" s="1"/>
  <c r="W196" i="1"/>
  <c r="AG192" i="1"/>
  <c r="AI192" i="1" s="1"/>
  <c r="AK192" i="1" s="1"/>
  <c r="W192" i="1"/>
  <c r="AG188" i="1"/>
  <c r="AI188" i="1" s="1"/>
  <c r="W188" i="1"/>
  <c r="AG184" i="1"/>
  <c r="AI184" i="1" s="1"/>
  <c r="AK184" i="1" s="1"/>
  <c r="W184" i="1"/>
  <c r="AG180" i="1"/>
  <c r="AI180" i="1" s="1"/>
  <c r="AK180" i="1" s="1"/>
  <c r="W180" i="1"/>
  <c r="AG176" i="1"/>
  <c r="AI176" i="1" s="1"/>
  <c r="W176" i="1"/>
  <c r="AG172" i="1"/>
  <c r="AI172" i="1" s="1"/>
  <c r="W172" i="1"/>
  <c r="AG168" i="1"/>
  <c r="AI168" i="1" s="1"/>
  <c r="W168" i="1"/>
  <c r="AG164" i="1"/>
  <c r="AI164" i="1" s="1"/>
  <c r="W164" i="1"/>
  <c r="AG160" i="1"/>
  <c r="AI160" i="1" s="1"/>
  <c r="W160" i="1"/>
  <c r="AG156" i="1"/>
  <c r="AI156" i="1" s="1"/>
  <c r="W156" i="1"/>
  <c r="AG152" i="1"/>
  <c r="AI152" i="1" s="1"/>
  <c r="W152" i="1"/>
  <c r="AG148" i="1"/>
  <c r="AI148" i="1" s="1"/>
  <c r="W148" i="1"/>
  <c r="AG144" i="1"/>
  <c r="AI144" i="1" s="1"/>
  <c r="W144" i="1"/>
  <c r="AG140" i="1"/>
  <c r="W140" i="1"/>
  <c r="AG136" i="1"/>
  <c r="AI136" i="1" s="1"/>
  <c r="AK136" i="1" s="1"/>
  <c r="W136" i="1"/>
  <c r="AG132" i="1"/>
  <c r="AI132" i="1" s="1"/>
  <c r="W132" i="1"/>
  <c r="AG128" i="1"/>
  <c r="AI128" i="1" s="1"/>
  <c r="W128" i="1"/>
  <c r="AG124" i="1"/>
  <c r="AI124" i="1" s="1"/>
  <c r="W124" i="1"/>
  <c r="AG120" i="1"/>
  <c r="AI120" i="1" s="1"/>
  <c r="W120" i="1"/>
  <c r="AG116" i="1"/>
  <c r="AI116" i="1" s="1"/>
  <c r="W116" i="1"/>
  <c r="AG112" i="1"/>
  <c r="AI112" i="1" s="1"/>
  <c r="W112" i="1"/>
  <c r="AG108" i="1"/>
  <c r="W108" i="1"/>
  <c r="AG103" i="1"/>
  <c r="AI103" i="1" s="1"/>
  <c r="W103" i="1"/>
  <c r="AG99" i="1"/>
  <c r="AI99" i="1" s="1"/>
  <c r="W99" i="1"/>
  <c r="AG91" i="1"/>
  <c r="AI91" i="1" s="1"/>
  <c r="W91" i="1"/>
  <c r="AG87" i="1"/>
  <c r="AI87" i="1" s="1"/>
  <c r="W87" i="1"/>
  <c r="AG83" i="1"/>
  <c r="AI83" i="1" s="1"/>
  <c r="W83" i="1"/>
  <c r="AG76" i="1"/>
  <c r="AI76" i="1" s="1"/>
  <c r="W76" i="1"/>
  <c r="AG72" i="1"/>
  <c r="AI72" i="1" s="1"/>
  <c r="W72" i="1"/>
  <c r="AG68" i="1"/>
  <c r="AI68" i="1" s="1"/>
  <c r="W68" i="1"/>
  <c r="AG64" i="1"/>
  <c r="W64" i="1"/>
  <c r="AG58" i="1"/>
  <c r="AI58" i="1" s="1"/>
  <c r="W58" i="1"/>
  <c r="AG54" i="1"/>
  <c r="AI54" i="1" s="1"/>
  <c r="W54" i="1"/>
  <c r="AG50" i="1"/>
  <c r="AI50" i="1" s="1"/>
  <c r="W50" i="1"/>
  <c r="AG42" i="1"/>
  <c r="AI42" i="1" s="1"/>
  <c r="AK42" i="1" s="1"/>
  <c r="W42" i="1"/>
  <c r="AG37" i="1"/>
  <c r="AI37" i="1" s="1"/>
  <c r="AK37" i="1" s="1"/>
  <c r="W37" i="1"/>
  <c r="AG33" i="1"/>
  <c r="W33" i="1"/>
  <c r="AG29" i="1"/>
  <c r="AI29" i="1" s="1"/>
  <c r="AK29" i="1" s="1"/>
  <c r="W29" i="1"/>
  <c r="AG22" i="1"/>
  <c r="AI22" i="1" s="1"/>
  <c r="AK22" i="1" s="1"/>
  <c r="W22" i="1"/>
  <c r="AG18" i="1"/>
  <c r="AI18" i="1" s="1"/>
  <c r="AK18" i="1" s="1"/>
  <c r="W18" i="1"/>
  <c r="AG14" i="1"/>
  <c r="AI14" i="1" s="1"/>
  <c r="AK14" i="1" s="1"/>
  <c r="W14" i="1"/>
  <c r="AG10" i="1"/>
  <c r="AI10" i="1" s="1"/>
  <c r="W10" i="1"/>
  <c r="AG416" i="1"/>
  <c r="AI416" i="1" s="1"/>
  <c r="AK416" i="1" s="1"/>
  <c r="AG392" i="1"/>
  <c r="AI392" i="1" s="1"/>
  <c r="AK392" i="1" s="1"/>
  <c r="AG368" i="1"/>
  <c r="AI368" i="1" s="1"/>
  <c r="AK368" i="1" s="1"/>
  <c r="AG328" i="1"/>
  <c r="AI328" i="1" s="1"/>
  <c r="AK328" i="1" s="1"/>
  <c r="AG304" i="1"/>
  <c r="AI304" i="1" s="1"/>
  <c r="AG264" i="1"/>
  <c r="AI264" i="1" s="1"/>
  <c r="AG226" i="1"/>
  <c r="AI226" i="1" s="1"/>
  <c r="AK226" i="1" s="1"/>
  <c r="AG219" i="1"/>
  <c r="AI219" i="1" s="1"/>
  <c r="AK219" i="1" s="1"/>
  <c r="AG187" i="1"/>
  <c r="AI187" i="1" s="1"/>
  <c r="AK187" i="1" s="1"/>
  <c r="AG163" i="1"/>
  <c r="AI163" i="1" s="1"/>
  <c r="AK163" i="1" s="1"/>
  <c r="AG155" i="1"/>
  <c r="AI155" i="1" s="1"/>
  <c r="AK155" i="1" s="1"/>
  <c r="AG123" i="1"/>
  <c r="AI123" i="1" s="1"/>
  <c r="AK123" i="1" s="1"/>
  <c r="AG98" i="1"/>
  <c r="AI98" i="1" s="1"/>
  <c r="AK98" i="1" s="1"/>
  <c r="AG86" i="1"/>
  <c r="AI86" i="1" s="1"/>
  <c r="AK86" i="1" s="1"/>
  <c r="AG49" i="1"/>
  <c r="AI49" i="1" s="1"/>
  <c r="AK49" i="1" s="1"/>
  <c r="AG32" i="1"/>
  <c r="AI32" i="1" s="1"/>
  <c r="AK32" i="1" s="1"/>
  <c r="AG25" i="1"/>
  <c r="AI25" i="1" s="1"/>
  <c r="AK25" i="1" s="1"/>
  <c r="AG423" i="1"/>
  <c r="AI423" i="1" s="1"/>
  <c r="AG407" i="1"/>
  <c r="AI407" i="1" s="1"/>
  <c r="AG391" i="1"/>
  <c r="AI391" i="1" s="1"/>
  <c r="AG367" i="1"/>
  <c r="AI367" i="1" s="1"/>
  <c r="AG351" i="1"/>
  <c r="AI351" i="1" s="1"/>
  <c r="AG319" i="1"/>
  <c r="AI319" i="1" s="1"/>
  <c r="AK319" i="1" s="1"/>
  <c r="AG295" i="1"/>
  <c r="AI295" i="1" s="1"/>
  <c r="AK295" i="1" s="1"/>
  <c r="AG279" i="1"/>
  <c r="AI279" i="1" s="1"/>
  <c r="AK279" i="1" s="1"/>
  <c r="AG239" i="1"/>
  <c r="AI239" i="1" s="1"/>
  <c r="AK239" i="1" s="1"/>
  <c r="AG202" i="1"/>
  <c r="AI202" i="1" s="1"/>
  <c r="AK202" i="1" s="1"/>
  <c r="AG170" i="1"/>
  <c r="AI170" i="1" s="1"/>
  <c r="AK170" i="1" s="1"/>
  <c r="AG146" i="1"/>
  <c r="AI146" i="1" s="1"/>
  <c r="AK146" i="1" s="1"/>
  <c r="AG130" i="1"/>
  <c r="AI130" i="1" s="1"/>
  <c r="AK130" i="1" s="1"/>
  <c r="AG105" i="1"/>
  <c r="AI105" i="1" s="1"/>
  <c r="AK105" i="1" s="1"/>
  <c r="AG7" i="1"/>
  <c r="AI7" i="1" s="1"/>
  <c r="AG422" i="1"/>
  <c r="AI422" i="1" s="1"/>
  <c r="AK422" i="1" s="1"/>
  <c r="AG414" i="1"/>
  <c r="AI414" i="1" s="1"/>
  <c r="AK414" i="1" s="1"/>
  <c r="AG406" i="1"/>
  <c r="AI406" i="1" s="1"/>
  <c r="AG398" i="1"/>
  <c r="AI398" i="1" s="1"/>
  <c r="AK398" i="1" s="1"/>
  <c r="AG390" i="1"/>
  <c r="AI390" i="1" s="1"/>
  <c r="AG382" i="1"/>
  <c r="AI382" i="1" s="1"/>
  <c r="AG374" i="1"/>
  <c r="AI374" i="1" s="1"/>
  <c r="AG366" i="1"/>
  <c r="AI366" i="1" s="1"/>
  <c r="AG358" i="1"/>
  <c r="AI358" i="1" s="1"/>
  <c r="AG350" i="1"/>
  <c r="AI350" i="1" s="1"/>
  <c r="AG342" i="1"/>
  <c r="AI342" i="1" s="1"/>
  <c r="AG334" i="1"/>
  <c r="AI334" i="1" s="1"/>
  <c r="AG326" i="1"/>
  <c r="AI326" i="1" s="1"/>
  <c r="AG318" i="1"/>
  <c r="AI318" i="1" s="1"/>
  <c r="AG310" i="1"/>
  <c r="AI310" i="1" s="1"/>
  <c r="AG302" i="1"/>
  <c r="AI302" i="1" s="1"/>
  <c r="AG294" i="1"/>
  <c r="AI294" i="1" s="1"/>
  <c r="AG286" i="1"/>
  <c r="AI286" i="1" s="1"/>
  <c r="AG278" i="1"/>
  <c r="AI278" i="1" s="1"/>
  <c r="AG270" i="1"/>
  <c r="AI270" i="1" s="1"/>
  <c r="AG262" i="1"/>
  <c r="AI262" i="1" s="1"/>
  <c r="AG246" i="1"/>
  <c r="AI246" i="1" s="1"/>
  <c r="AG238" i="1"/>
  <c r="AI238" i="1" s="1"/>
  <c r="AG230" i="1"/>
  <c r="AI230" i="1" s="1"/>
  <c r="AG217" i="1"/>
  <c r="AI217" i="1" s="1"/>
  <c r="AG209" i="1"/>
  <c r="AI209" i="1" s="1"/>
  <c r="AG201" i="1"/>
  <c r="AI201" i="1" s="1"/>
  <c r="AG185" i="1"/>
  <c r="AI185" i="1" s="1"/>
  <c r="AG177" i="1"/>
  <c r="AI177" i="1" s="1"/>
  <c r="AG169" i="1"/>
  <c r="AI169" i="1" s="1"/>
  <c r="AG153" i="1"/>
  <c r="AI153" i="1" s="1"/>
  <c r="AG145" i="1"/>
  <c r="AI145" i="1" s="1"/>
  <c r="AG121" i="1"/>
  <c r="AI121" i="1" s="1"/>
  <c r="AG113" i="1"/>
  <c r="AI113" i="1" s="1"/>
  <c r="AG104" i="1"/>
  <c r="AI104" i="1" s="1"/>
  <c r="AG73" i="1"/>
  <c r="AI73" i="1" s="1"/>
  <c r="AG65" i="1"/>
  <c r="AI65" i="1" s="1"/>
  <c r="AG30" i="1"/>
  <c r="AI30" i="1" s="1"/>
  <c r="AG15" i="1"/>
  <c r="AI15" i="1" s="1"/>
  <c r="AG325" i="1"/>
  <c r="AG5" i="1"/>
  <c r="AI5" i="1" s="1"/>
  <c r="AK5" i="1" s="1"/>
  <c r="AG396" i="1"/>
  <c r="AI396" i="1" s="1"/>
  <c r="AK396" i="1" s="1"/>
  <c r="AG364" i="1"/>
  <c r="AI364" i="1" s="1"/>
  <c r="AK364" i="1" s="1"/>
  <c r="AG356" i="1"/>
  <c r="AI356" i="1" s="1"/>
  <c r="AK356" i="1" s="1"/>
  <c r="AG348" i="1"/>
  <c r="AI348" i="1" s="1"/>
  <c r="AK348" i="1" s="1"/>
  <c r="AG324" i="1"/>
  <c r="AI324" i="1" s="1"/>
  <c r="AG308" i="1"/>
  <c r="AI308" i="1" s="1"/>
  <c r="AK308" i="1" s="1"/>
  <c r="AG300" i="1"/>
  <c r="AI300" i="1" s="1"/>
  <c r="AK300" i="1" s="1"/>
  <c r="AG292" i="1"/>
  <c r="AI292" i="1" s="1"/>
  <c r="AK292" i="1" s="1"/>
  <c r="AG284" i="1"/>
  <c r="AI284" i="1" s="1"/>
  <c r="AK284" i="1" s="1"/>
  <c r="AG260" i="1"/>
  <c r="AI260" i="1" s="1"/>
  <c r="AK260" i="1" s="1"/>
  <c r="AG252" i="1"/>
  <c r="AI252" i="1" s="1"/>
  <c r="AK252" i="1" s="1"/>
  <c r="AG244" i="1"/>
  <c r="AI244" i="1" s="1"/>
  <c r="AK244" i="1" s="1"/>
  <c r="AG207" i="1"/>
  <c r="AI207" i="1" s="1"/>
  <c r="AK207" i="1" s="1"/>
  <c r="AG183" i="1"/>
  <c r="AI183" i="1" s="1"/>
  <c r="AK183" i="1" s="1"/>
  <c r="AG143" i="1"/>
  <c r="AI143" i="1" s="1"/>
  <c r="AK143" i="1" s="1"/>
  <c r="AG119" i="1"/>
  <c r="AI119" i="1" s="1"/>
  <c r="AK119" i="1" s="1"/>
  <c r="AG71" i="1"/>
  <c r="AI71" i="1" s="1"/>
  <c r="AK71" i="1" s="1"/>
  <c r="AG28" i="1"/>
  <c r="AI28" i="1" s="1"/>
  <c r="AK28" i="1" s="1"/>
  <c r="AG411" i="1"/>
  <c r="AI411" i="1" s="1"/>
  <c r="AG371" i="1"/>
  <c r="AI371" i="1" s="1"/>
  <c r="AG339" i="1"/>
  <c r="AI339" i="1" s="1"/>
  <c r="AG331" i="1"/>
  <c r="AI331" i="1" s="1"/>
  <c r="AK331" i="1" s="1"/>
  <c r="AG283" i="1"/>
  <c r="AI283" i="1" s="1"/>
  <c r="AG275" i="1"/>
  <c r="AG259" i="1"/>
  <c r="AI259" i="1" s="1"/>
  <c r="AK259" i="1" s="1"/>
  <c r="AG235" i="1"/>
  <c r="AI235" i="1" s="1"/>
  <c r="AK235" i="1" s="1"/>
  <c r="AG190" i="1"/>
  <c r="AI190" i="1" s="1"/>
  <c r="AK190" i="1" s="1"/>
  <c r="AG182" i="1"/>
  <c r="AI182" i="1" s="1"/>
  <c r="AK182" i="1" s="1"/>
  <c r="AG142" i="1"/>
  <c r="AI142" i="1" s="1"/>
  <c r="AK142" i="1" s="1"/>
  <c r="AG110" i="1"/>
  <c r="AI110" i="1" s="1"/>
  <c r="AK110" i="1" s="1"/>
  <c r="AG89" i="1"/>
  <c r="AI89" i="1" s="1"/>
  <c r="AK89" i="1" s="1"/>
  <c r="AG81" i="1"/>
  <c r="AI81" i="1" s="1"/>
  <c r="AK81" i="1" s="1"/>
  <c r="AG60" i="1"/>
  <c r="AI60" i="1" s="1"/>
  <c r="AK60" i="1" s="1"/>
  <c r="AG52" i="1"/>
  <c r="AI52" i="1" s="1"/>
  <c r="AK52" i="1" s="1"/>
  <c r="AG44" i="1"/>
  <c r="AI44" i="1" s="1"/>
  <c r="AK44" i="1" s="1"/>
  <c r="AG35" i="1"/>
  <c r="AI35" i="1" s="1"/>
  <c r="AK35" i="1" s="1"/>
  <c r="AG27" i="1"/>
  <c r="AI27" i="1" s="1"/>
  <c r="AK27" i="1" s="1"/>
  <c r="AG20" i="1"/>
  <c r="AI20" i="1" s="1"/>
  <c r="AK20" i="1" s="1"/>
  <c r="AG12" i="1"/>
  <c r="AI12" i="1" s="1"/>
  <c r="AK12" i="1" s="1"/>
  <c r="AK339" i="1" l="1"/>
  <c r="AL339" i="1" s="1"/>
  <c r="AK59" i="1"/>
  <c r="AL59" i="1" s="1"/>
  <c r="AK303" i="1"/>
  <c r="AL303" i="1" s="1"/>
  <c r="AK383" i="1"/>
  <c r="AL383" i="1" s="1"/>
  <c r="AK113" i="1"/>
  <c r="AL113" i="1" s="1"/>
  <c r="AK209" i="1"/>
  <c r="AL209" i="1" s="1"/>
  <c r="AK286" i="1"/>
  <c r="AL286" i="1" s="1"/>
  <c r="AK382" i="1"/>
  <c r="AL382" i="1" s="1"/>
  <c r="AK423" i="1"/>
  <c r="AL423" i="1" s="1"/>
  <c r="AK264" i="1"/>
  <c r="AL264" i="1" s="1"/>
  <c r="AK285" i="1"/>
  <c r="AL285" i="1" s="1"/>
  <c r="AK293" i="1"/>
  <c r="AL293" i="1" s="1"/>
  <c r="AK301" i="1"/>
  <c r="AL301" i="1" s="1"/>
  <c r="AK287" i="1"/>
  <c r="AL287" i="1" s="1"/>
  <c r="AK307" i="1"/>
  <c r="AL307" i="1" s="1"/>
  <c r="AK363" i="1"/>
  <c r="AL363" i="1" s="1"/>
  <c r="AK312" i="1"/>
  <c r="AL312" i="1" s="1"/>
  <c r="AK23" i="1"/>
  <c r="AL23" i="1" s="1"/>
  <c r="AK51" i="1"/>
  <c r="AL51" i="1" s="1"/>
  <c r="AK84" i="1"/>
  <c r="AL84" i="1" s="1"/>
  <c r="AK96" i="1"/>
  <c r="AL96" i="1" s="1"/>
  <c r="AK117" i="1"/>
  <c r="AL117" i="1" s="1"/>
  <c r="AK193" i="1"/>
  <c r="AL193" i="1" s="1"/>
  <c r="AK213" i="1"/>
  <c r="AL213" i="1" s="1"/>
  <c r="AK250" i="1"/>
  <c r="AL250" i="1" s="1"/>
  <c r="AK258" i="1"/>
  <c r="AL258" i="1" s="1"/>
  <c r="AK290" i="1"/>
  <c r="AL290" i="1" s="1"/>
  <c r="AK322" i="1"/>
  <c r="AL322" i="1" s="1"/>
  <c r="AK354" i="1"/>
  <c r="AL354" i="1" s="1"/>
  <c r="AK359" i="1"/>
  <c r="AL359" i="1" s="1"/>
  <c r="AK276" i="1"/>
  <c r="AL276" i="1" s="1"/>
  <c r="AK283" i="1"/>
  <c r="AL283" i="1" s="1"/>
  <c r="AK411" i="1"/>
  <c r="AL411" i="1" s="1"/>
  <c r="AK65" i="1"/>
  <c r="AL65" i="1" s="1"/>
  <c r="AK121" i="1"/>
  <c r="AL121" i="1" s="1"/>
  <c r="AK177" i="1"/>
  <c r="AL177" i="1" s="1"/>
  <c r="AK217" i="1"/>
  <c r="AL217" i="1" s="1"/>
  <c r="AK262" i="1"/>
  <c r="AL262" i="1" s="1"/>
  <c r="AK294" i="1"/>
  <c r="AL294" i="1" s="1"/>
  <c r="AK326" i="1"/>
  <c r="AL326" i="1" s="1"/>
  <c r="AK358" i="1"/>
  <c r="AL358" i="1" s="1"/>
  <c r="AK390" i="1"/>
  <c r="AL390" i="1" s="1"/>
  <c r="AK367" i="1"/>
  <c r="AL367" i="1" s="1"/>
  <c r="AK304" i="1"/>
  <c r="AL304" i="1" s="1"/>
  <c r="AK54" i="1"/>
  <c r="AL54" i="1" s="1"/>
  <c r="AK72" i="1"/>
  <c r="AL72" i="1" s="1"/>
  <c r="AK83" i="1"/>
  <c r="AL83" i="1" s="1"/>
  <c r="AK91" i="1"/>
  <c r="AL91" i="1" s="1"/>
  <c r="AK103" i="1"/>
  <c r="AL103" i="1" s="1"/>
  <c r="AK112" i="1"/>
  <c r="AL112" i="1" s="1"/>
  <c r="AK120" i="1"/>
  <c r="AL120" i="1" s="1"/>
  <c r="AK128" i="1"/>
  <c r="AL128" i="1" s="1"/>
  <c r="AK144" i="1"/>
  <c r="AL144" i="1" s="1"/>
  <c r="AK152" i="1"/>
  <c r="AL152" i="1" s="1"/>
  <c r="AK160" i="1"/>
  <c r="AL160" i="1" s="1"/>
  <c r="AK168" i="1"/>
  <c r="AL168" i="1" s="1"/>
  <c r="AK176" i="1"/>
  <c r="AL176" i="1" s="1"/>
  <c r="AK208" i="1"/>
  <c r="AL208" i="1" s="1"/>
  <c r="AK223" i="1"/>
  <c r="AL223" i="1" s="1"/>
  <c r="AK229" i="1"/>
  <c r="AL229" i="1" s="1"/>
  <c r="AK237" i="1"/>
  <c r="AL237" i="1" s="1"/>
  <c r="AK245" i="1"/>
  <c r="AL245" i="1" s="1"/>
  <c r="AK253" i="1"/>
  <c r="AL253" i="1" s="1"/>
  <c r="AK251" i="1"/>
  <c r="AL251" i="1" s="1"/>
  <c r="AK387" i="1"/>
  <c r="AL387" i="1" s="1"/>
  <c r="AK403" i="1"/>
  <c r="AL403" i="1" s="1"/>
  <c r="AK288" i="1"/>
  <c r="AL288" i="1" s="1"/>
  <c r="AK34" i="1"/>
  <c r="AL34" i="1" s="1"/>
  <c r="AK43" i="1"/>
  <c r="AL43" i="1" s="1"/>
  <c r="AK109" i="1"/>
  <c r="AL109" i="1" s="1"/>
  <c r="AK129" i="1"/>
  <c r="AL129" i="1" s="1"/>
  <c r="AK137" i="1"/>
  <c r="AL137" i="1" s="1"/>
  <c r="AK157" i="1"/>
  <c r="AL157" i="1" s="1"/>
  <c r="AK165" i="1"/>
  <c r="AL165" i="1" s="1"/>
  <c r="AK205" i="1"/>
  <c r="AL205" i="1" s="1"/>
  <c r="AK224" i="1"/>
  <c r="AL224" i="1" s="1"/>
  <c r="AK242" i="1"/>
  <c r="AL242" i="1" s="1"/>
  <c r="AK282" i="1"/>
  <c r="AL282" i="1" s="1"/>
  <c r="AK314" i="1"/>
  <c r="AL314" i="1" s="1"/>
  <c r="AK346" i="1"/>
  <c r="AL346" i="1" s="1"/>
  <c r="AK378" i="1"/>
  <c r="AL378" i="1" s="1"/>
  <c r="AK410" i="1"/>
  <c r="AL410" i="1" s="1"/>
  <c r="AK267" i="1"/>
  <c r="AL267" i="1" s="1"/>
  <c r="AK343" i="1"/>
  <c r="AL343" i="1" s="1"/>
  <c r="AK415" i="1"/>
  <c r="AL415" i="1" s="1"/>
  <c r="AK324" i="1"/>
  <c r="AL324" i="1" s="1"/>
  <c r="AK30" i="1"/>
  <c r="AL30" i="1" s="1"/>
  <c r="AK104" i="1"/>
  <c r="AL104" i="1" s="1"/>
  <c r="AK153" i="1"/>
  <c r="AL153" i="1" s="1"/>
  <c r="AK201" i="1"/>
  <c r="AL201" i="1" s="1"/>
  <c r="AK238" i="1"/>
  <c r="AL238" i="1" s="1"/>
  <c r="AK278" i="1"/>
  <c r="AL278" i="1" s="1"/>
  <c r="AK310" i="1"/>
  <c r="AL310" i="1" s="1"/>
  <c r="AK342" i="1"/>
  <c r="AL342" i="1" s="1"/>
  <c r="AK374" i="1"/>
  <c r="AL374" i="1" s="1"/>
  <c r="AK406" i="1"/>
  <c r="AL406" i="1" s="1"/>
  <c r="AK407" i="1"/>
  <c r="AL407" i="1" s="1"/>
  <c r="AK10" i="1"/>
  <c r="AL10" i="1" s="1"/>
  <c r="AK50" i="1"/>
  <c r="AL50" i="1" s="1"/>
  <c r="AK58" i="1"/>
  <c r="AL58" i="1" s="1"/>
  <c r="AK68" i="1"/>
  <c r="AL68" i="1" s="1"/>
  <c r="AK76" i="1"/>
  <c r="AL76" i="1" s="1"/>
  <c r="AK87" i="1"/>
  <c r="AL87" i="1" s="1"/>
  <c r="AK99" i="1"/>
  <c r="AL99" i="1" s="1"/>
  <c r="AK116" i="1"/>
  <c r="AL116" i="1" s="1"/>
  <c r="AK124" i="1"/>
  <c r="AL124" i="1" s="1"/>
  <c r="AK132" i="1"/>
  <c r="AL132" i="1" s="1"/>
  <c r="AK148" i="1"/>
  <c r="AL148" i="1" s="1"/>
  <c r="AK156" i="1"/>
  <c r="AL156" i="1" s="1"/>
  <c r="AK164" i="1"/>
  <c r="AL164" i="1" s="1"/>
  <c r="AK172" i="1"/>
  <c r="AL172" i="1" s="1"/>
  <c r="AK188" i="1"/>
  <c r="AL188" i="1" s="1"/>
  <c r="AK204" i="1"/>
  <c r="AL204" i="1" s="1"/>
  <c r="AK212" i="1"/>
  <c r="AL212" i="1" s="1"/>
  <c r="AK241" i="1"/>
  <c r="AL241" i="1" s="1"/>
  <c r="AK249" i="1"/>
  <c r="AL249" i="1" s="1"/>
  <c r="AK257" i="1"/>
  <c r="AL257" i="1" s="1"/>
  <c r="AK341" i="1"/>
  <c r="AL341" i="1" s="1"/>
  <c r="AK349" i="1"/>
  <c r="AL349" i="1" s="1"/>
  <c r="AK6" i="1"/>
  <c r="AL6" i="1" s="1"/>
  <c r="AK379" i="1"/>
  <c r="AL379" i="1" s="1"/>
  <c r="AK395" i="1"/>
  <c r="AL395" i="1" s="1"/>
  <c r="AK419" i="1"/>
  <c r="AL419" i="1" s="1"/>
  <c r="AK38" i="1"/>
  <c r="AL38" i="1" s="1"/>
  <c r="AK69" i="1"/>
  <c r="AL69" i="1" s="1"/>
  <c r="AK125" i="1"/>
  <c r="AL125" i="1" s="1"/>
  <c r="AK133" i="1"/>
  <c r="AL133" i="1" s="1"/>
  <c r="AK141" i="1"/>
  <c r="AL141" i="1" s="1"/>
  <c r="AK161" i="1"/>
  <c r="AL161" i="1" s="1"/>
  <c r="AK181" i="1"/>
  <c r="AL181" i="1" s="1"/>
  <c r="AK266" i="1"/>
  <c r="AL266" i="1" s="1"/>
  <c r="AK298" i="1"/>
  <c r="AL298" i="1" s="1"/>
  <c r="AK330" i="1"/>
  <c r="AL330" i="1" s="1"/>
  <c r="AK362" i="1"/>
  <c r="AL362" i="1" s="1"/>
  <c r="AK394" i="1"/>
  <c r="AL394" i="1" s="1"/>
  <c r="AK371" i="1"/>
  <c r="AL371" i="1" s="1"/>
  <c r="AK169" i="1"/>
  <c r="AL169" i="1" s="1"/>
  <c r="AK246" i="1"/>
  <c r="AL246" i="1" s="1"/>
  <c r="AK318" i="1"/>
  <c r="AL318" i="1" s="1"/>
  <c r="AK350" i="1"/>
  <c r="AL350" i="1" s="1"/>
  <c r="AK351" i="1"/>
  <c r="AL351" i="1" s="1"/>
  <c r="AK15" i="1"/>
  <c r="AL15" i="1" s="1"/>
  <c r="AK73" i="1"/>
  <c r="AL73" i="1" s="1"/>
  <c r="AK145" i="1"/>
  <c r="AL145" i="1" s="1"/>
  <c r="AK185" i="1"/>
  <c r="AL185" i="1" s="1"/>
  <c r="AK230" i="1"/>
  <c r="AL230" i="1" s="1"/>
  <c r="AK270" i="1"/>
  <c r="AL270" i="1" s="1"/>
  <c r="AK302" i="1"/>
  <c r="AL302" i="1" s="1"/>
  <c r="AK334" i="1"/>
  <c r="AL334" i="1" s="1"/>
  <c r="AK366" i="1"/>
  <c r="AL366" i="1" s="1"/>
  <c r="AK7" i="1"/>
  <c r="AL7" i="1" s="1"/>
  <c r="AK391" i="1"/>
  <c r="AL391" i="1" s="1"/>
  <c r="AK281" i="1"/>
  <c r="AL281" i="1" s="1"/>
  <c r="AK289" i="1"/>
  <c r="AL289" i="1" s="1"/>
  <c r="AK297" i="1"/>
  <c r="AL297" i="1" s="1"/>
  <c r="AK299" i="1"/>
  <c r="AL299" i="1" s="1"/>
  <c r="AK315" i="1"/>
  <c r="AL315" i="1" s="1"/>
  <c r="AK335" i="1"/>
  <c r="AL335" i="1" s="1"/>
  <c r="AK355" i="1"/>
  <c r="AL355" i="1" s="1"/>
  <c r="AK344" i="1"/>
  <c r="AL344" i="1" s="1"/>
  <c r="AK19" i="1"/>
  <c r="AL19" i="1" s="1"/>
  <c r="AK26" i="1"/>
  <c r="AL26" i="1" s="1"/>
  <c r="AK55" i="1"/>
  <c r="AL55" i="1" s="1"/>
  <c r="AK80" i="1"/>
  <c r="AL80" i="1" s="1"/>
  <c r="AK88" i="1"/>
  <c r="AL88" i="1" s="1"/>
  <c r="AK149" i="1"/>
  <c r="AL149" i="1" s="1"/>
  <c r="AK189" i="1"/>
  <c r="AL189" i="1" s="1"/>
  <c r="AK197" i="1"/>
  <c r="AL197" i="1" s="1"/>
  <c r="AK234" i="1"/>
  <c r="AL234" i="1" s="1"/>
  <c r="AK254" i="1"/>
  <c r="AL254" i="1" s="1"/>
  <c r="AK274" i="1"/>
  <c r="AL274" i="1" s="1"/>
  <c r="AK306" i="1"/>
  <c r="AL306" i="1" s="1"/>
  <c r="AK338" i="1"/>
  <c r="AL338" i="1" s="1"/>
  <c r="AK327" i="1"/>
  <c r="AL327" i="1" s="1"/>
  <c r="AK399" i="1"/>
  <c r="AL399" i="1" s="1"/>
  <c r="AK316" i="1"/>
  <c r="AL316" i="1" s="1"/>
  <c r="AK375" i="1"/>
  <c r="AL375" i="1" s="1"/>
  <c r="H15" i="4"/>
  <c r="H18" i="4" s="1"/>
  <c r="G18" i="4"/>
  <c r="G10" i="4"/>
  <c r="H7" i="4"/>
  <c r="H10" i="4" s="1"/>
  <c r="AI275" i="1"/>
  <c r="AI393" i="1"/>
  <c r="AK393" i="1" s="1"/>
  <c r="AI138" i="1"/>
  <c r="AI75" i="1"/>
  <c r="AI211" i="1"/>
  <c r="AI11" i="1"/>
  <c r="AI100" i="1"/>
  <c r="AI173" i="1"/>
  <c r="AI221" i="1"/>
  <c r="AI370" i="1"/>
  <c r="AI336" i="1"/>
  <c r="AI140" i="1"/>
  <c r="AI33" i="1"/>
  <c r="AG265" i="1"/>
  <c r="AI265" i="1" s="1"/>
  <c r="AI64" i="1"/>
  <c r="AI200" i="1"/>
  <c r="AI325" i="1"/>
  <c r="AI263" i="1"/>
  <c r="AI108" i="1"/>
  <c r="AI233" i="1"/>
  <c r="AI361" i="1"/>
  <c r="AL198" i="1"/>
  <c r="AL60" i="1"/>
  <c r="AL135" i="1"/>
  <c r="AL63" i="1"/>
  <c r="AL27" i="1"/>
  <c r="AL323" i="1"/>
  <c r="AL268" i="1"/>
  <c r="AL97" i="1"/>
  <c r="AL57" i="1"/>
  <c r="AL171" i="1"/>
  <c r="AL196" i="1"/>
  <c r="AL345" i="1"/>
  <c r="AL12" i="1"/>
  <c r="AL52" i="1"/>
  <c r="AL150" i="1"/>
  <c r="AL190" i="1"/>
  <c r="AL127" i="1"/>
  <c r="AL175" i="1"/>
  <c r="AL222" i="1"/>
  <c r="AL5" i="1"/>
  <c r="AL192" i="1"/>
  <c r="AL154" i="1"/>
  <c r="AL255" i="1"/>
  <c r="AL67" i="1"/>
  <c r="AL123" i="1"/>
  <c r="AL226" i="1"/>
  <c r="AL328" i="1"/>
  <c r="AL376" i="1"/>
  <c r="AL353" i="1"/>
  <c r="AL401" i="1"/>
  <c r="AL146" i="1"/>
  <c r="AL247" i="1"/>
  <c r="AL219" i="1"/>
  <c r="AL320" i="1"/>
  <c r="AL424" i="1"/>
  <c r="AL110" i="1"/>
  <c r="AL235" i="1"/>
  <c r="AL36" i="1"/>
  <c r="AL228" i="1"/>
  <c r="AL332" i="1"/>
  <c r="AL380" i="1"/>
  <c r="AL397" i="1"/>
  <c r="AL48" i="1"/>
  <c r="AL162" i="1"/>
  <c r="AL210" i="1"/>
  <c r="AL311" i="1"/>
  <c r="AL17" i="1"/>
  <c r="AL131" i="1"/>
  <c r="AL232" i="1"/>
  <c r="AL280" i="1"/>
  <c r="AL384" i="1"/>
  <c r="AL42" i="1"/>
  <c r="AL305" i="1"/>
  <c r="AL409" i="1"/>
  <c r="AL101" i="1"/>
  <c r="AL22" i="1"/>
  <c r="AL142" i="1"/>
  <c r="AL167" i="1"/>
  <c r="AL333" i="1"/>
  <c r="AL118" i="1"/>
  <c r="AL388" i="1"/>
  <c r="AL405" i="1"/>
  <c r="AL114" i="1"/>
  <c r="AL319" i="1"/>
  <c r="AL417" i="1"/>
  <c r="AL206" i="1"/>
  <c r="AL291" i="1"/>
  <c r="AL331" i="1"/>
  <c r="AL102" i="1"/>
  <c r="AL143" i="1"/>
  <c r="AL191" i="1"/>
  <c r="AL292" i="1"/>
  <c r="AL396" i="1"/>
  <c r="AL309" i="1"/>
  <c r="AL413" i="1"/>
  <c r="AL8" i="1"/>
  <c r="AL122" i="1"/>
  <c r="AL225" i="1"/>
  <c r="AL271" i="1"/>
  <c r="AL32" i="1"/>
  <c r="AL86" i="1"/>
  <c r="AL195" i="1"/>
  <c r="AL296" i="1"/>
  <c r="AL220" i="1"/>
  <c r="AL321" i="1"/>
  <c r="AL369" i="1"/>
  <c r="AL227" i="1"/>
  <c r="AL28" i="1"/>
  <c r="AL420" i="1"/>
  <c r="AL184" i="1"/>
  <c r="AL243" i="1"/>
  <c r="AL236" i="1"/>
  <c r="AL139" i="1"/>
  <c r="AL53" i="1"/>
  <c r="AL199" i="1"/>
  <c r="AL300" i="1"/>
  <c r="AL348" i="1"/>
  <c r="AL216" i="1"/>
  <c r="AL317" i="1"/>
  <c r="AL365" i="1"/>
  <c r="AL398" i="1"/>
  <c r="AL16" i="1"/>
  <c r="AL130" i="1"/>
  <c r="AL178" i="1"/>
  <c r="AL279" i="1"/>
  <c r="AL98" i="1"/>
  <c r="AL203" i="1"/>
  <c r="AL248" i="1"/>
  <c r="AL352" i="1"/>
  <c r="AL273" i="1"/>
  <c r="AL377" i="1"/>
  <c r="AL71" i="1"/>
  <c r="AL158" i="1"/>
  <c r="AL90" i="1"/>
  <c r="AL218" i="1"/>
  <c r="AL25" i="1"/>
  <c r="AL313" i="1"/>
  <c r="AL81" i="1"/>
  <c r="AL174" i="1"/>
  <c r="AL259" i="1"/>
  <c r="AL4" i="1"/>
  <c r="AL111" i="1"/>
  <c r="AL207" i="1"/>
  <c r="AL252" i="1"/>
  <c r="AL356" i="1"/>
  <c r="AL402" i="1"/>
  <c r="AL269" i="1"/>
  <c r="AL373" i="1"/>
  <c r="AL24" i="1"/>
  <c r="AL74" i="1"/>
  <c r="AL186" i="1"/>
  <c r="AL155" i="1"/>
  <c r="AL256" i="1"/>
  <c r="AL360" i="1"/>
  <c r="AL408" i="1"/>
  <c r="AL18" i="1"/>
  <c r="AL180" i="1"/>
  <c r="AL385" i="1"/>
  <c r="AL20" i="1"/>
  <c r="AL284" i="1"/>
  <c r="AL37" i="1"/>
  <c r="AL56" i="1"/>
  <c r="AL187" i="1"/>
  <c r="AL392" i="1"/>
  <c r="AL70" i="1"/>
  <c r="AL166" i="1"/>
  <c r="AL126" i="1"/>
  <c r="AL214" i="1"/>
  <c r="AL35" i="1"/>
  <c r="AL134" i="1"/>
  <c r="AL44" i="1"/>
  <c r="AL89" i="1"/>
  <c r="AL182" i="1"/>
  <c r="AL347" i="1"/>
  <c r="AL21" i="1"/>
  <c r="AL159" i="1"/>
  <c r="AL260" i="1"/>
  <c r="AL364" i="1"/>
  <c r="AL412" i="1"/>
  <c r="AL14" i="1"/>
  <c r="AL277" i="1"/>
  <c r="AL381" i="1"/>
  <c r="AL414" i="1"/>
  <c r="AL85" i="1"/>
  <c r="AL194" i="1"/>
  <c r="AL239" i="1"/>
  <c r="AL49" i="1"/>
  <c r="AL163" i="1"/>
  <c r="AL416" i="1"/>
  <c r="AL337" i="1"/>
  <c r="AL418" i="1"/>
  <c r="AL119" i="1"/>
  <c r="AL215" i="1"/>
  <c r="AL308" i="1"/>
  <c r="AL372" i="1"/>
  <c r="AL357" i="1"/>
  <c r="AL389" i="1"/>
  <c r="AL421" i="1"/>
  <c r="AL422" i="1"/>
  <c r="AL31" i="1"/>
  <c r="AL66" i="1"/>
  <c r="AL105" i="1"/>
  <c r="AL170" i="1"/>
  <c r="AL202" i="1"/>
  <c r="AL231" i="1"/>
  <c r="AL295" i="1"/>
  <c r="AL115" i="1"/>
  <c r="AL147" i="1"/>
  <c r="AL179" i="1"/>
  <c r="AL240" i="1"/>
  <c r="AL272" i="1"/>
  <c r="AL368" i="1"/>
  <c r="AL400" i="1"/>
  <c r="AL386" i="1"/>
  <c r="AL329" i="1"/>
  <c r="AL9" i="1"/>
  <c r="AL82" i="1"/>
  <c r="AL183" i="1"/>
  <c r="AL340" i="1"/>
  <c r="AL29" i="1"/>
  <c r="AL136" i="1"/>
  <c r="AL261" i="1"/>
  <c r="AL13" i="1"/>
  <c r="AL151" i="1"/>
  <c r="AL244" i="1"/>
  <c r="AL404" i="1"/>
  <c r="AL47" i="1"/>
  <c r="AO7" i="1"/>
  <c r="AN7" i="1"/>
  <c r="AM7" i="1"/>
  <c r="R3" i="1"/>
  <c r="R425" i="1" s="1"/>
  <c r="AL393" i="1" l="1"/>
  <c r="AK233" i="1"/>
  <c r="AL233" i="1" s="1"/>
  <c r="AK200" i="1"/>
  <c r="AL200" i="1" s="1"/>
  <c r="AK140" i="1"/>
  <c r="AL140" i="1" s="1"/>
  <c r="AK173" i="1"/>
  <c r="AL173" i="1" s="1"/>
  <c r="AK75" i="1"/>
  <c r="AL75" i="1" s="1"/>
  <c r="AK108" i="1"/>
  <c r="AL108" i="1" s="1"/>
  <c r="AK64" i="1"/>
  <c r="AL64" i="1" s="1"/>
  <c r="AK336" i="1"/>
  <c r="AL336" i="1" s="1"/>
  <c r="AK100" i="1"/>
  <c r="AL100" i="1" s="1"/>
  <c r="AK138" i="1"/>
  <c r="AL138" i="1" s="1"/>
  <c r="AK263" i="1"/>
  <c r="AL263" i="1" s="1"/>
  <c r="AK265" i="1"/>
  <c r="AL265" i="1" s="1"/>
  <c r="AK370" i="1"/>
  <c r="AL370" i="1" s="1"/>
  <c r="AK11" i="1"/>
  <c r="AL11" i="1" s="1"/>
  <c r="AK361" i="1"/>
  <c r="AL361" i="1" s="1"/>
  <c r="AK325" i="1"/>
  <c r="AL325" i="1" s="1"/>
  <c r="AK33" i="1"/>
  <c r="AL33" i="1" s="1"/>
  <c r="AK221" i="1"/>
  <c r="AL221" i="1" s="1"/>
  <c r="AK211" i="1"/>
  <c r="AL211" i="1" s="1"/>
  <c r="AK275" i="1"/>
  <c r="AL275" i="1" s="1"/>
  <c r="W425" i="1"/>
  <c r="W429" i="1" s="1"/>
  <c r="AE3" i="1"/>
  <c r="G19" i="4"/>
  <c r="H19" i="4"/>
  <c r="R429" i="1"/>
  <c r="AA3" i="1"/>
  <c r="AA425" i="1" s="1"/>
  <c r="AA429" i="1" s="1"/>
  <c r="N425" i="1"/>
  <c r="N429" i="1" s="1"/>
  <c r="S431" i="1" l="1"/>
  <c r="AG3" i="1"/>
  <c r="AI3" i="1" s="1"/>
  <c r="AK3" i="1" s="1"/>
  <c r="AE425" i="1"/>
  <c r="AE429" i="1" s="1"/>
  <c r="AG425" i="1" l="1"/>
  <c r="AI425" i="1"/>
  <c r="AK425" i="1"/>
  <c r="AL3" i="1" l="1"/>
  <c r="AL425" i="1" s="1"/>
</calcChain>
</file>

<file path=xl/sharedStrings.xml><?xml version="1.0" encoding="utf-8"?>
<sst xmlns="http://schemas.openxmlformats.org/spreadsheetml/2006/main" count="2521" uniqueCount="554">
  <si>
    <t>Date</t>
  </si>
  <si>
    <t>Month</t>
  </si>
  <si>
    <t>Invoice Number</t>
  </si>
  <si>
    <t>Customer Code</t>
  </si>
  <si>
    <t>City</t>
  </si>
  <si>
    <t>Shop Type</t>
  </si>
  <si>
    <t>Shops Name</t>
  </si>
  <si>
    <t>Sales Person</t>
  </si>
  <si>
    <t>Indomie 70GM</t>
  </si>
  <si>
    <t>Indomie 120GM</t>
  </si>
  <si>
    <t>QTY</t>
  </si>
  <si>
    <t>FOC Indomie 70GM</t>
  </si>
  <si>
    <t>FOC Indomie 120GM</t>
  </si>
  <si>
    <t>Rate 70GM</t>
  </si>
  <si>
    <t>Rate 120GM</t>
  </si>
  <si>
    <t>T.P Amount</t>
  </si>
  <si>
    <t>Disc %</t>
  </si>
  <si>
    <t>Disc Amt</t>
  </si>
  <si>
    <t>Amount</t>
  </si>
  <si>
    <t>GST %</t>
  </si>
  <si>
    <t>GST Amount</t>
  </si>
  <si>
    <t>Net Amount</t>
  </si>
  <si>
    <t>Cash Received</t>
  </si>
  <si>
    <t>Oth Disc</t>
  </si>
  <si>
    <t>Cash Receivable</t>
  </si>
  <si>
    <t>Remarks</t>
  </si>
  <si>
    <t>Address</t>
  </si>
  <si>
    <t>Lemon 70gr</t>
  </si>
  <si>
    <t>Meat 70gr</t>
  </si>
  <si>
    <t>Total 70gr</t>
  </si>
  <si>
    <t>Lemon 120gr</t>
  </si>
  <si>
    <t>Total 120gr</t>
  </si>
  <si>
    <t>Lemon 70gr FOC</t>
  </si>
  <si>
    <t>Total 70gr FOC</t>
  </si>
  <si>
    <t>Lemon 120gr FOC</t>
  </si>
  <si>
    <t>Total 120gr FOC</t>
  </si>
  <si>
    <t>STOCK REPORT</t>
  </si>
  <si>
    <t>SKU Name</t>
  </si>
  <si>
    <t>Opening Stock</t>
  </si>
  <si>
    <t>Stock In</t>
  </si>
  <si>
    <t>Stock Out</t>
  </si>
  <si>
    <t>Balance</t>
  </si>
  <si>
    <t>Indomie Chicken Chatkhara 120gm</t>
  </si>
  <si>
    <t>Indomie Lemon Tarka 120gm</t>
  </si>
  <si>
    <t>Indomie Meet Masala 120gm</t>
  </si>
  <si>
    <t>Sub Total</t>
  </si>
  <si>
    <t>Indomie Chicken Chatkhara 70gm</t>
  </si>
  <si>
    <t>Indomie Lemon Tarka 70gm</t>
  </si>
  <si>
    <t>Indomie Meet Masala 70gm</t>
  </si>
  <si>
    <t>Total</t>
  </si>
  <si>
    <t xml:space="preserve"> </t>
  </si>
  <si>
    <t xml:space="preserve">             </t>
  </si>
  <si>
    <t>SR NAME</t>
  </si>
  <si>
    <t>Totel CTN Order</t>
  </si>
  <si>
    <t>FOC 120g 20+1</t>
  </si>
  <si>
    <t>FOC 70g10+1</t>
  </si>
  <si>
    <t>Totel CTN 120g Sale</t>
  </si>
  <si>
    <t>Totel CTN 70g Sale</t>
  </si>
  <si>
    <t>Totel CTN Sale</t>
  </si>
  <si>
    <t>Achvid Target %</t>
  </si>
  <si>
    <t xml:space="preserve">Total </t>
  </si>
  <si>
    <t>Indomie Chicken Chatkhara 60gm</t>
  </si>
  <si>
    <t>Chicken 60gm</t>
  </si>
  <si>
    <t>Chicken 60 gr</t>
  </si>
  <si>
    <t>Totel CTN 60g Sale</t>
  </si>
  <si>
    <t>Rate 60GM</t>
  </si>
  <si>
    <t>Trade offer (amount)</t>
  </si>
  <si>
    <t>JUNE</t>
  </si>
  <si>
    <t>Lahore</t>
  </si>
  <si>
    <t>Genral Store</t>
  </si>
  <si>
    <t>General Store</t>
  </si>
  <si>
    <t>Chicken 70gr</t>
  </si>
  <si>
    <t>Chicken 70gr FOC</t>
  </si>
  <si>
    <t>Meat 120g</t>
  </si>
  <si>
    <t>Chicken 120gr</t>
  </si>
  <si>
    <t>Meat 120g FOC</t>
  </si>
  <si>
    <t>Chicken 120gr FOC</t>
  </si>
  <si>
    <t>Zahid</t>
  </si>
  <si>
    <t>Super Store</t>
  </si>
  <si>
    <t xml:space="preserve">Salman </t>
  </si>
  <si>
    <t>Salman Aslam</t>
  </si>
  <si>
    <t>Bilal Book Center</t>
  </si>
  <si>
    <t>Hajweri Sweet</t>
  </si>
  <si>
    <t>Khawaja GS</t>
  </si>
  <si>
    <t xml:space="preserve">Hadi Mart </t>
  </si>
  <si>
    <t>Refal Range</t>
  </si>
  <si>
    <t>Fazila Colony</t>
  </si>
  <si>
    <t>Super Mart</t>
  </si>
  <si>
    <t>Departmental</t>
  </si>
  <si>
    <t>Zeshan</t>
  </si>
  <si>
    <t>Furqan</t>
  </si>
  <si>
    <t xml:space="preserve">Ali Hajweri </t>
  </si>
  <si>
    <t>Data Store</t>
  </si>
  <si>
    <t>Rafeeq Store</t>
  </si>
  <si>
    <t>Nabeel Store</t>
  </si>
  <si>
    <t>Kamal Store</t>
  </si>
  <si>
    <t>Shahzad G Store</t>
  </si>
  <si>
    <t>Canal Park</t>
  </si>
  <si>
    <t xml:space="preserve">Mart </t>
  </si>
  <si>
    <t xml:space="preserve">Zeshan </t>
  </si>
  <si>
    <t>zahid</t>
  </si>
  <si>
    <t>mubeen</t>
  </si>
  <si>
    <t>Salman</t>
  </si>
  <si>
    <t xml:space="preserve">salman </t>
  </si>
  <si>
    <t>Mubeen</t>
  </si>
  <si>
    <t>salman</t>
  </si>
  <si>
    <t xml:space="preserve">zeshan </t>
  </si>
  <si>
    <t>zeshan</t>
  </si>
  <si>
    <t>Bakery</t>
  </si>
  <si>
    <t>Zahoore</t>
  </si>
  <si>
    <t xml:space="preserve">Link Road </t>
  </si>
  <si>
    <t xml:space="preserve">C Block </t>
  </si>
  <si>
    <t xml:space="preserve">A Block </t>
  </si>
  <si>
    <t>Naseera Abad</t>
  </si>
  <si>
    <t xml:space="preserve">Firdos </t>
  </si>
  <si>
    <t>Gourmet Foods</t>
  </si>
  <si>
    <t>Lalak Chowk</t>
  </si>
  <si>
    <t xml:space="preserve">Lalak Chowk </t>
  </si>
  <si>
    <t>paradise</t>
  </si>
  <si>
    <t>Urban mart</t>
  </si>
  <si>
    <t>MD Store</t>
  </si>
  <si>
    <t>CH Store</t>
  </si>
  <si>
    <t>Airport Road</t>
  </si>
  <si>
    <t>Gulshan Colo</t>
  </si>
  <si>
    <t>Gulbarg 3</t>
  </si>
  <si>
    <t>Al-falah Bakery</t>
  </si>
  <si>
    <t>SM Store</t>
  </si>
  <si>
    <t>AA Super Store</t>
  </si>
  <si>
    <t>Ayan Store</t>
  </si>
  <si>
    <t xml:space="preserve">Tajpura </t>
  </si>
  <si>
    <t>Masoom Road</t>
  </si>
  <si>
    <t>Madina Store</t>
  </si>
  <si>
    <t xml:space="preserve">Shell Petrol  Mart </t>
  </si>
  <si>
    <t>Rehman Store</t>
  </si>
  <si>
    <t>Toqeer Store</t>
  </si>
  <si>
    <t>mart</t>
  </si>
  <si>
    <t>Gulberg</t>
  </si>
  <si>
    <t>Academy Road</t>
  </si>
  <si>
    <t>Wali Super Store</t>
  </si>
  <si>
    <t>Hashyana Store</t>
  </si>
  <si>
    <t xml:space="preserve">New Way </t>
  </si>
  <si>
    <t>Euro Store</t>
  </si>
  <si>
    <t>Phase 5</t>
  </si>
  <si>
    <t xml:space="preserve">24/7 Mart </t>
  </si>
  <si>
    <t>Basi Sadan Shah</t>
  </si>
  <si>
    <t xml:space="preserve">Express City </t>
  </si>
  <si>
    <t>Araf Store</t>
  </si>
  <si>
    <t>Madina Colo</t>
  </si>
  <si>
    <t xml:space="preserve">Bread &amp; Butter </t>
  </si>
  <si>
    <t>Bedian Road</t>
  </si>
  <si>
    <t>Mian Store</t>
  </si>
  <si>
    <t>Yaseen Sadiq</t>
  </si>
  <si>
    <t xml:space="preserve">Luqman Bakery </t>
  </si>
  <si>
    <t xml:space="preserve">Bakery </t>
  </si>
  <si>
    <t>Hafiz Store</t>
  </si>
  <si>
    <t>Ali Park</t>
  </si>
  <si>
    <t>Toheed Store</t>
  </si>
  <si>
    <t>Moon Store</t>
  </si>
  <si>
    <t>Sherry Mart</t>
  </si>
  <si>
    <t>Khatak Store</t>
  </si>
  <si>
    <t>Main Market</t>
  </si>
  <si>
    <t xml:space="preserve">Pharmacy </t>
  </si>
  <si>
    <t>Wahid Pharmacy</t>
  </si>
  <si>
    <t>Ajmal Bakery</t>
  </si>
  <si>
    <t>Jameel Bakery</t>
  </si>
  <si>
    <t>Shehzad Store</t>
  </si>
  <si>
    <t>Dryport Road</t>
  </si>
  <si>
    <t>Irfan Store</t>
  </si>
  <si>
    <t>Nafees Store</t>
  </si>
  <si>
    <t>Haider Store</t>
  </si>
  <si>
    <t>Temple Road</t>
  </si>
  <si>
    <t>Mariam Colo</t>
  </si>
  <si>
    <t>Faizan Store</t>
  </si>
  <si>
    <t>Lal Store</t>
  </si>
  <si>
    <t>Shahid G Store</t>
  </si>
  <si>
    <t>DHA Phase 5</t>
  </si>
  <si>
    <t>Food Ride</t>
  </si>
  <si>
    <t xml:space="preserve">Prograsive Mart </t>
  </si>
  <si>
    <t xml:space="preserve">Shaheen Bakers </t>
  </si>
  <si>
    <t>W Block DHA</t>
  </si>
  <si>
    <t>Shahab Store</t>
  </si>
  <si>
    <t>Allys Store</t>
  </si>
  <si>
    <t>Ms Store</t>
  </si>
  <si>
    <t>Bilal Store</t>
  </si>
  <si>
    <t>Adnan Store</t>
  </si>
  <si>
    <t xml:space="preserve">Sadar Market </t>
  </si>
  <si>
    <t xml:space="preserve">Premiar Mart </t>
  </si>
  <si>
    <t xml:space="preserve">Rehmat </t>
  </si>
  <si>
    <t>Bravo Store</t>
  </si>
  <si>
    <t>Defence Mor</t>
  </si>
  <si>
    <t>Trust Store</t>
  </si>
  <si>
    <t>Besta Store</t>
  </si>
  <si>
    <t>Pakistan Store</t>
  </si>
  <si>
    <t xml:space="preserve">Al Mazz Cash &amp; Carry </t>
  </si>
  <si>
    <t>Askari 1</t>
  </si>
  <si>
    <t>Raja Store</t>
  </si>
  <si>
    <t>Sitara Bakery</t>
  </si>
  <si>
    <t xml:space="preserve">Askari Walfair </t>
  </si>
  <si>
    <t>Chelet Store</t>
  </si>
  <si>
    <t xml:space="preserve">Canal Park </t>
  </si>
  <si>
    <t>Mahmood Store</t>
  </si>
  <si>
    <t xml:space="preserve">Mubeen </t>
  </si>
  <si>
    <t xml:space="preserve">Marwa Super </t>
  </si>
  <si>
    <t>Karam Store</t>
  </si>
  <si>
    <t>Mughal Store</t>
  </si>
  <si>
    <t xml:space="preserve">Ideal Cash &amp; Carry </t>
  </si>
  <si>
    <t>Baba G welfair</t>
  </si>
  <si>
    <t xml:space="preserve">Tajh Bagh </t>
  </si>
  <si>
    <t>LMT</t>
  </si>
  <si>
    <t>Jalal Sons phase 5</t>
  </si>
  <si>
    <t>Swera Store</t>
  </si>
  <si>
    <t>Jalal sons main market</t>
  </si>
  <si>
    <t>Shakoor</t>
  </si>
  <si>
    <t>Asgher Store</t>
  </si>
  <si>
    <t xml:space="preserve">Al-Fatah </t>
  </si>
  <si>
    <t>Pinehill</t>
  </si>
  <si>
    <t>Attari Darbar</t>
  </si>
  <si>
    <t>Jalal sons Askari 10</t>
  </si>
  <si>
    <t>Ms Traders (Risen)</t>
  </si>
  <si>
    <t>Askari 10</t>
  </si>
  <si>
    <t>Risen</t>
  </si>
  <si>
    <t>Clinix</t>
  </si>
  <si>
    <t xml:space="preserve">Rafaqat &amp; Sons </t>
  </si>
  <si>
    <t>Rehman Garden (Risen)</t>
  </si>
  <si>
    <t>Multan Road</t>
  </si>
  <si>
    <t xml:space="preserve">Rehman Garden </t>
  </si>
  <si>
    <t>Riwand</t>
  </si>
  <si>
    <t>Pak Madina (Jharawala)</t>
  </si>
  <si>
    <t xml:space="preserve">Jalal Sons </t>
  </si>
  <si>
    <t xml:space="preserve">Jharanwala </t>
  </si>
  <si>
    <t>Zubaida welfair</t>
  </si>
  <si>
    <t xml:space="preserve">Gourmet Food </t>
  </si>
  <si>
    <t>Gorme</t>
  </si>
  <si>
    <t>SD</t>
  </si>
  <si>
    <t>Nabeel Traders</t>
  </si>
  <si>
    <t>Abdullah Traders</t>
  </si>
  <si>
    <t>Bilal TSO</t>
  </si>
  <si>
    <t>Mughalpura</t>
  </si>
  <si>
    <t>Gourmet Food johar towm</t>
  </si>
  <si>
    <t>Gourmet Food 12 G</t>
  </si>
  <si>
    <t>Gourmet Food Fizaya</t>
  </si>
  <si>
    <t>Gourmet Food Calvery</t>
  </si>
  <si>
    <t>Galaxy Super Market</t>
  </si>
  <si>
    <t xml:space="preserve">Lake City Mart </t>
  </si>
  <si>
    <t>Joher Town</t>
  </si>
  <si>
    <t>12 G Joher Town</t>
  </si>
  <si>
    <t xml:space="preserve">Fizaya </t>
  </si>
  <si>
    <t>Calevery Ground</t>
  </si>
  <si>
    <t>lake caity</t>
  </si>
  <si>
    <t xml:space="preserve">Imran Pan </t>
  </si>
  <si>
    <t xml:space="preserve">Kanah Mandi </t>
  </si>
  <si>
    <t>Mazang</t>
  </si>
  <si>
    <t>ShadBagh</t>
  </si>
  <si>
    <t xml:space="preserve">Hikma </t>
  </si>
  <si>
    <t>Express</t>
  </si>
  <si>
    <t>haider</t>
  </si>
  <si>
    <t>mian</t>
  </si>
  <si>
    <t>Askari 5</t>
  </si>
  <si>
    <t xml:space="preserve">Bismilla </t>
  </si>
  <si>
    <t>nishat</t>
  </si>
  <si>
    <t>Bin Sohan</t>
  </si>
  <si>
    <t>Bin Daud</t>
  </si>
  <si>
    <t>Ahmad Store</t>
  </si>
  <si>
    <t>jameel Store</t>
  </si>
  <si>
    <t>Tahir Store</t>
  </si>
  <si>
    <t>Nishat colony</t>
  </si>
  <si>
    <t xml:space="preserve">Larance Bakery </t>
  </si>
  <si>
    <t>Quality Store</t>
  </si>
  <si>
    <t>Chiragh din Road</t>
  </si>
  <si>
    <t>Kacha Larnes Road</t>
  </si>
  <si>
    <t>Smart Pharmacy</t>
  </si>
  <si>
    <t>Askari Store</t>
  </si>
  <si>
    <t xml:space="preserve">Bin Doud </t>
  </si>
  <si>
    <t>Askari 9</t>
  </si>
  <si>
    <t>Khan Store</t>
  </si>
  <si>
    <t>My Store</t>
  </si>
  <si>
    <t>Bakhtawer Store</t>
  </si>
  <si>
    <t>Lala g Super Store</t>
  </si>
  <si>
    <t>Makkah Colony</t>
  </si>
  <si>
    <t>MB Traders</t>
  </si>
  <si>
    <t xml:space="preserve">Crown </t>
  </si>
  <si>
    <t>Risan Askari 11</t>
  </si>
  <si>
    <t>Shalamar Link</t>
  </si>
  <si>
    <t>Shadbagh</t>
  </si>
  <si>
    <t>Bata Pur</t>
  </si>
  <si>
    <t>Salamat Pura</t>
  </si>
  <si>
    <t>Daroghawala</t>
  </si>
  <si>
    <t>Railway Palaza</t>
  </si>
  <si>
    <t>Taj Bagh</t>
  </si>
  <si>
    <t>Taj Pura</t>
  </si>
  <si>
    <t>Baghban Pura</t>
  </si>
  <si>
    <t>Sultan Pura</t>
  </si>
  <si>
    <t>Shadi Pura</t>
  </si>
  <si>
    <t>Manawa GT Road</t>
  </si>
  <si>
    <t>Askari 11</t>
  </si>
  <si>
    <t>GT Road</t>
  </si>
  <si>
    <t>Singh Pura</t>
  </si>
  <si>
    <t>Has mart Hascol</t>
  </si>
  <si>
    <t>Mart</t>
  </si>
  <si>
    <t>Iqbal Store</t>
  </si>
  <si>
    <t xml:space="preserve">Star Bakery </t>
  </si>
  <si>
    <t>Bibi Pak Daman</t>
  </si>
  <si>
    <t xml:space="preserve">Haji Mart </t>
  </si>
  <si>
    <t xml:space="preserve">K mart </t>
  </si>
  <si>
    <t>Pick &amp; Pack</t>
  </si>
  <si>
    <t>Hikma Store</t>
  </si>
  <si>
    <t>Green City</t>
  </si>
  <si>
    <t>Ahmat IT Zone</t>
  </si>
  <si>
    <t>Academi Road</t>
  </si>
  <si>
    <t>Barki Road</t>
  </si>
  <si>
    <t>DHA</t>
  </si>
  <si>
    <t>Wapda Town</t>
  </si>
  <si>
    <t>EME</t>
  </si>
  <si>
    <t>Model Town</t>
  </si>
  <si>
    <t>Shama Cenema</t>
  </si>
  <si>
    <t>Shadman</t>
  </si>
  <si>
    <t>Nisbat Road</t>
  </si>
  <si>
    <t>Sultanpura</t>
  </si>
  <si>
    <t xml:space="preserve"> Nilam Cinema</t>
  </si>
  <si>
    <t xml:space="preserve"> Lal pull</t>
  </si>
  <si>
    <t xml:space="preserve"> Jhora Pull</t>
  </si>
  <si>
    <t xml:space="preserve"> Zarar Shaheed Road</t>
  </si>
  <si>
    <t xml:space="preserve"> Sadar Kachari</t>
  </si>
  <si>
    <t xml:space="preserve"> Dharampura</t>
  </si>
  <si>
    <t xml:space="preserve"> Shadbagh</t>
  </si>
  <si>
    <t xml:space="preserve"> About Road</t>
  </si>
  <si>
    <t xml:space="preserve"> Ghalib Market</t>
  </si>
  <si>
    <t>Al Fatah</t>
  </si>
  <si>
    <t>Gourmet Food</t>
  </si>
  <si>
    <t>Nazeer Sons Store</t>
  </si>
  <si>
    <t>Tofail Store</t>
  </si>
  <si>
    <t>Railway Road</t>
  </si>
  <si>
    <t>Progresive Mart</t>
  </si>
  <si>
    <t>Premier Mart</t>
  </si>
  <si>
    <t>Al Zeshan Super Mart</t>
  </si>
  <si>
    <t>Phase 6</t>
  </si>
  <si>
    <t xml:space="preserve">Al Rehman Mart </t>
  </si>
  <si>
    <t>Omega Mart</t>
  </si>
  <si>
    <t>State Life</t>
  </si>
  <si>
    <t xml:space="preserve">Air Line Society </t>
  </si>
  <si>
    <t>Barkat Market</t>
  </si>
  <si>
    <t>College Road</t>
  </si>
  <si>
    <t xml:space="preserve">EME Society </t>
  </si>
  <si>
    <t>Miletry Accounts</t>
  </si>
  <si>
    <t xml:space="preserve">Moter Way </t>
  </si>
  <si>
    <t>Peco Road</t>
  </si>
  <si>
    <t>Punjab Housing Socity</t>
  </si>
  <si>
    <t>Riwand Road</t>
  </si>
  <si>
    <t>Umer Chowk</t>
  </si>
  <si>
    <t>Velencia Town</t>
  </si>
  <si>
    <t>Chung</t>
  </si>
  <si>
    <t>Al Raheem Iqbal Town</t>
  </si>
  <si>
    <t>Al Raheem Wapda Town</t>
  </si>
  <si>
    <t>Meat   70gr FOC</t>
  </si>
  <si>
    <t>Meat  70gr</t>
  </si>
  <si>
    <t>Periode : 01 to 19June,2026</t>
  </si>
  <si>
    <t>Rainbow Cash &amp; Carry</t>
  </si>
  <si>
    <t xml:space="preserve">Zeeshan Meharban </t>
  </si>
  <si>
    <t xml:space="preserve">Salman Butt </t>
  </si>
  <si>
    <t xml:space="preserve">Furqan Ali </t>
  </si>
  <si>
    <t xml:space="preserve">Umair Rehman </t>
  </si>
  <si>
    <t xml:space="preserve">Mobeen Ahmad </t>
  </si>
  <si>
    <t xml:space="preserve">vacant </t>
  </si>
  <si>
    <t>Shakoor (LMT)</t>
  </si>
  <si>
    <t>DISTRIBUTION NAME</t>
  </si>
  <si>
    <t xml:space="preserve">ELITE MARKETING </t>
  </si>
  <si>
    <t>SR Target JUNE-2026</t>
  </si>
  <si>
    <t xml:space="preserve">Yaseen </t>
  </si>
  <si>
    <t>MM Cash &amp; Cash N Carry</t>
  </si>
  <si>
    <t xml:space="preserve">Ghafar </t>
  </si>
  <si>
    <t>Nadeem</t>
  </si>
  <si>
    <t>Arif Store</t>
  </si>
  <si>
    <t xml:space="preserve">Miraj Din </t>
  </si>
  <si>
    <t>Mahboob Store</t>
  </si>
  <si>
    <t>Asb Super Store</t>
  </si>
  <si>
    <t xml:space="preserve">Cant Madical </t>
  </si>
  <si>
    <t>Sadar Bazar</t>
  </si>
  <si>
    <t>Best Buy Super Store</t>
  </si>
  <si>
    <t xml:space="preserve">SherRubani </t>
  </si>
  <si>
    <t>Abdullah Super Store</t>
  </si>
  <si>
    <t>Khuram Super Store</t>
  </si>
  <si>
    <t>Ashiyana Store</t>
  </si>
  <si>
    <t>Umair</t>
  </si>
  <si>
    <t>Gujjer Store</t>
  </si>
  <si>
    <t xml:space="preserve">SM Rise Mart </t>
  </si>
  <si>
    <t>Bajwa Mart</t>
  </si>
  <si>
    <t xml:space="preserve">Ma Mart </t>
  </si>
  <si>
    <t xml:space="preserve">Canal Park Medical Park </t>
  </si>
  <si>
    <t>Aslam Super Mart</t>
  </si>
  <si>
    <t>4 Reason</t>
  </si>
  <si>
    <t>Ghari Shahu</t>
  </si>
  <si>
    <t>Kashmir Bakery</t>
  </si>
  <si>
    <t>Tajpura</t>
  </si>
  <si>
    <t>Mg Mart</t>
  </si>
  <si>
    <t>Marwa Mart</t>
  </si>
  <si>
    <t>Adeel Sweet</t>
  </si>
  <si>
    <t>Khan Bakers</t>
  </si>
  <si>
    <t>Top Bakers</t>
  </si>
  <si>
    <t xml:space="preserve">Saad Mart </t>
  </si>
  <si>
    <t>Gulam Rasool 2</t>
  </si>
  <si>
    <t>Bake &amp; Bite</t>
  </si>
  <si>
    <t>Kinza Bakers</t>
  </si>
  <si>
    <t xml:space="preserve">Munchies Mart </t>
  </si>
  <si>
    <t xml:space="preserve">Umair </t>
  </si>
  <si>
    <t>Hygiene Mart</t>
  </si>
  <si>
    <t>Ghazi Road</t>
  </si>
  <si>
    <t>HK Mart</t>
  </si>
  <si>
    <t>Al Ahmad</t>
  </si>
  <si>
    <t>Punjab Coprative House</t>
  </si>
  <si>
    <t>Agrow</t>
  </si>
  <si>
    <t>Punjab Store</t>
  </si>
  <si>
    <t xml:space="preserve">E Block </t>
  </si>
  <si>
    <t>Ibrahim Store</t>
  </si>
  <si>
    <t xml:space="preserve">Gulshan Colony </t>
  </si>
  <si>
    <t xml:space="preserve">Ali Park </t>
  </si>
  <si>
    <t>Noman Store</t>
  </si>
  <si>
    <t>Farhan Store</t>
  </si>
  <si>
    <t>KB Colony</t>
  </si>
  <si>
    <t>Moon store</t>
  </si>
  <si>
    <t xml:space="preserve">Rise Cash &amp; carry </t>
  </si>
  <si>
    <t>Nadra Abad</t>
  </si>
  <si>
    <t>Chaudry Road</t>
  </si>
  <si>
    <t>Lawrance Road</t>
  </si>
  <si>
    <t>Sohna Dipartmental Store</t>
  </si>
  <si>
    <t>Mason Road</t>
  </si>
  <si>
    <t xml:space="preserve">Ghosia Bakers </t>
  </si>
  <si>
    <t xml:space="preserve">Al Fazal Cash &amp; Carry </t>
  </si>
  <si>
    <t>Nishat Colony</t>
  </si>
  <si>
    <t xml:space="preserve">Al Ahmad Sweets </t>
  </si>
  <si>
    <t xml:space="preserve">SS Sweet </t>
  </si>
  <si>
    <t xml:space="preserve">A one Baker </t>
  </si>
  <si>
    <t xml:space="preserve">Nishter </t>
  </si>
  <si>
    <t>Nishter Store</t>
  </si>
  <si>
    <t xml:space="preserve">Dalasha Bakery </t>
  </si>
  <si>
    <t>Salman Store</t>
  </si>
  <si>
    <t>Bhola Store</t>
  </si>
  <si>
    <t>Bismillah Store</t>
  </si>
  <si>
    <t xml:space="preserve">Shareef Mart </t>
  </si>
  <si>
    <t>Latif Store</t>
  </si>
  <si>
    <t>Bakhtawar Store</t>
  </si>
  <si>
    <t>Honey Store</t>
  </si>
  <si>
    <t>Walton Road</t>
  </si>
  <si>
    <t>Askari Walfair Store</t>
  </si>
  <si>
    <t>Tajbhag phase 3</t>
  </si>
  <si>
    <t xml:space="preserve">Bhatti Mart </t>
  </si>
  <si>
    <t>Sooter mill</t>
  </si>
  <si>
    <t>Umer</t>
  </si>
  <si>
    <t>Haseeb Store</t>
  </si>
  <si>
    <t>Asiq Store</t>
  </si>
  <si>
    <t>Gulberg 3</t>
  </si>
  <si>
    <t>Al Madina Photo copy</t>
  </si>
  <si>
    <t>Chishtiyan Sabrian Store</t>
  </si>
  <si>
    <t>Aashiyana Store</t>
  </si>
  <si>
    <t xml:space="preserve">7 Street </t>
  </si>
  <si>
    <t xml:space="preserve">Hamza Mart </t>
  </si>
  <si>
    <t xml:space="preserve">Abu Hunain </t>
  </si>
  <si>
    <t>Youna Abad</t>
  </si>
  <si>
    <t>bibi Store</t>
  </si>
  <si>
    <t>Grocer Store</t>
  </si>
  <si>
    <t xml:space="preserve">5 Mart </t>
  </si>
  <si>
    <t>Cv Store</t>
  </si>
  <si>
    <t>Afzal Store</t>
  </si>
  <si>
    <t xml:space="preserve">Ajwa Bakers </t>
  </si>
  <si>
    <t xml:space="preserve">Green Mart </t>
  </si>
  <si>
    <t>Shop no 4</t>
  </si>
  <si>
    <t>Younas Store</t>
  </si>
  <si>
    <t xml:space="preserve">Captain Mart </t>
  </si>
  <si>
    <t xml:space="preserve">Sui Gas Society </t>
  </si>
  <si>
    <t>Badami Bagh</t>
  </si>
  <si>
    <t>Begum Kot</t>
  </si>
  <si>
    <t>Imamia Colony</t>
  </si>
  <si>
    <t xml:space="preserve">Bilal Ganj </t>
  </si>
  <si>
    <t>Islam Pura</t>
  </si>
  <si>
    <t>Kareem Park</t>
  </si>
  <si>
    <t>Kot Abdul malik</t>
  </si>
  <si>
    <t>Krishan Nager</t>
  </si>
  <si>
    <t>Lakshman</t>
  </si>
  <si>
    <t>Shadra</t>
  </si>
  <si>
    <t>Sana Cash &amp; Carry</t>
  </si>
  <si>
    <t>Gourmet Food DHA Rahber</t>
  </si>
  <si>
    <t>Gourmet Food Bahria Town</t>
  </si>
  <si>
    <t>Jalal Sons Bahria Orchard</t>
  </si>
  <si>
    <t>Shehwar Mega Mart</t>
  </si>
  <si>
    <t>Rainbow BT</t>
  </si>
  <si>
    <t xml:space="preserve">Wapda Town </t>
  </si>
  <si>
    <t>DHA Rehber</t>
  </si>
  <si>
    <t xml:space="preserve">Baria Town </t>
  </si>
  <si>
    <t>Bahria Orchard</t>
  </si>
  <si>
    <t xml:space="preserve">Jublee Town </t>
  </si>
  <si>
    <t>Bahria Town</t>
  </si>
  <si>
    <t xml:space="preserve">Al falah bakers </t>
  </si>
  <si>
    <t xml:space="preserve">Al harmain Mart </t>
  </si>
  <si>
    <t>7 up Road</t>
  </si>
  <si>
    <t>calvery Ground</t>
  </si>
  <si>
    <t xml:space="preserve">Premier Mart </t>
  </si>
  <si>
    <t>Panda Mart</t>
  </si>
  <si>
    <t>Awan Super Store</t>
  </si>
  <si>
    <t>Chohan Store</t>
  </si>
  <si>
    <t xml:space="preserve">al noor Bakery </t>
  </si>
  <si>
    <t>Al noor store 2</t>
  </si>
  <si>
    <t>waleed Store</t>
  </si>
  <si>
    <t>Ferozpur Road</t>
  </si>
  <si>
    <t xml:space="preserve">Pak Arab </t>
  </si>
  <si>
    <t>Pak Arab Vital AA</t>
  </si>
  <si>
    <t>Luqman Bakers</t>
  </si>
  <si>
    <t>China Store</t>
  </si>
  <si>
    <t>Lider Pind LHR</t>
  </si>
  <si>
    <t>Bankers Co operative</t>
  </si>
  <si>
    <t>CANTT GIRJA CHOWK LHR</t>
  </si>
  <si>
    <t>BHATTHA CHOWK LHR</t>
  </si>
  <si>
    <t>DHA FF BLOCK LHR</t>
  </si>
  <si>
    <t>DHA H BLOCK LHR</t>
  </si>
  <si>
    <t>DHA K BLOCK LHR</t>
  </si>
  <si>
    <t>DHA XX-3 BLOCK LHR</t>
  </si>
  <si>
    <t>DHA Z BLOCK LHR</t>
  </si>
  <si>
    <t>NADRA ABAD LHR</t>
  </si>
  <si>
    <t>NISHAT COLONY LHR</t>
  </si>
  <si>
    <t>PUNJAB SOCIETY GHAZI ROAD LHR</t>
  </si>
  <si>
    <t xml:space="preserve">Jalal Sons Behria Orchard </t>
  </si>
  <si>
    <t xml:space="preserve">Jalal Sons Lake City </t>
  </si>
  <si>
    <t>Lake City</t>
  </si>
  <si>
    <t>Madina Bakers</t>
  </si>
  <si>
    <t xml:space="preserve">W Mart </t>
  </si>
  <si>
    <t>Dharampura</t>
  </si>
  <si>
    <t>Tariq Store</t>
  </si>
  <si>
    <t>Express Store</t>
  </si>
  <si>
    <t>Gopal Nager</t>
  </si>
  <si>
    <t>Somroo Sweet</t>
  </si>
  <si>
    <t>haji Chirag</t>
  </si>
  <si>
    <t>Ali subhan GS</t>
  </si>
  <si>
    <t>Agrow Store</t>
  </si>
  <si>
    <t xml:space="preserve">Ajwa Mart </t>
  </si>
  <si>
    <t>Kanchi Bazar</t>
  </si>
  <si>
    <t>Defence Store</t>
  </si>
  <si>
    <t>allys Store</t>
  </si>
  <si>
    <t>MS Store</t>
  </si>
  <si>
    <t>usman Store</t>
  </si>
  <si>
    <t>My Choice Store</t>
  </si>
  <si>
    <t>Mahraja Store</t>
  </si>
  <si>
    <t>Adnan ghani Store</t>
  </si>
  <si>
    <t>MHT Store</t>
  </si>
  <si>
    <t xml:space="preserve">KS Mart </t>
  </si>
  <si>
    <t xml:space="preserve">Hafiz Azmat </t>
  </si>
  <si>
    <t xml:space="preserve">Perdesi Mart </t>
  </si>
  <si>
    <t xml:space="preserve">Iqbal Town </t>
  </si>
  <si>
    <t xml:space="preserve">Central Park </t>
  </si>
  <si>
    <t xml:space="preserve">Ferozpur Road </t>
  </si>
  <si>
    <t>Ismail Nager Lahore</t>
  </si>
  <si>
    <t xml:space="preserve">Kahna </t>
  </si>
  <si>
    <t xml:space="preserve">Muslim Town </t>
  </si>
  <si>
    <t xml:space="preserve">Muslim Town Ayubia </t>
  </si>
  <si>
    <t xml:space="preserve">Pak Arab Society </t>
  </si>
  <si>
    <t xml:space="preserve">Walton Road </t>
  </si>
  <si>
    <t>Youhaba 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</si>
</sst>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mmm\-yyyy"/>
    <numFmt numFmtId="165" formatCode="_(* #,##0_);_(* \(#,##0\);_(* &quot;-&quot;??_);_(@_)"/>
    <numFmt numFmtId="166" formatCode="0;[Red]0"/>
    <numFmt numFmtId="167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MS Sans Serif"/>
    </font>
    <font>
      <sz val="10"/>
      <color indexed="8"/>
      <name val="Arial"/>
    </font>
    <font>
      <sz val="11"/>
      <color indexed="8"/>
      <name val="Calibri"/>
    </font>
    <font>
      <sz val="8"/>
      <name val="Calibri"/>
      <family val="2"/>
      <scheme val="minor"/>
    </font>
    <font>
      <sz val="14"/>
      <name val="Arial Black"/>
      <family val="2"/>
    </font>
    <font>
      <b/>
      <sz val="11"/>
      <name val="Arial"/>
      <family val="2"/>
    </font>
    <font>
      <sz val="11"/>
      <name val="Arial Unicode MS"/>
      <charset val="134"/>
    </font>
    <font>
      <b/>
      <sz val="11"/>
      <name val="Arial Unicode MS"/>
      <charset val="134"/>
    </font>
    <font>
      <b/>
      <sz val="10"/>
      <color rgb="FF2F75B6"/>
      <name val="Calibri"/>
      <family val="2"/>
    </font>
    <font>
      <b/>
      <sz val="10"/>
      <color rgb="FF7030A0"/>
      <name val="Arial"/>
      <family val="2"/>
    </font>
    <font>
      <b/>
      <sz val="10"/>
      <color rgb="FF7030A0"/>
      <name val="Calibri"/>
      <family val="2"/>
    </font>
    <font>
      <b/>
      <sz val="10"/>
      <color rgb="FFFF0000"/>
      <name val="Calibri"/>
      <family val="2"/>
    </font>
    <font>
      <sz val="10"/>
      <color theme="1" tint="0.34998626667073579"/>
      <name val="Arial Black"/>
      <family val="2"/>
    </font>
    <font>
      <b/>
      <sz val="10"/>
      <color theme="1" tint="0.34998626667073579"/>
      <name val="Arial Black"/>
      <family val="2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6" fillId="0" borderId="0"/>
  </cellStyleXfs>
  <cellXfs count="12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9" fontId="4" fillId="0" borderId="3" xfId="2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1" xfId="0" applyFont="1" applyBorder="1"/>
    <xf numFmtId="1" fontId="4" fillId="0" borderId="1" xfId="0" applyNumberFormat="1" applyFont="1" applyBorder="1"/>
    <xf numFmtId="165" fontId="4" fillId="0" borderId="1" xfId="1" applyNumberFormat="1" applyFont="1" applyBorder="1" applyAlignment="1">
      <alignment horizontal="right"/>
    </xf>
    <xf numFmtId="166" fontId="4" fillId="0" borderId="1" xfId="0" applyNumberFormat="1" applyFont="1" applyBorder="1" applyAlignment="1">
      <alignment horizontal="right"/>
    </xf>
    <xf numFmtId="1" fontId="0" fillId="0" borderId="1" xfId="0" applyNumberFormat="1" applyBorder="1"/>
    <xf numFmtId="165" fontId="0" fillId="0" borderId="4" xfId="1" applyNumberFormat="1" applyFont="1" applyFill="1" applyBorder="1"/>
    <xf numFmtId="0" fontId="0" fillId="0" borderId="0" xfId="0" applyAlignment="1">
      <alignment horizontal="center"/>
    </xf>
    <xf numFmtId="1" fontId="0" fillId="0" borderId="0" xfId="0" applyNumberFormat="1"/>
    <xf numFmtId="164" fontId="4" fillId="0" borderId="1" xfId="0" applyNumberFormat="1" applyFont="1" applyBorder="1" applyAlignment="1">
      <alignment vertical="top"/>
    </xf>
    <xf numFmtId="15" fontId="7" fillId="0" borderId="1" xfId="4" applyNumberFormat="1" applyFont="1" applyBorder="1" applyAlignment="1">
      <alignment horizontal="right" wrapText="1"/>
    </xf>
    <xf numFmtId="0" fontId="7" fillId="0" borderId="1" xfId="4" applyFont="1" applyBorder="1" applyAlignment="1">
      <alignment horizontal="right" wrapText="1"/>
    </xf>
    <xf numFmtId="0" fontId="7" fillId="0" borderId="1" xfId="4" applyFont="1" applyBorder="1" applyAlignment="1">
      <alignment wrapText="1"/>
    </xf>
    <xf numFmtId="0" fontId="6" fillId="0" borderId="1" xfId="4" applyBorder="1"/>
    <xf numFmtId="10" fontId="7" fillId="0" borderId="1" xfId="4" applyNumberFormat="1" applyFont="1" applyBorder="1" applyAlignment="1">
      <alignment horizontal="right" wrapText="1"/>
    </xf>
    <xf numFmtId="0" fontId="10" fillId="0" borderId="0" xfId="0" applyFont="1" applyAlignment="1">
      <alignment horizontal="left"/>
    </xf>
    <xf numFmtId="0" fontId="10" fillId="4" borderId="11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1" fillId="0" borderId="14" xfId="0" applyFont="1" applyBorder="1"/>
    <xf numFmtId="2" fontId="12" fillId="0" borderId="15" xfId="1" applyNumberFormat="1" applyFont="1" applyFill="1" applyBorder="1" applyAlignment="1">
      <alignment horizontal="center" vertical="center"/>
    </xf>
    <xf numFmtId="165" fontId="11" fillId="0" borderId="15" xfId="1" applyNumberFormat="1" applyFont="1" applyFill="1" applyBorder="1" applyAlignment="1">
      <alignment horizontal="center"/>
    </xf>
    <xf numFmtId="2" fontId="11" fillId="0" borderId="15" xfId="1" applyNumberFormat="1" applyFont="1" applyFill="1" applyBorder="1" applyAlignment="1">
      <alignment horizontal="center"/>
    </xf>
    <xf numFmtId="2" fontId="12" fillId="0" borderId="16" xfId="1" applyNumberFormat="1" applyFont="1" applyFill="1" applyBorder="1" applyAlignment="1">
      <alignment horizontal="center" vertical="center"/>
    </xf>
    <xf numFmtId="165" fontId="11" fillId="0" borderId="15" xfId="1" applyNumberFormat="1" applyFont="1" applyFill="1" applyBorder="1"/>
    <xf numFmtId="0" fontId="10" fillId="5" borderId="14" xfId="0" applyFont="1" applyFill="1" applyBorder="1" applyAlignment="1">
      <alignment horizontal="center"/>
    </xf>
    <xf numFmtId="2" fontId="10" fillId="5" borderId="15" xfId="0" applyNumberFormat="1" applyFont="1" applyFill="1" applyBorder="1" applyAlignment="1">
      <alignment horizontal="center" vertical="center"/>
    </xf>
    <xf numFmtId="165" fontId="10" fillId="5" borderId="15" xfId="0" applyNumberFormat="1" applyFont="1" applyFill="1" applyBorder="1"/>
    <xf numFmtId="2" fontId="10" fillId="5" borderId="15" xfId="0" applyNumberFormat="1" applyFont="1" applyFill="1" applyBorder="1" applyAlignment="1">
      <alignment horizontal="center"/>
    </xf>
    <xf numFmtId="2" fontId="10" fillId="5" borderId="16" xfId="0" applyNumberFormat="1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horizontal="center"/>
    </xf>
    <xf numFmtId="2" fontId="10" fillId="4" borderId="18" xfId="0" applyNumberFormat="1" applyFont="1" applyFill="1" applyBorder="1" applyAlignment="1">
      <alignment horizontal="center" vertical="center"/>
    </xf>
    <xf numFmtId="165" fontId="10" fillId="4" borderId="18" xfId="0" applyNumberFormat="1" applyFont="1" applyFill="1" applyBorder="1"/>
    <xf numFmtId="2" fontId="10" fillId="4" borderId="19" xfId="0" applyNumberFormat="1" applyFont="1" applyFill="1" applyBorder="1" applyAlignment="1">
      <alignment horizontal="center" vertical="center"/>
    </xf>
    <xf numFmtId="0" fontId="13" fillId="6" borderId="0" xfId="0" applyFont="1" applyFill="1" applyAlignment="1">
      <alignment vertical="center"/>
    </xf>
    <xf numFmtId="0" fontId="14" fillId="7" borderId="21" xfId="0" applyFont="1" applyFill="1" applyBorder="1" applyAlignment="1">
      <alignment horizontal="center" vertical="center"/>
    </xf>
    <xf numFmtId="0" fontId="14" fillId="7" borderId="22" xfId="0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2" fontId="15" fillId="0" borderId="12" xfId="0" applyNumberFormat="1" applyFont="1" applyBorder="1" applyAlignment="1">
      <alignment horizontal="center" vertical="center"/>
    </xf>
    <xf numFmtId="2" fontId="15" fillId="8" borderId="12" xfId="0" applyNumberFormat="1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2" fontId="15" fillId="0" borderId="15" xfId="0" applyNumberFormat="1" applyFont="1" applyBorder="1" applyAlignment="1">
      <alignment horizontal="center" vertical="center"/>
    </xf>
    <xf numFmtId="2" fontId="15" fillId="8" borderId="15" xfId="0" applyNumberFormat="1" applyFont="1" applyFill="1" applyBorder="1" applyAlignment="1">
      <alignment horizontal="center" vertical="center"/>
    </xf>
    <xf numFmtId="0" fontId="17" fillId="9" borderId="21" xfId="0" applyFont="1" applyFill="1" applyBorder="1" applyAlignment="1">
      <alignment horizontal="center" vertical="center"/>
    </xf>
    <xf numFmtId="2" fontId="17" fillId="9" borderId="21" xfId="0" applyNumberFormat="1" applyFont="1" applyFill="1" applyBorder="1" applyAlignment="1">
      <alignment horizontal="center" vertical="center"/>
    </xf>
    <xf numFmtId="167" fontId="17" fillId="9" borderId="21" xfId="0" applyNumberFormat="1" applyFont="1" applyFill="1" applyBorder="1" applyAlignment="1">
      <alignment horizontal="center" vertical="center"/>
    </xf>
    <xf numFmtId="9" fontId="18" fillId="9" borderId="22" xfId="2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 wrapText="1"/>
    </xf>
    <xf numFmtId="0" fontId="0" fillId="0" borderId="15" xfId="0" applyBorder="1"/>
    <xf numFmtId="0" fontId="3" fillId="2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11" fillId="0" borderId="15" xfId="1" applyNumberFormat="1" applyFont="1" applyFill="1" applyBorder="1" applyAlignment="1">
      <alignment horizontal="center" vertical="center"/>
    </xf>
    <xf numFmtId="2" fontId="15" fillId="0" borderId="23" xfId="0" applyNumberFormat="1" applyFont="1" applyBorder="1" applyAlignment="1">
      <alignment horizontal="center" vertical="center"/>
    </xf>
    <xf numFmtId="2" fontId="15" fillId="0" borderId="3" xfId="0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165" fontId="4" fillId="0" borderId="15" xfId="1" applyNumberFormat="1" applyFont="1" applyBorder="1" applyAlignment="1">
      <alignment horizontal="right"/>
    </xf>
    <xf numFmtId="10" fontId="3" fillId="2" borderId="2" xfId="0" applyNumberFormat="1" applyFont="1" applyFill="1" applyBorder="1" applyAlignment="1">
      <alignment horizontal="center" vertical="center" wrapText="1"/>
    </xf>
    <xf numFmtId="1" fontId="7" fillId="0" borderId="1" xfId="4" applyNumberFormat="1" applyFont="1" applyBorder="1" applyAlignment="1">
      <alignment horizontal="right" wrapText="1"/>
    </xf>
    <xf numFmtId="0" fontId="4" fillId="0" borderId="15" xfId="0" applyFont="1" applyBorder="1" applyAlignment="1">
      <alignment horizontal="right"/>
    </xf>
    <xf numFmtId="0" fontId="0" fillId="0" borderId="15" xfId="0" applyBorder="1" applyAlignment="1">
      <alignment horizontal="right"/>
    </xf>
    <xf numFmtId="0" fontId="7" fillId="0" borderId="15" xfId="4" applyFont="1" applyBorder="1" applyAlignment="1">
      <alignment horizontal="right" wrapText="1"/>
    </xf>
    <xf numFmtId="0" fontId="6" fillId="0" borderId="15" xfId="4" applyBorder="1"/>
    <xf numFmtId="15" fontId="7" fillId="0" borderId="1" xfId="4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  <xf numFmtId="0" fontId="7" fillId="0" borderId="1" xfId="4" applyFont="1" applyBorder="1" applyAlignment="1">
      <alignment horizontal="center" vertical="center" wrapText="1"/>
    </xf>
    <xf numFmtId="1" fontId="7" fillId="0" borderId="1" xfId="4" applyNumberFormat="1" applyFont="1" applyBorder="1" applyAlignment="1">
      <alignment horizontal="center" vertical="center" wrapText="1"/>
    </xf>
    <xf numFmtId="0" fontId="7" fillId="0" borderId="15" xfId="4" applyFont="1" applyBorder="1" applyAlignment="1">
      <alignment horizontal="center" vertical="center" wrapText="1"/>
    </xf>
    <xf numFmtId="0" fontId="7" fillId="0" borderId="1" xfId="4" applyFont="1" applyBorder="1" applyAlignment="1">
      <alignment horizontal="left" vertical="center" wrapText="1"/>
    </xf>
    <xf numFmtId="0" fontId="7" fillId="0" borderId="15" xfId="4" applyFont="1" applyBorder="1" applyAlignment="1">
      <alignment horizontal="left" vertical="center" wrapText="1"/>
    </xf>
    <xf numFmtId="0" fontId="0" fillId="0" borderId="15" xfId="0" applyBorder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4" fillId="7" borderId="24" xfId="0" applyFont="1" applyFill="1" applyBorder="1" applyAlignment="1">
      <alignment horizontal="center" vertical="center"/>
    </xf>
    <xf numFmtId="0" fontId="14" fillId="7" borderId="23" xfId="0" applyFont="1" applyFill="1" applyBorder="1" applyAlignment="1">
      <alignment horizontal="center" vertical="center"/>
    </xf>
    <xf numFmtId="0" fontId="14" fillId="7" borderId="23" xfId="0" applyFont="1" applyFill="1" applyBorder="1" applyAlignment="1">
      <alignment horizontal="center" vertical="center" wrapText="1"/>
    </xf>
    <xf numFmtId="2" fontId="15" fillId="8" borderId="13" xfId="0" applyNumberFormat="1" applyFont="1" applyFill="1" applyBorder="1" applyAlignment="1">
      <alignment horizontal="center" vertical="center"/>
    </xf>
    <xf numFmtId="2" fontId="15" fillId="8" borderId="16" xfId="0" applyNumberFormat="1" applyFont="1" applyFill="1" applyBorder="1" applyAlignment="1">
      <alignment horizontal="center" vertical="center"/>
    </xf>
    <xf numFmtId="2" fontId="15" fillId="0" borderId="10" xfId="0" applyNumberFormat="1" applyFont="1" applyBorder="1" applyAlignment="1">
      <alignment horizontal="center" vertical="center"/>
    </xf>
    <xf numFmtId="2" fontId="15" fillId="0" borderId="25" xfId="0" applyNumberFormat="1" applyFont="1" applyBorder="1" applyAlignment="1">
      <alignment horizontal="center" vertical="center"/>
    </xf>
    <xf numFmtId="2" fontId="15" fillId="0" borderId="2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9" fontId="16" fillId="0" borderId="27" xfId="2" applyFont="1" applyBorder="1" applyAlignment="1">
      <alignment horizontal="center" vertical="center"/>
    </xf>
    <xf numFmtId="9" fontId="16" fillId="0" borderId="28" xfId="2" applyFont="1" applyBorder="1" applyAlignment="1">
      <alignment horizontal="center" vertical="center"/>
    </xf>
    <xf numFmtId="9" fontId="16" fillId="0" borderId="29" xfId="2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2" fontId="15" fillId="0" borderId="2" xfId="0" applyNumberFormat="1" applyFont="1" applyBorder="1" applyAlignment="1">
      <alignment horizontal="center" vertical="center"/>
    </xf>
    <xf numFmtId="2" fontId="15" fillId="8" borderId="2" xfId="0" applyNumberFormat="1" applyFont="1" applyFill="1" applyBorder="1" applyAlignment="1">
      <alignment horizontal="center" vertical="center"/>
    </xf>
    <xf numFmtId="2" fontId="15" fillId="8" borderId="31" xfId="0" applyNumberFormat="1" applyFont="1" applyFill="1" applyBorder="1" applyAlignment="1">
      <alignment horizontal="center" vertical="center"/>
    </xf>
    <xf numFmtId="0" fontId="15" fillId="0" borderId="11" xfId="0" applyFont="1" applyBorder="1" applyAlignment="1">
      <alignment horizontal="left" vertical="center"/>
    </xf>
    <xf numFmtId="0" fontId="15" fillId="0" borderId="14" xfId="0" applyFont="1" applyBorder="1" applyAlignment="1">
      <alignment horizontal="left" vertical="center"/>
    </xf>
    <xf numFmtId="0" fontId="15" fillId="0" borderId="30" xfId="0" applyFont="1" applyBorder="1" applyAlignment="1">
      <alignment horizontal="left" vertical="center"/>
    </xf>
    <xf numFmtId="0" fontId="7" fillId="0" borderId="1" xfId="4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 wrapText="1"/>
    </xf>
    <xf numFmtId="1" fontId="3" fillId="2" borderId="3" xfId="0" applyNumberFormat="1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7" fillId="9" borderId="20" xfId="0" applyFont="1" applyFill="1" applyBorder="1" applyAlignment="1">
      <alignment horizontal="center" vertical="center"/>
    </xf>
    <xf numFmtId="0" fontId="17" fillId="9" borderId="21" xfId="0" applyFont="1" applyFill="1" applyBorder="1" applyAlignment="1">
      <alignment horizontal="center" vertical="center"/>
    </xf>
    <xf numFmtId="0" fontId="19" fillId="0" borderId="25" xfId="0" applyFont="1" applyFill="1" applyBorder="1" applyAlignment="1">
      <alignment horizontal="left"/>
    </xf>
  </cellXfs>
  <cellStyles count="5">
    <cellStyle name="Comma" xfId="1" builtinId="3"/>
    <cellStyle name="Normal" xfId="0" builtinId="0"/>
    <cellStyle name="Normal 2" xfId="3" xr:uid="{972FE098-F19C-4EC3-B7E5-2DE4DBB19AF2}"/>
    <cellStyle name="Normal_Sheet3" xfId="4" xr:uid="{E7791575-FB20-4A6B-B882-6D3A41C771FD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9E717-3884-4AA3-A82A-69FACD0ADABD}">
  <dimension ref="A1:AP431"/>
  <sheetViews>
    <sheetView tabSelected="1" workbookViewId="0">
      <pane xSplit="1" ySplit="2" topLeftCell="B391" activePane="bottomRight" state="frozen"/>
      <selection pane="topRight" activeCell="B1" sqref="B1"/>
      <selection pane="bottomLeft" activeCell="A3" sqref="A3"/>
      <selection pane="bottomRight" activeCell="D406" sqref="D406"/>
    </sheetView>
  </sheetViews>
  <sheetFormatPr defaultRowHeight="14.5" x14ac:dyDescent="0.35"/>
  <cols>
    <col min="1" max="1" width="9.7265625" bestFit="1" customWidth="1"/>
    <col min="2" max="2" width="11.54296875" style="16" bestFit="1" customWidth="1"/>
    <col min="3" max="3" width="19.81640625" bestFit="1" customWidth="1"/>
    <col min="4" max="4" width="19.26953125" style="66" bestFit="1" customWidth="1"/>
    <col min="5" max="5" width="9" bestFit="1" customWidth="1"/>
    <col min="6" max="6" width="14.7265625" bestFit="1" customWidth="1"/>
    <col min="7" max="7" width="24.7265625" bestFit="1" customWidth="1"/>
    <col min="8" max="8" width="16.7265625" bestFit="1" customWidth="1"/>
    <col min="9" max="9" width="21.36328125" bestFit="1" customWidth="1"/>
    <col min="10" max="10" width="8" bestFit="1" customWidth="1"/>
    <col min="11" max="11" width="8.1796875" customWidth="1"/>
    <col min="12" max="13" width="8" bestFit="1" customWidth="1"/>
    <col min="14" max="14" width="7" bestFit="1" customWidth="1"/>
    <col min="15" max="17" width="8" bestFit="1" customWidth="1"/>
    <col min="18" max="18" width="7" bestFit="1" customWidth="1"/>
    <col min="19" max="19" width="9.1796875" bestFit="1" customWidth="1"/>
    <col min="20" max="20" width="8.1796875" customWidth="1"/>
    <col min="21" max="21" width="7" bestFit="1" customWidth="1"/>
    <col min="22" max="23" width="8" bestFit="1" customWidth="1"/>
    <col min="24" max="25" width="7" bestFit="1" customWidth="1"/>
    <col min="26" max="26" width="8" bestFit="1" customWidth="1"/>
    <col min="27" max="27" width="7" bestFit="1" customWidth="1"/>
    <col min="28" max="29" width="15.26953125" bestFit="1" customWidth="1"/>
    <col min="30" max="30" width="16.26953125" bestFit="1" customWidth="1"/>
    <col min="31" max="31" width="15.81640625" bestFit="1" customWidth="1"/>
    <col min="32" max="32" width="11.1796875" style="14" bestFit="1" customWidth="1"/>
    <col min="33" max="33" width="13.26953125" bestFit="1" customWidth="1"/>
    <col min="34" max="34" width="11" bestFit="1" customWidth="1"/>
    <col min="35" max="35" width="12.7265625" bestFit="1" customWidth="1"/>
    <col min="36" max="36" width="11" bestFit="1" customWidth="1"/>
    <col min="37" max="37" width="16.54296875" bestFit="1" customWidth="1"/>
    <col min="38" max="38" width="16.453125" bestFit="1" customWidth="1"/>
    <col min="39" max="39" width="18.453125" hidden="1" customWidth="1"/>
    <col min="40" max="40" width="12.81640625" style="15" hidden="1" customWidth="1"/>
    <col min="41" max="41" width="20" style="15" hidden="1" customWidth="1"/>
    <col min="42" max="42" width="13.1796875" bestFit="1" customWidth="1"/>
  </cols>
  <sheetData>
    <row r="1" spans="1:42" s="3" customFormat="1" x14ac:dyDescent="0.35">
      <c r="A1" s="105" t="s">
        <v>0</v>
      </c>
      <c r="B1" s="105" t="s">
        <v>1</v>
      </c>
      <c r="C1" s="102" t="s">
        <v>2</v>
      </c>
      <c r="D1" s="102" t="s">
        <v>3</v>
      </c>
      <c r="E1" s="102" t="s">
        <v>4</v>
      </c>
      <c r="F1" s="102" t="s">
        <v>5</v>
      </c>
      <c r="G1" s="105" t="s">
        <v>6</v>
      </c>
      <c r="H1" s="102" t="s">
        <v>7</v>
      </c>
      <c r="I1" s="1"/>
      <c r="J1" s="56"/>
      <c r="K1" s="105" t="s">
        <v>8</v>
      </c>
      <c r="L1" s="105"/>
      <c r="M1" s="105"/>
      <c r="N1" s="105"/>
      <c r="O1" s="103" t="s">
        <v>9</v>
      </c>
      <c r="P1" s="104"/>
      <c r="Q1" s="104"/>
      <c r="R1" s="104"/>
      <c r="S1" s="108" t="s">
        <v>10</v>
      </c>
      <c r="T1" s="110" t="s">
        <v>11</v>
      </c>
      <c r="U1" s="110"/>
      <c r="V1" s="110"/>
      <c r="W1" s="110"/>
      <c r="X1" s="110" t="s">
        <v>12</v>
      </c>
      <c r="Y1" s="110"/>
      <c r="Z1" s="110"/>
      <c r="AA1" s="110"/>
      <c r="AB1" s="106" t="s">
        <v>65</v>
      </c>
      <c r="AC1" s="106" t="s">
        <v>13</v>
      </c>
      <c r="AD1" s="106" t="s">
        <v>14</v>
      </c>
      <c r="AE1" s="106" t="s">
        <v>15</v>
      </c>
      <c r="AF1" s="106" t="s">
        <v>16</v>
      </c>
      <c r="AG1" s="106" t="s">
        <v>17</v>
      </c>
      <c r="AH1" s="65">
        <v>3.5000000000000003E-2</v>
      </c>
      <c r="AI1" s="106" t="s">
        <v>18</v>
      </c>
      <c r="AJ1" s="106" t="s">
        <v>19</v>
      </c>
      <c r="AK1" s="106" t="s">
        <v>20</v>
      </c>
      <c r="AL1" s="106" t="s">
        <v>21</v>
      </c>
      <c r="AM1" s="106" t="s">
        <v>22</v>
      </c>
      <c r="AN1" s="111" t="s">
        <v>23</v>
      </c>
      <c r="AO1" s="111" t="s">
        <v>24</v>
      </c>
      <c r="AP1" s="106" t="s">
        <v>25</v>
      </c>
    </row>
    <row r="2" spans="1:42" s="3" customFormat="1" ht="43.5" x14ac:dyDescent="0.35">
      <c r="A2" s="105"/>
      <c r="B2" s="105"/>
      <c r="C2" s="102"/>
      <c r="D2" s="102"/>
      <c r="E2" s="102"/>
      <c r="F2" s="102"/>
      <c r="G2" s="105"/>
      <c r="H2" s="102"/>
      <c r="I2" s="2" t="s">
        <v>26</v>
      </c>
      <c r="J2" s="54" t="s">
        <v>62</v>
      </c>
      <c r="K2" s="2" t="s">
        <v>28</v>
      </c>
      <c r="L2" s="2" t="s">
        <v>27</v>
      </c>
      <c r="M2" s="2" t="s">
        <v>71</v>
      </c>
      <c r="N2" s="2" t="s">
        <v>29</v>
      </c>
      <c r="O2" s="2" t="s">
        <v>73</v>
      </c>
      <c r="P2" s="2" t="s">
        <v>30</v>
      </c>
      <c r="Q2" s="2" t="s">
        <v>74</v>
      </c>
      <c r="R2" s="2" t="s">
        <v>31</v>
      </c>
      <c r="S2" s="109"/>
      <c r="T2" s="4" t="s">
        <v>353</v>
      </c>
      <c r="U2" s="4" t="s">
        <v>32</v>
      </c>
      <c r="V2" s="4" t="s">
        <v>72</v>
      </c>
      <c r="W2" s="4" t="s">
        <v>33</v>
      </c>
      <c r="X2" s="4" t="s">
        <v>75</v>
      </c>
      <c r="Y2" s="4" t="s">
        <v>34</v>
      </c>
      <c r="Z2" s="4" t="s">
        <v>76</v>
      </c>
      <c r="AA2" s="4" t="s">
        <v>35</v>
      </c>
      <c r="AB2" s="107"/>
      <c r="AC2" s="107"/>
      <c r="AD2" s="107"/>
      <c r="AE2" s="107"/>
      <c r="AF2" s="107"/>
      <c r="AG2" s="107"/>
      <c r="AH2" s="63" t="s">
        <v>66</v>
      </c>
      <c r="AI2" s="107"/>
      <c r="AJ2" s="107"/>
      <c r="AK2" s="107"/>
      <c r="AL2" s="107"/>
      <c r="AM2" s="107"/>
      <c r="AN2" s="112"/>
      <c r="AO2" s="112"/>
      <c r="AP2" s="107"/>
    </row>
    <row r="3" spans="1:42" x14ac:dyDescent="0.35">
      <c r="A3" s="71">
        <v>46174</v>
      </c>
      <c r="B3" s="72" t="s">
        <v>67</v>
      </c>
      <c r="C3" s="73">
        <v>1011</v>
      </c>
      <c r="D3" s="73">
        <v>35201</v>
      </c>
      <c r="E3" s="62" t="s">
        <v>68</v>
      </c>
      <c r="F3" s="73" t="s">
        <v>70</v>
      </c>
      <c r="G3" s="76" t="s">
        <v>81</v>
      </c>
      <c r="H3" s="73" t="s">
        <v>77</v>
      </c>
      <c r="I3" s="62" t="s">
        <v>86</v>
      </c>
      <c r="J3" s="67">
        <v>50</v>
      </c>
      <c r="K3" s="18">
        <v>8</v>
      </c>
      <c r="L3" s="18">
        <v>6</v>
      </c>
      <c r="M3" s="18">
        <v>3</v>
      </c>
      <c r="N3" s="8">
        <f>K3+L3+M3</f>
        <v>17</v>
      </c>
      <c r="O3" s="20">
        <v>15</v>
      </c>
      <c r="P3" s="20">
        <v>7</v>
      </c>
      <c r="Q3" s="20">
        <v>11</v>
      </c>
      <c r="R3" s="8">
        <f t="shared" ref="R3:R66" si="0">SUM(O3:Q3)</f>
        <v>33</v>
      </c>
      <c r="S3" s="18">
        <f>J3+K3+L3+M3+O3+P3+Q3</f>
        <v>100</v>
      </c>
      <c r="T3" s="18">
        <f>K3/20</f>
        <v>0.4</v>
      </c>
      <c r="U3" s="18">
        <f>L3/20</f>
        <v>0.3</v>
      </c>
      <c r="V3" s="18">
        <f>M3/20</f>
        <v>0.15</v>
      </c>
      <c r="W3" s="8">
        <f>SUM(T3:V3)</f>
        <v>0.85</v>
      </c>
      <c r="X3" s="18">
        <f>O3/10</f>
        <v>1.5</v>
      </c>
      <c r="Y3" s="18">
        <f>P3/10</f>
        <v>0.7</v>
      </c>
      <c r="Z3" s="18">
        <f>Q3/10</f>
        <v>1.1000000000000001</v>
      </c>
      <c r="AA3" s="8">
        <f>R3/10</f>
        <v>3.3</v>
      </c>
      <c r="AB3" s="8">
        <v>39.270000000000003</v>
      </c>
      <c r="AC3" s="8">
        <v>52.462499999999999</v>
      </c>
      <c r="AD3" s="8">
        <v>72.64</v>
      </c>
      <c r="AE3" s="9">
        <f>(J3*AB3)+(N3*AC3)+(AD3*S3)</f>
        <v>10119.362499999999</v>
      </c>
      <c r="AF3" s="21">
        <v>6.5000000000000002E-2</v>
      </c>
      <c r="AG3" s="10">
        <f>AE3*AF3</f>
        <v>657.75856249999993</v>
      </c>
      <c r="AH3" s="64">
        <f>(AB3*J3)*$AH$1</f>
        <v>68.722500000000011</v>
      </c>
      <c r="AI3" s="9">
        <f>AE3-AG3-AH3</f>
        <v>9392.8814375000002</v>
      </c>
      <c r="AJ3" s="5">
        <v>0.18</v>
      </c>
      <c r="AK3" s="11">
        <f>AI3*AJ3</f>
        <v>1690.71865875</v>
      </c>
      <c r="AL3" s="9">
        <f>AI3+AK3</f>
        <v>11083.60009625</v>
      </c>
      <c r="AM3" s="12"/>
      <c r="AN3" s="12"/>
      <c r="AO3" s="6"/>
      <c r="AP3" s="12"/>
    </row>
    <row r="4" spans="1:42" x14ac:dyDescent="0.35">
      <c r="A4" s="71">
        <v>46174</v>
      </c>
      <c r="B4" s="72" t="s">
        <v>67</v>
      </c>
      <c r="C4" s="73">
        <v>1012</v>
      </c>
      <c r="D4" s="73">
        <v>45631</v>
      </c>
      <c r="E4" s="62" t="s">
        <v>68</v>
      </c>
      <c r="F4" s="73" t="s">
        <v>78</v>
      </c>
      <c r="G4" s="76" t="s">
        <v>82</v>
      </c>
      <c r="H4" s="73" t="s">
        <v>77</v>
      </c>
      <c r="I4" s="62" t="s">
        <v>86</v>
      </c>
      <c r="J4" s="67">
        <v>60</v>
      </c>
      <c r="K4" s="20">
        <v>8</v>
      </c>
      <c r="L4" s="20">
        <v>4</v>
      </c>
      <c r="M4" s="20">
        <v>7</v>
      </c>
      <c r="N4" s="8">
        <f t="shared" ref="N4:N67" si="1">K4+L4+M4</f>
        <v>19</v>
      </c>
      <c r="O4" s="18">
        <v>10</v>
      </c>
      <c r="P4" s="18">
        <v>10</v>
      </c>
      <c r="Q4" s="18">
        <v>10</v>
      </c>
      <c r="R4" s="8">
        <f t="shared" si="0"/>
        <v>30</v>
      </c>
      <c r="S4" s="18">
        <f t="shared" ref="S4:S62" si="2">J4+K4+L4+M4+O4+P4+Q4</f>
        <v>109</v>
      </c>
      <c r="T4" s="18">
        <f t="shared" ref="T4:T55" si="3">K4/10</f>
        <v>0.8</v>
      </c>
      <c r="U4" s="18">
        <f t="shared" ref="U4:U55" si="4">L4/10</f>
        <v>0.4</v>
      </c>
      <c r="V4" s="18">
        <f t="shared" ref="V4:V55" si="5">M4/10</f>
        <v>0.7</v>
      </c>
      <c r="W4" s="8">
        <f t="shared" ref="W4:W69" si="6">N4/10</f>
        <v>1.9</v>
      </c>
      <c r="X4" s="18">
        <f t="shared" ref="X4:X55" si="7">O4/10</f>
        <v>1</v>
      </c>
      <c r="Y4" s="18">
        <f t="shared" ref="Y4:Y55" si="8">P4/10</f>
        <v>1</v>
      </c>
      <c r="Z4" s="18">
        <f t="shared" ref="Z4:Z55" si="9">Q4/10</f>
        <v>1</v>
      </c>
      <c r="AA4" s="8">
        <f t="shared" ref="AA4:AA69" si="10">R4/10</f>
        <v>3</v>
      </c>
      <c r="AB4" s="8">
        <v>39.270000000000003</v>
      </c>
      <c r="AC4" s="8">
        <v>52.462499999999999</v>
      </c>
      <c r="AD4" s="8">
        <v>72.64</v>
      </c>
      <c r="AE4" s="9">
        <f t="shared" ref="AE4:AE69" si="11">(J4*AB4)+(N4*AC4)+(AD4*S4)</f>
        <v>11270.747500000001</v>
      </c>
      <c r="AF4" s="21">
        <v>6.5000000000000002E-2</v>
      </c>
      <c r="AG4" s="10">
        <f t="shared" ref="AG4:AG55" si="12">AE4*AF4</f>
        <v>732.59858750000012</v>
      </c>
      <c r="AH4" s="64">
        <f t="shared" ref="AH4:AH69" si="13">(AB4*J4)*$AH$1</f>
        <v>82.467000000000013</v>
      </c>
      <c r="AI4" s="9">
        <f t="shared" ref="AI4:AI69" si="14">AE4-AG4</f>
        <v>10538.148912500001</v>
      </c>
      <c r="AJ4" s="5">
        <v>0.18</v>
      </c>
      <c r="AK4" s="11">
        <f t="shared" ref="AK4:AK69" si="15">AI4*AJ4</f>
        <v>1896.8668042500001</v>
      </c>
      <c r="AL4" s="9">
        <f t="shared" ref="AL4:AL69" si="16">AI4+AK4</f>
        <v>12435.01571675</v>
      </c>
      <c r="AM4" s="12"/>
      <c r="AN4" s="12"/>
      <c r="AO4" s="6"/>
      <c r="AP4" s="12"/>
    </row>
    <row r="5" spans="1:42" x14ac:dyDescent="0.35">
      <c r="A5" s="71">
        <v>46174</v>
      </c>
      <c r="B5" s="72" t="s">
        <v>67</v>
      </c>
      <c r="C5" s="73">
        <v>1013</v>
      </c>
      <c r="D5" s="73">
        <v>38546</v>
      </c>
      <c r="E5" s="62" t="s">
        <v>68</v>
      </c>
      <c r="F5" s="73" t="s">
        <v>78</v>
      </c>
      <c r="G5" s="76" t="s">
        <v>83</v>
      </c>
      <c r="H5" s="73" t="s">
        <v>80</v>
      </c>
      <c r="I5" s="62" t="s">
        <v>85</v>
      </c>
      <c r="J5" s="67">
        <v>40</v>
      </c>
      <c r="K5" s="18">
        <v>8</v>
      </c>
      <c r="L5" s="18">
        <v>6</v>
      </c>
      <c r="M5" s="18">
        <v>7</v>
      </c>
      <c r="N5" s="8">
        <f t="shared" si="1"/>
        <v>21</v>
      </c>
      <c r="O5" s="18">
        <v>15</v>
      </c>
      <c r="P5" s="18">
        <v>7</v>
      </c>
      <c r="Q5" s="18">
        <v>5</v>
      </c>
      <c r="R5" s="8">
        <f t="shared" si="0"/>
        <v>27</v>
      </c>
      <c r="S5" s="18">
        <f t="shared" si="2"/>
        <v>88</v>
      </c>
      <c r="T5" s="18">
        <f t="shared" si="3"/>
        <v>0.8</v>
      </c>
      <c r="U5" s="18">
        <f t="shared" si="4"/>
        <v>0.6</v>
      </c>
      <c r="V5" s="18">
        <f t="shared" si="5"/>
        <v>0.7</v>
      </c>
      <c r="W5" s="8">
        <f t="shared" si="6"/>
        <v>2.1</v>
      </c>
      <c r="X5" s="18">
        <f t="shared" si="7"/>
        <v>1.5</v>
      </c>
      <c r="Y5" s="18">
        <f t="shared" si="8"/>
        <v>0.7</v>
      </c>
      <c r="Z5" s="18">
        <f t="shared" si="9"/>
        <v>0.5</v>
      </c>
      <c r="AA5" s="8">
        <f t="shared" si="10"/>
        <v>2.7</v>
      </c>
      <c r="AB5" s="8">
        <v>39.270000000000003</v>
      </c>
      <c r="AC5" s="8">
        <v>52.462499999999999</v>
      </c>
      <c r="AD5" s="8">
        <v>72.64</v>
      </c>
      <c r="AE5" s="9">
        <f t="shared" si="11"/>
        <v>9064.8325000000004</v>
      </c>
      <c r="AF5" s="21">
        <v>6.5000000000000002E-2</v>
      </c>
      <c r="AG5" s="10">
        <f t="shared" si="12"/>
        <v>589.21411250000006</v>
      </c>
      <c r="AH5" s="64">
        <f t="shared" si="13"/>
        <v>54.978000000000009</v>
      </c>
      <c r="AI5" s="9">
        <f t="shared" si="14"/>
        <v>8475.6183875000006</v>
      </c>
      <c r="AJ5" s="5">
        <v>0.18</v>
      </c>
      <c r="AK5" s="11">
        <f t="shared" si="15"/>
        <v>1525.6113097500001</v>
      </c>
      <c r="AL5" s="9">
        <f t="shared" si="16"/>
        <v>10001.229697250001</v>
      </c>
      <c r="AM5" s="12"/>
      <c r="AN5" s="12"/>
      <c r="AO5" s="6"/>
      <c r="AP5" s="12"/>
    </row>
    <row r="6" spans="1:42" x14ac:dyDescent="0.35">
      <c r="A6" s="71">
        <v>46174</v>
      </c>
      <c r="B6" s="72" t="s">
        <v>67</v>
      </c>
      <c r="C6" s="73">
        <v>1014</v>
      </c>
      <c r="D6" s="73">
        <v>12568</v>
      </c>
      <c r="E6" s="62" t="s">
        <v>68</v>
      </c>
      <c r="F6" s="73" t="s">
        <v>70</v>
      </c>
      <c r="G6" s="76" t="s">
        <v>84</v>
      </c>
      <c r="H6" s="73" t="s">
        <v>80</v>
      </c>
      <c r="I6" s="62" t="s">
        <v>85</v>
      </c>
      <c r="J6" s="67">
        <v>40</v>
      </c>
      <c r="K6" s="20">
        <v>8</v>
      </c>
      <c r="L6" s="20">
        <v>4</v>
      </c>
      <c r="M6" s="20">
        <v>3</v>
      </c>
      <c r="N6" s="8">
        <f t="shared" si="1"/>
        <v>15</v>
      </c>
      <c r="O6" s="20">
        <v>10</v>
      </c>
      <c r="P6" s="20">
        <v>10</v>
      </c>
      <c r="Q6" s="18">
        <v>15</v>
      </c>
      <c r="R6" s="8">
        <f t="shared" si="0"/>
        <v>35</v>
      </c>
      <c r="S6" s="18">
        <f t="shared" si="2"/>
        <v>90</v>
      </c>
      <c r="T6" s="18">
        <f t="shared" si="3"/>
        <v>0.8</v>
      </c>
      <c r="U6" s="18">
        <f t="shared" si="4"/>
        <v>0.4</v>
      </c>
      <c r="V6" s="18">
        <f t="shared" si="5"/>
        <v>0.3</v>
      </c>
      <c r="W6" s="8">
        <f t="shared" si="6"/>
        <v>1.5</v>
      </c>
      <c r="X6" s="18">
        <f t="shared" si="7"/>
        <v>1</v>
      </c>
      <c r="Y6" s="18">
        <f t="shared" si="8"/>
        <v>1</v>
      </c>
      <c r="Z6" s="18">
        <f t="shared" si="9"/>
        <v>1.5</v>
      </c>
      <c r="AA6" s="8">
        <f t="shared" si="10"/>
        <v>3.5</v>
      </c>
      <c r="AB6" s="8">
        <v>39.270000000000003</v>
      </c>
      <c r="AC6" s="8">
        <v>52.462499999999999</v>
      </c>
      <c r="AD6" s="8">
        <v>72.64</v>
      </c>
      <c r="AE6" s="9">
        <f t="shared" si="11"/>
        <v>8895.3375000000015</v>
      </c>
      <c r="AF6" s="21">
        <v>6.5000000000000002E-2</v>
      </c>
      <c r="AG6" s="10">
        <f t="shared" si="12"/>
        <v>578.1969375000001</v>
      </c>
      <c r="AH6" s="64">
        <f t="shared" si="13"/>
        <v>54.978000000000009</v>
      </c>
      <c r="AI6" s="9">
        <f t="shared" si="14"/>
        <v>8317.1405625000007</v>
      </c>
      <c r="AJ6" s="5">
        <v>0.18</v>
      </c>
      <c r="AK6" s="11">
        <f t="shared" si="15"/>
        <v>1497.0853012500002</v>
      </c>
      <c r="AL6" s="9">
        <f t="shared" si="16"/>
        <v>9814.2258637500017</v>
      </c>
      <c r="AM6" s="12"/>
      <c r="AN6" s="12"/>
      <c r="AO6" s="6"/>
      <c r="AP6" s="12"/>
    </row>
    <row r="7" spans="1:42" ht="15" thickBot="1" x14ac:dyDescent="0.4">
      <c r="A7" s="71">
        <v>46175</v>
      </c>
      <c r="B7" s="72" t="s">
        <v>67</v>
      </c>
      <c r="C7" s="73">
        <v>1015</v>
      </c>
      <c r="D7" s="73">
        <v>68501</v>
      </c>
      <c r="E7" s="62" t="s">
        <v>68</v>
      </c>
      <c r="F7" s="73" t="s">
        <v>70</v>
      </c>
      <c r="G7" s="76" t="s">
        <v>91</v>
      </c>
      <c r="H7" s="73" t="s">
        <v>89</v>
      </c>
      <c r="I7" s="62" t="s">
        <v>122</v>
      </c>
      <c r="J7" s="68">
        <v>40</v>
      </c>
      <c r="K7" s="20">
        <v>40</v>
      </c>
      <c r="L7" s="20">
        <v>44</v>
      </c>
      <c r="M7" s="20">
        <v>22</v>
      </c>
      <c r="N7" s="8">
        <f t="shared" si="1"/>
        <v>106</v>
      </c>
      <c r="O7" s="18">
        <v>27</v>
      </c>
      <c r="P7" s="18">
        <v>30</v>
      </c>
      <c r="Q7" s="18">
        <v>40</v>
      </c>
      <c r="R7" s="8">
        <f t="shared" si="0"/>
        <v>97</v>
      </c>
      <c r="S7" s="18">
        <f t="shared" si="2"/>
        <v>243</v>
      </c>
      <c r="T7" s="18">
        <f t="shared" si="3"/>
        <v>4</v>
      </c>
      <c r="U7" s="18">
        <f t="shared" si="4"/>
        <v>4.4000000000000004</v>
      </c>
      <c r="V7" s="18">
        <f t="shared" si="5"/>
        <v>2.2000000000000002</v>
      </c>
      <c r="W7" s="8">
        <f t="shared" si="6"/>
        <v>10.6</v>
      </c>
      <c r="X7" s="18">
        <f t="shared" si="7"/>
        <v>2.7</v>
      </c>
      <c r="Y7" s="18">
        <f t="shared" si="8"/>
        <v>3</v>
      </c>
      <c r="Z7" s="18">
        <f t="shared" si="9"/>
        <v>4</v>
      </c>
      <c r="AA7" s="8">
        <f t="shared" si="10"/>
        <v>9.6999999999999993</v>
      </c>
      <c r="AB7" s="8">
        <v>39.270000000000003</v>
      </c>
      <c r="AC7" s="8">
        <v>52.462499999999999</v>
      </c>
      <c r="AD7" s="8">
        <v>72.64</v>
      </c>
      <c r="AE7" s="9">
        <f t="shared" si="11"/>
        <v>24783.345000000001</v>
      </c>
      <c r="AF7" s="21">
        <v>6.5000000000000002E-2</v>
      </c>
      <c r="AG7" s="10">
        <f>AE7*AF7</f>
        <v>1610.9174250000001</v>
      </c>
      <c r="AH7" s="64">
        <f t="shared" si="13"/>
        <v>54.978000000000009</v>
      </c>
      <c r="AI7" s="9">
        <f t="shared" si="14"/>
        <v>23172.427575000002</v>
      </c>
      <c r="AJ7" s="5">
        <v>0.18</v>
      </c>
      <c r="AK7" s="11">
        <f t="shared" si="15"/>
        <v>4171.0369634999997</v>
      </c>
      <c r="AL7" s="9">
        <f t="shared" si="16"/>
        <v>27343.4645385</v>
      </c>
      <c r="AM7" s="13" t="e">
        <f>SUM(#REF!)</f>
        <v>#REF!</v>
      </c>
      <c r="AN7" s="13" t="e">
        <f>SUM(#REF!)</f>
        <v>#REF!</v>
      </c>
      <c r="AO7" s="13" t="e">
        <f>SUM(#REF!)</f>
        <v>#REF!</v>
      </c>
      <c r="AP7" s="12"/>
    </row>
    <row r="8" spans="1:42" x14ac:dyDescent="0.35">
      <c r="A8" s="71">
        <v>46175</v>
      </c>
      <c r="B8" s="72" t="s">
        <v>67</v>
      </c>
      <c r="C8" s="73">
        <v>1016</v>
      </c>
      <c r="D8" s="73">
        <v>98453</v>
      </c>
      <c r="E8" s="62" t="s">
        <v>68</v>
      </c>
      <c r="F8" s="73" t="s">
        <v>78</v>
      </c>
      <c r="G8" s="76" t="s">
        <v>92</v>
      </c>
      <c r="H8" s="73" t="s">
        <v>89</v>
      </c>
      <c r="I8" s="62" t="s">
        <v>122</v>
      </c>
      <c r="J8" s="68">
        <v>0</v>
      </c>
      <c r="K8" s="18">
        <v>0</v>
      </c>
      <c r="L8" s="18">
        <v>0</v>
      </c>
      <c r="M8" s="18">
        <v>0</v>
      </c>
      <c r="N8" s="8">
        <f t="shared" si="1"/>
        <v>0</v>
      </c>
      <c r="O8" s="18">
        <v>0</v>
      </c>
      <c r="P8" s="18">
        <v>0</v>
      </c>
      <c r="Q8" s="18">
        <v>0</v>
      </c>
      <c r="R8" s="8">
        <f t="shared" si="0"/>
        <v>0</v>
      </c>
      <c r="S8" s="18">
        <f t="shared" si="2"/>
        <v>0</v>
      </c>
      <c r="T8" s="18">
        <f t="shared" si="3"/>
        <v>0</v>
      </c>
      <c r="U8" s="18">
        <f t="shared" si="4"/>
        <v>0</v>
      </c>
      <c r="V8" s="18">
        <f t="shared" si="5"/>
        <v>0</v>
      </c>
      <c r="W8" s="8">
        <f t="shared" si="6"/>
        <v>0</v>
      </c>
      <c r="X8" s="18">
        <f t="shared" si="7"/>
        <v>0</v>
      </c>
      <c r="Y8" s="18">
        <f t="shared" si="8"/>
        <v>0</v>
      </c>
      <c r="Z8" s="18">
        <f t="shared" si="9"/>
        <v>0</v>
      </c>
      <c r="AA8" s="8">
        <f t="shared" si="10"/>
        <v>0</v>
      </c>
      <c r="AB8" s="8">
        <v>39.270000000000003</v>
      </c>
      <c r="AC8" s="8">
        <v>52.462499999999999</v>
      </c>
      <c r="AD8" s="8">
        <v>72.64</v>
      </c>
      <c r="AE8" s="9">
        <f t="shared" si="11"/>
        <v>0</v>
      </c>
      <c r="AF8" s="21">
        <v>6.5000000000000002E-2</v>
      </c>
      <c r="AG8" s="10">
        <f t="shared" si="12"/>
        <v>0</v>
      </c>
      <c r="AH8" s="64">
        <f t="shared" si="13"/>
        <v>0</v>
      </c>
      <c r="AI8" s="9">
        <f t="shared" si="14"/>
        <v>0</v>
      </c>
      <c r="AJ8" s="5">
        <v>0.18</v>
      </c>
      <c r="AK8" s="11">
        <f t="shared" si="15"/>
        <v>0</v>
      </c>
      <c r="AL8" s="9">
        <f t="shared" si="16"/>
        <v>0</v>
      </c>
      <c r="AN8"/>
      <c r="AP8" s="12"/>
    </row>
    <row r="9" spans="1:42" x14ac:dyDescent="0.35">
      <c r="A9" s="71">
        <v>46175</v>
      </c>
      <c r="B9" s="72" t="s">
        <v>67</v>
      </c>
      <c r="C9" s="73">
        <v>1017</v>
      </c>
      <c r="D9" s="73">
        <v>78543</v>
      </c>
      <c r="E9" s="62" t="s">
        <v>68</v>
      </c>
      <c r="F9" s="73" t="s">
        <v>87</v>
      </c>
      <c r="G9" s="76" t="s">
        <v>93</v>
      </c>
      <c r="H9" s="73" t="s">
        <v>77</v>
      </c>
      <c r="I9" s="62" t="s">
        <v>123</v>
      </c>
      <c r="J9" s="68">
        <v>0</v>
      </c>
      <c r="K9" s="18">
        <v>12</v>
      </c>
      <c r="L9" s="18">
        <v>5</v>
      </c>
      <c r="M9" s="18">
        <v>6</v>
      </c>
      <c r="N9" s="8">
        <f t="shared" si="1"/>
        <v>23</v>
      </c>
      <c r="O9" s="18">
        <v>5</v>
      </c>
      <c r="P9" s="18">
        <v>3</v>
      </c>
      <c r="Q9" s="18">
        <v>15</v>
      </c>
      <c r="R9" s="8">
        <f t="shared" si="0"/>
        <v>23</v>
      </c>
      <c r="S9" s="18">
        <f t="shared" si="2"/>
        <v>46</v>
      </c>
      <c r="T9" s="18">
        <f t="shared" si="3"/>
        <v>1.2</v>
      </c>
      <c r="U9" s="18">
        <f t="shared" si="4"/>
        <v>0.5</v>
      </c>
      <c r="V9" s="18">
        <f t="shared" si="5"/>
        <v>0.6</v>
      </c>
      <c r="W9" s="8">
        <f t="shared" si="6"/>
        <v>2.2999999999999998</v>
      </c>
      <c r="X9" s="18">
        <f t="shared" si="7"/>
        <v>0.5</v>
      </c>
      <c r="Y9" s="18">
        <f t="shared" si="8"/>
        <v>0.3</v>
      </c>
      <c r="Z9" s="18">
        <f t="shared" si="9"/>
        <v>1.5</v>
      </c>
      <c r="AA9" s="8">
        <f t="shared" si="10"/>
        <v>2.2999999999999998</v>
      </c>
      <c r="AB9" s="8">
        <v>39.270000000000003</v>
      </c>
      <c r="AC9" s="8">
        <v>52.462499999999999</v>
      </c>
      <c r="AD9" s="8">
        <v>72.64</v>
      </c>
      <c r="AE9" s="9">
        <f t="shared" si="11"/>
        <v>4548.0775000000003</v>
      </c>
      <c r="AF9" s="21">
        <v>0.1</v>
      </c>
      <c r="AG9" s="10">
        <f t="shared" si="12"/>
        <v>454.80775000000006</v>
      </c>
      <c r="AH9" s="64">
        <f t="shared" si="13"/>
        <v>0</v>
      </c>
      <c r="AI9" s="9">
        <f t="shared" si="14"/>
        <v>4093.2697500000004</v>
      </c>
      <c r="AJ9" s="5">
        <v>0.18</v>
      </c>
      <c r="AK9" s="11">
        <f t="shared" si="15"/>
        <v>736.78855500000009</v>
      </c>
      <c r="AL9" s="9">
        <f t="shared" si="16"/>
        <v>4830.0583050000005</v>
      </c>
      <c r="AN9"/>
      <c r="AP9" s="12"/>
    </row>
    <row r="10" spans="1:42" x14ac:dyDescent="0.35">
      <c r="A10" s="71">
        <v>46175</v>
      </c>
      <c r="B10" s="72" t="s">
        <v>67</v>
      </c>
      <c r="C10" s="73">
        <v>1018</v>
      </c>
      <c r="D10" s="73">
        <v>15313</v>
      </c>
      <c r="E10" s="62" t="s">
        <v>68</v>
      </c>
      <c r="F10" s="73" t="s">
        <v>88</v>
      </c>
      <c r="G10" s="76" t="s">
        <v>94</v>
      </c>
      <c r="H10" s="73" t="s">
        <v>77</v>
      </c>
      <c r="I10" s="62" t="s">
        <v>123</v>
      </c>
      <c r="J10" s="68">
        <v>0</v>
      </c>
      <c r="K10" s="18">
        <v>12</v>
      </c>
      <c r="L10" s="18">
        <v>15</v>
      </c>
      <c r="M10" s="18">
        <v>4</v>
      </c>
      <c r="N10" s="8">
        <f t="shared" si="1"/>
        <v>31</v>
      </c>
      <c r="O10" s="18">
        <v>10</v>
      </c>
      <c r="P10" s="18">
        <v>7</v>
      </c>
      <c r="Q10" s="18">
        <v>5</v>
      </c>
      <c r="R10" s="8">
        <f t="shared" si="0"/>
        <v>22</v>
      </c>
      <c r="S10" s="18">
        <f t="shared" si="2"/>
        <v>53</v>
      </c>
      <c r="T10" s="18">
        <f t="shared" si="3"/>
        <v>1.2</v>
      </c>
      <c r="U10" s="18">
        <f t="shared" si="4"/>
        <v>1.5</v>
      </c>
      <c r="V10" s="18">
        <f t="shared" si="5"/>
        <v>0.4</v>
      </c>
      <c r="W10" s="8">
        <f t="shared" si="6"/>
        <v>3.1</v>
      </c>
      <c r="X10" s="18">
        <f t="shared" si="7"/>
        <v>1</v>
      </c>
      <c r="Y10" s="18">
        <f t="shared" si="8"/>
        <v>0.7</v>
      </c>
      <c r="Z10" s="18">
        <f t="shared" si="9"/>
        <v>0.5</v>
      </c>
      <c r="AA10" s="8">
        <f t="shared" si="10"/>
        <v>2.2000000000000002</v>
      </c>
      <c r="AB10" s="8">
        <v>39.270000000000003</v>
      </c>
      <c r="AC10" s="8">
        <v>52.462499999999999</v>
      </c>
      <c r="AD10" s="8">
        <v>72.64</v>
      </c>
      <c r="AE10" s="9">
        <f t="shared" si="11"/>
        <v>5476.2574999999997</v>
      </c>
      <c r="AF10" s="21">
        <v>6.5000000000000002E-2</v>
      </c>
      <c r="AG10" s="10">
        <f t="shared" si="12"/>
        <v>355.95673749999997</v>
      </c>
      <c r="AH10" s="64">
        <f t="shared" si="13"/>
        <v>0</v>
      </c>
      <c r="AI10" s="9">
        <f t="shared" si="14"/>
        <v>5120.3007625</v>
      </c>
      <c r="AJ10" s="5">
        <v>0.18</v>
      </c>
      <c r="AK10" s="11">
        <f t="shared" si="15"/>
        <v>921.65413724999996</v>
      </c>
      <c r="AL10" s="9">
        <f t="shared" si="16"/>
        <v>6041.9548997499996</v>
      </c>
      <c r="AP10" s="12"/>
    </row>
    <row r="11" spans="1:42" x14ac:dyDescent="0.35">
      <c r="A11" s="71">
        <v>46175</v>
      </c>
      <c r="B11" s="72" t="s">
        <v>67</v>
      </c>
      <c r="C11" s="73">
        <v>1019</v>
      </c>
      <c r="D11" s="73">
        <v>46763</v>
      </c>
      <c r="E11" s="62" t="s">
        <v>68</v>
      </c>
      <c r="F11" s="73" t="s">
        <v>70</v>
      </c>
      <c r="G11" s="76" t="s">
        <v>95</v>
      </c>
      <c r="H11" s="73" t="s">
        <v>90</v>
      </c>
      <c r="I11" s="62" t="s">
        <v>97</v>
      </c>
      <c r="J11" s="68">
        <v>0</v>
      </c>
      <c r="K11" s="20">
        <v>10</v>
      </c>
      <c r="L11" s="20">
        <v>10</v>
      </c>
      <c r="M11" s="20">
        <v>5</v>
      </c>
      <c r="N11" s="8">
        <f t="shared" si="1"/>
        <v>25</v>
      </c>
      <c r="O11" s="20">
        <v>7</v>
      </c>
      <c r="P11" s="18">
        <v>7</v>
      </c>
      <c r="Q11" s="20">
        <v>6</v>
      </c>
      <c r="R11" s="8">
        <f t="shared" si="0"/>
        <v>20</v>
      </c>
      <c r="S11" s="18">
        <f t="shared" si="2"/>
        <v>45</v>
      </c>
      <c r="T11" s="18">
        <f t="shared" si="3"/>
        <v>1</v>
      </c>
      <c r="U11" s="18">
        <f t="shared" si="4"/>
        <v>1</v>
      </c>
      <c r="V11" s="18">
        <f t="shared" si="5"/>
        <v>0.5</v>
      </c>
      <c r="W11" s="8">
        <f t="shared" si="6"/>
        <v>2.5</v>
      </c>
      <c r="X11" s="18">
        <f t="shared" si="7"/>
        <v>0.7</v>
      </c>
      <c r="Y11" s="18">
        <f t="shared" si="8"/>
        <v>0.7</v>
      </c>
      <c r="Z11" s="18">
        <f t="shared" si="9"/>
        <v>0.6</v>
      </c>
      <c r="AA11" s="8">
        <f t="shared" si="10"/>
        <v>2</v>
      </c>
      <c r="AB11" s="8">
        <v>39.270000000000003</v>
      </c>
      <c r="AC11" s="8">
        <v>52.462499999999999</v>
      </c>
      <c r="AD11" s="8">
        <v>72.64</v>
      </c>
      <c r="AE11" s="9">
        <f t="shared" si="11"/>
        <v>4580.3625000000002</v>
      </c>
      <c r="AF11" s="21">
        <v>6.5000000000000002E-2</v>
      </c>
      <c r="AG11" s="10">
        <f t="shared" si="12"/>
        <v>297.72356250000001</v>
      </c>
      <c r="AH11" s="64">
        <f t="shared" si="13"/>
        <v>0</v>
      </c>
      <c r="AI11" s="9">
        <f t="shared" si="14"/>
        <v>4282.6389374999999</v>
      </c>
      <c r="AJ11" s="5">
        <v>0.18</v>
      </c>
      <c r="AK11" s="11">
        <f t="shared" si="15"/>
        <v>770.87500875000001</v>
      </c>
      <c r="AL11" s="9">
        <f t="shared" si="16"/>
        <v>5053.5139462500001</v>
      </c>
      <c r="AP11" s="12"/>
    </row>
    <row r="12" spans="1:42" x14ac:dyDescent="0.35">
      <c r="A12" s="71">
        <v>46175</v>
      </c>
      <c r="B12" s="72" t="s">
        <v>67</v>
      </c>
      <c r="C12" s="73">
        <v>1020</v>
      </c>
      <c r="D12" s="73">
        <v>45612</v>
      </c>
      <c r="E12" s="62" t="s">
        <v>68</v>
      </c>
      <c r="F12" s="73" t="s">
        <v>78</v>
      </c>
      <c r="G12" s="76" t="s">
        <v>96</v>
      </c>
      <c r="H12" s="73" t="s">
        <v>90</v>
      </c>
      <c r="I12" s="62" t="s">
        <v>97</v>
      </c>
      <c r="J12" s="68">
        <v>0</v>
      </c>
      <c r="K12" s="18">
        <v>10</v>
      </c>
      <c r="L12" s="20">
        <v>10</v>
      </c>
      <c r="M12" s="18">
        <v>5</v>
      </c>
      <c r="N12" s="8">
        <f t="shared" si="1"/>
        <v>25</v>
      </c>
      <c r="O12" s="20">
        <v>8</v>
      </c>
      <c r="P12" s="20">
        <v>5</v>
      </c>
      <c r="Q12" s="20">
        <v>5</v>
      </c>
      <c r="R12" s="8">
        <f t="shared" si="0"/>
        <v>18</v>
      </c>
      <c r="S12" s="18">
        <f t="shared" si="2"/>
        <v>43</v>
      </c>
      <c r="T12" s="18">
        <f t="shared" si="3"/>
        <v>1</v>
      </c>
      <c r="U12" s="18">
        <f t="shared" si="4"/>
        <v>1</v>
      </c>
      <c r="V12" s="18">
        <f t="shared" si="5"/>
        <v>0.5</v>
      </c>
      <c r="W12" s="8">
        <f t="shared" si="6"/>
        <v>2.5</v>
      </c>
      <c r="X12" s="18">
        <f t="shared" si="7"/>
        <v>0.8</v>
      </c>
      <c r="Y12" s="18">
        <f t="shared" si="8"/>
        <v>0.5</v>
      </c>
      <c r="Z12" s="18">
        <f t="shared" si="9"/>
        <v>0.5</v>
      </c>
      <c r="AA12" s="8">
        <f t="shared" si="10"/>
        <v>1.8</v>
      </c>
      <c r="AB12" s="8">
        <v>39.270000000000003</v>
      </c>
      <c r="AC12" s="8">
        <v>52.462499999999999</v>
      </c>
      <c r="AD12" s="8">
        <v>72.64</v>
      </c>
      <c r="AE12" s="9">
        <f t="shared" si="11"/>
        <v>4435.0825000000004</v>
      </c>
      <c r="AF12" s="21">
        <v>6.5000000000000002E-2</v>
      </c>
      <c r="AG12" s="10">
        <f t="shared" si="12"/>
        <v>288.28036250000002</v>
      </c>
      <c r="AH12" s="64">
        <f t="shared" si="13"/>
        <v>0</v>
      </c>
      <c r="AI12" s="9">
        <f t="shared" si="14"/>
        <v>4146.8021375000008</v>
      </c>
      <c r="AJ12" s="5">
        <v>0.18</v>
      </c>
      <c r="AK12" s="11">
        <f t="shared" si="15"/>
        <v>746.42438475000006</v>
      </c>
      <c r="AL12" s="9">
        <f t="shared" si="16"/>
        <v>4893.2265222500009</v>
      </c>
      <c r="AP12" s="12"/>
    </row>
    <row r="13" spans="1:42" x14ac:dyDescent="0.35">
      <c r="A13" s="71">
        <v>46176</v>
      </c>
      <c r="B13" s="72" t="s">
        <v>67</v>
      </c>
      <c r="C13" s="73">
        <v>1021</v>
      </c>
      <c r="D13" s="73">
        <v>46313</v>
      </c>
      <c r="E13" s="62" t="s">
        <v>68</v>
      </c>
      <c r="F13" s="73" t="s">
        <v>78</v>
      </c>
      <c r="G13" s="76" t="s">
        <v>118</v>
      </c>
      <c r="H13" s="73" t="s">
        <v>99</v>
      </c>
      <c r="I13" s="73" t="s">
        <v>116</v>
      </c>
      <c r="J13" s="68">
        <v>30</v>
      </c>
      <c r="K13" s="18">
        <v>5</v>
      </c>
      <c r="L13" s="18">
        <v>8</v>
      </c>
      <c r="M13" s="18">
        <v>13</v>
      </c>
      <c r="N13" s="8">
        <f t="shared" si="1"/>
        <v>26</v>
      </c>
      <c r="O13" s="20">
        <v>35</v>
      </c>
      <c r="P13" s="20">
        <v>38</v>
      </c>
      <c r="Q13" s="20">
        <v>28</v>
      </c>
      <c r="R13" s="8">
        <f t="shared" si="0"/>
        <v>101</v>
      </c>
      <c r="S13" s="18">
        <f t="shared" si="2"/>
        <v>157</v>
      </c>
      <c r="T13" s="18">
        <f t="shared" si="3"/>
        <v>0.5</v>
      </c>
      <c r="U13" s="18">
        <f t="shared" si="4"/>
        <v>0.8</v>
      </c>
      <c r="V13" s="18">
        <f t="shared" si="5"/>
        <v>1.3</v>
      </c>
      <c r="W13" s="8">
        <f t="shared" si="6"/>
        <v>2.6</v>
      </c>
      <c r="X13" s="18">
        <f t="shared" si="7"/>
        <v>3.5</v>
      </c>
      <c r="Y13" s="18">
        <f t="shared" si="8"/>
        <v>3.8</v>
      </c>
      <c r="Z13" s="18">
        <f t="shared" si="9"/>
        <v>2.8</v>
      </c>
      <c r="AA13" s="8">
        <f t="shared" si="10"/>
        <v>10.1</v>
      </c>
      <c r="AB13" s="8">
        <v>39.270000000000003</v>
      </c>
      <c r="AC13" s="8">
        <v>52.462499999999999</v>
      </c>
      <c r="AD13" s="8">
        <v>72.64</v>
      </c>
      <c r="AE13" s="9">
        <f t="shared" si="11"/>
        <v>13946.605</v>
      </c>
      <c r="AF13" s="21">
        <v>6.5000000000000002E-2</v>
      </c>
      <c r="AG13" s="10">
        <f t="shared" si="12"/>
        <v>906.52932499999997</v>
      </c>
      <c r="AH13" s="64">
        <f t="shared" si="13"/>
        <v>41.233500000000006</v>
      </c>
      <c r="AI13" s="9">
        <f t="shared" si="14"/>
        <v>13040.075675</v>
      </c>
      <c r="AJ13" s="5">
        <v>0.18</v>
      </c>
      <c r="AK13" s="11">
        <f t="shared" si="15"/>
        <v>2347.2136215</v>
      </c>
      <c r="AL13" s="9">
        <f t="shared" si="16"/>
        <v>15387.289296499999</v>
      </c>
      <c r="AP13" s="12"/>
    </row>
    <row r="14" spans="1:42" x14ac:dyDescent="0.35">
      <c r="A14" s="71">
        <v>46176</v>
      </c>
      <c r="B14" s="72" t="s">
        <v>67</v>
      </c>
      <c r="C14" s="73">
        <v>1022</v>
      </c>
      <c r="D14" s="73">
        <v>46415</v>
      </c>
      <c r="E14" s="62" t="s">
        <v>68</v>
      </c>
      <c r="F14" s="73" t="s">
        <v>98</v>
      </c>
      <c r="G14" s="76" t="s">
        <v>119</v>
      </c>
      <c r="H14" s="73" t="s">
        <v>99</v>
      </c>
      <c r="I14" s="73" t="s">
        <v>117</v>
      </c>
      <c r="J14" s="68">
        <v>20</v>
      </c>
      <c r="K14" s="18">
        <v>5</v>
      </c>
      <c r="L14" s="18">
        <v>12</v>
      </c>
      <c r="M14" s="18">
        <v>5</v>
      </c>
      <c r="N14" s="8">
        <f t="shared" si="1"/>
        <v>22</v>
      </c>
      <c r="O14" s="20">
        <v>45</v>
      </c>
      <c r="P14" s="20">
        <v>20</v>
      </c>
      <c r="Q14" s="20">
        <v>33</v>
      </c>
      <c r="R14" s="8">
        <f t="shared" si="0"/>
        <v>98</v>
      </c>
      <c r="S14" s="18">
        <f t="shared" si="2"/>
        <v>140</v>
      </c>
      <c r="T14" s="18">
        <f t="shared" si="3"/>
        <v>0.5</v>
      </c>
      <c r="U14" s="18">
        <f t="shared" si="4"/>
        <v>1.2</v>
      </c>
      <c r="V14" s="18">
        <f t="shared" si="5"/>
        <v>0.5</v>
      </c>
      <c r="W14" s="8">
        <f t="shared" si="6"/>
        <v>2.2000000000000002</v>
      </c>
      <c r="X14" s="18">
        <f t="shared" si="7"/>
        <v>4.5</v>
      </c>
      <c r="Y14" s="18">
        <f t="shared" si="8"/>
        <v>2</v>
      </c>
      <c r="Z14" s="18">
        <f t="shared" si="9"/>
        <v>3.3</v>
      </c>
      <c r="AA14" s="8">
        <f t="shared" si="10"/>
        <v>9.8000000000000007</v>
      </c>
      <c r="AB14" s="8">
        <v>39.270000000000003</v>
      </c>
      <c r="AC14" s="8">
        <v>52.462499999999999</v>
      </c>
      <c r="AD14" s="8">
        <v>72.64</v>
      </c>
      <c r="AE14" s="9">
        <f t="shared" si="11"/>
        <v>12109.175000000001</v>
      </c>
      <c r="AF14" s="21">
        <v>6.5000000000000002E-2</v>
      </c>
      <c r="AG14" s="10">
        <f t="shared" si="12"/>
        <v>787.09637500000008</v>
      </c>
      <c r="AH14" s="64">
        <f t="shared" si="13"/>
        <v>27.489000000000004</v>
      </c>
      <c r="AI14" s="9">
        <f t="shared" si="14"/>
        <v>11322.078625000002</v>
      </c>
      <c r="AJ14" s="5">
        <v>0.18</v>
      </c>
      <c r="AK14" s="11">
        <f t="shared" si="15"/>
        <v>2037.9741525000002</v>
      </c>
      <c r="AL14" s="9">
        <f t="shared" si="16"/>
        <v>13360.052777500003</v>
      </c>
      <c r="AP14" s="12"/>
    </row>
    <row r="15" spans="1:42" x14ac:dyDescent="0.35">
      <c r="A15" s="71">
        <v>46176</v>
      </c>
      <c r="B15" s="72" t="s">
        <v>67</v>
      </c>
      <c r="C15" s="73">
        <v>1023</v>
      </c>
      <c r="D15" s="73">
        <v>75643</v>
      </c>
      <c r="E15" s="62" t="s">
        <v>68</v>
      </c>
      <c r="F15" s="73" t="s">
        <v>98</v>
      </c>
      <c r="G15" s="76" t="s">
        <v>120</v>
      </c>
      <c r="H15" s="73" t="s">
        <v>77</v>
      </c>
      <c r="I15" s="62" t="s">
        <v>86</v>
      </c>
      <c r="J15" s="68">
        <v>25</v>
      </c>
      <c r="K15" s="20">
        <v>3</v>
      </c>
      <c r="L15" s="20">
        <v>12</v>
      </c>
      <c r="M15" s="20">
        <v>5</v>
      </c>
      <c r="N15" s="8">
        <f t="shared" si="1"/>
        <v>20</v>
      </c>
      <c r="O15" s="18">
        <v>20</v>
      </c>
      <c r="P15" s="18">
        <v>40</v>
      </c>
      <c r="Q15" s="18">
        <v>40</v>
      </c>
      <c r="R15" s="8">
        <f t="shared" si="0"/>
        <v>100</v>
      </c>
      <c r="S15" s="18">
        <f t="shared" si="2"/>
        <v>145</v>
      </c>
      <c r="T15" s="18">
        <f t="shared" si="3"/>
        <v>0.3</v>
      </c>
      <c r="U15" s="18">
        <f t="shared" si="4"/>
        <v>1.2</v>
      </c>
      <c r="V15" s="18">
        <f t="shared" si="5"/>
        <v>0.5</v>
      </c>
      <c r="W15" s="8">
        <f t="shared" si="6"/>
        <v>2</v>
      </c>
      <c r="X15" s="18">
        <f t="shared" si="7"/>
        <v>2</v>
      </c>
      <c r="Y15" s="18">
        <f t="shared" si="8"/>
        <v>4</v>
      </c>
      <c r="Z15" s="18">
        <f t="shared" si="9"/>
        <v>4</v>
      </c>
      <c r="AA15" s="8">
        <f t="shared" si="10"/>
        <v>10</v>
      </c>
      <c r="AB15" s="8">
        <v>39.270000000000003</v>
      </c>
      <c r="AC15" s="8">
        <v>52.462499999999999</v>
      </c>
      <c r="AD15" s="8">
        <v>72.64</v>
      </c>
      <c r="AE15" s="9">
        <f t="shared" si="11"/>
        <v>12563.8</v>
      </c>
      <c r="AF15" s="21">
        <v>6.5000000000000002E-2</v>
      </c>
      <c r="AG15" s="10">
        <f t="shared" si="12"/>
        <v>816.64699999999993</v>
      </c>
      <c r="AH15" s="64">
        <f t="shared" si="13"/>
        <v>34.361250000000005</v>
      </c>
      <c r="AI15" s="9">
        <f t="shared" si="14"/>
        <v>11747.152999999998</v>
      </c>
      <c r="AJ15" s="5">
        <v>0.18</v>
      </c>
      <c r="AK15" s="11">
        <f t="shared" si="15"/>
        <v>2114.4875399999996</v>
      </c>
      <c r="AL15" s="9">
        <f t="shared" si="16"/>
        <v>13861.640539999999</v>
      </c>
      <c r="AP15" s="12"/>
    </row>
    <row r="16" spans="1:42" x14ac:dyDescent="0.35">
      <c r="A16" s="71">
        <v>46176</v>
      </c>
      <c r="B16" s="72" t="s">
        <v>67</v>
      </c>
      <c r="C16" s="73">
        <v>1024</v>
      </c>
      <c r="D16" s="73">
        <v>15324</v>
      </c>
      <c r="E16" s="62" t="s">
        <v>68</v>
      </c>
      <c r="F16" s="73" t="s">
        <v>78</v>
      </c>
      <c r="G16" s="76" t="s">
        <v>121</v>
      </c>
      <c r="H16" s="73" t="s">
        <v>77</v>
      </c>
      <c r="I16" s="62" t="s">
        <v>86</v>
      </c>
      <c r="J16" s="68">
        <v>25</v>
      </c>
      <c r="K16" s="18">
        <v>7</v>
      </c>
      <c r="L16" s="18">
        <v>18</v>
      </c>
      <c r="M16" s="18">
        <v>15</v>
      </c>
      <c r="N16" s="8">
        <f t="shared" si="1"/>
        <v>40</v>
      </c>
      <c r="O16" s="18">
        <v>40</v>
      </c>
      <c r="P16" s="20">
        <v>22</v>
      </c>
      <c r="Q16" s="20">
        <v>42</v>
      </c>
      <c r="R16" s="8">
        <f t="shared" si="0"/>
        <v>104</v>
      </c>
      <c r="S16" s="18">
        <f t="shared" si="2"/>
        <v>169</v>
      </c>
      <c r="T16" s="18">
        <f t="shared" si="3"/>
        <v>0.7</v>
      </c>
      <c r="U16" s="18">
        <f t="shared" si="4"/>
        <v>1.8</v>
      </c>
      <c r="V16" s="18">
        <f t="shared" si="5"/>
        <v>1.5</v>
      </c>
      <c r="W16" s="8">
        <f t="shared" si="6"/>
        <v>4</v>
      </c>
      <c r="X16" s="18">
        <f t="shared" si="7"/>
        <v>4</v>
      </c>
      <c r="Y16" s="18">
        <f t="shared" si="8"/>
        <v>2.2000000000000002</v>
      </c>
      <c r="Z16" s="18">
        <f t="shared" si="9"/>
        <v>4.2</v>
      </c>
      <c r="AA16" s="8">
        <f t="shared" si="10"/>
        <v>10.4</v>
      </c>
      <c r="AB16" s="8">
        <v>39.270000000000003</v>
      </c>
      <c r="AC16" s="8">
        <v>52.462499999999999</v>
      </c>
      <c r="AD16" s="8">
        <v>72.64</v>
      </c>
      <c r="AE16" s="9">
        <f t="shared" si="11"/>
        <v>15356.41</v>
      </c>
      <c r="AF16" s="21">
        <v>6.5000000000000002E-2</v>
      </c>
      <c r="AG16" s="10">
        <f t="shared" si="12"/>
        <v>998.16665</v>
      </c>
      <c r="AH16" s="64">
        <f t="shared" si="13"/>
        <v>34.361250000000005</v>
      </c>
      <c r="AI16" s="9">
        <f t="shared" si="14"/>
        <v>14358.243350000001</v>
      </c>
      <c r="AJ16" s="5">
        <v>0.18</v>
      </c>
      <c r="AK16" s="11">
        <f t="shared" si="15"/>
        <v>2584.4838030000001</v>
      </c>
      <c r="AL16" s="9">
        <f t="shared" si="16"/>
        <v>16942.727153</v>
      </c>
      <c r="AP16" s="12"/>
    </row>
    <row r="17" spans="1:42" x14ac:dyDescent="0.35">
      <c r="A17" s="71">
        <v>46176</v>
      </c>
      <c r="B17" s="72" t="s">
        <v>67</v>
      </c>
      <c r="C17" s="73">
        <v>1025</v>
      </c>
      <c r="D17" s="73">
        <v>76845</v>
      </c>
      <c r="E17" s="62" t="s">
        <v>68</v>
      </c>
      <c r="F17" s="73" t="s">
        <v>108</v>
      </c>
      <c r="G17" s="76" t="s">
        <v>125</v>
      </c>
      <c r="H17" s="73" t="s">
        <v>79</v>
      </c>
      <c r="I17" s="62" t="s">
        <v>124</v>
      </c>
      <c r="J17" s="68">
        <v>15</v>
      </c>
      <c r="K17" s="20">
        <v>10</v>
      </c>
      <c r="L17" s="20">
        <v>5</v>
      </c>
      <c r="M17" s="20">
        <v>3</v>
      </c>
      <c r="N17" s="8">
        <f t="shared" si="1"/>
        <v>18</v>
      </c>
      <c r="O17" s="18">
        <v>30</v>
      </c>
      <c r="P17" s="20">
        <v>32</v>
      </c>
      <c r="Q17" s="20">
        <v>13</v>
      </c>
      <c r="R17" s="8">
        <f t="shared" si="0"/>
        <v>75</v>
      </c>
      <c r="S17" s="18">
        <f t="shared" si="2"/>
        <v>108</v>
      </c>
      <c r="T17" s="18">
        <f t="shared" si="3"/>
        <v>1</v>
      </c>
      <c r="U17" s="18">
        <f t="shared" si="4"/>
        <v>0.5</v>
      </c>
      <c r="V17" s="18">
        <f t="shared" si="5"/>
        <v>0.3</v>
      </c>
      <c r="W17" s="8">
        <f t="shared" si="6"/>
        <v>1.8</v>
      </c>
      <c r="X17" s="18">
        <f t="shared" si="7"/>
        <v>3</v>
      </c>
      <c r="Y17" s="18">
        <f t="shared" si="8"/>
        <v>3.2</v>
      </c>
      <c r="Z17" s="18">
        <f t="shared" si="9"/>
        <v>1.3</v>
      </c>
      <c r="AA17" s="8">
        <f t="shared" si="10"/>
        <v>7.5</v>
      </c>
      <c r="AB17" s="8">
        <v>39.270000000000003</v>
      </c>
      <c r="AC17" s="8">
        <v>52.462499999999999</v>
      </c>
      <c r="AD17" s="8">
        <v>72.64</v>
      </c>
      <c r="AE17" s="9">
        <f t="shared" si="11"/>
        <v>9378.494999999999</v>
      </c>
      <c r="AF17" s="21">
        <v>6.5000000000000002E-2</v>
      </c>
      <c r="AG17" s="10">
        <f t="shared" si="12"/>
        <v>609.60217499999999</v>
      </c>
      <c r="AH17" s="64">
        <f t="shared" si="13"/>
        <v>20.616750000000003</v>
      </c>
      <c r="AI17" s="9">
        <f t="shared" si="14"/>
        <v>8768.892824999999</v>
      </c>
      <c r="AJ17" s="5">
        <v>0.18</v>
      </c>
      <c r="AK17" s="11">
        <f t="shared" si="15"/>
        <v>1578.4007084999998</v>
      </c>
      <c r="AL17" s="9">
        <f t="shared" si="16"/>
        <v>10347.293533499998</v>
      </c>
      <c r="AP17" s="12"/>
    </row>
    <row r="18" spans="1:42" x14ac:dyDescent="0.35">
      <c r="A18" s="71">
        <v>46176</v>
      </c>
      <c r="B18" s="72" t="s">
        <v>67</v>
      </c>
      <c r="C18" s="73">
        <v>1026</v>
      </c>
      <c r="D18" s="73">
        <v>45313</v>
      </c>
      <c r="E18" s="62" t="s">
        <v>68</v>
      </c>
      <c r="F18" s="73" t="s">
        <v>98</v>
      </c>
      <c r="G18" s="76" t="s">
        <v>126</v>
      </c>
      <c r="H18" s="73" t="s">
        <v>79</v>
      </c>
      <c r="I18" s="62" t="s">
        <v>124</v>
      </c>
      <c r="J18" s="68">
        <v>15</v>
      </c>
      <c r="K18" s="20">
        <v>10</v>
      </c>
      <c r="L18" s="20">
        <v>25</v>
      </c>
      <c r="M18" s="20">
        <v>7</v>
      </c>
      <c r="N18" s="8">
        <f t="shared" si="1"/>
        <v>42</v>
      </c>
      <c r="O18" s="18">
        <v>30</v>
      </c>
      <c r="P18" s="20">
        <v>30</v>
      </c>
      <c r="Q18" s="18">
        <v>50</v>
      </c>
      <c r="R18" s="8">
        <f t="shared" si="0"/>
        <v>110</v>
      </c>
      <c r="S18" s="18">
        <f t="shared" si="2"/>
        <v>167</v>
      </c>
      <c r="T18" s="18">
        <f t="shared" si="3"/>
        <v>1</v>
      </c>
      <c r="U18" s="18">
        <f t="shared" si="4"/>
        <v>2.5</v>
      </c>
      <c r="V18" s="18">
        <f t="shared" si="5"/>
        <v>0.7</v>
      </c>
      <c r="W18" s="8">
        <f t="shared" si="6"/>
        <v>4.2</v>
      </c>
      <c r="X18" s="18">
        <f t="shared" si="7"/>
        <v>3</v>
      </c>
      <c r="Y18" s="18">
        <f t="shared" si="8"/>
        <v>3</v>
      </c>
      <c r="Z18" s="18">
        <f t="shared" si="9"/>
        <v>5</v>
      </c>
      <c r="AA18" s="8">
        <f t="shared" si="10"/>
        <v>11</v>
      </c>
      <c r="AB18" s="8">
        <v>39.270000000000003</v>
      </c>
      <c r="AC18" s="8">
        <v>52.462499999999999</v>
      </c>
      <c r="AD18" s="8">
        <v>72.64</v>
      </c>
      <c r="AE18" s="9">
        <f t="shared" si="11"/>
        <v>14923.355</v>
      </c>
      <c r="AF18" s="21">
        <v>6.5000000000000002E-2</v>
      </c>
      <c r="AG18" s="10">
        <f t="shared" si="12"/>
        <v>970.01807499999995</v>
      </c>
      <c r="AH18" s="64">
        <f t="shared" si="13"/>
        <v>20.616750000000003</v>
      </c>
      <c r="AI18" s="9">
        <f t="shared" si="14"/>
        <v>13953.336925</v>
      </c>
      <c r="AJ18" s="5">
        <v>0.18</v>
      </c>
      <c r="AK18" s="11">
        <f t="shared" si="15"/>
        <v>2511.6006465</v>
      </c>
      <c r="AL18" s="9">
        <f t="shared" si="16"/>
        <v>16464.937571499999</v>
      </c>
      <c r="AP18" s="12"/>
    </row>
    <row r="19" spans="1:42" x14ac:dyDescent="0.35">
      <c r="A19" s="71">
        <v>46176</v>
      </c>
      <c r="B19" s="72" t="s">
        <v>67</v>
      </c>
      <c r="C19" s="73">
        <v>1027</v>
      </c>
      <c r="D19" s="73">
        <v>65453</v>
      </c>
      <c r="E19" s="62" t="s">
        <v>68</v>
      </c>
      <c r="F19" s="73" t="s">
        <v>78</v>
      </c>
      <c r="G19" s="76" t="s">
        <v>127</v>
      </c>
      <c r="H19" s="73" t="s">
        <v>101</v>
      </c>
      <c r="I19" s="62" t="s">
        <v>129</v>
      </c>
      <c r="J19" s="68">
        <v>10</v>
      </c>
      <c r="K19" s="18">
        <v>4</v>
      </c>
      <c r="L19" s="18">
        <v>10</v>
      </c>
      <c r="M19" s="18">
        <v>5</v>
      </c>
      <c r="N19" s="8">
        <f t="shared" si="1"/>
        <v>19</v>
      </c>
      <c r="O19" s="18">
        <v>40</v>
      </c>
      <c r="P19" s="18">
        <v>26</v>
      </c>
      <c r="Q19" s="18">
        <v>40</v>
      </c>
      <c r="R19" s="8">
        <f t="shared" si="0"/>
        <v>106</v>
      </c>
      <c r="S19" s="18">
        <f t="shared" si="2"/>
        <v>135</v>
      </c>
      <c r="T19" s="18">
        <f t="shared" si="3"/>
        <v>0.4</v>
      </c>
      <c r="U19" s="18">
        <f t="shared" si="4"/>
        <v>1</v>
      </c>
      <c r="V19" s="18">
        <f t="shared" si="5"/>
        <v>0.5</v>
      </c>
      <c r="W19" s="8">
        <f t="shared" si="6"/>
        <v>1.9</v>
      </c>
      <c r="X19" s="18">
        <f t="shared" si="7"/>
        <v>4</v>
      </c>
      <c r="Y19" s="18">
        <f t="shared" si="8"/>
        <v>2.6</v>
      </c>
      <c r="Z19" s="18">
        <f t="shared" si="9"/>
        <v>4</v>
      </c>
      <c r="AA19" s="8">
        <f t="shared" si="10"/>
        <v>10.6</v>
      </c>
      <c r="AB19" s="8">
        <v>39.270000000000003</v>
      </c>
      <c r="AC19" s="8">
        <v>52.462499999999999</v>
      </c>
      <c r="AD19" s="8">
        <v>72.64</v>
      </c>
      <c r="AE19" s="9">
        <f t="shared" si="11"/>
        <v>11195.887500000001</v>
      </c>
      <c r="AF19" s="21">
        <v>6.5000000000000002E-2</v>
      </c>
      <c r="AG19" s="10">
        <f t="shared" si="12"/>
        <v>727.73268750000011</v>
      </c>
      <c r="AH19" s="64">
        <f t="shared" si="13"/>
        <v>13.744500000000002</v>
      </c>
      <c r="AI19" s="9">
        <f t="shared" si="14"/>
        <v>10468.154812500001</v>
      </c>
      <c r="AJ19" s="5">
        <v>0.18</v>
      </c>
      <c r="AK19" s="11">
        <f t="shared" si="15"/>
        <v>1884.26786625</v>
      </c>
      <c r="AL19" s="9">
        <f t="shared" si="16"/>
        <v>12352.422678750001</v>
      </c>
      <c r="AP19" s="12"/>
    </row>
    <row r="20" spans="1:42" x14ac:dyDescent="0.35">
      <c r="A20" s="71">
        <v>46176</v>
      </c>
      <c r="B20" s="72" t="s">
        <v>67</v>
      </c>
      <c r="C20" s="73">
        <v>1028</v>
      </c>
      <c r="D20" s="73">
        <v>46321</v>
      </c>
      <c r="E20" s="62" t="s">
        <v>68</v>
      </c>
      <c r="F20" s="73" t="s">
        <v>69</v>
      </c>
      <c r="G20" s="76" t="s">
        <v>128</v>
      </c>
      <c r="H20" s="73" t="s">
        <v>101</v>
      </c>
      <c r="I20" s="62" t="s">
        <v>129</v>
      </c>
      <c r="J20" s="68">
        <v>10</v>
      </c>
      <c r="K20" s="20">
        <v>4</v>
      </c>
      <c r="L20" s="20">
        <v>10</v>
      </c>
      <c r="M20" s="20">
        <v>5</v>
      </c>
      <c r="N20" s="8">
        <f t="shared" si="1"/>
        <v>19</v>
      </c>
      <c r="O20" s="18">
        <v>40</v>
      </c>
      <c r="P20" s="18">
        <v>20</v>
      </c>
      <c r="Q20" s="18">
        <v>41</v>
      </c>
      <c r="R20" s="8">
        <f t="shared" si="0"/>
        <v>101</v>
      </c>
      <c r="S20" s="18">
        <f t="shared" si="2"/>
        <v>130</v>
      </c>
      <c r="T20" s="18">
        <f t="shared" si="3"/>
        <v>0.4</v>
      </c>
      <c r="U20" s="18">
        <f t="shared" si="4"/>
        <v>1</v>
      </c>
      <c r="V20" s="18">
        <f t="shared" si="5"/>
        <v>0.5</v>
      </c>
      <c r="W20" s="8">
        <f t="shared" si="6"/>
        <v>1.9</v>
      </c>
      <c r="X20" s="18">
        <f t="shared" si="7"/>
        <v>4</v>
      </c>
      <c r="Y20" s="18">
        <f t="shared" si="8"/>
        <v>2</v>
      </c>
      <c r="Z20" s="18">
        <f t="shared" si="9"/>
        <v>4.0999999999999996</v>
      </c>
      <c r="AA20" s="8">
        <f t="shared" si="10"/>
        <v>10.1</v>
      </c>
      <c r="AB20" s="8">
        <v>39.270000000000003</v>
      </c>
      <c r="AC20" s="8">
        <v>52.462499999999999</v>
      </c>
      <c r="AD20" s="8">
        <v>72.64</v>
      </c>
      <c r="AE20" s="9">
        <f t="shared" si="11"/>
        <v>10832.6875</v>
      </c>
      <c r="AF20" s="21">
        <v>6.5000000000000002E-2</v>
      </c>
      <c r="AG20" s="10">
        <f t="shared" si="12"/>
        <v>704.12468750000005</v>
      </c>
      <c r="AH20" s="64">
        <f t="shared" si="13"/>
        <v>13.744500000000002</v>
      </c>
      <c r="AI20" s="9">
        <f t="shared" si="14"/>
        <v>10128.5628125</v>
      </c>
      <c r="AJ20" s="5">
        <v>0.18</v>
      </c>
      <c r="AK20" s="11">
        <f t="shared" si="15"/>
        <v>1823.1413062500001</v>
      </c>
      <c r="AL20" s="9">
        <f t="shared" si="16"/>
        <v>11951.70411875</v>
      </c>
      <c r="AP20" s="12"/>
    </row>
    <row r="21" spans="1:42" x14ac:dyDescent="0.35">
      <c r="A21" s="71">
        <v>46176</v>
      </c>
      <c r="B21" s="72" t="s">
        <v>67</v>
      </c>
      <c r="C21" s="73">
        <v>1029</v>
      </c>
      <c r="D21" s="73">
        <v>21564</v>
      </c>
      <c r="E21" s="62" t="s">
        <v>68</v>
      </c>
      <c r="F21" s="73" t="s">
        <v>69</v>
      </c>
      <c r="G21" s="76" t="s">
        <v>131</v>
      </c>
      <c r="H21" s="73" t="s">
        <v>90</v>
      </c>
      <c r="I21" s="62" t="s">
        <v>130</v>
      </c>
      <c r="J21" s="68">
        <v>20</v>
      </c>
      <c r="K21" s="18">
        <v>0</v>
      </c>
      <c r="L21" s="18">
        <v>3</v>
      </c>
      <c r="M21" s="18">
        <v>12</v>
      </c>
      <c r="N21" s="8">
        <f t="shared" si="1"/>
        <v>15</v>
      </c>
      <c r="O21" s="18">
        <v>14</v>
      </c>
      <c r="P21" s="18">
        <v>10</v>
      </c>
      <c r="Q21" s="18">
        <v>40</v>
      </c>
      <c r="R21" s="8">
        <f t="shared" si="0"/>
        <v>64</v>
      </c>
      <c r="S21" s="18">
        <f t="shared" si="2"/>
        <v>99</v>
      </c>
      <c r="T21" s="18">
        <f t="shared" si="3"/>
        <v>0</v>
      </c>
      <c r="U21" s="18">
        <f t="shared" si="4"/>
        <v>0.3</v>
      </c>
      <c r="V21" s="18">
        <f t="shared" si="5"/>
        <v>1.2</v>
      </c>
      <c r="W21" s="8">
        <f t="shared" si="6"/>
        <v>1.5</v>
      </c>
      <c r="X21" s="18">
        <f t="shared" si="7"/>
        <v>1.4</v>
      </c>
      <c r="Y21" s="18">
        <f t="shared" si="8"/>
        <v>1</v>
      </c>
      <c r="Z21" s="18">
        <f t="shared" si="9"/>
        <v>4</v>
      </c>
      <c r="AA21" s="8">
        <f t="shared" si="10"/>
        <v>6.4</v>
      </c>
      <c r="AB21" s="8">
        <v>39.270000000000003</v>
      </c>
      <c r="AC21" s="8">
        <v>52.462499999999999</v>
      </c>
      <c r="AD21" s="8">
        <v>72.64</v>
      </c>
      <c r="AE21" s="9">
        <f t="shared" si="11"/>
        <v>8763.6975000000002</v>
      </c>
      <c r="AF21" s="21">
        <v>6.5000000000000002E-2</v>
      </c>
      <c r="AG21" s="10">
        <f t="shared" si="12"/>
        <v>569.64033749999999</v>
      </c>
      <c r="AH21" s="64">
        <f t="shared" si="13"/>
        <v>27.489000000000004</v>
      </c>
      <c r="AI21" s="9">
        <f t="shared" si="14"/>
        <v>8194.0571625000011</v>
      </c>
      <c r="AJ21" s="5">
        <v>0.18</v>
      </c>
      <c r="AK21" s="11">
        <f t="shared" si="15"/>
        <v>1474.9302892500002</v>
      </c>
      <c r="AL21" s="9">
        <f t="shared" si="16"/>
        <v>9668.9874517500011</v>
      </c>
      <c r="AP21" s="12"/>
    </row>
    <row r="22" spans="1:42" x14ac:dyDescent="0.35">
      <c r="A22" s="71">
        <v>46176</v>
      </c>
      <c r="B22" s="72" t="s">
        <v>67</v>
      </c>
      <c r="C22" s="73">
        <v>1030</v>
      </c>
      <c r="D22" s="73">
        <v>51313</v>
      </c>
      <c r="E22" s="62" t="s">
        <v>68</v>
      </c>
      <c r="F22" s="73" t="s">
        <v>98</v>
      </c>
      <c r="G22" s="76" t="s">
        <v>132</v>
      </c>
      <c r="H22" s="73" t="s">
        <v>90</v>
      </c>
      <c r="I22" s="62" t="s">
        <v>130</v>
      </c>
      <c r="J22" s="68">
        <v>15</v>
      </c>
      <c r="K22" s="18">
        <v>0</v>
      </c>
      <c r="L22" s="18">
        <v>5</v>
      </c>
      <c r="M22" s="18">
        <v>6</v>
      </c>
      <c r="N22" s="8">
        <f t="shared" si="1"/>
        <v>11</v>
      </c>
      <c r="O22" s="18">
        <v>20</v>
      </c>
      <c r="P22" s="18">
        <v>20</v>
      </c>
      <c r="Q22" s="18">
        <v>30</v>
      </c>
      <c r="R22" s="8">
        <f t="shared" si="0"/>
        <v>70</v>
      </c>
      <c r="S22" s="18">
        <f t="shared" si="2"/>
        <v>96</v>
      </c>
      <c r="T22" s="18">
        <f t="shared" si="3"/>
        <v>0</v>
      </c>
      <c r="U22" s="18">
        <f t="shared" si="4"/>
        <v>0.5</v>
      </c>
      <c r="V22" s="18">
        <f t="shared" si="5"/>
        <v>0.6</v>
      </c>
      <c r="W22" s="8">
        <f t="shared" si="6"/>
        <v>1.1000000000000001</v>
      </c>
      <c r="X22" s="18">
        <f t="shared" si="7"/>
        <v>2</v>
      </c>
      <c r="Y22" s="18">
        <f t="shared" si="8"/>
        <v>2</v>
      </c>
      <c r="Z22" s="18">
        <f t="shared" si="9"/>
        <v>3</v>
      </c>
      <c r="AA22" s="8">
        <f t="shared" si="10"/>
        <v>7</v>
      </c>
      <c r="AB22" s="8">
        <v>39.270000000000003</v>
      </c>
      <c r="AC22" s="8">
        <v>52.462499999999999</v>
      </c>
      <c r="AD22" s="8">
        <v>72.64</v>
      </c>
      <c r="AE22" s="9">
        <f t="shared" si="11"/>
        <v>8139.5775000000003</v>
      </c>
      <c r="AF22" s="21">
        <v>6.5000000000000002E-2</v>
      </c>
      <c r="AG22" s="10">
        <f t="shared" si="12"/>
        <v>529.07253750000007</v>
      </c>
      <c r="AH22" s="64">
        <f t="shared" si="13"/>
        <v>20.616750000000003</v>
      </c>
      <c r="AI22" s="9">
        <f t="shared" si="14"/>
        <v>7610.5049625000001</v>
      </c>
      <c r="AJ22" s="5">
        <v>0.18</v>
      </c>
      <c r="AK22" s="11">
        <f t="shared" si="15"/>
        <v>1369.8908932499999</v>
      </c>
      <c r="AL22" s="9">
        <f t="shared" si="16"/>
        <v>8980.3958557500009</v>
      </c>
      <c r="AP22" s="12"/>
    </row>
    <row r="23" spans="1:42" x14ac:dyDescent="0.35">
      <c r="A23" s="71">
        <v>46176</v>
      </c>
      <c r="B23" s="72" t="s">
        <v>67</v>
      </c>
      <c r="C23" s="73">
        <v>1031</v>
      </c>
      <c r="D23" s="73">
        <v>46153</v>
      </c>
      <c r="E23" s="62" t="s">
        <v>68</v>
      </c>
      <c r="F23" s="73" t="s">
        <v>69</v>
      </c>
      <c r="G23" s="76" t="s">
        <v>133</v>
      </c>
      <c r="H23" s="73" t="s">
        <v>90</v>
      </c>
      <c r="I23" s="62" t="s">
        <v>130</v>
      </c>
      <c r="J23" s="68">
        <v>15</v>
      </c>
      <c r="K23" s="18">
        <v>0</v>
      </c>
      <c r="L23" s="20">
        <v>3</v>
      </c>
      <c r="M23" s="18">
        <v>6</v>
      </c>
      <c r="N23" s="8">
        <f t="shared" si="1"/>
        <v>9</v>
      </c>
      <c r="O23" s="18">
        <v>10</v>
      </c>
      <c r="P23" s="20">
        <v>30</v>
      </c>
      <c r="Q23" s="18">
        <v>13</v>
      </c>
      <c r="R23" s="8">
        <f t="shared" si="0"/>
        <v>53</v>
      </c>
      <c r="S23" s="18">
        <f t="shared" si="2"/>
        <v>77</v>
      </c>
      <c r="T23" s="18">
        <f t="shared" si="3"/>
        <v>0</v>
      </c>
      <c r="U23" s="18">
        <f t="shared" si="4"/>
        <v>0.3</v>
      </c>
      <c r="V23" s="18">
        <f t="shared" si="5"/>
        <v>0.6</v>
      </c>
      <c r="W23" s="8">
        <f t="shared" si="6"/>
        <v>0.9</v>
      </c>
      <c r="X23" s="18">
        <f t="shared" si="7"/>
        <v>1</v>
      </c>
      <c r="Y23" s="18">
        <f t="shared" si="8"/>
        <v>3</v>
      </c>
      <c r="Z23" s="18">
        <f t="shared" si="9"/>
        <v>1.3</v>
      </c>
      <c r="AA23" s="8">
        <f t="shared" si="10"/>
        <v>5.3</v>
      </c>
      <c r="AB23" s="8">
        <v>39.270000000000003</v>
      </c>
      <c r="AC23" s="8">
        <v>52.462499999999999</v>
      </c>
      <c r="AD23" s="8">
        <v>72.64</v>
      </c>
      <c r="AE23" s="9">
        <f t="shared" si="11"/>
        <v>6654.4925000000003</v>
      </c>
      <c r="AF23" s="21">
        <v>6.5000000000000002E-2</v>
      </c>
      <c r="AG23" s="10">
        <f t="shared" si="12"/>
        <v>432.54201250000006</v>
      </c>
      <c r="AH23" s="64">
        <f t="shared" si="13"/>
        <v>20.616750000000003</v>
      </c>
      <c r="AI23" s="9">
        <f t="shared" si="14"/>
        <v>6221.9504875000002</v>
      </c>
      <c r="AJ23" s="5">
        <v>0.18</v>
      </c>
      <c r="AK23" s="11">
        <f t="shared" si="15"/>
        <v>1119.9510877499999</v>
      </c>
      <c r="AL23" s="9">
        <f t="shared" si="16"/>
        <v>7341.90157525</v>
      </c>
      <c r="AP23" s="12"/>
    </row>
    <row r="24" spans="1:42" x14ac:dyDescent="0.35">
      <c r="A24" s="71">
        <v>46177</v>
      </c>
      <c r="B24" s="72" t="s">
        <v>67</v>
      </c>
      <c r="C24" s="73">
        <v>1032</v>
      </c>
      <c r="D24" s="74">
        <v>45915.964285714297</v>
      </c>
      <c r="E24" s="62" t="s">
        <v>68</v>
      </c>
      <c r="F24" s="73" t="s">
        <v>69</v>
      </c>
      <c r="G24" s="76" t="s">
        <v>134</v>
      </c>
      <c r="H24" s="73" t="s">
        <v>77</v>
      </c>
      <c r="I24" s="62" t="s">
        <v>86</v>
      </c>
      <c r="J24" s="55">
        <v>100</v>
      </c>
      <c r="K24" s="20">
        <v>80</v>
      </c>
      <c r="L24" s="20">
        <v>40</v>
      </c>
      <c r="M24" s="20">
        <v>33</v>
      </c>
      <c r="N24" s="8">
        <f t="shared" si="1"/>
        <v>153</v>
      </c>
      <c r="O24" s="18">
        <v>50</v>
      </c>
      <c r="P24" s="18">
        <v>70</v>
      </c>
      <c r="Q24" s="18">
        <v>50</v>
      </c>
      <c r="R24" s="8">
        <f t="shared" si="0"/>
        <v>170</v>
      </c>
      <c r="S24" s="18">
        <f t="shared" si="2"/>
        <v>423</v>
      </c>
      <c r="T24" s="18">
        <f t="shared" si="3"/>
        <v>8</v>
      </c>
      <c r="U24" s="18">
        <f t="shared" si="4"/>
        <v>4</v>
      </c>
      <c r="V24" s="18">
        <f t="shared" si="5"/>
        <v>3.3</v>
      </c>
      <c r="W24" s="8">
        <f t="shared" si="6"/>
        <v>15.3</v>
      </c>
      <c r="X24" s="18">
        <f t="shared" si="7"/>
        <v>5</v>
      </c>
      <c r="Y24" s="18">
        <f t="shared" si="8"/>
        <v>7</v>
      </c>
      <c r="Z24" s="18">
        <f t="shared" si="9"/>
        <v>5</v>
      </c>
      <c r="AA24" s="8">
        <f t="shared" si="10"/>
        <v>17</v>
      </c>
      <c r="AB24" s="8">
        <v>39.270000000000003</v>
      </c>
      <c r="AC24" s="8">
        <v>52.462499999999999</v>
      </c>
      <c r="AD24" s="8">
        <v>72.64</v>
      </c>
      <c r="AE24" s="9">
        <f t="shared" si="11"/>
        <v>42680.482499999998</v>
      </c>
      <c r="AF24" s="21">
        <v>6.5000000000000002E-2</v>
      </c>
      <c r="AG24" s="10">
        <f t="shared" si="12"/>
        <v>2774.2313625000002</v>
      </c>
      <c r="AH24" s="64">
        <f t="shared" si="13"/>
        <v>137.44500000000002</v>
      </c>
      <c r="AI24" s="9">
        <f t="shared" si="14"/>
        <v>39906.251137499996</v>
      </c>
      <c r="AJ24" s="5">
        <v>0.18</v>
      </c>
      <c r="AK24" s="11">
        <f t="shared" si="15"/>
        <v>7183.1252047499993</v>
      </c>
      <c r="AL24" s="9">
        <f t="shared" si="16"/>
        <v>47089.376342249998</v>
      </c>
      <c r="AP24" s="12"/>
    </row>
    <row r="25" spans="1:42" x14ac:dyDescent="0.35">
      <c r="A25" s="71">
        <v>46177</v>
      </c>
      <c r="B25" s="72" t="s">
        <v>67</v>
      </c>
      <c r="C25" s="73">
        <v>1033</v>
      </c>
      <c r="D25" s="74">
        <v>45889.3452380952</v>
      </c>
      <c r="E25" s="62" t="s">
        <v>68</v>
      </c>
      <c r="F25" s="73" t="s">
        <v>98</v>
      </c>
      <c r="G25" s="76" t="s">
        <v>135</v>
      </c>
      <c r="H25" s="73" t="s">
        <v>77</v>
      </c>
      <c r="I25" s="62" t="s">
        <v>86</v>
      </c>
      <c r="J25" s="55">
        <v>30</v>
      </c>
      <c r="K25" s="18">
        <v>17</v>
      </c>
      <c r="L25" s="20">
        <v>40</v>
      </c>
      <c r="M25" s="20">
        <v>40</v>
      </c>
      <c r="N25" s="8">
        <f t="shared" si="1"/>
        <v>97</v>
      </c>
      <c r="O25" s="18">
        <v>55</v>
      </c>
      <c r="P25" s="18">
        <v>60</v>
      </c>
      <c r="Q25" s="18">
        <v>68</v>
      </c>
      <c r="R25" s="8">
        <f t="shared" si="0"/>
        <v>183</v>
      </c>
      <c r="S25" s="18">
        <f t="shared" si="2"/>
        <v>310</v>
      </c>
      <c r="T25" s="18">
        <f t="shared" si="3"/>
        <v>1.7</v>
      </c>
      <c r="U25" s="18">
        <f t="shared" si="4"/>
        <v>4</v>
      </c>
      <c r="V25" s="18">
        <f t="shared" si="5"/>
        <v>4</v>
      </c>
      <c r="W25" s="8">
        <f t="shared" si="6"/>
        <v>9.6999999999999993</v>
      </c>
      <c r="X25" s="18">
        <f t="shared" si="7"/>
        <v>5.5</v>
      </c>
      <c r="Y25" s="18">
        <f t="shared" si="8"/>
        <v>6</v>
      </c>
      <c r="Z25" s="18">
        <f t="shared" si="9"/>
        <v>6.8</v>
      </c>
      <c r="AA25" s="8">
        <f t="shared" si="10"/>
        <v>18.3</v>
      </c>
      <c r="AB25" s="8">
        <v>39.270000000000003</v>
      </c>
      <c r="AC25" s="8">
        <v>52.462499999999999</v>
      </c>
      <c r="AD25" s="8">
        <v>72.64</v>
      </c>
      <c r="AE25" s="9">
        <f t="shared" si="11"/>
        <v>28785.362500000003</v>
      </c>
      <c r="AF25" s="21">
        <v>0.1</v>
      </c>
      <c r="AG25" s="10">
        <f t="shared" si="12"/>
        <v>2878.5362500000006</v>
      </c>
      <c r="AH25" s="64">
        <f t="shared" si="13"/>
        <v>41.233500000000006</v>
      </c>
      <c r="AI25" s="9">
        <f t="shared" si="14"/>
        <v>25906.826250000002</v>
      </c>
      <c r="AJ25" s="5">
        <v>0.18</v>
      </c>
      <c r="AK25" s="11">
        <f t="shared" si="15"/>
        <v>4663.2287249999999</v>
      </c>
      <c r="AL25" s="9">
        <f t="shared" si="16"/>
        <v>30570.054975000003</v>
      </c>
      <c r="AP25" s="12"/>
    </row>
    <row r="26" spans="1:42" x14ac:dyDescent="0.35">
      <c r="A26" s="71">
        <v>46177</v>
      </c>
      <c r="B26" s="72" t="s">
        <v>67</v>
      </c>
      <c r="C26" s="73">
        <v>1035</v>
      </c>
      <c r="D26" s="74">
        <v>45836.107142857101</v>
      </c>
      <c r="E26" s="62" t="s">
        <v>68</v>
      </c>
      <c r="F26" s="73" t="s">
        <v>98</v>
      </c>
      <c r="G26" s="76" t="s">
        <v>94</v>
      </c>
      <c r="H26" s="73" t="s">
        <v>102</v>
      </c>
      <c r="I26" s="62" t="s">
        <v>85</v>
      </c>
      <c r="J26" s="55">
        <v>40</v>
      </c>
      <c r="K26" s="20">
        <v>48</v>
      </c>
      <c r="L26" s="20">
        <v>40</v>
      </c>
      <c r="M26" s="20">
        <v>20</v>
      </c>
      <c r="N26" s="8">
        <f t="shared" si="1"/>
        <v>108</v>
      </c>
      <c r="O26" s="18">
        <v>40</v>
      </c>
      <c r="P26" s="20">
        <v>50</v>
      </c>
      <c r="Q26" s="18">
        <v>16</v>
      </c>
      <c r="R26" s="8">
        <f t="shared" si="0"/>
        <v>106</v>
      </c>
      <c r="S26" s="18">
        <f t="shared" si="2"/>
        <v>254</v>
      </c>
      <c r="T26" s="18">
        <f t="shared" si="3"/>
        <v>4.8</v>
      </c>
      <c r="U26" s="18">
        <f t="shared" si="4"/>
        <v>4</v>
      </c>
      <c r="V26" s="18">
        <f t="shared" si="5"/>
        <v>2</v>
      </c>
      <c r="W26" s="8">
        <f t="shared" si="6"/>
        <v>10.8</v>
      </c>
      <c r="X26" s="18">
        <f t="shared" si="7"/>
        <v>4</v>
      </c>
      <c r="Y26" s="18">
        <f t="shared" si="8"/>
        <v>5</v>
      </c>
      <c r="Z26" s="18">
        <f t="shared" si="9"/>
        <v>1.6</v>
      </c>
      <c r="AA26" s="8">
        <f t="shared" si="10"/>
        <v>10.6</v>
      </c>
      <c r="AB26" s="8">
        <v>39.270000000000003</v>
      </c>
      <c r="AC26" s="8">
        <v>52.462499999999999</v>
      </c>
      <c r="AD26" s="8">
        <v>72.64</v>
      </c>
      <c r="AE26" s="9">
        <f t="shared" si="11"/>
        <v>25687.31</v>
      </c>
      <c r="AF26" s="21">
        <v>6.5000000000000002E-2</v>
      </c>
      <c r="AG26" s="10">
        <f t="shared" si="12"/>
        <v>1669.67515</v>
      </c>
      <c r="AH26" s="64">
        <f t="shared" si="13"/>
        <v>54.978000000000009</v>
      </c>
      <c r="AI26" s="9">
        <f t="shared" si="14"/>
        <v>24017.634850000002</v>
      </c>
      <c r="AJ26" s="5">
        <v>0.18</v>
      </c>
      <c r="AK26" s="11">
        <f t="shared" si="15"/>
        <v>4323.1742730000005</v>
      </c>
      <c r="AL26" s="9">
        <f t="shared" si="16"/>
        <v>28340.809123000003</v>
      </c>
      <c r="AP26" s="12"/>
    </row>
    <row r="27" spans="1:42" x14ac:dyDescent="0.35">
      <c r="A27" s="71">
        <v>46177</v>
      </c>
      <c r="B27" s="72" t="s">
        <v>67</v>
      </c>
      <c r="C27" s="73">
        <v>1036</v>
      </c>
      <c r="D27" s="74">
        <v>45809.488095238099</v>
      </c>
      <c r="E27" s="62" t="s">
        <v>68</v>
      </c>
      <c r="F27" s="73" t="s">
        <v>78</v>
      </c>
      <c r="G27" s="76" t="s">
        <v>95</v>
      </c>
      <c r="H27" s="73" t="s">
        <v>101</v>
      </c>
      <c r="I27" s="62" t="s">
        <v>112</v>
      </c>
      <c r="J27" s="55">
        <v>100</v>
      </c>
      <c r="K27" s="20">
        <v>13</v>
      </c>
      <c r="L27" s="20">
        <v>20</v>
      </c>
      <c r="M27" s="20">
        <v>30</v>
      </c>
      <c r="N27" s="8">
        <f t="shared" si="1"/>
        <v>63</v>
      </c>
      <c r="O27" s="18">
        <v>25</v>
      </c>
      <c r="P27" s="18">
        <v>50</v>
      </c>
      <c r="Q27" s="20">
        <v>22</v>
      </c>
      <c r="R27" s="8">
        <f t="shared" si="0"/>
        <v>97</v>
      </c>
      <c r="S27" s="18">
        <f t="shared" si="2"/>
        <v>260</v>
      </c>
      <c r="T27" s="18">
        <f t="shared" si="3"/>
        <v>1.3</v>
      </c>
      <c r="U27" s="18">
        <f t="shared" si="4"/>
        <v>2</v>
      </c>
      <c r="V27" s="18">
        <f t="shared" si="5"/>
        <v>3</v>
      </c>
      <c r="W27" s="8">
        <f t="shared" si="6"/>
        <v>6.3</v>
      </c>
      <c r="X27" s="18">
        <f t="shared" si="7"/>
        <v>2.5</v>
      </c>
      <c r="Y27" s="18">
        <f t="shared" si="8"/>
        <v>5</v>
      </c>
      <c r="Z27" s="18">
        <f t="shared" si="9"/>
        <v>2.2000000000000002</v>
      </c>
      <c r="AA27" s="8">
        <f t="shared" si="10"/>
        <v>9.6999999999999993</v>
      </c>
      <c r="AB27" s="8">
        <v>39.270000000000003</v>
      </c>
      <c r="AC27" s="8">
        <v>52.462499999999999</v>
      </c>
      <c r="AD27" s="8">
        <v>72.64</v>
      </c>
      <c r="AE27" s="9">
        <f t="shared" si="11"/>
        <v>26118.537500000002</v>
      </c>
      <c r="AF27" s="21">
        <v>6.5000000000000002E-2</v>
      </c>
      <c r="AG27" s="10">
        <f t="shared" si="12"/>
        <v>1697.7049375000001</v>
      </c>
      <c r="AH27" s="64">
        <f t="shared" si="13"/>
        <v>137.44500000000002</v>
      </c>
      <c r="AI27" s="9">
        <f t="shared" si="14"/>
        <v>24420.832562500003</v>
      </c>
      <c r="AJ27" s="5">
        <v>0.18</v>
      </c>
      <c r="AK27" s="11">
        <f t="shared" si="15"/>
        <v>4395.7498612500003</v>
      </c>
      <c r="AL27" s="9">
        <f t="shared" si="16"/>
        <v>28816.582423750006</v>
      </c>
      <c r="AP27" s="12"/>
    </row>
    <row r="28" spans="1:42" x14ac:dyDescent="0.35">
      <c r="A28" s="71">
        <v>46177</v>
      </c>
      <c r="B28" s="72" t="s">
        <v>67</v>
      </c>
      <c r="C28" s="73">
        <v>1037</v>
      </c>
      <c r="D28" s="74">
        <v>45782.869047619002</v>
      </c>
      <c r="E28" s="62" t="s">
        <v>68</v>
      </c>
      <c r="F28" s="73" t="s">
        <v>69</v>
      </c>
      <c r="G28" s="76" t="s">
        <v>96</v>
      </c>
      <c r="H28" s="73" t="s">
        <v>101</v>
      </c>
      <c r="I28" s="62" t="s">
        <v>112</v>
      </c>
      <c r="J28" s="55">
        <v>29</v>
      </c>
      <c r="K28" s="20">
        <v>90</v>
      </c>
      <c r="L28" s="20">
        <v>40</v>
      </c>
      <c r="M28" s="20">
        <v>30</v>
      </c>
      <c r="N28" s="8">
        <f t="shared" si="1"/>
        <v>160</v>
      </c>
      <c r="O28" s="18">
        <v>26</v>
      </c>
      <c r="P28" s="18">
        <v>50</v>
      </c>
      <c r="Q28" s="18">
        <v>100</v>
      </c>
      <c r="R28" s="8">
        <f t="shared" si="0"/>
        <v>176</v>
      </c>
      <c r="S28" s="18">
        <f t="shared" si="2"/>
        <v>365</v>
      </c>
      <c r="T28" s="18">
        <f t="shared" si="3"/>
        <v>9</v>
      </c>
      <c r="U28" s="18">
        <f t="shared" si="4"/>
        <v>4</v>
      </c>
      <c r="V28" s="18">
        <f t="shared" si="5"/>
        <v>3</v>
      </c>
      <c r="W28" s="8">
        <f t="shared" si="6"/>
        <v>16</v>
      </c>
      <c r="X28" s="18">
        <f t="shared" si="7"/>
        <v>2.6</v>
      </c>
      <c r="Y28" s="18">
        <f t="shared" si="8"/>
        <v>5</v>
      </c>
      <c r="Z28" s="18">
        <f t="shared" si="9"/>
        <v>10</v>
      </c>
      <c r="AA28" s="8">
        <f t="shared" si="10"/>
        <v>17.600000000000001</v>
      </c>
      <c r="AB28" s="8">
        <v>39.270000000000003</v>
      </c>
      <c r="AC28" s="8">
        <v>52.462499999999999</v>
      </c>
      <c r="AD28" s="8">
        <v>72.64</v>
      </c>
      <c r="AE28" s="9">
        <f t="shared" si="11"/>
        <v>36046.43</v>
      </c>
      <c r="AF28" s="21">
        <v>6.5000000000000002E-2</v>
      </c>
      <c r="AG28" s="10">
        <f t="shared" si="12"/>
        <v>2343.0179499999999</v>
      </c>
      <c r="AH28" s="64">
        <f t="shared" si="13"/>
        <v>39.859050000000011</v>
      </c>
      <c r="AI28" s="9">
        <f t="shared" si="14"/>
        <v>33703.412049999999</v>
      </c>
      <c r="AJ28" s="5">
        <v>0.18</v>
      </c>
      <c r="AK28" s="11">
        <f t="shared" si="15"/>
        <v>6066.6141689999995</v>
      </c>
      <c r="AL28" s="9">
        <f t="shared" si="16"/>
        <v>39770.026218999999</v>
      </c>
      <c r="AP28" s="12"/>
    </row>
    <row r="29" spans="1:42" x14ac:dyDescent="0.35">
      <c r="A29" s="71">
        <v>46178</v>
      </c>
      <c r="B29" s="72" t="s">
        <v>67</v>
      </c>
      <c r="C29" s="73">
        <v>1038</v>
      </c>
      <c r="D29" s="74">
        <v>45756.25</v>
      </c>
      <c r="E29" s="62" t="s">
        <v>68</v>
      </c>
      <c r="F29" s="73" t="s">
        <v>98</v>
      </c>
      <c r="G29" s="76" t="s">
        <v>118</v>
      </c>
      <c r="H29" s="73" t="s">
        <v>103</v>
      </c>
      <c r="I29" s="62" t="s">
        <v>136</v>
      </c>
      <c r="J29" s="55">
        <v>30</v>
      </c>
      <c r="K29" s="20">
        <v>40</v>
      </c>
      <c r="L29" s="20">
        <v>50</v>
      </c>
      <c r="M29" s="20">
        <v>30</v>
      </c>
      <c r="N29" s="8">
        <f t="shared" si="1"/>
        <v>120</v>
      </c>
      <c r="O29" s="20">
        <v>26</v>
      </c>
      <c r="P29" s="20">
        <v>20</v>
      </c>
      <c r="Q29" s="18">
        <v>30</v>
      </c>
      <c r="R29" s="8">
        <f t="shared" si="0"/>
        <v>76</v>
      </c>
      <c r="S29" s="18">
        <f t="shared" si="2"/>
        <v>226</v>
      </c>
      <c r="T29" s="18">
        <f t="shared" si="3"/>
        <v>4</v>
      </c>
      <c r="U29" s="18">
        <f t="shared" si="4"/>
        <v>5</v>
      </c>
      <c r="V29" s="18">
        <f t="shared" si="5"/>
        <v>3</v>
      </c>
      <c r="W29" s="8">
        <f t="shared" si="6"/>
        <v>12</v>
      </c>
      <c r="X29" s="18">
        <f t="shared" si="7"/>
        <v>2.6</v>
      </c>
      <c r="Y29" s="18">
        <f t="shared" si="8"/>
        <v>2</v>
      </c>
      <c r="Z29" s="18">
        <f t="shared" si="9"/>
        <v>3</v>
      </c>
      <c r="AA29" s="8">
        <f t="shared" si="10"/>
        <v>7.6</v>
      </c>
      <c r="AB29" s="8">
        <v>39.270000000000003</v>
      </c>
      <c r="AC29" s="8">
        <v>52.462499999999999</v>
      </c>
      <c r="AD29" s="8">
        <v>72.64</v>
      </c>
      <c r="AE29" s="9">
        <f t="shared" si="11"/>
        <v>23890.239999999998</v>
      </c>
      <c r="AF29" s="21">
        <v>6.5000000000000002E-2</v>
      </c>
      <c r="AG29" s="10">
        <f t="shared" si="12"/>
        <v>1552.8655999999999</v>
      </c>
      <c r="AH29" s="64">
        <f t="shared" si="13"/>
        <v>41.233500000000006</v>
      </c>
      <c r="AI29" s="9">
        <f t="shared" si="14"/>
        <v>22337.374399999997</v>
      </c>
      <c r="AJ29" s="5">
        <v>0.18</v>
      </c>
      <c r="AK29" s="11">
        <f t="shared" si="15"/>
        <v>4020.7273919999993</v>
      </c>
      <c r="AL29" s="9">
        <f t="shared" si="16"/>
        <v>26358.101791999998</v>
      </c>
      <c r="AP29" s="12"/>
    </row>
    <row r="30" spans="1:42" x14ac:dyDescent="0.35">
      <c r="A30" s="71">
        <v>46178</v>
      </c>
      <c r="B30" s="72" t="s">
        <v>67</v>
      </c>
      <c r="C30" s="73">
        <v>1039</v>
      </c>
      <c r="D30" s="74">
        <v>45729.630952380903</v>
      </c>
      <c r="E30" s="62" t="s">
        <v>68</v>
      </c>
      <c r="F30" s="73" t="s">
        <v>78</v>
      </c>
      <c r="G30" s="76" t="s">
        <v>119</v>
      </c>
      <c r="H30" s="73" t="s">
        <v>103</v>
      </c>
      <c r="I30" s="62" t="s">
        <v>136</v>
      </c>
      <c r="J30" s="55">
        <v>32</v>
      </c>
      <c r="K30" s="20">
        <v>42</v>
      </c>
      <c r="L30" s="20">
        <v>52</v>
      </c>
      <c r="M30" s="20">
        <v>40</v>
      </c>
      <c r="N30" s="8">
        <f t="shared" si="1"/>
        <v>134</v>
      </c>
      <c r="O30" s="20">
        <v>25</v>
      </c>
      <c r="P30" s="18">
        <v>23</v>
      </c>
      <c r="Q30" s="18">
        <v>16</v>
      </c>
      <c r="R30" s="8">
        <f t="shared" si="0"/>
        <v>64</v>
      </c>
      <c r="S30" s="18">
        <f t="shared" si="2"/>
        <v>230</v>
      </c>
      <c r="T30" s="18">
        <f t="shared" si="3"/>
        <v>4.2</v>
      </c>
      <c r="U30" s="18">
        <f t="shared" si="4"/>
        <v>5.2</v>
      </c>
      <c r="V30" s="18">
        <f t="shared" si="5"/>
        <v>4</v>
      </c>
      <c r="W30" s="8">
        <f t="shared" si="6"/>
        <v>13.4</v>
      </c>
      <c r="X30" s="18">
        <f t="shared" si="7"/>
        <v>2.5</v>
      </c>
      <c r="Y30" s="18">
        <f t="shared" si="8"/>
        <v>2.2999999999999998</v>
      </c>
      <c r="Z30" s="18">
        <f t="shared" si="9"/>
        <v>1.6</v>
      </c>
      <c r="AA30" s="8">
        <f t="shared" si="10"/>
        <v>6.4</v>
      </c>
      <c r="AB30" s="8">
        <v>39.270000000000003</v>
      </c>
      <c r="AC30" s="8">
        <v>52.462499999999999</v>
      </c>
      <c r="AD30" s="8">
        <v>72.64</v>
      </c>
      <c r="AE30" s="9">
        <f t="shared" si="11"/>
        <v>24993.815000000002</v>
      </c>
      <c r="AF30" s="21">
        <v>6.5000000000000002E-2</v>
      </c>
      <c r="AG30" s="10">
        <f t="shared" si="12"/>
        <v>1624.5979750000001</v>
      </c>
      <c r="AH30" s="64">
        <f t="shared" si="13"/>
        <v>43.982400000000005</v>
      </c>
      <c r="AI30" s="9">
        <f t="shared" si="14"/>
        <v>23369.217025000002</v>
      </c>
      <c r="AJ30" s="5">
        <v>0.18</v>
      </c>
      <c r="AK30" s="11">
        <f t="shared" si="15"/>
        <v>4206.4590644999998</v>
      </c>
      <c r="AL30" s="9">
        <f t="shared" si="16"/>
        <v>27575.676089500001</v>
      </c>
      <c r="AP30" s="12"/>
    </row>
    <row r="31" spans="1:42" x14ac:dyDescent="0.35">
      <c r="A31" s="71">
        <v>46178</v>
      </c>
      <c r="B31" s="72" t="s">
        <v>67</v>
      </c>
      <c r="C31" s="73">
        <v>1040</v>
      </c>
      <c r="D31" s="74">
        <v>45703.011904761901</v>
      </c>
      <c r="E31" s="62" t="s">
        <v>68</v>
      </c>
      <c r="F31" s="73" t="s">
        <v>69</v>
      </c>
      <c r="G31" s="76" t="s">
        <v>120</v>
      </c>
      <c r="H31" s="73" t="s">
        <v>100</v>
      </c>
      <c r="I31" s="62" t="s">
        <v>123</v>
      </c>
      <c r="J31" s="55">
        <v>16</v>
      </c>
      <c r="K31" s="20">
        <v>37</v>
      </c>
      <c r="L31" s="20">
        <v>7</v>
      </c>
      <c r="M31" s="20">
        <v>0</v>
      </c>
      <c r="N31" s="8">
        <f t="shared" si="1"/>
        <v>44</v>
      </c>
      <c r="O31" s="18">
        <v>40</v>
      </c>
      <c r="P31" s="20">
        <v>50</v>
      </c>
      <c r="Q31" s="18">
        <v>50</v>
      </c>
      <c r="R31" s="8">
        <f t="shared" si="0"/>
        <v>140</v>
      </c>
      <c r="S31" s="18">
        <f t="shared" si="2"/>
        <v>200</v>
      </c>
      <c r="T31" s="18">
        <f t="shared" si="3"/>
        <v>3.7</v>
      </c>
      <c r="U31" s="18">
        <f t="shared" si="4"/>
        <v>0.7</v>
      </c>
      <c r="V31" s="18">
        <f t="shared" si="5"/>
        <v>0</v>
      </c>
      <c r="W31" s="8">
        <f t="shared" si="6"/>
        <v>4.4000000000000004</v>
      </c>
      <c r="X31" s="18">
        <f t="shared" si="7"/>
        <v>4</v>
      </c>
      <c r="Y31" s="18">
        <f t="shared" si="8"/>
        <v>5</v>
      </c>
      <c r="Z31" s="18">
        <f t="shared" si="9"/>
        <v>5</v>
      </c>
      <c r="AA31" s="8">
        <f t="shared" si="10"/>
        <v>14</v>
      </c>
      <c r="AB31" s="8">
        <v>39.270000000000003</v>
      </c>
      <c r="AC31" s="8">
        <v>52.462499999999999</v>
      </c>
      <c r="AD31" s="8">
        <v>72.64</v>
      </c>
      <c r="AE31" s="9">
        <f t="shared" si="11"/>
        <v>17464.669999999998</v>
      </c>
      <c r="AF31" s="21">
        <v>6.5000000000000002E-2</v>
      </c>
      <c r="AG31" s="10">
        <f t="shared" si="12"/>
        <v>1135.20355</v>
      </c>
      <c r="AH31" s="64">
        <f t="shared" si="13"/>
        <v>21.991200000000003</v>
      </c>
      <c r="AI31" s="9">
        <f t="shared" si="14"/>
        <v>16329.466449999998</v>
      </c>
      <c r="AJ31" s="5">
        <v>0.18</v>
      </c>
      <c r="AK31" s="11">
        <f t="shared" si="15"/>
        <v>2939.3039609999996</v>
      </c>
      <c r="AL31" s="9">
        <f t="shared" si="16"/>
        <v>19268.770410999998</v>
      </c>
      <c r="AP31" s="12"/>
    </row>
    <row r="32" spans="1:42" x14ac:dyDescent="0.35">
      <c r="A32" s="71">
        <v>46178</v>
      </c>
      <c r="B32" s="72" t="s">
        <v>67</v>
      </c>
      <c r="C32" s="73">
        <v>1041</v>
      </c>
      <c r="D32" s="74">
        <v>45676.392857142797</v>
      </c>
      <c r="E32" s="62" t="s">
        <v>68</v>
      </c>
      <c r="F32" s="73" t="s">
        <v>98</v>
      </c>
      <c r="G32" s="76" t="s">
        <v>121</v>
      </c>
      <c r="H32" s="73" t="s">
        <v>100</v>
      </c>
      <c r="I32" s="62" t="s">
        <v>123</v>
      </c>
      <c r="J32" s="55">
        <v>20</v>
      </c>
      <c r="K32" s="20">
        <v>20</v>
      </c>
      <c r="L32" s="20">
        <v>20</v>
      </c>
      <c r="M32" s="20">
        <v>0</v>
      </c>
      <c r="N32" s="8">
        <f t="shared" si="1"/>
        <v>40</v>
      </c>
      <c r="O32" s="18">
        <v>40</v>
      </c>
      <c r="P32" s="18">
        <v>40</v>
      </c>
      <c r="Q32" s="18">
        <v>60</v>
      </c>
      <c r="R32" s="8">
        <f t="shared" si="0"/>
        <v>140</v>
      </c>
      <c r="S32" s="18">
        <f t="shared" si="2"/>
        <v>200</v>
      </c>
      <c r="T32" s="18">
        <f t="shared" si="3"/>
        <v>2</v>
      </c>
      <c r="U32" s="18">
        <f t="shared" si="4"/>
        <v>2</v>
      </c>
      <c r="V32" s="18">
        <f t="shared" si="5"/>
        <v>0</v>
      </c>
      <c r="W32" s="8">
        <f t="shared" si="6"/>
        <v>4</v>
      </c>
      <c r="X32" s="18">
        <f t="shared" si="7"/>
        <v>4</v>
      </c>
      <c r="Y32" s="18">
        <f t="shared" si="8"/>
        <v>4</v>
      </c>
      <c r="Z32" s="18">
        <f t="shared" si="9"/>
        <v>6</v>
      </c>
      <c r="AA32" s="8">
        <f t="shared" si="10"/>
        <v>14</v>
      </c>
      <c r="AB32" s="8">
        <v>39.270000000000003</v>
      </c>
      <c r="AC32" s="8">
        <v>52.462499999999999</v>
      </c>
      <c r="AD32" s="8">
        <v>72.64</v>
      </c>
      <c r="AE32" s="9">
        <f t="shared" si="11"/>
        <v>17411.900000000001</v>
      </c>
      <c r="AF32" s="21">
        <v>6.5000000000000002E-2</v>
      </c>
      <c r="AG32" s="10">
        <f t="shared" si="12"/>
        <v>1131.7735000000002</v>
      </c>
      <c r="AH32" s="64">
        <f t="shared" si="13"/>
        <v>27.489000000000004</v>
      </c>
      <c r="AI32" s="9">
        <f t="shared" si="14"/>
        <v>16280.126500000002</v>
      </c>
      <c r="AJ32" s="5">
        <v>0.18</v>
      </c>
      <c r="AK32" s="11">
        <f t="shared" si="15"/>
        <v>2930.4227700000001</v>
      </c>
      <c r="AL32" s="9">
        <f t="shared" si="16"/>
        <v>19210.549270000003</v>
      </c>
      <c r="AP32" s="12"/>
    </row>
    <row r="33" spans="1:42" x14ac:dyDescent="0.35">
      <c r="A33" s="71">
        <v>46178</v>
      </c>
      <c r="B33" s="72" t="s">
        <v>67</v>
      </c>
      <c r="C33" s="73">
        <v>1042</v>
      </c>
      <c r="D33" s="74">
        <v>45649.773809523802</v>
      </c>
      <c r="E33" s="62" t="s">
        <v>68</v>
      </c>
      <c r="F33" s="73" t="s">
        <v>78</v>
      </c>
      <c r="G33" s="76" t="s">
        <v>125</v>
      </c>
      <c r="H33" s="73" t="s">
        <v>101</v>
      </c>
      <c r="I33" s="62" t="s">
        <v>129</v>
      </c>
      <c r="J33" s="55">
        <v>40</v>
      </c>
      <c r="K33" s="20">
        <v>0</v>
      </c>
      <c r="L33" s="20">
        <v>0</v>
      </c>
      <c r="M33" s="20">
        <v>0</v>
      </c>
      <c r="N33" s="8">
        <f t="shared" si="1"/>
        <v>0</v>
      </c>
      <c r="O33" s="18">
        <v>8</v>
      </c>
      <c r="P33" s="18">
        <v>8</v>
      </c>
      <c r="Q33" s="20">
        <v>20</v>
      </c>
      <c r="R33" s="8">
        <f t="shared" si="0"/>
        <v>36</v>
      </c>
      <c r="S33" s="18">
        <f t="shared" si="2"/>
        <v>76</v>
      </c>
      <c r="T33" s="18">
        <f t="shared" si="3"/>
        <v>0</v>
      </c>
      <c r="U33" s="18">
        <f t="shared" si="4"/>
        <v>0</v>
      </c>
      <c r="V33" s="18">
        <f t="shared" si="5"/>
        <v>0</v>
      </c>
      <c r="W33" s="8">
        <f t="shared" si="6"/>
        <v>0</v>
      </c>
      <c r="X33" s="18">
        <f t="shared" si="7"/>
        <v>0.8</v>
      </c>
      <c r="Y33" s="18">
        <f t="shared" si="8"/>
        <v>0.8</v>
      </c>
      <c r="Z33" s="18">
        <f t="shared" si="9"/>
        <v>2</v>
      </c>
      <c r="AA33" s="8">
        <f t="shared" si="10"/>
        <v>3.6</v>
      </c>
      <c r="AB33" s="8">
        <v>39.270000000000003</v>
      </c>
      <c r="AC33" s="8">
        <v>52.462499999999999</v>
      </c>
      <c r="AD33" s="8">
        <v>72.64</v>
      </c>
      <c r="AE33" s="9">
        <f t="shared" si="11"/>
        <v>7091.4400000000005</v>
      </c>
      <c r="AF33" s="21">
        <v>6.5000000000000002E-2</v>
      </c>
      <c r="AG33" s="10">
        <f t="shared" si="12"/>
        <v>460.94360000000006</v>
      </c>
      <c r="AH33" s="64">
        <f t="shared" si="13"/>
        <v>54.978000000000009</v>
      </c>
      <c r="AI33" s="9">
        <f t="shared" si="14"/>
        <v>6630.4964</v>
      </c>
      <c r="AJ33" s="5">
        <v>0.18</v>
      </c>
      <c r="AK33" s="11">
        <f t="shared" si="15"/>
        <v>1193.4893520000001</v>
      </c>
      <c r="AL33" s="9">
        <f t="shared" si="16"/>
        <v>7823.9857520000005</v>
      </c>
      <c r="AP33" s="12"/>
    </row>
    <row r="34" spans="1:42" x14ac:dyDescent="0.35">
      <c r="A34" s="71">
        <v>46178</v>
      </c>
      <c r="B34" s="72" t="s">
        <v>67</v>
      </c>
      <c r="C34" s="73">
        <v>1043</v>
      </c>
      <c r="D34" s="74">
        <v>45623.154761904698</v>
      </c>
      <c r="E34" s="62" t="s">
        <v>68</v>
      </c>
      <c r="F34" s="73" t="s">
        <v>69</v>
      </c>
      <c r="G34" s="76" t="s">
        <v>126</v>
      </c>
      <c r="H34" s="73" t="s">
        <v>101</v>
      </c>
      <c r="I34" s="62" t="s">
        <v>129</v>
      </c>
      <c r="J34" s="55">
        <v>40</v>
      </c>
      <c r="K34" s="18">
        <v>0</v>
      </c>
      <c r="L34" s="18">
        <v>0</v>
      </c>
      <c r="M34" s="18">
        <v>0</v>
      </c>
      <c r="N34" s="8">
        <f t="shared" si="1"/>
        <v>0</v>
      </c>
      <c r="O34" s="18">
        <v>8</v>
      </c>
      <c r="P34" s="18">
        <v>8</v>
      </c>
      <c r="Q34" s="18">
        <v>6</v>
      </c>
      <c r="R34" s="8">
        <f t="shared" si="0"/>
        <v>22</v>
      </c>
      <c r="S34" s="18">
        <f t="shared" si="2"/>
        <v>62</v>
      </c>
      <c r="T34" s="18">
        <f t="shared" si="3"/>
        <v>0</v>
      </c>
      <c r="U34" s="18">
        <f t="shared" si="4"/>
        <v>0</v>
      </c>
      <c r="V34" s="18">
        <f t="shared" si="5"/>
        <v>0</v>
      </c>
      <c r="W34" s="8">
        <f t="shared" si="6"/>
        <v>0</v>
      </c>
      <c r="X34" s="18">
        <f t="shared" si="7"/>
        <v>0.8</v>
      </c>
      <c r="Y34" s="18">
        <f t="shared" si="8"/>
        <v>0.8</v>
      </c>
      <c r="Z34" s="18">
        <f t="shared" si="9"/>
        <v>0.6</v>
      </c>
      <c r="AA34" s="8">
        <f t="shared" si="10"/>
        <v>2.2000000000000002</v>
      </c>
      <c r="AB34" s="8">
        <v>39.270000000000003</v>
      </c>
      <c r="AC34" s="8">
        <v>52.462499999999999</v>
      </c>
      <c r="AD34" s="8">
        <v>72.64</v>
      </c>
      <c r="AE34" s="9">
        <f t="shared" si="11"/>
        <v>6074.4800000000005</v>
      </c>
      <c r="AF34" s="21">
        <v>6.5000000000000002E-2</v>
      </c>
      <c r="AG34" s="10">
        <f t="shared" si="12"/>
        <v>394.84120000000007</v>
      </c>
      <c r="AH34" s="64">
        <f t="shared" si="13"/>
        <v>54.978000000000009</v>
      </c>
      <c r="AI34" s="9">
        <f t="shared" si="14"/>
        <v>5679.6388000000006</v>
      </c>
      <c r="AJ34" s="5">
        <v>0.18</v>
      </c>
      <c r="AK34" s="11">
        <f t="shared" si="15"/>
        <v>1022.3349840000001</v>
      </c>
      <c r="AL34" s="9">
        <f t="shared" si="16"/>
        <v>6701.9737840000007</v>
      </c>
      <c r="AP34" s="12"/>
    </row>
    <row r="35" spans="1:42" x14ac:dyDescent="0.35">
      <c r="A35" s="71">
        <v>46209</v>
      </c>
      <c r="B35" s="72" t="s">
        <v>67</v>
      </c>
      <c r="C35" s="73">
        <v>1044</v>
      </c>
      <c r="D35" s="74">
        <v>45596.535714285703</v>
      </c>
      <c r="E35" s="62" t="s">
        <v>68</v>
      </c>
      <c r="F35" s="73" t="s">
        <v>78</v>
      </c>
      <c r="G35" s="76" t="s">
        <v>138</v>
      </c>
      <c r="H35" s="73" t="s">
        <v>79</v>
      </c>
      <c r="I35" s="62" t="s">
        <v>137</v>
      </c>
      <c r="J35" s="55">
        <v>25</v>
      </c>
      <c r="K35" s="18">
        <v>18</v>
      </c>
      <c r="L35" s="20">
        <v>17</v>
      </c>
      <c r="M35" s="20">
        <v>24</v>
      </c>
      <c r="N35" s="8">
        <f t="shared" si="1"/>
        <v>59</v>
      </c>
      <c r="O35" s="18">
        <v>55</v>
      </c>
      <c r="P35" s="18">
        <v>55</v>
      </c>
      <c r="Q35" s="20">
        <v>70</v>
      </c>
      <c r="R35" s="8">
        <f t="shared" si="0"/>
        <v>180</v>
      </c>
      <c r="S35" s="18">
        <f t="shared" si="2"/>
        <v>264</v>
      </c>
      <c r="T35" s="18">
        <f t="shared" si="3"/>
        <v>1.8</v>
      </c>
      <c r="U35" s="18">
        <f t="shared" si="4"/>
        <v>1.7</v>
      </c>
      <c r="V35" s="18">
        <f t="shared" si="5"/>
        <v>2.4</v>
      </c>
      <c r="W35" s="8">
        <f t="shared" si="6"/>
        <v>5.9</v>
      </c>
      <c r="X35" s="18">
        <f t="shared" si="7"/>
        <v>5.5</v>
      </c>
      <c r="Y35" s="18">
        <f t="shared" si="8"/>
        <v>5.5</v>
      </c>
      <c r="Z35" s="18">
        <f t="shared" si="9"/>
        <v>7</v>
      </c>
      <c r="AA35" s="8">
        <f t="shared" si="10"/>
        <v>18</v>
      </c>
      <c r="AB35" s="8">
        <v>39.270000000000003</v>
      </c>
      <c r="AC35" s="8">
        <v>52.462499999999999</v>
      </c>
      <c r="AD35" s="8">
        <v>72.64</v>
      </c>
      <c r="AE35" s="9">
        <f t="shared" si="11"/>
        <v>23253.997499999998</v>
      </c>
      <c r="AF35" s="21">
        <v>6.5000000000000002E-2</v>
      </c>
      <c r="AG35" s="10">
        <f t="shared" si="12"/>
        <v>1511.5098375</v>
      </c>
      <c r="AH35" s="64">
        <f t="shared" si="13"/>
        <v>34.361250000000005</v>
      </c>
      <c r="AI35" s="9">
        <f t="shared" si="14"/>
        <v>21742.487662499996</v>
      </c>
      <c r="AJ35" s="5">
        <v>0.18</v>
      </c>
      <c r="AK35" s="11">
        <f t="shared" si="15"/>
        <v>3913.6477792499991</v>
      </c>
      <c r="AL35" s="9">
        <f t="shared" si="16"/>
        <v>25656.135441749997</v>
      </c>
      <c r="AP35" s="12"/>
    </row>
    <row r="36" spans="1:42" x14ac:dyDescent="0.35">
      <c r="A36" s="71">
        <v>46209</v>
      </c>
      <c r="B36" s="72" t="s">
        <v>67</v>
      </c>
      <c r="C36" s="73">
        <v>1045</v>
      </c>
      <c r="D36" s="74">
        <v>45569.916666666599</v>
      </c>
      <c r="E36" s="62" t="s">
        <v>68</v>
      </c>
      <c r="F36" s="73" t="s">
        <v>78</v>
      </c>
      <c r="G36" s="76" t="s">
        <v>139</v>
      </c>
      <c r="H36" s="73" t="s">
        <v>103</v>
      </c>
      <c r="I36" s="62" t="s">
        <v>137</v>
      </c>
      <c r="J36" s="55">
        <v>50</v>
      </c>
      <c r="K36" s="18">
        <v>17</v>
      </c>
      <c r="L36" s="18">
        <v>15</v>
      </c>
      <c r="M36" s="20">
        <v>30</v>
      </c>
      <c r="N36" s="8">
        <f t="shared" si="1"/>
        <v>62</v>
      </c>
      <c r="O36" s="20">
        <v>50</v>
      </c>
      <c r="P36" s="20">
        <v>60</v>
      </c>
      <c r="Q36" s="20">
        <v>50</v>
      </c>
      <c r="R36" s="8">
        <f t="shared" si="0"/>
        <v>160</v>
      </c>
      <c r="S36" s="18">
        <f t="shared" si="2"/>
        <v>272</v>
      </c>
      <c r="T36" s="18">
        <f t="shared" si="3"/>
        <v>1.7</v>
      </c>
      <c r="U36" s="18">
        <f t="shared" si="4"/>
        <v>1.5</v>
      </c>
      <c r="V36" s="18">
        <f t="shared" si="5"/>
        <v>3</v>
      </c>
      <c r="W36" s="8">
        <f t="shared" si="6"/>
        <v>6.2</v>
      </c>
      <c r="X36" s="18">
        <f t="shared" si="7"/>
        <v>5</v>
      </c>
      <c r="Y36" s="18">
        <f t="shared" si="8"/>
        <v>6</v>
      </c>
      <c r="Z36" s="18">
        <f t="shared" si="9"/>
        <v>5</v>
      </c>
      <c r="AA36" s="8">
        <f t="shared" si="10"/>
        <v>16</v>
      </c>
      <c r="AB36" s="8">
        <v>39.270000000000003</v>
      </c>
      <c r="AC36" s="8">
        <v>52.462499999999999</v>
      </c>
      <c r="AD36" s="8">
        <v>72.64</v>
      </c>
      <c r="AE36" s="9">
        <f t="shared" si="11"/>
        <v>24974.255000000001</v>
      </c>
      <c r="AF36" s="21">
        <v>6.5000000000000002E-2</v>
      </c>
      <c r="AG36" s="10">
        <f t="shared" si="12"/>
        <v>1623.326575</v>
      </c>
      <c r="AH36" s="64">
        <f t="shared" si="13"/>
        <v>68.722500000000011</v>
      </c>
      <c r="AI36" s="9">
        <f t="shared" si="14"/>
        <v>23350.928425000002</v>
      </c>
      <c r="AJ36" s="5">
        <v>0.18</v>
      </c>
      <c r="AK36" s="11">
        <f t="shared" si="15"/>
        <v>4203.1671164999998</v>
      </c>
      <c r="AL36" s="9">
        <f t="shared" si="16"/>
        <v>27554.095541500003</v>
      </c>
      <c r="AP36" s="12"/>
    </row>
    <row r="37" spans="1:42" x14ac:dyDescent="0.35">
      <c r="A37" s="71">
        <v>46209</v>
      </c>
      <c r="B37" s="72" t="s">
        <v>67</v>
      </c>
      <c r="C37" s="73">
        <v>1046</v>
      </c>
      <c r="D37" s="74">
        <v>45543.297619047597</v>
      </c>
      <c r="E37" s="62" t="s">
        <v>68</v>
      </c>
      <c r="F37" s="73" t="s">
        <v>69</v>
      </c>
      <c r="G37" s="76" t="s">
        <v>140</v>
      </c>
      <c r="H37" s="73" t="s">
        <v>103</v>
      </c>
      <c r="I37" s="62" t="s">
        <v>137</v>
      </c>
      <c r="J37" s="55">
        <v>25</v>
      </c>
      <c r="K37" s="20">
        <v>15</v>
      </c>
      <c r="L37" s="20">
        <v>18</v>
      </c>
      <c r="M37" s="20">
        <v>30</v>
      </c>
      <c r="N37" s="8">
        <f t="shared" si="1"/>
        <v>63</v>
      </c>
      <c r="O37" s="18">
        <v>60</v>
      </c>
      <c r="P37" s="18">
        <v>50</v>
      </c>
      <c r="Q37" s="18">
        <v>30</v>
      </c>
      <c r="R37" s="8">
        <f t="shared" si="0"/>
        <v>140</v>
      </c>
      <c r="S37" s="18">
        <f t="shared" si="2"/>
        <v>228</v>
      </c>
      <c r="T37" s="18">
        <f t="shared" si="3"/>
        <v>1.5</v>
      </c>
      <c r="U37" s="18">
        <f t="shared" si="4"/>
        <v>1.8</v>
      </c>
      <c r="V37" s="18">
        <f t="shared" si="5"/>
        <v>3</v>
      </c>
      <c r="W37" s="8">
        <f t="shared" si="6"/>
        <v>6.3</v>
      </c>
      <c r="X37" s="18">
        <f t="shared" si="7"/>
        <v>6</v>
      </c>
      <c r="Y37" s="18">
        <f t="shared" si="8"/>
        <v>5</v>
      </c>
      <c r="Z37" s="18">
        <f t="shared" si="9"/>
        <v>3</v>
      </c>
      <c r="AA37" s="8">
        <f t="shared" si="10"/>
        <v>14</v>
      </c>
      <c r="AB37" s="8">
        <v>39.270000000000003</v>
      </c>
      <c r="AC37" s="8">
        <v>52.462499999999999</v>
      </c>
      <c r="AD37" s="8">
        <v>72.64</v>
      </c>
      <c r="AE37" s="9">
        <f t="shared" si="11"/>
        <v>20848.807500000003</v>
      </c>
      <c r="AF37" s="21">
        <v>6.5000000000000002E-2</v>
      </c>
      <c r="AG37" s="10">
        <f t="shared" si="12"/>
        <v>1355.1724875000002</v>
      </c>
      <c r="AH37" s="64">
        <f t="shared" si="13"/>
        <v>34.361250000000005</v>
      </c>
      <c r="AI37" s="9">
        <f t="shared" si="14"/>
        <v>19493.635012500003</v>
      </c>
      <c r="AJ37" s="5">
        <v>0.18</v>
      </c>
      <c r="AK37" s="11">
        <f t="shared" si="15"/>
        <v>3508.8543022500003</v>
      </c>
      <c r="AL37" s="9">
        <f t="shared" si="16"/>
        <v>23002.489314750004</v>
      </c>
      <c r="AP37" s="12"/>
    </row>
    <row r="38" spans="1:42" x14ac:dyDescent="0.35">
      <c r="A38" s="71">
        <v>46209</v>
      </c>
      <c r="B38" s="72" t="s">
        <v>67</v>
      </c>
      <c r="C38" s="73">
        <v>1047</v>
      </c>
      <c r="D38" s="74">
        <v>45516.6785714285</v>
      </c>
      <c r="E38" s="62" t="s">
        <v>68</v>
      </c>
      <c r="F38" s="73" t="s">
        <v>70</v>
      </c>
      <c r="G38" s="76" t="s">
        <v>141</v>
      </c>
      <c r="H38" s="73" t="s">
        <v>103</v>
      </c>
      <c r="I38" s="62" t="s">
        <v>137</v>
      </c>
      <c r="J38" s="55">
        <v>70</v>
      </c>
      <c r="K38" s="20">
        <v>20</v>
      </c>
      <c r="L38" s="20">
        <v>20</v>
      </c>
      <c r="M38" s="20">
        <v>78</v>
      </c>
      <c r="N38" s="8">
        <f t="shared" si="1"/>
        <v>118</v>
      </c>
      <c r="O38" s="18">
        <v>50</v>
      </c>
      <c r="P38" s="18">
        <v>50</v>
      </c>
      <c r="Q38" s="18">
        <v>80</v>
      </c>
      <c r="R38" s="8">
        <f t="shared" si="0"/>
        <v>180</v>
      </c>
      <c r="S38" s="18">
        <f t="shared" si="2"/>
        <v>368</v>
      </c>
      <c r="T38" s="18">
        <f t="shared" si="3"/>
        <v>2</v>
      </c>
      <c r="U38" s="18">
        <f t="shared" si="4"/>
        <v>2</v>
      </c>
      <c r="V38" s="18">
        <f t="shared" si="5"/>
        <v>7.8</v>
      </c>
      <c r="W38" s="8">
        <f t="shared" si="6"/>
        <v>11.8</v>
      </c>
      <c r="X38" s="18">
        <f t="shared" si="7"/>
        <v>5</v>
      </c>
      <c r="Y38" s="18">
        <f t="shared" si="8"/>
        <v>5</v>
      </c>
      <c r="Z38" s="18">
        <f t="shared" si="9"/>
        <v>8</v>
      </c>
      <c r="AA38" s="8">
        <f t="shared" si="10"/>
        <v>18</v>
      </c>
      <c r="AB38" s="8">
        <v>39.270000000000003</v>
      </c>
      <c r="AC38" s="8">
        <v>52.462499999999999</v>
      </c>
      <c r="AD38" s="8">
        <v>72.64</v>
      </c>
      <c r="AE38" s="9">
        <f t="shared" si="11"/>
        <v>35670.995000000003</v>
      </c>
      <c r="AF38" s="21">
        <v>6.5000000000000002E-2</v>
      </c>
      <c r="AG38" s="10">
        <f t="shared" si="12"/>
        <v>2318.6146750000003</v>
      </c>
      <c r="AH38" s="64">
        <f t="shared" si="13"/>
        <v>96.211500000000015</v>
      </c>
      <c r="AI38" s="9">
        <f t="shared" si="14"/>
        <v>33352.380325000006</v>
      </c>
      <c r="AJ38" s="5">
        <v>0.18</v>
      </c>
      <c r="AK38" s="11">
        <f t="shared" si="15"/>
        <v>6003.4284585000005</v>
      </c>
      <c r="AL38" s="9">
        <f t="shared" si="16"/>
        <v>39355.808783500004</v>
      </c>
      <c r="AP38" s="12"/>
    </row>
    <row r="39" spans="1:42" x14ac:dyDescent="0.35">
      <c r="A39" s="71">
        <v>46209</v>
      </c>
      <c r="B39" s="72" t="s">
        <v>67</v>
      </c>
      <c r="C39" s="73">
        <v>1047</v>
      </c>
      <c r="D39" s="74">
        <v>45516.6785714285</v>
      </c>
      <c r="E39" s="62" t="s">
        <v>68</v>
      </c>
      <c r="F39" s="75" t="s">
        <v>208</v>
      </c>
      <c r="G39" s="77" t="s">
        <v>209</v>
      </c>
      <c r="H39" s="75" t="s">
        <v>212</v>
      </c>
      <c r="I39" s="78" t="s">
        <v>142</v>
      </c>
      <c r="J39" s="55">
        <v>800</v>
      </c>
      <c r="K39" s="70">
        <v>800</v>
      </c>
      <c r="L39" s="70">
        <v>800</v>
      </c>
      <c r="M39" s="70">
        <v>800</v>
      </c>
      <c r="N39" s="8">
        <f t="shared" si="1"/>
        <v>2400</v>
      </c>
      <c r="O39" s="69">
        <v>800</v>
      </c>
      <c r="P39" s="69">
        <v>800</v>
      </c>
      <c r="Q39" s="18">
        <v>800</v>
      </c>
      <c r="R39" s="8">
        <f t="shared" si="0"/>
        <v>2400</v>
      </c>
      <c r="S39" s="18">
        <f t="shared" si="2"/>
        <v>5600</v>
      </c>
      <c r="T39" s="18">
        <f t="shared" ref="T39:T41" si="17">K39/10</f>
        <v>80</v>
      </c>
      <c r="U39" s="18">
        <f t="shared" ref="U39:U41" si="18">L39/10</f>
        <v>80</v>
      </c>
      <c r="V39" s="18">
        <f t="shared" ref="V39:V41" si="19">M39/10</f>
        <v>80</v>
      </c>
      <c r="W39" s="8">
        <f t="shared" ref="W39:W41" si="20">N39/10</f>
        <v>240</v>
      </c>
      <c r="X39" s="18">
        <f t="shared" ref="X39:X41" si="21">O39/10</f>
        <v>80</v>
      </c>
      <c r="Y39" s="18">
        <f t="shared" ref="Y39:Y41" si="22">P39/10</f>
        <v>80</v>
      </c>
      <c r="Z39" s="18">
        <f t="shared" ref="Z39:Z41" si="23">Q39/10</f>
        <v>80</v>
      </c>
      <c r="AA39" s="8">
        <f t="shared" ref="AA39:AA41" si="24">R39/10</f>
        <v>240</v>
      </c>
      <c r="AB39" s="8">
        <v>39.270000000000003</v>
      </c>
      <c r="AC39" s="8">
        <v>52.462499999999999</v>
      </c>
      <c r="AD39" s="8">
        <v>72.64</v>
      </c>
      <c r="AE39" s="9">
        <f t="shared" ref="AE39:AE41" si="25">(J39*AB39)+(N39*AC39)+(AD39*S39)</f>
        <v>564110</v>
      </c>
      <c r="AF39" s="21">
        <v>6.5000000000000002E-2</v>
      </c>
      <c r="AG39" s="10">
        <f t="shared" ref="AG39:AG41" si="26">AE39*AF39</f>
        <v>36667.15</v>
      </c>
      <c r="AH39" s="64">
        <f t="shared" ref="AH39:AH41" si="27">(AB39*J39)*$AH$1</f>
        <v>1099.5600000000002</v>
      </c>
      <c r="AI39" s="9">
        <f t="shared" ref="AI39:AI41" si="28">AE39-AG39</f>
        <v>527442.85</v>
      </c>
      <c r="AJ39" s="5">
        <v>0.18</v>
      </c>
      <c r="AK39" s="11">
        <f t="shared" ref="AK39:AK41" si="29">AI39*AJ39</f>
        <v>94939.712999999989</v>
      </c>
      <c r="AL39" s="9">
        <f t="shared" ref="AL39:AL41" si="30">AI39+AK39</f>
        <v>622382.56299999997</v>
      </c>
      <c r="AP39" s="12"/>
    </row>
    <row r="40" spans="1:42" x14ac:dyDescent="0.35">
      <c r="A40" s="71">
        <v>46209</v>
      </c>
      <c r="B40" s="72" t="s">
        <v>67</v>
      </c>
      <c r="C40" s="73">
        <v>1047</v>
      </c>
      <c r="D40" s="74">
        <v>45516.6785714285</v>
      </c>
      <c r="E40" s="62" t="s">
        <v>68</v>
      </c>
      <c r="F40" s="75" t="s">
        <v>208</v>
      </c>
      <c r="G40" s="77" t="s">
        <v>210</v>
      </c>
      <c r="H40" s="75" t="s">
        <v>212</v>
      </c>
      <c r="I40" s="78" t="s">
        <v>142</v>
      </c>
      <c r="J40" s="55">
        <v>80</v>
      </c>
      <c r="K40" s="70">
        <v>80</v>
      </c>
      <c r="L40" s="70">
        <v>80</v>
      </c>
      <c r="M40" s="70">
        <v>80</v>
      </c>
      <c r="N40" s="8">
        <f t="shared" si="1"/>
        <v>240</v>
      </c>
      <c r="O40" s="69">
        <v>80</v>
      </c>
      <c r="P40" s="69">
        <v>80</v>
      </c>
      <c r="Q40" s="18">
        <v>80</v>
      </c>
      <c r="R40" s="8">
        <f t="shared" si="0"/>
        <v>240</v>
      </c>
      <c r="S40" s="18">
        <f t="shared" si="2"/>
        <v>560</v>
      </c>
      <c r="T40" s="18">
        <f t="shared" si="17"/>
        <v>8</v>
      </c>
      <c r="U40" s="18">
        <f t="shared" si="18"/>
        <v>8</v>
      </c>
      <c r="V40" s="18">
        <f t="shared" si="19"/>
        <v>8</v>
      </c>
      <c r="W40" s="8">
        <f t="shared" si="20"/>
        <v>24</v>
      </c>
      <c r="X40" s="18">
        <f t="shared" si="21"/>
        <v>8</v>
      </c>
      <c r="Y40" s="18">
        <f t="shared" si="22"/>
        <v>8</v>
      </c>
      <c r="Z40" s="18">
        <f t="shared" si="23"/>
        <v>8</v>
      </c>
      <c r="AA40" s="8">
        <f t="shared" si="24"/>
        <v>24</v>
      </c>
      <c r="AB40" s="8">
        <v>39.270000000000003</v>
      </c>
      <c r="AC40" s="8">
        <v>52.462499999999999</v>
      </c>
      <c r="AD40" s="8">
        <v>72.64</v>
      </c>
      <c r="AE40" s="9">
        <f t="shared" si="25"/>
        <v>56411</v>
      </c>
      <c r="AF40" s="21">
        <v>6.5000000000000002E-2</v>
      </c>
      <c r="AG40" s="10">
        <f t="shared" si="26"/>
        <v>3666.7150000000001</v>
      </c>
      <c r="AH40" s="64">
        <f t="shared" si="27"/>
        <v>109.95600000000002</v>
      </c>
      <c r="AI40" s="9">
        <f t="shared" si="28"/>
        <v>52744.285000000003</v>
      </c>
      <c r="AJ40" s="5">
        <v>0.18</v>
      </c>
      <c r="AK40" s="11">
        <f t="shared" si="29"/>
        <v>9493.9713000000011</v>
      </c>
      <c r="AL40" s="9">
        <f t="shared" si="30"/>
        <v>62238.256300000008</v>
      </c>
      <c r="AP40" s="12"/>
    </row>
    <row r="41" spans="1:42" x14ac:dyDescent="0.35">
      <c r="A41" s="71">
        <v>46209</v>
      </c>
      <c r="B41" s="72" t="s">
        <v>67</v>
      </c>
      <c r="C41" s="73">
        <v>1047</v>
      </c>
      <c r="D41" s="74">
        <v>45516.6785714285</v>
      </c>
      <c r="E41" s="62" t="s">
        <v>68</v>
      </c>
      <c r="F41" s="75" t="s">
        <v>208</v>
      </c>
      <c r="G41" s="77" t="s">
        <v>211</v>
      </c>
      <c r="H41" s="75" t="s">
        <v>212</v>
      </c>
      <c r="I41" s="78" t="s">
        <v>142</v>
      </c>
      <c r="J41" s="55">
        <v>200</v>
      </c>
      <c r="K41" s="70">
        <v>200</v>
      </c>
      <c r="L41" s="70">
        <v>200</v>
      </c>
      <c r="M41" s="70">
        <v>265</v>
      </c>
      <c r="N41" s="8">
        <f t="shared" si="1"/>
        <v>665</v>
      </c>
      <c r="O41" s="69">
        <v>200</v>
      </c>
      <c r="P41" s="69">
        <v>200</v>
      </c>
      <c r="Q41" s="18">
        <v>200</v>
      </c>
      <c r="R41" s="8">
        <f t="shared" si="0"/>
        <v>600</v>
      </c>
      <c r="S41" s="18">
        <f t="shared" si="2"/>
        <v>1465</v>
      </c>
      <c r="T41" s="18">
        <f t="shared" si="17"/>
        <v>20</v>
      </c>
      <c r="U41" s="18">
        <f t="shared" si="18"/>
        <v>20</v>
      </c>
      <c r="V41" s="18">
        <f t="shared" si="19"/>
        <v>26.5</v>
      </c>
      <c r="W41" s="8">
        <f t="shared" si="20"/>
        <v>66.5</v>
      </c>
      <c r="X41" s="18">
        <f t="shared" si="21"/>
        <v>20</v>
      </c>
      <c r="Y41" s="18">
        <f t="shared" si="22"/>
        <v>20</v>
      </c>
      <c r="Z41" s="18">
        <f t="shared" si="23"/>
        <v>20</v>
      </c>
      <c r="AA41" s="8">
        <f t="shared" si="24"/>
        <v>60</v>
      </c>
      <c r="AB41" s="8">
        <v>39.270000000000003</v>
      </c>
      <c r="AC41" s="8">
        <v>52.462499999999999</v>
      </c>
      <c r="AD41" s="8">
        <v>72.64</v>
      </c>
      <c r="AE41" s="9">
        <f t="shared" si="25"/>
        <v>149159.16250000001</v>
      </c>
      <c r="AF41" s="21">
        <v>6.5000000000000002E-2</v>
      </c>
      <c r="AG41" s="10">
        <f t="shared" si="26"/>
        <v>9695.3455625000006</v>
      </c>
      <c r="AH41" s="64">
        <f t="shared" si="27"/>
        <v>274.89000000000004</v>
      </c>
      <c r="AI41" s="9">
        <f t="shared" si="28"/>
        <v>139463.8169375</v>
      </c>
      <c r="AJ41" s="5">
        <v>0.18</v>
      </c>
      <c r="AK41" s="11">
        <f t="shared" si="29"/>
        <v>25103.487048749997</v>
      </c>
      <c r="AL41" s="9">
        <f t="shared" si="30"/>
        <v>164567.30398624999</v>
      </c>
      <c r="AP41" s="12"/>
    </row>
    <row r="42" spans="1:42" x14ac:dyDescent="0.35">
      <c r="A42" s="71">
        <v>46211</v>
      </c>
      <c r="B42" s="72" t="s">
        <v>67</v>
      </c>
      <c r="C42" s="73">
        <v>1050</v>
      </c>
      <c r="D42" s="74">
        <v>45436.821428571398</v>
      </c>
      <c r="E42" s="62" t="s">
        <v>68</v>
      </c>
      <c r="F42" s="73" t="s">
        <v>70</v>
      </c>
      <c r="G42" s="76" t="s">
        <v>145</v>
      </c>
      <c r="H42" s="73" t="s">
        <v>104</v>
      </c>
      <c r="I42" s="62" t="s">
        <v>144</v>
      </c>
      <c r="J42" s="55"/>
      <c r="K42" s="55">
        <v>40</v>
      </c>
      <c r="L42" s="20">
        <v>20</v>
      </c>
      <c r="M42" s="18">
        <v>30</v>
      </c>
      <c r="N42" s="8">
        <f t="shared" si="1"/>
        <v>90</v>
      </c>
      <c r="O42" s="18">
        <v>20</v>
      </c>
      <c r="P42" s="20">
        <v>25</v>
      </c>
      <c r="Q42" s="20">
        <v>0</v>
      </c>
      <c r="R42" s="8">
        <f t="shared" si="0"/>
        <v>45</v>
      </c>
      <c r="S42" s="18">
        <f t="shared" si="2"/>
        <v>135</v>
      </c>
      <c r="T42" s="18">
        <f t="shared" si="3"/>
        <v>4</v>
      </c>
      <c r="U42" s="18">
        <f t="shared" si="4"/>
        <v>2</v>
      </c>
      <c r="V42" s="18">
        <f t="shared" si="5"/>
        <v>3</v>
      </c>
      <c r="W42" s="8">
        <f t="shared" si="6"/>
        <v>9</v>
      </c>
      <c r="X42" s="18">
        <f t="shared" si="7"/>
        <v>2</v>
      </c>
      <c r="Y42" s="18">
        <f t="shared" si="8"/>
        <v>2.5</v>
      </c>
      <c r="Z42" s="18">
        <f t="shared" si="9"/>
        <v>0</v>
      </c>
      <c r="AA42" s="8">
        <f t="shared" si="10"/>
        <v>4.5</v>
      </c>
      <c r="AB42" s="8">
        <v>39.270000000000003</v>
      </c>
      <c r="AC42" s="8">
        <v>52.462499999999999</v>
      </c>
      <c r="AD42" s="8">
        <v>72.64</v>
      </c>
      <c r="AE42" s="9">
        <f t="shared" si="11"/>
        <v>14528.025</v>
      </c>
      <c r="AF42" s="21">
        <v>6.5000000000000002E-2</v>
      </c>
      <c r="AG42" s="10">
        <f t="shared" si="12"/>
        <v>944.32162500000004</v>
      </c>
      <c r="AH42" s="64">
        <f t="shared" si="13"/>
        <v>0</v>
      </c>
      <c r="AI42" s="9">
        <f t="shared" si="14"/>
        <v>13583.703374999999</v>
      </c>
      <c r="AJ42" s="5">
        <v>0.18</v>
      </c>
      <c r="AK42" s="11">
        <f t="shared" si="15"/>
        <v>2445.0666074999999</v>
      </c>
      <c r="AL42" s="9">
        <f t="shared" si="16"/>
        <v>16028.769982499998</v>
      </c>
      <c r="AP42" s="12"/>
    </row>
    <row r="43" spans="1:42" x14ac:dyDescent="0.35">
      <c r="A43" s="71">
        <v>46211</v>
      </c>
      <c r="B43" s="72" t="s">
        <v>67</v>
      </c>
      <c r="C43" s="73">
        <v>1051</v>
      </c>
      <c r="D43" s="74">
        <v>45410.202380952302</v>
      </c>
      <c r="E43" s="62" t="s">
        <v>68</v>
      </c>
      <c r="F43" s="73" t="s">
        <v>78</v>
      </c>
      <c r="G43" s="76" t="s">
        <v>134</v>
      </c>
      <c r="H43" s="73" t="s">
        <v>101</v>
      </c>
      <c r="I43" s="62" t="s">
        <v>144</v>
      </c>
      <c r="J43" s="55"/>
      <c r="K43" s="55">
        <v>20</v>
      </c>
      <c r="L43" s="18">
        <v>10</v>
      </c>
      <c r="M43" s="18">
        <v>30</v>
      </c>
      <c r="N43" s="8">
        <f t="shared" si="1"/>
        <v>60</v>
      </c>
      <c r="O43" s="18">
        <v>15</v>
      </c>
      <c r="P43" s="18">
        <v>27</v>
      </c>
      <c r="Q43" s="18">
        <v>0</v>
      </c>
      <c r="R43" s="8">
        <f t="shared" si="0"/>
        <v>42</v>
      </c>
      <c r="S43" s="18">
        <f t="shared" si="2"/>
        <v>102</v>
      </c>
      <c r="T43" s="18">
        <f t="shared" si="3"/>
        <v>2</v>
      </c>
      <c r="U43" s="18">
        <f t="shared" si="4"/>
        <v>1</v>
      </c>
      <c r="V43" s="18">
        <f t="shared" si="5"/>
        <v>3</v>
      </c>
      <c r="W43" s="8">
        <f t="shared" si="6"/>
        <v>6</v>
      </c>
      <c r="X43" s="18">
        <f t="shared" si="7"/>
        <v>1.5</v>
      </c>
      <c r="Y43" s="18">
        <f t="shared" si="8"/>
        <v>2.7</v>
      </c>
      <c r="Z43" s="18">
        <f t="shared" si="9"/>
        <v>0</v>
      </c>
      <c r="AA43" s="8">
        <f t="shared" si="10"/>
        <v>4.2</v>
      </c>
      <c r="AB43" s="8">
        <v>39.270000000000003</v>
      </c>
      <c r="AC43" s="8">
        <v>52.462499999999999</v>
      </c>
      <c r="AD43" s="8">
        <v>72.64</v>
      </c>
      <c r="AE43" s="9">
        <f t="shared" si="11"/>
        <v>10557.029999999999</v>
      </c>
      <c r="AF43" s="21">
        <v>6.5000000000000002E-2</v>
      </c>
      <c r="AG43" s="10">
        <f t="shared" si="12"/>
        <v>686.20694999999989</v>
      </c>
      <c r="AH43" s="64">
        <f t="shared" si="13"/>
        <v>0</v>
      </c>
      <c r="AI43" s="9">
        <f t="shared" si="14"/>
        <v>9870.8230499999991</v>
      </c>
      <c r="AJ43" s="5">
        <v>0.18</v>
      </c>
      <c r="AK43" s="11">
        <f t="shared" si="15"/>
        <v>1776.7481489999998</v>
      </c>
      <c r="AL43" s="9">
        <f t="shared" si="16"/>
        <v>11647.571198999998</v>
      </c>
      <c r="AP43" s="12"/>
    </row>
    <row r="44" spans="1:42" x14ac:dyDescent="0.35">
      <c r="A44" s="71">
        <v>46211</v>
      </c>
      <c r="B44" s="72" t="s">
        <v>67</v>
      </c>
      <c r="C44" s="73">
        <v>1052</v>
      </c>
      <c r="D44" s="74">
        <v>45383.583333333299</v>
      </c>
      <c r="E44" s="62" t="s">
        <v>68</v>
      </c>
      <c r="F44" s="73" t="s">
        <v>69</v>
      </c>
      <c r="G44" s="76" t="s">
        <v>146</v>
      </c>
      <c r="H44" s="73" t="s">
        <v>101</v>
      </c>
      <c r="I44" s="62" t="s">
        <v>144</v>
      </c>
      <c r="J44" s="55"/>
      <c r="K44" s="55">
        <v>10</v>
      </c>
      <c r="L44" s="20">
        <v>40</v>
      </c>
      <c r="M44" s="20">
        <v>20</v>
      </c>
      <c r="N44" s="8">
        <f t="shared" si="1"/>
        <v>70</v>
      </c>
      <c r="O44" s="18">
        <v>25</v>
      </c>
      <c r="P44" s="20">
        <v>0</v>
      </c>
      <c r="Q44" s="18">
        <v>50</v>
      </c>
      <c r="R44" s="8">
        <f t="shared" si="0"/>
        <v>75</v>
      </c>
      <c r="S44" s="18">
        <f t="shared" si="2"/>
        <v>145</v>
      </c>
      <c r="T44" s="18">
        <f t="shared" si="3"/>
        <v>1</v>
      </c>
      <c r="U44" s="18">
        <f t="shared" si="4"/>
        <v>4</v>
      </c>
      <c r="V44" s="18">
        <f t="shared" si="5"/>
        <v>2</v>
      </c>
      <c r="W44" s="8">
        <f t="shared" si="6"/>
        <v>7</v>
      </c>
      <c r="X44" s="18">
        <f t="shared" si="7"/>
        <v>2.5</v>
      </c>
      <c r="Y44" s="18">
        <f t="shared" si="8"/>
        <v>0</v>
      </c>
      <c r="Z44" s="18">
        <f t="shared" si="9"/>
        <v>5</v>
      </c>
      <c r="AA44" s="8">
        <f t="shared" si="10"/>
        <v>7.5</v>
      </c>
      <c r="AB44" s="8">
        <v>39.270000000000003</v>
      </c>
      <c r="AC44" s="8">
        <v>52.462499999999999</v>
      </c>
      <c r="AD44" s="8">
        <v>72.64</v>
      </c>
      <c r="AE44" s="9">
        <f t="shared" si="11"/>
        <v>14205.174999999999</v>
      </c>
      <c r="AF44" s="21">
        <v>6.5000000000000002E-2</v>
      </c>
      <c r="AG44" s="10">
        <f t="shared" si="12"/>
        <v>923.33637499999998</v>
      </c>
      <c r="AH44" s="64">
        <f t="shared" si="13"/>
        <v>0</v>
      </c>
      <c r="AI44" s="9">
        <f t="shared" si="14"/>
        <v>13281.838624999999</v>
      </c>
      <c r="AJ44" s="5">
        <v>0.18</v>
      </c>
      <c r="AK44" s="11">
        <f t="shared" si="15"/>
        <v>2390.7309524999996</v>
      </c>
      <c r="AL44" s="9">
        <f t="shared" si="16"/>
        <v>15672.569577499999</v>
      </c>
      <c r="AP44" s="12"/>
    </row>
    <row r="45" spans="1:42" x14ac:dyDescent="0.35">
      <c r="A45" s="71">
        <v>46211</v>
      </c>
      <c r="B45" s="72" t="s">
        <v>67</v>
      </c>
      <c r="C45" s="73">
        <v>1052</v>
      </c>
      <c r="D45" s="74">
        <v>45383.583333333299</v>
      </c>
      <c r="E45" s="62" t="s">
        <v>68</v>
      </c>
      <c r="F45" s="75" t="s">
        <v>208</v>
      </c>
      <c r="G45" s="77" t="s">
        <v>213</v>
      </c>
      <c r="H45" s="75" t="s">
        <v>212</v>
      </c>
      <c r="I45" s="78" t="s">
        <v>215</v>
      </c>
      <c r="J45" s="55"/>
      <c r="K45" s="55">
        <v>0</v>
      </c>
      <c r="L45" s="70">
        <v>0</v>
      </c>
      <c r="M45" s="70">
        <v>0</v>
      </c>
      <c r="N45" s="8">
        <f t="shared" si="1"/>
        <v>0</v>
      </c>
      <c r="O45" s="69">
        <v>560</v>
      </c>
      <c r="P45" s="70">
        <v>560</v>
      </c>
      <c r="Q45" s="18">
        <v>880</v>
      </c>
      <c r="R45" s="8">
        <f t="shared" si="0"/>
        <v>2000</v>
      </c>
      <c r="S45" s="18">
        <f t="shared" si="2"/>
        <v>2000</v>
      </c>
      <c r="T45" s="18">
        <f t="shared" ref="T45:T46" si="31">K45/10</f>
        <v>0</v>
      </c>
      <c r="U45" s="18">
        <f t="shared" ref="U45:U46" si="32">L45/10</f>
        <v>0</v>
      </c>
      <c r="V45" s="18">
        <f t="shared" ref="V45:V46" si="33">M45/10</f>
        <v>0</v>
      </c>
      <c r="W45" s="8">
        <f t="shared" ref="W45:W46" si="34">N45/10</f>
        <v>0</v>
      </c>
      <c r="X45" s="18">
        <f t="shared" ref="X45:X46" si="35">O45/10</f>
        <v>56</v>
      </c>
      <c r="Y45" s="18">
        <f t="shared" ref="Y45:Y46" si="36">P45/10</f>
        <v>56</v>
      </c>
      <c r="Z45" s="18">
        <f t="shared" ref="Z45:Z46" si="37">Q45/10</f>
        <v>88</v>
      </c>
      <c r="AA45" s="8">
        <f t="shared" ref="AA45:AA46" si="38">R45/10</f>
        <v>200</v>
      </c>
      <c r="AB45" s="8">
        <v>39.270000000000003</v>
      </c>
      <c r="AC45" s="8">
        <v>52.462499999999999</v>
      </c>
      <c r="AD45" s="8">
        <v>72.64</v>
      </c>
      <c r="AE45" s="9">
        <f t="shared" ref="AE45:AE46" si="39">(J45*AB45)+(N45*AC45)+(AD45*S45)</f>
        <v>145280</v>
      </c>
      <c r="AF45" s="21">
        <v>6.5000000000000002E-2</v>
      </c>
      <c r="AG45" s="10">
        <f t="shared" ref="AG45:AG46" si="40">AE45*AF45</f>
        <v>9443.2000000000007</v>
      </c>
      <c r="AH45" s="64">
        <f t="shared" ref="AH45:AH46" si="41">(AB45*J45)*$AH$1</f>
        <v>0</v>
      </c>
      <c r="AI45" s="9">
        <f t="shared" ref="AI45:AI46" si="42">AE45-AG45</f>
        <v>135836.79999999999</v>
      </c>
      <c r="AJ45" s="5">
        <v>0.18</v>
      </c>
      <c r="AK45" s="11">
        <f t="shared" ref="AK45:AK46" si="43">AI45*AJ45</f>
        <v>24450.623999999996</v>
      </c>
      <c r="AL45" s="9">
        <f t="shared" ref="AL45:AL46" si="44">AI45+AK45</f>
        <v>160287.424</v>
      </c>
      <c r="AP45" s="12"/>
    </row>
    <row r="46" spans="1:42" x14ac:dyDescent="0.35">
      <c r="A46" s="71">
        <v>46211</v>
      </c>
      <c r="B46" s="72" t="s">
        <v>67</v>
      </c>
      <c r="C46" s="73">
        <v>1052</v>
      </c>
      <c r="D46" s="74">
        <v>45383.583333333299</v>
      </c>
      <c r="E46" s="62" t="s">
        <v>68</v>
      </c>
      <c r="F46" s="75" t="s">
        <v>208</v>
      </c>
      <c r="G46" s="77" t="s">
        <v>214</v>
      </c>
      <c r="H46" s="75" t="s">
        <v>212</v>
      </c>
      <c r="I46" s="78" t="s">
        <v>216</v>
      </c>
      <c r="J46" s="55"/>
      <c r="K46" s="55">
        <v>1200</v>
      </c>
      <c r="L46" s="70">
        <v>1200</v>
      </c>
      <c r="M46" s="70">
        <v>1800</v>
      </c>
      <c r="N46" s="8">
        <f t="shared" si="1"/>
        <v>4200</v>
      </c>
      <c r="O46" s="69">
        <v>2400</v>
      </c>
      <c r="P46" s="70">
        <v>1800</v>
      </c>
      <c r="Q46" s="18">
        <v>1800</v>
      </c>
      <c r="R46" s="8">
        <f t="shared" si="0"/>
        <v>6000</v>
      </c>
      <c r="S46" s="18">
        <f t="shared" si="2"/>
        <v>10200</v>
      </c>
      <c r="T46" s="18">
        <f t="shared" si="31"/>
        <v>120</v>
      </c>
      <c r="U46" s="18">
        <f t="shared" si="32"/>
        <v>120</v>
      </c>
      <c r="V46" s="18">
        <f t="shared" si="33"/>
        <v>180</v>
      </c>
      <c r="W46" s="8">
        <f t="shared" si="34"/>
        <v>420</v>
      </c>
      <c r="X46" s="18">
        <f t="shared" si="35"/>
        <v>240</v>
      </c>
      <c r="Y46" s="18">
        <f t="shared" si="36"/>
        <v>180</v>
      </c>
      <c r="Z46" s="18">
        <f t="shared" si="37"/>
        <v>180</v>
      </c>
      <c r="AA46" s="8">
        <f t="shared" si="38"/>
        <v>600</v>
      </c>
      <c r="AB46" s="8">
        <v>39.270000000000003</v>
      </c>
      <c r="AC46" s="8">
        <v>52.462499999999999</v>
      </c>
      <c r="AD46" s="8">
        <v>72.64</v>
      </c>
      <c r="AE46" s="9">
        <f t="shared" si="39"/>
        <v>961270.5</v>
      </c>
      <c r="AF46" s="21">
        <v>6.5000000000000002E-2</v>
      </c>
      <c r="AG46" s="10">
        <f t="shared" si="40"/>
        <v>62482.582500000004</v>
      </c>
      <c r="AH46" s="64">
        <f t="shared" si="41"/>
        <v>0</v>
      </c>
      <c r="AI46" s="9">
        <f t="shared" si="42"/>
        <v>898787.91749999998</v>
      </c>
      <c r="AJ46" s="5">
        <v>0.18</v>
      </c>
      <c r="AK46" s="11">
        <f t="shared" si="43"/>
        <v>161781.82514999999</v>
      </c>
      <c r="AL46" s="9">
        <f t="shared" si="44"/>
        <v>1060569.7426499999</v>
      </c>
      <c r="AP46" s="12"/>
    </row>
    <row r="47" spans="1:42" x14ac:dyDescent="0.35">
      <c r="A47" s="71">
        <v>46211</v>
      </c>
      <c r="B47" s="72" t="s">
        <v>67</v>
      </c>
      <c r="C47" s="73">
        <v>1053</v>
      </c>
      <c r="D47" s="74">
        <v>45356.964285714203</v>
      </c>
      <c r="E47" s="62" t="s">
        <v>68</v>
      </c>
      <c r="F47" s="73" t="s">
        <v>69</v>
      </c>
      <c r="G47" s="76" t="s">
        <v>148</v>
      </c>
      <c r="H47" s="73" t="s">
        <v>79</v>
      </c>
      <c r="I47" s="62" t="s">
        <v>147</v>
      </c>
      <c r="J47" s="55"/>
      <c r="K47" s="18"/>
      <c r="L47" s="18">
        <v>40</v>
      </c>
      <c r="M47" s="20">
        <v>40</v>
      </c>
      <c r="N47" s="8">
        <f t="shared" si="1"/>
        <v>80</v>
      </c>
      <c r="O47" s="20">
        <v>40</v>
      </c>
      <c r="P47" s="20">
        <v>25</v>
      </c>
      <c r="Q47" s="20">
        <v>50</v>
      </c>
      <c r="R47" s="8">
        <f t="shared" si="0"/>
        <v>115</v>
      </c>
      <c r="S47" s="18">
        <f t="shared" si="2"/>
        <v>195</v>
      </c>
      <c r="T47" s="18">
        <f t="shared" si="3"/>
        <v>0</v>
      </c>
      <c r="U47" s="18">
        <f t="shared" si="4"/>
        <v>4</v>
      </c>
      <c r="V47" s="18">
        <f t="shared" si="5"/>
        <v>4</v>
      </c>
      <c r="W47" s="8">
        <f t="shared" si="6"/>
        <v>8</v>
      </c>
      <c r="X47" s="18">
        <f t="shared" si="7"/>
        <v>4</v>
      </c>
      <c r="Y47" s="18">
        <f t="shared" si="8"/>
        <v>2.5</v>
      </c>
      <c r="Z47" s="18">
        <f t="shared" si="9"/>
        <v>5</v>
      </c>
      <c r="AA47" s="8">
        <f t="shared" si="10"/>
        <v>11.5</v>
      </c>
      <c r="AB47" s="8">
        <v>39.270000000000003</v>
      </c>
      <c r="AC47" s="8">
        <v>52.462499999999999</v>
      </c>
      <c r="AD47" s="8">
        <v>72.64</v>
      </c>
      <c r="AE47" s="9">
        <f t="shared" si="11"/>
        <v>18361.8</v>
      </c>
      <c r="AF47" s="21">
        <v>6.5000000000000002E-2</v>
      </c>
      <c r="AG47" s="10">
        <f t="shared" si="12"/>
        <v>1193.5170000000001</v>
      </c>
      <c r="AH47" s="64">
        <f t="shared" si="13"/>
        <v>0</v>
      </c>
      <c r="AI47" s="9">
        <f t="shared" si="14"/>
        <v>17168.282999999999</v>
      </c>
      <c r="AJ47" s="5">
        <v>0.18</v>
      </c>
      <c r="AK47" s="11">
        <f t="shared" si="15"/>
        <v>3090.2909399999999</v>
      </c>
      <c r="AL47" s="9">
        <f t="shared" si="16"/>
        <v>20258.573939999998</v>
      </c>
      <c r="AP47" s="12"/>
    </row>
    <row r="48" spans="1:42" x14ac:dyDescent="0.35">
      <c r="A48" s="71">
        <v>46211</v>
      </c>
      <c r="B48" s="72" t="s">
        <v>67</v>
      </c>
      <c r="C48" s="73">
        <v>1056</v>
      </c>
      <c r="D48" s="74">
        <v>45277.107142857101</v>
      </c>
      <c r="E48" s="62" t="s">
        <v>68</v>
      </c>
      <c r="F48" s="73" t="s">
        <v>98</v>
      </c>
      <c r="G48" s="76" t="s">
        <v>150</v>
      </c>
      <c r="H48" s="73" t="s">
        <v>89</v>
      </c>
      <c r="I48" s="62" t="s">
        <v>149</v>
      </c>
      <c r="J48" s="55"/>
      <c r="K48" s="20">
        <v>240</v>
      </c>
      <c r="L48" s="20">
        <v>240</v>
      </c>
      <c r="M48" s="20">
        <v>20</v>
      </c>
      <c r="N48" s="8">
        <f t="shared" si="1"/>
        <v>500</v>
      </c>
      <c r="O48" s="18">
        <v>20</v>
      </c>
      <c r="P48" s="18">
        <v>40</v>
      </c>
      <c r="Q48" s="20">
        <v>40</v>
      </c>
      <c r="R48" s="8">
        <f t="shared" si="0"/>
        <v>100</v>
      </c>
      <c r="S48" s="18">
        <f t="shared" si="2"/>
        <v>600</v>
      </c>
      <c r="T48" s="18">
        <f t="shared" si="3"/>
        <v>24</v>
      </c>
      <c r="U48" s="18">
        <f t="shared" si="4"/>
        <v>24</v>
      </c>
      <c r="V48" s="18">
        <f t="shared" si="5"/>
        <v>2</v>
      </c>
      <c r="W48" s="8">
        <f t="shared" si="6"/>
        <v>50</v>
      </c>
      <c r="X48" s="18">
        <f t="shared" si="7"/>
        <v>2</v>
      </c>
      <c r="Y48" s="18">
        <f t="shared" si="8"/>
        <v>4</v>
      </c>
      <c r="Z48" s="18">
        <f t="shared" si="9"/>
        <v>4</v>
      </c>
      <c r="AA48" s="8">
        <f t="shared" si="10"/>
        <v>10</v>
      </c>
      <c r="AB48" s="8">
        <v>39.270000000000003</v>
      </c>
      <c r="AC48" s="8">
        <v>52.462499999999999</v>
      </c>
      <c r="AD48" s="8">
        <v>72.64</v>
      </c>
      <c r="AE48" s="9">
        <f t="shared" si="11"/>
        <v>69815.25</v>
      </c>
      <c r="AF48" s="21">
        <v>6.5000000000000002E-2</v>
      </c>
      <c r="AG48" s="10">
        <f t="shared" si="12"/>
        <v>4537.99125</v>
      </c>
      <c r="AH48" s="64">
        <f t="shared" si="13"/>
        <v>0</v>
      </c>
      <c r="AI48" s="9">
        <f t="shared" si="14"/>
        <v>65277.258750000001</v>
      </c>
      <c r="AJ48" s="5">
        <v>0.18</v>
      </c>
      <c r="AK48" s="11">
        <f t="shared" si="15"/>
        <v>11749.906574999999</v>
      </c>
      <c r="AL48" s="9">
        <f t="shared" si="16"/>
        <v>77027.165324999994</v>
      </c>
      <c r="AP48" s="12"/>
    </row>
    <row r="49" spans="1:42" x14ac:dyDescent="0.35">
      <c r="A49" s="71">
        <v>46211</v>
      </c>
      <c r="B49" s="72" t="s">
        <v>67</v>
      </c>
      <c r="C49" s="73">
        <v>1057</v>
      </c>
      <c r="D49" s="74">
        <v>45250.488095237997</v>
      </c>
      <c r="E49" s="62" t="s">
        <v>68</v>
      </c>
      <c r="F49" s="73" t="s">
        <v>78</v>
      </c>
      <c r="G49" s="76" t="s">
        <v>151</v>
      </c>
      <c r="H49" s="73" t="s">
        <v>89</v>
      </c>
      <c r="I49" s="62" t="s">
        <v>149</v>
      </c>
      <c r="J49" s="55"/>
      <c r="K49" s="20"/>
      <c r="L49" s="20"/>
      <c r="M49" s="20">
        <v>40</v>
      </c>
      <c r="N49" s="8">
        <f t="shared" si="1"/>
        <v>40</v>
      </c>
      <c r="O49" s="18">
        <v>10</v>
      </c>
      <c r="P49" s="18">
        <v>40</v>
      </c>
      <c r="Q49" s="20">
        <v>40</v>
      </c>
      <c r="R49" s="8">
        <f t="shared" si="0"/>
        <v>90</v>
      </c>
      <c r="S49" s="18">
        <f t="shared" si="2"/>
        <v>130</v>
      </c>
      <c r="T49" s="18">
        <f t="shared" si="3"/>
        <v>0</v>
      </c>
      <c r="U49" s="18">
        <f t="shared" si="4"/>
        <v>0</v>
      </c>
      <c r="V49" s="18">
        <f t="shared" si="5"/>
        <v>4</v>
      </c>
      <c r="W49" s="8">
        <f t="shared" si="6"/>
        <v>4</v>
      </c>
      <c r="X49" s="18">
        <f t="shared" si="7"/>
        <v>1</v>
      </c>
      <c r="Y49" s="18">
        <f t="shared" si="8"/>
        <v>4</v>
      </c>
      <c r="Z49" s="18">
        <f t="shared" si="9"/>
        <v>4</v>
      </c>
      <c r="AA49" s="8">
        <f t="shared" si="10"/>
        <v>9</v>
      </c>
      <c r="AB49" s="8">
        <v>39.270000000000003</v>
      </c>
      <c r="AC49" s="8">
        <v>52.462499999999999</v>
      </c>
      <c r="AD49" s="8">
        <v>72.64</v>
      </c>
      <c r="AE49" s="9">
        <f t="shared" si="11"/>
        <v>11541.7</v>
      </c>
      <c r="AF49" s="21">
        <v>6.5000000000000002E-2</v>
      </c>
      <c r="AG49" s="10">
        <f t="shared" si="12"/>
        <v>750.21050000000002</v>
      </c>
      <c r="AH49" s="64">
        <f t="shared" si="13"/>
        <v>0</v>
      </c>
      <c r="AI49" s="9">
        <f t="shared" si="14"/>
        <v>10791.489500000001</v>
      </c>
      <c r="AJ49" s="5">
        <v>0.18</v>
      </c>
      <c r="AK49" s="11">
        <f t="shared" si="15"/>
        <v>1942.4681100000003</v>
      </c>
      <c r="AL49" s="9">
        <f t="shared" si="16"/>
        <v>12733.957610000001</v>
      </c>
      <c r="AP49" s="12"/>
    </row>
    <row r="50" spans="1:42" x14ac:dyDescent="0.35">
      <c r="A50" s="71">
        <v>46211</v>
      </c>
      <c r="B50" s="72" t="s">
        <v>67</v>
      </c>
      <c r="C50" s="73">
        <v>1058</v>
      </c>
      <c r="D50" s="74">
        <v>45223.869047619002</v>
      </c>
      <c r="E50" s="62" t="s">
        <v>68</v>
      </c>
      <c r="F50" s="73" t="s">
        <v>153</v>
      </c>
      <c r="G50" s="76" t="s">
        <v>152</v>
      </c>
      <c r="H50" s="73" t="s">
        <v>89</v>
      </c>
      <c r="I50" s="62" t="s">
        <v>149</v>
      </c>
      <c r="J50" s="55"/>
      <c r="K50" s="18">
        <v>80</v>
      </c>
      <c r="L50" s="18">
        <v>80</v>
      </c>
      <c r="M50" s="18">
        <v>12</v>
      </c>
      <c r="N50" s="8">
        <f t="shared" si="1"/>
        <v>172</v>
      </c>
      <c r="O50" s="20">
        <v>20</v>
      </c>
      <c r="P50" s="20">
        <v>13</v>
      </c>
      <c r="Q50" s="20">
        <v>40</v>
      </c>
      <c r="R50" s="8">
        <f t="shared" si="0"/>
        <v>73</v>
      </c>
      <c r="S50" s="18">
        <f t="shared" si="2"/>
        <v>245</v>
      </c>
      <c r="T50" s="18">
        <f t="shared" si="3"/>
        <v>8</v>
      </c>
      <c r="U50" s="18">
        <f t="shared" si="4"/>
        <v>8</v>
      </c>
      <c r="V50" s="18">
        <f t="shared" si="5"/>
        <v>1.2</v>
      </c>
      <c r="W50" s="8">
        <f t="shared" si="6"/>
        <v>17.2</v>
      </c>
      <c r="X50" s="18">
        <f t="shared" si="7"/>
        <v>2</v>
      </c>
      <c r="Y50" s="18">
        <f t="shared" si="8"/>
        <v>1.3</v>
      </c>
      <c r="Z50" s="18">
        <f t="shared" si="9"/>
        <v>4</v>
      </c>
      <c r="AA50" s="8">
        <f t="shared" si="10"/>
        <v>7.3</v>
      </c>
      <c r="AB50" s="8">
        <v>39.270000000000003</v>
      </c>
      <c r="AC50" s="8">
        <v>52.462499999999999</v>
      </c>
      <c r="AD50" s="8">
        <v>72.64</v>
      </c>
      <c r="AE50" s="9">
        <f t="shared" si="11"/>
        <v>26820.35</v>
      </c>
      <c r="AF50" s="21">
        <v>6.5000000000000002E-2</v>
      </c>
      <c r="AG50" s="10">
        <f t="shared" si="12"/>
        <v>1743.32275</v>
      </c>
      <c r="AH50" s="64">
        <f t="shared" si="13"/>
        <v>0</v>
      </c>
      <c r="AI50" s="9">
        <f t="shared" si="14"/>
        <v>25077.027249999999</v>
      </c>
      <c r="AJ50" s="5">
        <v>0.18</v>
      </c>
      <c r="AK50" s="11">
        <f t="shared" si="15"/>
        <v>4513.8649049999995</v>
      </c>
      <c r="AL50" s="9">
        <f t="shared" si="16"/>
        <v>29590.892154999998</v>
      </c>
      <c r="AP50" s="12"/>
    </row>
    <row r="51" spans="1:42" x14ac:dyDescent="0.35">
      <c r="A51" s="71">
        <v>46211</v>
      </c>
      <c r="B51" s="72" t="s">
        <v>67</v>
      </c>
      <c r="C51" s="73">
        <v>1059</v>
      </c>
      <c r="D51" s="74">
        <v>45197.249999999898</v>
      </c>
      <c r="E51" s="62" t="s">
        <v>68</v>
      </c>
      <c r="F51" s="73" t="s">
        <v>70</v>
      </c>
      <c r="G51" s="76" t="s">
        <v>154</v>
      </c>
      <c r="H51" s="73" t="s">
        <v>89</v>
      </c>
      <c r="I51" s="62" t="s">
        <v>149</v>
      </c>
      <c r="J51" s="55"/>
      <c r="K51" s="20">
        <v>40</v>
      </c>
      <c r="L51" s="20"/>
      <c r="M51" s="20">
        <v>40</v>
      </c>
      <c r="N51" s="8">
        <f t="shared" si="1"/>
        <v>80</v>
      </c>
      <c r="O51" s="18">
        <v>53</v>
      </c>
      <c r="P51" s="20">
        <v>48</v>
      </c>
      <c r="Q51" s="20">
        <v>80</v>
      </c>
      <c r="R51" s="8">
        <f t="shared" si="0"/>
        <v>181</v>
      </c>
      <c r="S51" s="18">
        <f t="shared" si="2"/>
        <v>261</v>
      </c>
      <c r="T51" s="18">
        <f t="shared" si="3"/>
        <v>4</v>
      </c>
      <c r="U51" s="18">
        <f t="shared" si="4"/>
        <v>0</v>
      </c>
      <c r="V51" s="18">
        <f t="shared" si="5"/>
        <v>4</v>
      </c>
      <c r="W51" s="8">
        <f t="shared" si="6"/>
        <v>8</v>
      </c>
      <c r="X51" s="18">
        <f t="shared" si="7"/>
        <v>5.3</v>
      </c>
      <c r="Y51" s="18">
        <f t="shared" si="8"/>
        <v>4.8</v>
      </c>
      <c r="Z51" s="18">
        <f t="shared" si="9"/>
        <v>8</v>
      </c>
      <c r="AA51" s="8">
        <f t="shared" si="10"/>
        <v>18.100000000000001</v>
      </c>
      <c r="AB51" s="8">
        <v>39.270000000000003</v>
      </c>
      <c r="AC51" s="8">
        <v>52.462499999999999</v>
      </c>
      <c r="AD51" s="8">
        <v>72.64</v>
      </c>
      <c r="AE51" s="9">
        <f t="shared" si="11"/>
        <v>23156.04</v>
      </c>
      <c r="AF51" s="21">
        <v>6.5000000000000002E-2</v>
      </c>
      <c r="AG51" s="10">
        <f t="shared" si="12"/>
        <v>1505.1426000000001</v>
      </c>
      <c r="AH51" s="64">
        <f t="shared" si="13"/>
        <v>0</v>
      </c>
      <c r="AI51" s="9">
        <f t="shared" si="14"/>
        <v>21650.897400000002</v>
      </c>
      <c r="AJ51" s="5">
        <v>0.18</v>
      </c>
      <c r="AK51" s="11">
        <f t="shared" si="15"/>
        <v>3897.1615320000001</v>
      </c>
      <c r="AL51" s="9">
        <f t="shared" si="16"/>
        <v>25548.058932</v>
      </c>
      <c r="AP51" s="12"/>
    </row>
    <row r="52" spans="1:42" x14ac:dyDescent="0.35">
      <c r="A52" s="71">
        <v>46212</v>
      </c>
      <c r="B52" s="72" t="s">
        <v>67</v>
      </c>
      <c r="C52" s="73">
        <v>1060</v>
      </c>
      <c r="D52" s="74">
        <v>45170.630952380903</v>
      </c>
      <c r="E52" s="62" t="s">
        <v>68</v>
      </c>
      <c r="F52" s="73" t="s">
        <v>78</v>
      </c>
      <c r="G52" s="76" t="s">
        <v>82</v>
      </c>
      <c r="H52" s="73" t="s">
        <v>77</v>
      </c>
      <c r="I52" s="62" t="s">
        <v>86</v>
      </c>
      <c r="J52" s="55">
        <v>0</v>
      </c>
      <c r="K52" s="20">
        <v>600</v>
      </c>
      <c r="L52" s="18">
        <v>597</v>
      </c>
      <c r="M52" s="20">
        <v>197</v>
      </c>
      <c r="N52" s="8">
        <f t="shared" si="1"/>
        <v>1394</v>
      </c>
      <c r="O52" s="18">
        <v>6</v>
      </c>
      <c r="P52" s="18">
        <v>6</v>
      </c>
      <c r="Q52" s="18">
        <v>7</v>
      </c>
      <c r="R52" s="8">
        <f t="shared" si="0"/>
        <v>19</v>
      </c>
      <c r="S52" s="18">
        <f t="shared" si="2"/>
        <v>1413</v>
      </c>
      <c r="T52" s="18">
        <f t="shared" si="3"/>
        <v>60</v>
      </c>
      <c r="U52" s="18">
        <f t="shared" si="4"/>
        <v>59.7</v>
      </c>
      <c r="V52" s="18">
        <f t="shared" si="5"/>
        <v>19.7</v>
      </c>
      <c r="W52" s="8">
        <f t="shared" si="6"/>
        <v>139.4</v>
      </c>
      <c r="X52" s="18">
        <f t="shared" si="7"/>
        <v>0.6</v>
      </c>
      <c r="Y52" s="18">
        <f t="shared" si="8"/>
        <v>0.6</v>
      </c>
      <c r="Z52" s="18">
        <f t="shared" si="9"/>
        <v>0.7</v>
      </c>
      <c r="AA52" s="8">
        <f t="shared" si="10"/>
        <v>1.9</v>
      </c>
      <c r="AB52" s="8">
        <v>39.270000000000003</v>
      </c>
      <c r="AC52" s="8">
        <v>52.462499999999999</v>
      </c>
      <c r="AD52" s="8">
        <v>72.64</v>
      </c>
      <c r="AE52" s="9">
        <f t="shared" si="11"/>
        <v>175773.04499999998</v>
      </c>
      <c r="AF52" s="21">
        <v>0.14000000000000001</v>
      </c>
      <c r="AG52" s="10">
        <f t="shared" si="12"/>
        <v>24608.226299999998</v>
      </c>
      <c r="AH52" s="64">
        <f t="shared" si="13"/>
        <v>0</v>
      </c>
      <c r="AI52" s="9">
        <f t="shared" si="14"/>
        <v>151164.81869999997</v>
      </c>
      <c r="AJ52" s="5">
        <v>0.18</v>
      </c>
      <c r="AK52" s="11">
        <f t="shared" si="15"/>
        <v>27209.667365999994</v>
      </c>
      <c r="AL52" s="9">
        <f t="shared" si="16"/>
        <v>178374.48606599995</v>
      </c>
      <c r="AP52" s="12"/>
    </row>
    <row r="53" spans="1:42" x14ac:dyDescent="0.35">
      <c r="A53" s="71">
        <v>46212</v>
      </c>
      <c r="B53" s="72" t="s">
        <v>67</v>
      </c>
      <c r="C53" s="73">
        <v>1061</v>
      </c>
      <c r="D53" s="74">
        <v>45144.011904761799</v>
      </c>
      <c r="E53" s="62" t="s">
        <v>68</v>
      </c>
      <c r="F53" s="73" t="s">
        <v>69</v>
      </c>
      <c r="G53" s="76" t="s">
        <v>138</v>
      </c>
      <c r="H53" s="73" t="s">
        <v>105</v>
      </c>
      <c r="I53" s="62" t="s">
        <v>147</v>
      </c>
      <c r="J53" s="55">
        <v>4</v>
      </c>
      <c r="K53" s="20"/>
      <c r="L53" s="18"/>
      <c r="M53" s="18">
        <v>40</v>
      </c>
      <c r="N53" s="8">
        <f t="shared" si="1"/>
        <v>40</v>
      </c>
      <c r="O53" s="18">
        <v>13</v>
      </c>
      <c r="P53" s="18">
        <v>12</v>
      </c>
      <c r="Q53" s="18">
        <v>0</v>
      </c>
      <c r="R53" s="8">
        <f t="shared" si="0"/>
        <v>25</v>
      </c>
      <c r="S53" s="18">
        <f t="shared" si="2"/>
        <v>69</v>
      </c>
      <c r="T53" s="18">
        <f t="shared" si="3"/>
        <v>0</v>
      </c>
      <c r="U53" s="18">
        <f t="shared" si="4"/>
        <v>0</v>
      </c>
      <c r="V53" s="18">
        <f t="shared" si="5"/>
        <v>4</v>
      </c>
      <c r="W53" s="8">
        <f t="shared" si="6"/>
        <v>4</v>
      </c>
      <c r="X53" s="18">
        <f t="shared" si="7"/>
        <v>1.3</v>
      </c>
      <c r="Y53" s="18">
        <f t="shared" si="8"/>
        <v>1.2</v>
      </c>
      <c r="Z53" s="18">
        <f t="shared" si="9"/>
        <v>0</v>
      </c>
      <c r="AA53" s="8">
        <f t="shared" si="10"/>
        <v>2.5</v>
      </c>
      <c r="AB53" s="8">
        <v>39.270000000000003</v>
      </c>
      <c r="AC53" s="8">
        <v>52.462499999999999</v>
      </c>
      <c r="AD53" s="8">
        <v>72.64</v>
      </c>
      <c r="AE53" s="9">
        <f t="shared" si="11"/>
        <v>7267.74</v>
      </c>
      <c r="AF53" s="21">
        <v>6.5000000000000002E-2</v>
      </c>
      <c r="AG53" s="10">
        <f t="shared" si="12"/>
        <v>472.40309999999999</v>
      </c>
      <c r="AH53" s="64">
        <f t="shared" si="13"/>
        <v>5.4978000000000007</v>
      </c>
      <c r="AI53" s="9">
        <f t="shared" si="14"/>
        <v>6795.3369000000002</v>
      </c>
      <c r="AJ53" s="5">
        <v>0.18</v>
      </c>
      <c r="AK53" s="11">
        <f t="shared" si="15"/>
        <v>1223.1606420000001</v>
      </c>
      <c r="AL53" s="9">
        <f t="shared" si="16"/>
        <v>8018.4975420000001</v>
      </c>
      <c r="AP53" s="12"/>
    </row>
    <row r="54" spans="1:42" x14ac:dyDescent="0.35">
      <c r="A54" s="71">
        <v>46212</v>
      </c>
      <c r="B54" s="72" t="s">
        <v>67</v>
      </c>
      <c r="C54" s="73">
        <v>1062</v>
      </c>
      <c r="D54" s="74">
        <v>45117.392857142797</v>
      </c>
      <c r="E54" s="62" t="s">
        <v>68</v>
      </c>
      <c r="F54" s="73" t="s">
        <v>98</v>
      </c>
      <c r="G54" s="76" t="s">
        <v>139</v>
      </c>
      <c r="H54" s="73" t="s">
        <v>103</v>
      </c>
      <c r="I54" s="62" t="s">
        <v>147</v>
      </c>
      <c r="J54" s="55">
        <v>0</v>
      </c>
      <c r="K54" s="20">
        <v>40</v>
      </c>
      <c r="L54" s="20">
        <v>40</v>
      </c>
      <c r="M54" s="20">
        <v>40</v>
      </c>
      <c r="N54" s="8">
        <f t="shared" si="1"/>
        <v>120</v>
      </c>
      <c r="O54" s="20">
        <v>0</v>
      </c>
      <c r="P54" s="20">
        <v>0</v>
      </c>
      <c r="Q54" s="18">
        <v>0</v>
      </c>
      <c r="R54" s="8">
        <f t="shared" si="0"/>
        <v>0</v>
      </c>
      <c r="S54" s="18">
        <f t="shared" si="2"/>
        <v>120</v>
      </c>
      <c r="T54" s="18">
        <f t="shared" si="3"/>
        <v>4</v>
      </c>
      <c r="U54" s="18">
        <f t="shared" si="4"/>
        <v>4</v>
      </c>
      <c r="V54" s="18">
        <f t="shared" si="5"/>
        <v>4</v>
      </c>
      <c r="W54" s="8">
        <f t="shared" si="6"/>
        <v>12</v>
      </c>
      <c r="X54" s="18">
        <f t="shared" si="7"/>
        <v>0</v>
      </c>
      <c r="Y54" s="18">
        <f t="shared" si="8"/>
        <v>0</v>
      </c>
      <c r="Z54" s="18">
        <f t="shared" si="9"/>
        <v>0</v>
      </c>
      <c r="AA54" s="8">
        <f t="shared" si="10"/>
        <v>0</v>
      </c>
      <c r="AB54" s="8">
        <v>39.270000000000003</v>
      </c>
      <c r="AC54" s="8">
        <v>52.462499999999999</v>
      </c>
      <c r="AD54" s="8">
        <v>72.64</v>
      </c>
      <c r="AE54" s="9">
        <f t="shared" si="11"/>
        <v>15012.3</v>
      </c>
      <c r="AF54" s="21">
        <v>6.5000000000000002E-2</v>
      </c>
      <c r="AG54" s="10">
        <f t="shared" si="12"/>
        <v>975.79949999999997</v>
      </c>
      <c r="AH54" s="64">
        <f t="shared" si="13"/>
        <v>0</v>
      </c>
      <c r="AI54" s="9">
        <f t="shared" si="14"/>
        <v>14036.5005</v>
      </c>
      <c r="AJ54" s="5">
        <v>0.18</v>
      </c>
      <c r="AK54" s="11">
        <f t="shared" si="15"/>
        <v>2526.5700899999997</v>
      </c>
      <c r="AL54" s="9">
        <f t="shared" si="16"/>
        <v>16563.070589999999</v>
      </c>
      <c r="AP54" s="12"/>
    </row>
    <row r="55" spans="1:42" x14ac:dyDescent="0.35">
      <c r="A55" s="71">
        <v>46212</v>
      </c>
      <c r="B55" s="72" t="s">
        <v>67</v>
      </c>
      <c r="C55" s="73">
        <v>1063</v>
      </c>
      <c r="D55" s="74">
        <v>45090.7738095237</v>
      </c>
      <c r="E55" s="62" t="s">
        <v>68</v>
      </c>
      <c r="F55" s="73" t="s">
        <v>78</v>
      </c>
      <c r="G55" s="76" t="s">
        <v>140</v>
      </c>
      <c r="H55" s="73" t="s">
        <v>105</v>
      </c>
      <c r="I55" s="62" t="s">
        <v>147</v>
      </c>
      <c r="J55" s="55">
        <v>0</v>
      </c>
      <c r="K55" s="18">
        <v>120</v>
      </c>
      <c r="L55" s="18">
        <v>120</v>
      </c>
      <c r="M55" s="18">
        <v>20</v>
      </c>
      <c r="N55" s="8">
        <f t="shared" si="1"/>
        <v>260</v>
      </c>
      <c r="O55" s="18">
        <v>0</v>
      </c>
      <c r="P55" s="18">
        <v>6</v>
      </c>
      <c r="Q55" s="18">
        <v>0</v>
      </c>
      <c r="R55" s="8">
        <f t="shared" si="0"/>
        <v>6</v>
      </c>
      <c r="S55" s="18">
        <f t="shared" si="2"/>
        <v>266</v>
      </c>
      <c r="T55" s="18">
        <f t="shared" si="3"/>
        <v>12</v>
      </c>
      <c r="U55" s="18">
        <f t="shared" si="4"/>
        <v>12</v>
      </c>
      <c r="V55" s="18">
        <f t="shared" si="5"/>
        <v>2</v>
      </c>
      <c r="W55" s="8">
        <f t="shared" si="6"/>
        <v>26</v>
      </c>
      <c r="X55" s="18">
        <f t="shared" si="7"/>
        <v>0</v>
      </c>
      <c r="Y55" s="18">
        <f t="shared" si="8"/>
        <v>0.6</v>
      </c>
      <c r="Z55" s="18">
        <f t="shared" si="9"/>
        <v>0</v>
      </c>
      <c r="AA55" s="8">
        <f t="shared" si="10"/>
        <v>0.6</v>
      </c>
      <c r="AB55" s="8">
        <v>39.270000000000003</v>
      </c>
      <c r="AC55" s="8">
        <v>52.462499999999999</v>
      </c>
      <c r="AD55" s="8">
        <v>72.64</v>
      </c>
      <c r="AE55" s="9">
        <f t="shared" si="11"/>
        <v>32962.490000000005</v>
      </c>
      <c r="AF55" s="21">
        <v>6.5000000000000002E-2</v>
      </c>
      <c r="AG55" s="10">
        <f t="shared" si="12"/>
        <v>2142.5618500000005</v>
      </c>
      <c r="AH55" s="64">
        <f t="shared" si="13"/>
        <v>0</v>
      </c>
      <c r="AI55" s="9">
        <f t="shared" si="14"/>
        <v>30819.928150000003</v>
      </c>
      <c r="AJ55" s="5">
        <v>0.18</v>
      </c>
      <c r="AK55" s="11">
        <f t="shared" si="15"/>
        <v>5547.5870670000004</v>
      </c>
      <c r="AL55" s="9">
        <f t="shared" si="16"/>
        <v>36367.515217000007</v>
      </c>
      <c r="AP55" s="12"/>
    </row>
    <row r="56" spans="1:42" x14ac:dyDescent="0.35">
      <c r="A56" s="71">
        <v>46212</v>
      </c>
      <c r="B56" s="72" t="s">
        <v>67</v>
      </c>
      <c r="C56" s="73">
        <v>1064</v>
      </c>
      <c r="D56" s="74">
        <v>45064.154761904698</v>
      </c>
      <c r="E56" s="62" t="s">
        <v>68</v>
      </c>
      <c r="F56" s="73" t="s">
        <v>69</v>
      </c>
      <c r="G56" s="76" t="s">
        <v>156</v>
      </c>
      <c r="H56" s="73" t="s">
        <v>106</v>
      </c>
      <c r="I56" s="62" t="s">
        <v>155</v>
      </c>
      <c r="J56" s="55">
        <v>20</v>
      </c>
      <c r="K56" s="20">
        <v>300</v>
      </c>
      <c r="L56" s="20">
        <v>300</v>
      </c>
      <c r="M56" s="20">
        <v>20</v>
      </c>
      <c r="N56" s="8">
        <f t="shared" si="1"/>
        <v>620</v>
      </c>
      <c r="O56" s="18">
        <v>5</v>
      </c>
      <c r="P56" s="18">
        <v>5</v>
      </c>
      <c r="Q56" s="18">
        <v>0</v>
      </c>
      <c r="R56" s="8">
        <f t="shared" si="0"/>
        <v>10</v>
      </c>
      <c r="S56" s="18">
        <f t="shared" si="2"/>
        <v>650</v>
      </c>
      <c r="T56" s="18">
        <f t="shared" ref="T56:T115" si="45">K56/10</f>
        <v>30</v>
      </c>
      <c r="U56" s="18">
        <f t="shared" ref="U56:U115" si="46">L56/10</f>
        <v>30</v>
      </c>
      <c r="V56" s="18">
        <f t="shared" ref="V56:V115" si="47">M56/10</f>
        <v>2</v>
      </c>
      <c r="W56" s="8">
        <f t="shared" si="6"/>
        <v>62</v>
      </c>
      <c r="X56" s="18">
        <f t="shared" ref="X56:X115" si="48">O56/10</f>
        <v>0.5</v>
      </c>
      <c r="Y56" s="18">
        <f t="shared" ref="Y56:Y115" si="49">P56/10</f>
        <v>0.5</v>
      </c>
      <c r="Z56" s="18">
        <f t="shared" ref="Z56:Z115" si="50">Q56/10</f>
        <v>0</v>
      </c>
      <c r="AA56" s="8">
        <f t="shared" si="10"/>
        <v>1</v>
      </c>
      <c r="AB56" s="8">
        <v>39.270000000000003</v>
      </c>
      <c r="AC56" s="8">
        <v>52.462499999999999</v>
      </c>
      <c r="AD56" s="8">
        <v>72.64</v>
      </c>
      <c r="AE56" s="9">
        <f t="shared" si="11"/>
        <v>80528.149999999994</v>
      </c>
      <c r="AF56" s="21">
        <v>6.5000000000000002E-2</v>
      </c>
      <c r="AG56" s="10">
        <f t="shared" ref="AG56:AG115" si="51">AE56*AF56</f>
        <v>5234.3297499999999</v>
      </c>
      <c r="AH56" s="64">
        <f t="shared" si="13"/>
        <v>27.489000000000004</v>
      </c>
      <c r="AI56" s="9">
        <f t="shared" si="14"/>
        <v>75293.82024999999</v>
      </c>
      <c r="AJ56" s="5">
        <v>0.18</v>
      </c>
      <c r="AK56" s="11">
        <f t="shared" si="15"/>
        <v>13552.887644999997</v>
      </c>
      <c r="AL56" s="9">
        <f t="shared" si="16"/>
        <v>88846.707894999985</v>
      </c>
      <c r="AP56" s="12"/>
    </row>
    <row r="57" spans="1:42" x14ac:dyDescent="0.35">
      <c r="A57" s="71">
        <v>46212</v>
      </c>
      <c r="B57" s="72" t="s">
        <v>67</v>
      </c>
      <c r="C57" s="73">
        <v>1065</v>
      </c>
      <c r="D57" s="74">
        <v>45037.535714285601</v>
      </c>
      <c r="E57" s="62" t="s">
        <v>68</v>
      </c>
      <c r="F57" s="73" t="s">
        <v>70</v>
      </c>
      <c r="G57" s="76" t="s">
        <v>157</v>
      </c>
      <c r="H57" s="73" t="s">
        <v>107</v>
      </c>
      <c r="I57" s="62" t="s">
        <v>155</v>
      </c>
      <c r="J57" s="55">
        <v>30</v>
      </c>
      <c r="K57" s="18">
        <v>5</v>
      </c>
      <c r="L57" s="18">
        <v>0</v>
      </c>
      <c r="M57" s="18">
        <v>20</v>
      </c>
      <c r="N57" s="8">
        <f t="shared" si="1"/>
        <v>25</v>
      </c>
      <c r="O57" s="18">
        <v>0</v>
      </c>
      <c r="P57" s="18">
        <v>0</v>
      </c>
      <c r="Q57" s="18">
        <v>0</v>
      </c>
      <c r="R57" s="8">
        <f t="shared" si="0"/>
        <v>0</v>
      </c>
      <c r="S57" s="18">
        <f t="shared" si="2"/>
        <v>55</v>
      </c>
      <c r="T57" s="18">
        <f t="shared" si="45"/>
        <v>0.5</v>
      </c>
      <c r="U57" s="18">
        <f t="shared" si="46"/>
        <v>0</v>
      </c>
      <c r="V57" s="18">
        <f t="shared" si="47"/>
        <v>2</v>
      </c>
      <c r="W57" s="8">
        <f t="shared" si="6"/>
        <v>2.5</v>
      </c>
      <c r="X57" s="18">
        <f t="shared" si="48"/>
        <v>0</v>
      </c>
      <c r="Y57" s="18">
        <f t="shared" si="49"/>
        <v>0</v>
      </c>
      <c r="Z57" s="18">
        <f t="shared" si="50"/>
        <v>0</v>
      </c>
      <c r="AA57" s="8">
        <f t="shared" si="10"/>
        <v>0</v>
      </c>
      <c r="AB57" s="8">
        <v>39.270000000000003</v>
      </c>
      <c r="AC57" s="8">
        <v>52.462499999999999</v>
      </c>
      <c r="AD57" s="8">
        <v>72.64</v>
      </c>
      <c r="AE57" s="9">
        <f t="shared" si="11"/>
        <v>6484.8625000000002</v>
      </c>
      <c r="AF57" s="21">
        <v>0.1</v>
      </c>
      <c r="AG57" s="10">
        <f t="shared" si="51"/>
        <v>648.48625000000004</v>
      </c>
      <c r="AH57" s="64">
        <f t="shared" si="13"/>
        <v>41.233500000000006</v>
      </c>
      <c r="AI57" s="9">
        <f t="shared" si="14"/>
        <v>5836.3762500000003</v>
      </c>
      <c r="AJ57" s="5">
        <v>0.18</v>
      </c>
      <c r="AK57" s="11">
        <f t="shared" si="15"/>
        <v>1050.5477249999999</v>
      </c>
      <c r="AL57" s="9">
        <f t="shared" si="16"/>
        <v>6886.9239749999997</v>
      </c>
      <c r="AP57" s="12"/>
    </row>
    <row r="58" spans="1:42" x14ac:dyDescent="0.35">
      <c r="A58" s="71">
        <v>46212</v>
      </c>
      <c r="B58" s="72" t="s">
        <v>67</v>
      </c>
      <c r="C58" s="73">
        <v>1066</v>
      </c>
      <c r="D58" s="74">
        <v>45010.916666666599</v>
      </c>
      <c r="E58" s="62" t="s">
        <v>68</v>
      </c>
      <c r="F58" s="73" t="s">
        <v>98</v>
      </c>
      <c r="G58" s="76" t="s">
        <v>158</v>
      </c>
      <c r="H58" s="73" t="s">
        <v>107</v>
      </c>
      <c r="I58" s="62" t="s">
        <v>155</v>
      </c>
      <c r="J58" s="55">
        <v>40</v>
      </c>
      <c r="K58" s="20">
        <v>10</v>
      </c>
      <c r="L58" s="20">
        <v>0</v>
      </c>
      <c r="M58" s="20">
        <v>10</v>
      </c>
      <c r="N58" s="8">
        <f t="shared" si="1"/>
        <v>20</v>
      </c>
      <c r="O58" s="18">
        <v>0</v>
      </c>
      <c r="P58" s="20">
        <v>0</v>
      </c>
      <c r="Q58" s="18">
        <v>6</v>
      </c>
      <c r="R58" s="8">
        <f t="shared" si="0"/>
        <v>6</v>
      </c>
      <c r="S58" s="18">
        <f t="shared" si="2"/>
        <v>66</v>
      </c>
      <c r="T58" s="18">
        <f t="shared" si="45"/>
        <v>1</v>
      </c>
      <c r="U58" s="18">
        <f t="shared" si="46"/>
        <v>0</v>
      </c>
      <c r="V58" s="18">
        <f t="shared" si="47"/>
        <v>1</v>
      </c>
      <c r="W58" s="8">
        <f t="shared" si="6"/>
        <v>2</v>
      </c>
      <c r="X58" s="18">
        <f t="shared" si="48"/>
        <v>0</v>
      </c>
      <c r="Y58" s="18">
        <f t="shared" si="49"/>
        <v>0</v>
      </c>
      <c r="Z58" s="18">
        <f t="shared" si="50"/>
        <v>0.6</v>
      </c>
      <c r="AA58" s="8">
        <f t="shared" si="10"/>
        <v>0.6</v>
      </c>
      <c r="AB58" s="8">
        <v>39.270000000000003</v>
      </c>
      <c r="AC58" s="8">
        <v>52.462499999999999</v>
      </c>
      <c r="AD58" s="8">
        <v>72.64</v>
      </c>
      <c r="AE58" s="9">
        <f t="shared" si="11"/>
        <v>7414.29</v>
      </c>
      <c r="AF58" s="21">
        <v>0.1</v>
      </c>
      <c r="AG58" s="10">
        <f t="shared" si="51"/>
        <v>741.42900000000009</v>
      </c>
      <c r="AH58" s="64">
        <f t="shared" si="13"/>
        <v>54.978000000000009</v>
      </c>
      <c r="AI58" s="9">
        <f t="shared" si="14"/>
        <v>6672.8609999999999</v>
      </c>
      <c r="AJ58" s="5">
        <v>0.18</v>
      </c>
      <c r="AK58" s="11">
        <f t="shared" si="15"/>
        <v>1201.1149799999998</v>
      </c>
      <c r="AL58" s="9">
        <f t="shared" si="16"/>
        <v>7873.9759799999993</v>
      </c>
      <c r="AP58" s="12"/>
    </row>
    <row r="59" spans="1:42" x14ac:dyDescent="0.35">
      <c r="A59" s="71">
        <v>46212</v>
      </c>
      <c r="B59" s="72" t="s">
        <v>67</v>
      </c>
      <c r="C59" s="73">
        <v>1067</v>
      </c>
      <c r="D59" s="74">
        <v>44984.297619047502</v>
      </c>
      <c r="E59" s="62" t="s">
        <v>68</v>
      </c>
      <c r="F59" s="73" t="s">
        <v>69</v>
      </c>
      <c r="G59" s="76" t="s">
        <v>159</v>
      </c>
      <c r="H59" s="73" t="s">
        <v>107</v>
      </c>
      <c r="I59" s="62" t="s">
        <v>155</v>
      </c>
      <c r="J59" s="55">
        <v>20</v>
      </c>
      <c r="K59" s="20">
        <v>0</v>
      </c>
      <c r="L59" s="20">
        <v>0</v>
      </c>
      <c r="M59" s="20">
        <v>10</v>
      </c>
      <c r="N59" s="8">
        <f t="shared" si="1"/>
        <v>10</v>
      </c>
      <c r="O59" s="20">
        <v>5</v>
      </c>
      <c r="P59" s="18">
        <v>0</v>
      </c>
      <c r="Q59" s="18">
        <v>0</v>
      </c>
      <c r="R59" s="8">
        <f t="shared" si="0"/>
        <v>5</v>
      </c>
      <c r="S59" s="18">
        <f t="shared" si="2"/>
        <v>35</v>
      </c>
      <c r="T59" s="18">
        <f t="shared" si="45"/>
        <v>0</v>
      </c>
      <c r="U59" s="18">
        <f t="shared" si="46"/>
        <v>0</v>
      </c>
      <c r="V59" s="18">
        <f t="shared" si="47"/>
        <v>1</v>
      </c>
      <c r="W59" s="8">
        <f t="shared" si="6"/>
        <v>1</v>
      </c>
      <c r="X59" s="18">
        <f t="shared" si="48"/>
        <v>0.5</v>
      </c>
      <c r="Y59" s="18">
        <f t="shared" si="49"/>
        <v>0</v>
      </c>
      <c r="Z59" s="18">
        <f t="shared" si="50"/>
        <v>0</v>
      </c>
      <c r="AA59" s="8">
        <f t="shared" si="10"/>
        <v>0.5</v>
      </c>
      <c r="AB59" s="8">
        <v>39.270000000000003</v>
      </c>
      <c r="AC59" s="8">
        <v>52.462499999999999</v>
      </c>
      <c r="AD59" s="8">
        <v>72.64</v>
      </c>
      <c r="AE59" s="9">
        <f t="shared" si="11"/>
        <v>3852.4250000000002</v>
      </c>
      <c r="AF59" s="21">
        <v>6.5000000000000002E-2</v>
      </c>
      <c r="AG59" s="10">
        <f t="shared" si="51"/>
        <v>250.40762500000002</v>
      </c>
      <c r="AH59" s="64">
        <f t="shared" si="13"/>
        <v>27.489000000000004</v>
      </c>
      <c r="AI59" s="9">
        <f t="shared" si="14"/>
        <v>3602.0173750000004</v>
      </c>
      <c r="AJ59" s="5">
        <v>0.18</v>
      </c>
      <c r="AK59" s="11">
        <f t="shared" si="15"/>
        <v>648.36312750000002</v>
      </c>
      <c r="AL59" s="9">
        <f t="shared" si="16"/>
        <v>4250.3805025000001</v>
      </c>
      <c r="AP59" s="12"/>
    </row>
    <row r="60" spans="1:42" x14ac:dyDescent="0.35">
      <c r="A60" s="71">
        <v>46212</v>
      </c>
      <c r="B60" s="72" t="s">
        <v>67</v>
      </c>
      <c r="C60" s="73">
        <v>1068</v>
      </c>
      <c r="D60" s="74">
        <v>44957.6785714285</v>
      </c>
      <c r="E60" s="62" t="s">
        <v>68</v>
      </c>
      <c r="F60" s="73" t="s">
        <v>98</v>
      </c>
      <c r="G60" s="76" t="s">
        <v>150</v>
      </c>
      <c r="H60" s="73" t="s">
        <v>107</v>
      </c>
      <c r="I60" s="62" t="s">
        <v>155</v>
      </c>
      <c r="J60" s="55">
        <v>20</v>
      </c>
      <c r="K60" s="20">
        <v>0</v>
      </c>
      <c r="L60" s="20">
        <v>0</v>
      </c>
      <c r="M60" s="20">
        <v>0</v>
      </c>
      <c r="N60" s="8">
        <f t="shared" si="1"/>
        <v>0</v>
      </c>
      <c r="O60" s="18">
        <v>0</v>
      </c>
      <c r="P60" s="18">
        <v>0</v>
      </c>
      <c r="Q60" s="20">
        <v>0</v>
      </c>
      <c r="R60" s="8">
        <f t="shared" si="0"/>
        <v>0</v>
      </c>
      <c r="S60" s="18">
        <f t="shared" si="2"/>
        <v>20</v>
      </c>
      <c r="T60" s="18">
        <f t="shared" si="45"/>
        <v>0</v>
      </c>
      <c r="U60" s="18">
        <f t="shared" si="46"/>
        <v>0</v>
      </c>
      <c r="V60" s="18">
        <f t="shared" si="47"/>
        <v>0</v>
      </c>
      <c r="W60" s="8">
        <f t="shared" si="6"/>
        <v>0</v>
      </c>
      <c r="X60" s="18">
        <f t="shared" si="48"/>
        <v>0</v>
      </c>
      <c r="Y60" s="18">
        <f t="shared" si="49"/>
        <v>0</v>
      </c>
      <c r="Z60" s="18">
        <f t="shared" si="50"/>
        <v>0</v>
      </c>
      <c r="AA60" s="8">
        <f t="shared" si="10"/>
        <v>0</v>
      </c>
      <c r="AB60" s="8">
        <v>39.270000000000003</v>
      </c>
      <c r="AC60" s="8">
        <v>52.462499999999999</v>
      </c>
      <c r="AD60" s="8">
        <v>72.64</v>
      </c>
      <c r="AE60" s="9">
        <f t="shared" si="11"/>
        <v>2238.1999999999998</v>
      </c>
      <c r="AF60" s="21">
        <v>6.5000000000000002E-2</v>
      </c>
      <c r="AG60" s="10">
        <f t="shared" si="51"/>
        <v>145.483</v>
      </c>
      <c r="AH60" s="64">
        <f t="shared" si="13"/>
        <v>27.489000000000004</v>
      </c>
      <c r="AI60" s="9">
        <f t="shared" si="14"/>
        <v>2092.7169999999996</v>
      </c>
      <c r="AJ60" s="5">
        <v>0.18</v>
      </c>
      <c r="AK60" s="11">
        <f t="shared" si="15"/>
        <v>376.68905999999993</v>
      </c>
      <c r="AL60" s="9">
        <f t="shared" si="16"/>
        <v>2469.4060599999993</v>
      </c>
      <c r="AP60" s="12"/>
    </row>
    <row r="61" spans="1:42" x14ac:dyDescent="0.35">
      <c r="A61" s="71">
        <v>46212</v>
      </c>
      <c r="B61" s="72" t="s">
        <v>67</v>
      </c>
      <c r="C61" s="74">
        <v>1068</v>
      </c>
      <c r="D61" s="74">
        <v>44957.6785714285</v>
      </c>
      <c r="E61" s="62" t="s">
        <v>68</v>
      </c>
      <c r="F61" s="75" t="s">
        <v>208</v>
      </c>
      <c r="G61" s="77" t="s">
        <v>217</v>
      </c>
      <c r="H61" s="75" t="s">
        <v>212</v>
      </c>
      <c r="I61" s="78" t="s">
        <v>219</v>
      </c>
      <c r="J61" s="55"/>
      <c r="K61" s="70">
        <v>0</v>
      </c>
      <c r="L61" s="70">
        <v>40</v>
      </c>
      <c r="M61" s="70">
        <v>40</v>
      </c>
      <c r="N61" s="8">
        <f t="shared" si="1"/>
        <v>80</v>
      </c>
      <c r="O61" s="69">
        <v>40</v>
      </c>
      <c r="P61" s="18">
        <v>40</v>
      </c>
      <c r="Q61" s="20">
        <v>40</v>
      </c>
      <c r="R61" s="8">
        <f t="shared" si="0"/>
        <v>120</v>
      </c>
      <c r="S61" s="18">
        <f t="shared" si="2"/>
        <v>200</v>
      </c>
      <c r="T61" s="18">
        <f t="shared" si="45"/>
        <v>0</v>
      </c>
      <c r="U61" s="18">
        <f t="shared" si="46"/>
        <v>4</v>
      </c>
      <c r="V61" s="18">
        <f t="shared" si="47"/>
        <v>4</v>
      </c>
      <c r="W61" s="8">
        <f t="shared" si="6"/>
        <v>8</v>
      </c>
      <c r="X61" s="18">
        <f t="shared" si="48"/>
        <v>4</v>
      </c>
      <c r="Y61" s="18">
        <f t="shared" si="49"/>
        <v>4</v>
      </c>
      <c r="Z61" s="18">
        <f t="shared" si="50"/>
        <v>4</v>
      </c>
      <c r="AA61" s="8">
        <f t="shared" si="10"/>
        <v>12</v>
      </c>
      <c r="AB61" s="8">
        <v>39.270000000000003</v>
      </c>
      <c r="AC61" s="8">
        <v>52.462499999999999</v>
      </c>
      <c r="AD61" s="8">
        <v>72.64</v>
      </c>
      <c r="AE61" s="9">
        <f t="shared" si="11"/>
        <v>18725</v>
      </c>
      <c r="AF61" s="21">
        <v>6.5000000000000002E-2</v>
      </c>
      <c r="AG61" s="10">
        <f t="shared" si="51"/>
        <v>1217.125</v>
      </c>
      <c r="AH61" s="64">
        <f t="shared" si="13"/>
        <v>0</v>
      </c>
      <c r="AI61" s="9">
        <f t="shared" si="14"/>
        <v>17507.875</v>
      </c>
      <c r="AJ61" s="5">
        <v>0.18</v>
      </c>
      <c r="AK61" s="11">
        <f t="shared" si="15"/>
        <v>3151.4175</v>
      </c>
      <c r="AL61" s="9">
        <f t="shared" si="16"/>
        <v>20659.2925</v>
      </c>
      <c r="AP61" s="12"/>
    </row>
    <row r="62" spans="1:42" x14ac:dyDescent="0.35">
      <c r="A62" s="71">
        <v>46212</v>
      </c>
      <c r="B62" s="72" t="s">
        <v>67</v>
      </c>
      <c r="C62" s="74">
        <v>1068</v>
      </c>
      <c r="D62" s="74">
        <v>44957.6785714285</v>
      </c>
      <c r="E62" s="62" t="s">
        <v>68</v>
      </c>
      <c r="F62" s="75" t="s">
        <v>208</v>
      </c>
      <c r="G62" s="77" t="s">
        <v>218</v>
      </c>
      <c r="H62" s="75" t="s">
        <v>212</v>
      </c>
      <c r="I62" s="78" t="s">
        <v>220</v>
      </c>
      <c r="J62" s="55"/>
      <c r="K62" s="70">
        <v>400</v>
      </c>
      <c r="L62" s="70">
        <v>200</v>
      </c>
      <c r="M62" s="70">
        <v>400</v>
      </c>
      <c r="N62" s="8">
        <f t="shared" si="1"/>
        <v>1000</v>
      </c>
      <c r="O62" s="69">
        <v>400</v>
      </c>
      <c r="P62" s="18">
        <v>200</v>
      </c>
      <c r="Q62" s="20">
        <v>400</v>
      </c>
      <c r="R62" s="8">
        <f t="shared" si="0"/>
        <v>1000</v>
      </c>
      <c r="S62" s="18">
        <f t="shared" si="2"/>
        <v>2000</v>
      </c>
      <c r="T62" s="18">
        <f t="shared" si="45"/>
        <v>40</v>
      </c>
      <c r="U62" s="18">
        <f t="shared" si="46"/>
        <v>20</v>
      </c>
      <c r="V62" s="18">
        <f t="shared" si="47"/>
        <v>40</v>
      </c>
      <c r="W62" s="8">
        <f t="shared" si="6"/>
        <v>100</v>
      </c>
      <c r="X62" s="18">
        <f t="shared" si="48"/>
        <v>40</v>
      </c>
      <c r="Y62" s="18">
        <f t="shared" si="49"/>
        <v>20</v>
      </c>
      <c r="Z62" s="18">
        <f t="shared" si="50"/>
        <v>40</v>
      </c>
      <c r="AA62" s="8">
        <f t="shared" si="10"/>
        <v>100</v>
      </c>
      <c r="AB62" s="8">
        <v>39.270000000000003</v>
      </c>
      <c r="AC62" s="8">
        <v>52.462499999999999</v>
      </c>
      <c r="AD62" s="8">
        <v>72.64</v>
      </c>
      <c r="AE62" s="9">
        <f t="shared" si="11"/>
        <v>197742.5</v>
      </c>
      <c r="AF62" s="21">
        <v>6.5000000000000002E-2</v>
      </c>
      <c r="AG62" s="10">
        <f t="shared" si="51"/>
        <v>12853.262500000001</v>
      </c>
      <c r="AH62" s="64">
        <f t="shared" si="13"/>
        <v>0</v>
      </c>
      <c r="AI62" s="9">
        <f t="shared" si="14"/>
        <v>184889.23749999999</v>
      </c>
      <c r="AJ62" s="5">
        <v>0.18</v>
      </c>
      <c r="AK62" s="11">
        <f t="shared" si="15"/>
        <v>33280.062749999997</v>
      </c>
      <c r="AL62" s="9">
        <f t="shared" si="16"/>
        <v>218169.30024999997</v>
      </c>
      <c r="AP62" s="12"/>
    </row>
    <row r="63" spans="1:42" x14ac:dyDescent="0.35">
      <c r="A63" s="71">
        <v>46212</v>
      </c>
      <c r="B63" s="72" t="s">
        <v>67</v>
      </c>
      <c r="C63" s="74">
        <v>1069.2</v>
      </c>
      <c r="D63" s="74">
        <v>44931.059523809403</v>
      </c>
      <c r="E63" s="62" t="s">
        <v>68</v>
      </c>
      <c r="F63" s="73" t="s">
        <v>161</v>
      </c>
      <c r="G63" s="76" t="s">
        <v>162</v>
      </c>
      <c r="H63" s="73" t="s">
        <v>90</v>
      </c>
      <c r="I63" s="62" t="s">
        <v>160</v>
      </c>
      <c r="J63" s="55">
        <v>30</v>
      </c>
      <c r="K63" s="20">
        <v>20</v>
      </c>
      <c r="L63" s="20">
        <v>10</v>
      </c>
      <c r="M63" s="20">
        <v>10</v>
      </c>
      <c r="N63" s="8">
        <f t="shared" si="1"/>
        <v>40</v>
      </c>
      <c r="O63" s="18">
        <v>30</v>
      </c>
      <c r="P63" s="18">
        <v>20</v>
      </c>
      <c r="Q63" s="18">
        <v>40</v>
      </c>
      <c r="R63" s="8">
        <f t="shared" si="0"/>
        <v>90</v>
      </c>
      <c r="S63" s="18">
        <f t="shared" ref="S63:S124" si="52">J63+K63+L63+M63+O63+P63+Q63</f>
        <v>160</v>
      </c>
      <c r="T63" s="18">
        <f t="shared" si="45"/>
        <v>2</v>
      </c>
      <c r="U63" s="18">
        <f t="shared" si="46"/>
        <v>1</v>
      </c>
      <c r="V63" s="18">
        <f t="shared" si="47"/>
        <v>1</v>
      </c>
      <c r="W63" s="8">
        <f t="shared" si="6"/>
        <v>4</v>
      </c>
      <c r="X63" s="18">
        <f t="shared" si="48"/>
        <v>3</v>
      </c>
      <c r="Y63" s="18">
        <f t="shared" si="49"/>
        <v>2</v>
      </c>
      <c r="Z63" s="18">
        <f t="shared" si="50"/>
        <v>4</v>
      </c>
      <c r="AA63" s="8">
        <f t="shared" si="10"/>
        <v>9</v>
      </c>
      <c r="AB63" s="8">
        <v>39.270000000000003</v>
      </c>
      <c r="AC63" s="8">
        <v>52.462499999999999</v>
      </c>
      <c r="AD63" s="8">
        <v>72.64</v>
      </c>
      <c r="AE63" s="9">
        <f t="shared" si="11"/>
        <v>14899</v>
      </c>
      <c r="AF63" s="21">
        <v>6.5000000000000002E-2</v>
      </c>
      <c r="AG63" s="10">
        <f t="shared" si="51"/>
        <v>968.43500000000006</v>
      </c>
      <c r="AH63" s="64">
        <f t="shared" si="13"/>
        <v>41.233500000000006</v>
      </c>
      <c r="AI63" s="9">
        <f t="shared" si="14"/>
        <v>13930.565000000001</v>
      </c>
      <c r="AJ63" s="5">
        <v>0.18</v>
      </c>
      <c r="AK63" s="11">
        <f t="shared" si="15"/>
        <v>2507.5016999999998</v>
      </c>
      <c r="AL63" s="9">
        <f t="shared" si="16"/>
        <v>16438.066699999999</v>
      </c>
      <c r="AP63" s="12"/>
    </row>
    <row r="64" spans="1:42" x14ac:dyDescent="0.35">
      <c r="A64" s="71">
        <v>46212</v>
      </c>
      <c r="B64" s="72" t="s">
        <v>67</v>
      </c>
      <c r="C64" s="74">
        <v>1069.8285714285701</v>
      </c>
      <c r="D64" s="74">
        <v>44904.440476190401</v>
      </c>
      <c r="E64" s="62" t="s">
        <v>68</v>
      </c>
      <c r="F64" s="73" t="s">
        <v>108</v>
      </c>
      <c r="G64" s="76" t="s">
        <v>163</v>
      </c>
      <c r="H64" s="73" t="s">
        <v>90</v>
      </c>
      <c r="I64" s="62" t="s">
        <v>160</v>
      </c>
      <c r="J64" s="55">
        <v>20</v>
      </c>
      <c r="K64" s="20">
        <v>10</v>
      </c>
      <c r="L64" s="20">
        <v>10</v>
      </c>
      <c r="M64" s="20">
        <v>0</v>
      </c>
      <c r="N64" s="8">
        <f t="shared" si="1"/>
        <v>20</v>
      </c>
      <c r="O64" s="18">
        <v>30</v>
      </c>
      <c r="P64" s="18">
        <v>0</v>
      </c>
      <c r="Q64" s="18">
        <v>40</v>
      </c>
      <c r="R64" s="8">
        <f t="shared" si="0"/>
        <v>70</v>
      </c>
      <c r="S64" s="18">
        <f t="shared" si="52"/>
        <v>110</v>
      </c>
      <c r="T64" s="18">
        <f t="shared" si="45"/>
        <v>1</v>
      </c>
      <c r="U64" s="18">
        <f t="shared" si="46"/>
        <v>1</v>
      </c>
      <c r="V64" s="18">
        <f t="shared" si="47"/>
        <v>0</v>
      </c>
      <c r="W64" s="8">
        <f t="shared" si="6"/>
        <v>2</v>
      </c>
      <c r="X64" s="18">
        <f t="shared" si="48"/>
        <v>3</v>
      </c>
      <c r="Y64" s="18">
        <f t="shared" si="49"/>
        <v>0</v>
      </c>
      <c r="Z64" s="18">
        <f t="shared" si="50"/>
        <v>4</v>
      </c>
      <c r="AA64" s="8">
        <f t="shared" si="10"/>
        <v>7</v>
      </c>
      <c r="AB64" s="8">
        <v>39.270000000000003</v>
      </c>
      <c r="AC64" s="8">
        <v>52.462499999999999</v>
      </c>
      <c r="AD64" s="8">
        <v>72.64</v>
      </c>
      <c r="AE64" s="9">
        <f t="shared" si="11"/>
        <v>9825.0499999999993</v>
      </c>
      <c r="AF64" s="21">
        <v>6.5000000000000002E-2</v>
      </c>
      <c r="AG64" s="10">
        <f t="shared" si="51"/>
        <v>638.62824999999998</v>
      </c>
      <c r="AH64" s="64">
        <f t="shared" si="13"/>
        <v>27.489000000000004</v>
      </c>
      <c r="AI64" s="9">
        <f t="shared" si="14"/>
        <v>9186.4217499999995</v>
      </c>
      <c r="AJ64" s="5">
        <v>0.18</v>
      </c>
      <c r="AK64" s="11">
        <f t="shared" si="15"/>
        <v>1653.5559149999999</v>
      </c>
      <c r="AL64" s="9">
        <f t="shared" si="16"/>
        <v>10839.977664999999</v>
      </c>
      <c r="AP64" s="12"/>
    </row>
    <row r="65" spans="1:42" x14ac:dyDescent="0.35">
      <c r="A65" s="71">
        <v>46212</v>
      </c>
      <c r="B65" s="72" t="s">
        <v>67</v>
      </c>
      <c r="C65" s="74">
        <v>1070.4571428571401</v>
      </c>
      <c r="D65" s="74">
        <v>44877.821428571297</v>
      </c>
      <c r="E65" s="62" t="s">
        <v>68</v>
      </c>
      <c r="F65" s="73" t="s">
        <v>108</v>
      </c>
      <c r="G65" s="76" t="s">
        <v>164</v>
      </c>
      <c r="H65" s="73" t="s">
        <v>90</v>
      </c>
      <c r="I65" s="62" t="s">
        <v>160</v>
      </c>
      <c r="J65" s="55">
        <v>14</v>
      </c>
      <c r="K65" s="18">
        <v>0</v>
      </c>
      <c r="L65" s="18">
        <v>10</v>
      </c>
      <c r="M65" s="18">
        <v>0</v>
      </c>
      <c r="N65" s="8">
        <f t="shared" si="1"/>
        <v>10</v>
      </c>
      <c r="O65" s="18">
        <v>30</v>
      </c>
      <c r="P65" s="18">
        <v>40</v>
      </c>
      <c r="Q65" s="18">
        <v>20</v>
      </c>
      <c r="R65" s="8">
        <f t="shared" si="0"/>
        <v>90</v>
      </c>
      <c r="S65" s="18">
        <f t="shared" si="52"/>
        <v>114</v>
      </c>
      <c r="T65" s="18">
        <f t="shared" si="45"/>
        <v>0</v>
      </c>
      <c r="U65" s="18">
        <f t="shared" si="46"/>
        <v>1</v>
      </c>
      <c r="V65" s="18">
        <f t="shared" si="47"/>
        <v>0</v>
      </c>
      <c r="W65" s="8">
        <f t="shared" si="6"/>
        <v>1</v>
      </c>
      <c r="X65" s="18">
        <f t="shared" si="48"/>
        <v>3</v>
      </c>
      <c r="Y65" s="18">
        <f t="shared" si="49"/>
        <v>4</v>
      </c>
      <c r="Z65" s="18">
        <f t="shared" si="50"/>
        <v>2</v>
      </c>
      <c r="AA65" s="8">
        <f t="shared" si="10"/>
        <v>9</v>
      </c>
      <c r="AB65" s="8">
        <v>39.270000000000003</v>
      </c>
      <c r="AC65" s="8">
        <v>52.462499999999999</v>
      </c>
      <c r="AD65" s="8">
        <v>72.64</v>
      </c>
      <c r="AE65" s="9">
        <f t="shared" si="11"/>
        <v>9355.3650000000016</v>
      </c>
      <c r="AF65" s="21">
        <v>6.5000000000000002E-2</v>
      </c>
      <c r="AG65" s="10">
        <f t="shared" si="51"/>
        <v>608.09872500000017</v>
      </c>
      <c r="AH65" s="64">
        <f t="shared" si="13"/>
        <v>19.242300000000004</v>
      </c>
      <c r="AI65" s="9">
        <f t="shared" si="14"/>
        <v>8747.2662750000018</v>
      </c>
      <c r="AJ65" s="5">
        <v>0.18</v>
      </c>
      <c r="AK65" s="11">
        <f t="shared" si="15"/>
        <v>1574.5079295000003</v>
      </c>
      <c r="AL65" s="9">
        <f t="shared" si="16"/>
        <v>10321.774204500001</v>
      </c>
      <c r="AP65" s="12"/>
    </row>
    <row r="66" spans="1:42" x14ac:dyDescent="0.35">
      <c r="A66" s="71">
        <v>46212</v>
      </c>
      <c r="B66" s="72" t="s">
        <v>67</v>
      </c>
      <c r="C66" s="74">
        <v>1071.0857142857101</v>
      </c>
      <c r="D66" s="74">
        <v>44851.202380952302</v>
      </c>
      <c r="E66" s="62" t="s">
        <v>68</v>
      </c>
      <c r="F66" s="73" t="s">
        <v>78</v>
      </c>
      <c r="G66" s="76" t="s">
        <v>165</v>
      </c>
      <c r="H66" s="73" t="s">
        <v>90</v>
      </c>
      <c r="I66" s="62" t="s">
        <v>160</v>
      </c>
      <c r="J66" s="55">
        <v>0</v>
      </c>
      <c r="K66" s="20">
        <v>10</v>
      </c>
      <c r="L66" s="18">
        <v>15</v>
      </c>
      <c r="M66" s="18">
        <v>0</v>
      </c>
      <c r="N66" s="8">
        <f t="shared" si="1"/>
        <v>25</v>
      </c>
      <c r="O66" s="20">
        <v>0</v>
      </c>
      <c r="P66" s="20">
        <v>0</v>
      </c>
      <c r="Q66" s="20">
        <v>10</v>
      </c>
      <c r="R66" s="8">
        <f t="shared" si="0"/>
        <v>10</v>
      </c>
      <c r="S66" s="18">
        <f t="shared" si="52"/>
        <v>35</v>
      </c>
      <c r="T66" s="18">
        <f t="shared" si="45"/>
        <v>1</v>
      </c>
      <c r="U66" s="18">
        <f t="shared" si="46"/>
        <v>1.5</v>
      </c>
      <c r="V66" s="18">
        <f t="shared" si="47"/>
        <v>0</v>
      </c>
      <c r="W66" s="8">
        <f t="shared" si="6"/>
        <v>2.5</v>
      </c>
      <c r="X66" s="18">
        <f t="shared" si="48"/>
        <v>0</v>
      </c>
      <c r="Y66" s="18">
        <f t="shared" si="49"/>
        <v>0</v>
      </c>
      <c r="Z66" s="18">
        <f t="shared" si="50"/>
        <v>1</v>
      </c>
      <c r="AA66" s="8">
        <f t="shared" si="10"/>
        <v>1</v>
      </c>
      <c r="AB66" s="8">
        <v>39.270000000000003</v>
      </c>
      <c r="AC66" s="8">
        <v>52.462499999999999</v>
      </c>
      <c r="AD66" s="8">
        <v>72.64</v>
      </c>
      <c r="AE66" s="9">
        <f t="shared" si="11"/>
        <v>3853.9625000000001</v>
      </c>
      <c r="AF66" s="21">
        <v>6.5000000000000002E-2</v>
      </c>
      <c r="AG66" s="10">
        <f t="shared" si="51"/>
        <v>250.50756250000001</v>
      </c>
      <c r="AH66" s="64">
        <f t="shared" si="13"/>
        <v>0</v>
      </c>
      <c r="AI66" s="9">
        <f t="shared" si="14"/>
        <v>3603.4549375000001</v>
      </c>
      <c r="AJ66" s="5">
        <v>0.18</v>
      </c>
      <c r="AK66" s="11">
        <f t="shared" si="15"/>
        <v>648.62188875000004</v>
      </c>
      <c r="AL66" s="9">
        <f t="shared" si="16"/>
        <v>4252.0768262500005</v>
      </c>
      <c r="AP66" s="12"/>
    </row>
    <row r="67" spans="1:42" x14ac:dyDescent="0.35">
      <c r="A67" s="71">
        <v>46212</v>
      </c>
      <c r="B67" s="72" t="s">
        <v>67</v>
      </c>
      <c r="C67" s="74">
        <v>1071.7142857142901</v>
      </c>
      <c r="D67" s="74">
        <v>44824.583333333198</v>
      </c>
      <c r="E67" s="62" t="s">
        <v>68</v>
      </c>
      <c r="F67" s="73" t="s">
        <v>69</v>
      </c>
      <c r="G67" s="76" t="s">
        <v>95</v>
      </c>
      <c r="H67" s="73" t="s">
        <v>90</v>
      </c>
      <c r="I67" s="62" t="s">
        <v>160</v>
      </c>
      <c r="J67" s="55">
        <v>0</v>
      </c>
      <c r="K67" s="20">
        <v>15</v>
      </c>
      <c r="L67" s="20">
        <v>10</v>
      </c>
      <c r="M67" s="20">
        <v>0</v>
      </c>
      <c r="N67" s="8">
        <f t="shared" si="1"/>
        <v>25</v>
      </c>
      <c r="O67" s="18">
        <v>0</v>
      </c>
      <c r="P67" s="18">
        <v>20</v>
      </c>
      <c r="Q67" s="20">
        <v>0</v>
      </c>
      <c r="R67" s="8">
        <f t="shared" ref="R67:R130" si="53">SUM(O67:Q67)</f>
        <v>20</v>
      </c>
      <c r="S67" s="18">
        <f t="shared" si="52"/>
        <v>45</v>
      </c>
      <c r="T67" s="18">
        <f t="shared" si="45"/>
        <v>1.5</v>
      </c>
      <c r="U67" s="18">
        <f t="shared" si="46"/>
        <v>1</v>
      </c>
      <c r="V67" s="18">
        <f t="shared" si="47"/>
        <v>0</v>
      </c>
      <c r="W67" s="8">
        <f t="shared" si="6"/>
        <v>2.5</v>
      </c>
      <c r="X67" s="18">
        <f t="shared" si="48"/>
        <v>0</v>
      </c>
      <c r="Y67" s="18">
        <f t="shared" si="49"/>
        <v>2</v>
      </c>
      <c r="Z67" s="18">
        <f t="shared" si="50"/>
        <v>0</v>
      </c>
      <c r="AA67" s="8">
        <f t="shared" si="10"/>
        <v>2</v>
      </c>
      <c r="AB67" s="8">
        <v>39.270000000000003</v>
      </c>
      <c r="AC67" s="8">
        <v>52.462499999999999</v>
      </c>
      <c r="AD67" s="8">
        <v>72.64</v>
      </c>
      <c r="AE67" s="9">
        <f t="shared" si="11"/>
        <v>4580.3625000000002</v>
      </c>
      <c r="AF67" s="21">
        <v>6.5000000000000002E-2</v>
      </c>
      <c r="AG67" s="10">
        <f t="shared" si="51"/>
        <v>297.72356250000001</v>
      </c>
      <c r="AH67" s="64">
        <f t="shared" si="13"/>
        <v>0</v>
      </c>
      <c r="AI67" s="9">
        <f t="shared" si="14"/>
        <v>4282.6389374999999</v>
      </c>
      <c r="AJ67" s="5">
        <v>0.18</v>
      </c>
      <c r="AK67" s="11">
        <f t="shared" si="15"/>
        <v>770.87500875000001</v>
      </c>
      <c r="AL67" s="9">
        <f t="shared" si="16"/>
        <v>5053.5139462500001</v>
      </c>
      <c r="AP67" s="12"/>
    </row>
    <row r="68" spans="1:42" x14ac:dyDescent="0.35">
      <c r="A68" s="71">
        <v>46212</v>
      </c>
      <c r="B68" s="72" t="s">
        <v>67</v>
      </c>
      <c r="C68" s="74">
        <v>1072.3428571428601</v>
      </c>
      <c r="D68" s="74">
        <v>44797.964285714203</v>
      </c>
      <c r="E68" s="62" t="s">
        <v>68</v>
      </c>
      <c r="F68" s="73" t="s">
        <v>78</v>
      </c>
      <c r="G68" s="76" t="s">
        <v>167</v>
      </c>
      <c r="H68" s="73" t="s">
        <v>101</v>
      </c>
      <c r="I68" s="62" t="s">
        <v>166</v>
      </c>
      <c r="J68" s="55">
        <v>20</v>
      </c>
      <c r="K68" s="18">
        <v>20</v>
      </c>
      <c r="L68" s="18">
        <v>20</v>
      </c>
      <c r="M68" s="18">
        <v>20</v>
      </c>
      <c r="N68" s="8">
        <f t="shared" ref="N68:N131" si="54">K68+L68+M68</f>
        <v>60</v>
      </c>
      <c r="O68" s="18">
        <v>20</v>
      </c>
      <c r="P68" s="18">
        <v>0</v>
      </c>
      <c r="Q68" s="18">
        <v>12</v>
      </c>
      <c r="R68" s="8">
        <f t="shared" si="53"/>
        <v>32</v>
      </c>
      <c r="S68" s="18">
        <f t="shared" si="52"/>
        <v>112</v>
      </c>
      <c r="T68" s="18">
        <f t="shared" si="45"/>
        <v>2</v>
      </c>
      <c r="U68" s="18">
        <f t="shared" si="46"/>
        <v>2</v>
      </c>
      <c r="V68" s="18">
        <f t="shared" si="47"/>
        <v>2</v>
      </c>
      <c r="W68" s="8">
        <f t="shared" si="6"/>
        <v>6</v>
      </c>
      <c r="X68" s="18">
        <f t="shared" si="48"/>
        <v>2</v>
      </c>
      <c r="Y68" s="18">
        <f t="shared" si="49"/>
        <v>0</v>
      </c>
      <c r="Z68" s="18">
        <f t="shared" si="50"/>
        <v>1.2</v>
      </c>
      <c r="AA68" s="8">
        <f t="shared" si="10"/>
        <v>3.2</v>
      </c>
      <c r="AB68" s="8">
        <v>39.270000000000003</v>
      </c>
      <c r="AC68" s="8">
        <v>52.462499999999999</v>
      </c>
      <c r="AD68" s="8">
        <v>72.64</v>
      </c>
      <c r="AE68" s="9">
        <f t="shared" si="11"/>
        <v>12068.83</v>
      </c>
      <c r="AF68" s="21">
        <v>6.5000000000000002E-2</v>
      </c>
      <c r="AG68" s="10">
        <f t="shared" si="51"/>
        <v>784.47395000000006</v>
      </c>
      <c r="AH68" s="64">
        <f t="shared" si="13"/>
        <v>27.489000000000004</v>
      </c>
      <c r="AI68" s="9">
        <f t="shared" si="14"/>
        <v>11284.35605</v>
      </c>
      <c r="AJ68" s="5">
        <v>0.18</v>
      </c>
      <c r="AK68" s="11">
        <f t="shared" si="15"/>
        <v>2031.1840890000001</v>
      </c>
      <c r="AL68" s="9">
        <f t="shared" si="16"/>
        <v>13315.540139000001</v>
      </c>
      <c r="AP68" s="12"/>
    </row>
    <row r="69" spans="1:42" x14ac:dyDescent="0.35">
      <c r="A69" s="71">
        <v>46212</v>
      </c>
      <c r="B69" s="72" t="s">
        <v>67</v>
      </c>
      <c r="C69" s="74">
        <v>1072.9714285714299</v>
      </c>
      <c r="D69" s="74">
        <v>44771.345238095098</v>
      </c>
      <c r="E69" s="62" t="s">
        <v>68</v>
      </c>
      <c r="F69" s="73" t="s">
        <v>78</v>
      </c>
      <c r="G69" s="76" t="s">
        <v>146</v>
      </c>
      <c r="H69" s="73" t="s">
        <v>101</v>
      </c>
      <c r="I69" s="62" t="s">
        <v>166</v>
      </c>
      <c r="J69" s="55">
        <v>20</v>
      </c>
      <c r="K69" s="20">
        <v>0</v>
      </c>
      <c r="L69" s="20">
        <v>10</v>
      </c>
      <c r="M69" s="20">
        <v>10</v>
      </c>
      <c r="N69" s="8">
        <f t="shared" si="54"/>
        <v>20</v>
      </c>
      <c r="O69" s="18">
        <v>10</v>
      </c>
      <c r="P69" s="18">
        <v>0</v>
      </c>
      <c r="Q69" s="18">
        <v>12</v>
      </c>
      <c r="R69" s="8">
        <f t="shared" si="53"/>
        <v>22</v>
      </c>
      <c r="S69" s="18">
        <f t="shared" si="52"/>
        <v>62</v>
      </c>
      <c r="T69" s="18">
        <f t="shared" si="45"/>
        <v>0</v>
      </c>
      <c r="U69" s="18">
        <f t="shared" si="46"/>
        <v>1</v>
      </c>
      <c r="V69" s="18">
        <f t="shared" si="47"/>
        <v>1</v>
      </c>
      <c r="W69" s="8">
        <f t="shared" si="6"/>
        <v>2</v>
      </c>
      <c r="X69" s="18">
        <f t="shared" si="48"/>
        <v>1</v>
      </c>
      <c r="Y69" s="18">
        <f t="shared" si="49"/>
        <v>0</v>
      </c>
      <c r="Z69" s="18">
        <f t="shared" si="50"/>
        <v>1.2</v>
      </c>
      <c r="AA69" s="8">
        <f t="shared" si="10"/>
        <v>2.2000000000000002</v>
      </c>
      <c r="AB69" s="8">
        <v>39.270000000000003</v>
      </c>
      <c r="AC69" s="8">
        <v>52.462499999999999</v>
      </c>
      <c r="AD69" s="8">
        <v>72.64</v>
      </c>
      <c r="AE69" s="9">
        <f t="shared" si="11"/>
        <v>6338.33</v>
      </c>
      <c r="AF69" s="21">
        <v>6.5000000000000002E-2</v>
      </c>
      <c r="AG69" s="10">
        <f t="shared" si="51"/>
        <v>411.99144999999999</v>
      </c>
      <c r="AH69" s="64">
        <f t="shared" si="13"/>
        <v>27.489000000000004</v>
      </c>
      <c r="AI69" s="9">
        <f t="shared" si="14"/>
        <v>5926.3385500000004</v>
      </c>
      <c r="AJ69" s="5">
        <v>0.18</v>
      </c>
      <c r="AK69" s="11">
        <f t="shared" si="15"/>
        <v>1066.740939</v>
      </c>
      <c r="AL69" s="9">
        <f t="shared" si="16"/>
        <v>6993.0794890000006</v>
      </c>
      <c r="AP69" s="12"/>
    </row>
    <row r="70" spans="1:42" x14ac:dyDescent="0.35">
      <c r="A70" s="71">
        <v>46212</v>
      </c>
      <c r="B70" s="72" t="s">
        <v>67</v>
      </c>
      <c r="C70" s="74">
        <v>1073.5999999999999</v>
      </c>
      <c r="D70" s="74">
        <v>44744.726190476104</v>
      </c>
      <c r="E70" s="62" t="s">
        <v>68</v>
      </c>
      <c r="F70" s="73" t="s">
        <v>69</v>
      </c>
      <c r="G70" s="76" t="s">
        <v>168</v>
      </c>
      <c r="H70" s="73" t="s">
        <v>101</v>
      </c>
      <c r="I70" s="62" t="s">
        <v>166</v>
      </c>
      <c r="J70" s="55">
        <v>10</v>
      </c>
      <c r="K70" s="18">
        <v>10</v>
      </c>
      <c r="L70" s="18">
        <v>0</v>
      </c>
      <c r="M70" s="18">
        <v>10</v>
      </c>
      <c r="N70" s="8">
        <f t="shared" si="54"/>
        <v>20</v>
      </c>
      <c r="O70" s="20">
        <v>0</v>
      </c>
      <c r="P70" s="20">
        <v>20</v>
      </c>
      <c r="Q70" s="20">
        <v>8</v>
      </c>
      <c r="R70" s="8">
        <f t="shared" si="53"/>
        <v>28</v>
      </c>
      <c r="S70" s="18">
        <f t="shared" si="52"/>
        <v>58</v>
      </c>
      <c r="T70" s="18">
        <f t="shared" si="45"/>
        <v>1</v>
      </c>
      <c r="U70" s="18">
        <f t="shared" si="46"/>
        <v>0</v>
      </c>
      <c r="V70" s="18">
        <f t="shared" si="47"/>
        <v>1</v>
      </c>
      <c r="W70" s="8">
        <f t="shared" ref="W70:W141" si="55">N70/10</f>
        <v>2</v>
      </c>
      <c r="X70" s="18">
        <f t="shared" si="48"/>
        <v>0</v>
      </c>
      <c r="Y70" s="18">
        <f t="shared" si="49"/>
        <v>2</v>
      </c>
      <c r="Z70" s="18">
        <f t="shared" si="50"/>
        <v>0.8</v>
      </c>
      <c r="AA70" s="8">
        <f t="shared" ref="AA70:AA141" si="56">R70/10</f>
        <v>2.8</v>
      </c>
      <c r="AB70" s="8">
        <v>39.270000000000003</v>
      </c>
      <c r="AC70" s="8">
        <v>52.462499999999999</v>
      </c>
      <c r="AD70" s="8">
        <v>72.64</v>
      </c>
      <c r="AE70" s="9">
        <f t="shared" ref="AE70:AE141" si="57">(J70*AB70)+(N70*AC70)+(AD70*S70)</f>
        <v>5655.07</v>
      </c>
      <c r="AF70" s="21">
        <v>6.5000000000000002E-2</v>
      </c>
      <c r="AG70" s="10">
        <f t="shared" si="51"/>
        <v>367.57954999999998</v>
      </c>
      <c r="AH70" s="64">
        <f t="shared" ref="AH70:AH141" si="58">(AB70*J70)*$AH$1</f>
        <v>13.744500000000002</v>
      </c>
      <c r="AI70" s="9">
        <f t="shared" ref="AI70:AI141" si="59">AE70-AG70</f>
        <v>5287.4904499999993</v>
      </c>
      <c r="AJ70" s="5">
        <v>0.18</v>
      </c>
      <c r="AK70" s="11">
        <f t="shared" ref="AK70:AK141" si="60">AI70*AJ70</f>
        <v>951.74828099999979</v>
      </c>
      <c r="AL70" s="9">
        <f t="shared" ref="AL70:AL141" si="61">AI70+AK70</f>
        <v>6239.2387309999995</v>
      </c>
      <c r="AP70" s="12"/>
    </row>
    <row r="71" spans="1:42" x14ac:dyDescent="0.35">
      <c r="A71" s="71">
        <v>46212</v>
      </c>
      <c r="B71" s="72" t="s">
        <v>67</v>
      </c>
      <c r="C71" s="74">
        <v>1074.2285714286099</v>
      </c>
      <c r="D71" s="74">
        <v>44718.107142856999</v>
      </c>
      <c r="E71" s="62" t="s">
        <v>68</v>
      </c>
      <c r="F71" s="73" t="s">
        <v>69</v>
      </c>
      <c r="G71" s="76" t="s">
        <v>169</v>
      </c>
      <c r="H71" s="73" t="s">
        <v>101</v>
      </c>
      <c r="I71" s="62" t="s">
        <v>166</v>
      </c>
      <c r="J71" s="55">
        <v>0</v>
      </c>
      <c r="K71" s="18">
        <v>0</v>
      </c>
      <c r="L71" s="20">
        <v>20</v>
      </c>
      <c r="M71" s="20">
        <v>20</v>
      </c>
      <c r="N71" s="8">
        <f t="shared" si="54"/>
        <v>40</v>
      </c>
      <c r="O71" s="20">
        <v>0</v>
      </c>
      <c r="P71" s="20">
        <v>0</v>
      </c>
      <c r="Q71" s="20">
        <v>0</v>
      </c>
      <c r="R71" s="8">
        <f t="shared" si="53"/>
        <v>0</v>
      </c>
      <c r="S71" s="18">
        <f t="shared" si="52"/>
        <v>40</v>
      </c>
      <c r="T71" s="18">
        <f t="shared" si="45"/>
        <v>0</v>
      </c>
      <c r="U71" s="18">
        <f t="shared" si="46"/>
        <v>2</v>
      </c>
      <c r="V71" s="18">
        <f t="shared" si="47"/>
        <v>2</v>
      </c>
      <c r="W71" s="8">
        <f t="shared" si="55"/>
        <v>4</v>
      </c>
      <c r="X71" s="18">
        <f t="shared" si="48"/>
        <v>0</v>
      </c>
      <c r="Y71" s="18">
        <f t="shared" si="49"/>
        <v>0</v>
      </c>
      <c r="Z71" s="18">
        <f t="shared" si="50"/>
        <v>0</v>
      </c>
      <c r="AA71" s="8">
        <f t="shared" si="56"/>
        <v>0</v>
      </c>
      <c r="AB71" s="8">
        <v>39.270000000000003</v>
      </c>
      <c r="AC71" s="8">
        <v>52.462499999999999</v>
      </c>
      <c r="AD71" s="8">
        <v>72.64</v>
      </c>
      <c r="AE71" s="9">
        <f t="shared" si="57"/>
        <v>5004.1000000000004</v>
      </c>
      <c r="AF71" s="21">
        <v>6.5000000000000002E-2</v>
      </c>
      <c r="AG71" s="10">
        <f t="shared" si="51"/>
        <v>325.26650000000001</v>
      </c>
      <c r="AH71" s="64">
        <f t="shared" si="58"/>
        <v>0</v>
      </c>
      <c r="AI71" s="9">
        <f t="shared" si="59"/>
        <v>4678.8335000000006</v>
      </c>
      <c r="AJ71" s="5">
        <v>0.18</v>
      </c>
      <c r="AK71" s="11">
        <f t="shared" si="60"/>
        <v>842.19003000000009</v>
      </c>
      <c r="AL71" s="9">
        <f t="shared" si="61"/>
        <v>5521.0235300000004</v>
      </c>
      <c r="AP71" s="12"/>
    </row>
    <row r="72" spans="1:42" x14ac:dyDescent="0.35">
      <c r="A72" s="71">
        <v>46183</v>
      </c>
      <c r="B72" s="72" t="s">
        <v>67</v>
      </c>
      <c r="C72" s="74">
        <v>1074.85714285719</v>
      </c>
      <c r="D72" s="74">
        <v>44691.488095237997</v>
      </c>
      <c r="E72" s="62" t="s">
        <v>68</v>
      </c>
      <c r="F72" s="73" t="s">
        <v>78</v>
      </c>
      <c r="G72" s="76" t="s">
        <v>133</v>
      </c>
      <c r="H72" s="73" t="s">
        <v>90</v>
      </c>
      <c r="I72" s="62" t="s">
        <v>170</v>
      </c>
      <c r="J72" s="55">
        <v>0</v>
      </c>
      <c r="K72" s="20">
        <v>30</v>
      </c>
      <c r="L72" s="20">
        <v>20</v>
      </c>
      <c r="M72" s="20">
        <v>0</v>
      </c>
      <c r="N72" s="8">
        <f t="shared" si="54"/>
        <v>50</v>
      </c>
      <c r="O72" s="18">
        <v>20</v>
      </c>
      <c r="P72" s="18">
        <v>40</v>
      </c>
      <c r="Q72" s="20">
        <v>20</v>
      </c>
      <c r="R72" s="8">
        <f t="shared" si="53"/>
        <v>80</v>
      </c>
      <c r="S72" s="18">
        <f t="shared" si="52"/>
        <v>130</v>
      </c>
      <c r="T72" s="18">
        <f t="shared" si="45"/>
        <v>3</v>
      </c>
      <c r="U72" s="18">
        <f t="shared" si="46"/>
        <v>2</v>
      </c>
      <c r="V72" s="18">
        <f t="shared" si="47"/>
        <v>0</v>
      </c>
      <c r="W72" s="8">
        <f t="shared" si="55"/>
        <v>5</v>
      </c>
      <c r="X72" s="18">
        <f t="shared" si="48"/>
        <v>2</v>
      </c>
      <c r="Y72" s="18">
        <f t="shared" si="49"/>
        <v>4</v>
      </c>
      <c r="Z72" s="18">
        <f t="shared" si="50"/>
        <v>2</v>
      </c>
      <c r="AA72" s="8">
        <f t="shared" si="56"/>
        <v>8</v>
      </c>
      <c r="AB72" s="8">
        <v>39.270000000000003</v>
      </c>
      <c r="AC72" s="8">
        <v>52.462499999999999</v>
      </c>
      <c r="AD72" s="8">
        <v>72.64</v>
      </c>
      <c r="AE72" s="9">
        <f t="shared" si="57"/>
        <v>12066.325000000001</v>
      </c>
      <c r="AF72" s="21">
        <v>6.5000000000000002E-2</v>
      </c>
      <c r="AG72" s="10">
        <f t="shared" si="51"/>
        <v>784.31112500000006</v>
      </c>
      <c r="AH72" s="64">
        <f t="shared" si="58"/>
        <v>0</v>
      </c>
      <c r="AI72" s="9">
        <f t="shared" si="59"/>
        <v>11282.013875000001</v>
      </c>
      <c r="AJ72" s="5">
        <v>0.18</v>
      </c>
      <c r="AK72" s="11">
        <f t="shared" si="60"/>
        <v>2030.7624975000001</v>
      </c>
      <c r="AL72" s="9">
        <f t="shared" si="61"/>
        <v>13312.7763725</v>
      </c>
      <c r="AP72" s="12"/>
    </row>
    <row r="73" spans="1:42" x14ac:dyDescent="0.35">
      <c r="A73" s="71">
        <v>46183</v>
      </c>
      <c r="B73" s="72" t="s">
        <v>67</v>
      </c>
      <c r="C73" s="74">
        <v>1075.48571428577</v>
      </c>
      <c r="D73" s="74">
        <v>44664.869047619002</v>
      </c>
      <c r="E73" s="62" t="s">
        <v>68</v>
      </c>
      <c r="F73" s="73" t="s">
        <v>69</v>
      </c>
      <c r="G73" s="76" t="s">
        <v>134</v>
      </c>
      <c r="H73" s="73" t="s">
        <v>90</v>
      </c>
      <c r="I73" s="62" t="s">
        <v>170</v>
      </c>
      <c r="J73" s="55">
        <v>0</v>
      </c>
      <c r="K73" s="18">
        <v>10</v>
      </c>
      <c r="L73" s="18">
        <v>20</v>
      </c>
      <c r="M73" s="18">
        <v>40</v>
      </c>
      <c r="N73" s="8">
        <f t="shared" si="54"/>
        <v>70</v>
      </c>
      <c r="O73" s="18">
        <v>40</v>
      </c>
      <c r="P73" s="18">
        <v>30</v>
      </c>
      <c r="Q73" s="18">
        <v>10</v>
      </c>
      <c r="R73" s="8">
        <f t="shared" si="53"/>
        <v>80</v>
      </c>
      <c r="S73" s="18">
        <f t="shared" si="52"/>
        <v>150</v>
      </c>
      <c r="T73" s="18">
        <f t="shared" si="45"/>
        <v>1</v>
      </c>
      <c r="U73" s="18">
        <f t="shared" si="46"/>
        <v>2</v>
      </c>
      <c r="V73" s="18">
        <f t="shared" si="47"/>
        <v>4</v>
      </c>
      <c r="W73" s="8">
        <f t="shared" si="55"/>
        <v>7</v>
      </c>
      <c r="X73" s="18">
        <f t="shared" si="48"/>
        <v>4</v>
      </c>
      <c r="Y73" s="18">
        <f t="shared" si="49"/>
        <v>3</v>
      </c>
      <c r="Z73" s="18">
        <f t="shared" si="50"/>
        <v>1</v>
      </c>
      <c r="AA73" s="8">
        <f t="shared" si="56"/>
        <v>8</v>
      </c>
      <c r="AB73" s="8">
        <v>39.270000000000003</v>
      </c>
      <c r="AC73" s="8">
        <v>52.462499999999999</v>
      </c>
      <c r="AD73" s="8">
        <v>72.64</v>
      </c>
      <c r="AE73" s="9">
        <f t="shared" si="57"/>
        <v>14568.375</v>
      </c>
      <c r="AF73" s="21">
        <v>6.5000000000000002E-2</v>
      </c>
      <c r="AG73" s="10">
        <f t="shared" si="51"/>
        <v>946.94437500000004</v>
      </c>
      <c r="AH73" s="64">
        <f t="shared" si="58"/>
        <v>0</v>
      </c>
      <c r="AI73" s="9">
        <f t="shared" si="59"/>
        <v>13621.430625000001</v>
      </c>
      <c r="AJ73" s="5">
        <v>0.18</v>
      </c>
      <c r="AK73" s="11">
        <f t="shared" si="60"/>
        <v>2451.8575125000002</v>
      </c>
      <c r="AL73" s="9">
        <f t="shared" si="61"/>
        <v>16073.288137500002</v>
      </c>
      <c r="AP73" s="12"/>
    </row>
    <row r="74" spans="1:42" x14ac:dyDescent="0.35">
      <c r="A74" s="71">
        <v>46183</v>
      </c>
      <c r="B74" s="72" t="s">
        <v>67</v>
      </c>
      <c r="C74" s="74">
        <v>1076.11428571435</v>
      </c>
      <c r="D74" s="74">
        <v>44638.249999999898</v>
      </c>
      <c r="E74" s="62" t="s">
        <v>68</v>
      </c>
      <c r="F74" s="73" t="s">
        <v>69</v>
      </c>
      <c r="G74" s="76" t="s">
        <v>172</v>
      </c>
      <c r="H74" s="73" t="s">
        <v>89</v>
      </c>
      <c r="I74" s="62" t="s">
        <v>171</v>
      </c>
      <c r="J74" s="55">
        <v>40</v>
      </c>
      <c r="K74" s="20">
        <v>40</v>
      </c>
      <c r="L74" s="20">
        <v>40</v>
      </c>
      <c r="M74" s="20">
        <v>20</v>
      </c>
      <c r="N74" s="8">
        <f t="shared" si="54"/>
        <v>100</v>
      </c>
      <c r="O74" s="18">
        <v>50</v>
      </c>
      <c r="P74" s="18">
        <v>39</v>
      </c>
      <c r="Q74" s="18">
        <v>0</v>
      </c>
      <c r="R74" s="8">
        <f t="shared" si="53"/>
        <v>89</v>
      </c>
      <c r="S74" s="18">
        <f t="shared" si="52"/>
        <v>229</v>
      </c>
      <c r="T74" s="18">
        <f t="shared" si="45"/>
        <v>4</v>
      </c>
      <c r="U74" s="18">
        <f t="shared" si="46"/>
        <v>4</v>
      </c>
      <c r="V74" s="18">
        <f t="shared" si="47"/>
        <v>2</v>
      </c>
      <c r="W74" s="8">
        <f t="shared" si="55"/>
        <v>10</v>
      </c>
      <c r="X74" s="18">
        <f t="shared" si="48"/>
        <v>5</v>
      </c>
      <c r="Y74" s="18">
        <f t="shared" si="49"/>
        <v>3.9</v>
      </c>
      <c r="Z74" s="18">
        <f t="shared" si="50"/>
        <v>0</v>
      </c>
      <c r="AA74" s="8">
        <f t="shared" si="56"/>
        <v>8.9</v>
      </c>
      <c r="AB74" s="8">
        <v>39.270000000000003</v>
      </c>
      <c r="AC74" s="8">
        <v>52.462499999999999</v>
      </c>
      <c r="AD74" s="8">
        <v>72.64</v>
      </c>
      <c r="AE74" s="9">
        <f t="shared" si="57"/>
        <v>23451.61</v>
      </c>
      <c r="AF74" s="21">
        <v>6.5000000000000002E-2</v>
      </c>
      <c r="AG74" s="10">
        <f t="shared" si="51"/>
        <v>1524.35465</v>
      </c>
      <c r="AH74" s="64">
        <f t="shared" si="58"/>
        <v>54.978000000000009</v>
      </c>
      <c r="AI74" s="9">
        <f t="shared" si="59"/>
        <v>21927.255349999999</v>
      </c>
      <c r="AJ74" s="5">
        <v>0.18</v>
      </c>
      <c r="AK74" s="11">
        <f t="shared" si="60"/>
        <v>3946.9059629999997</v>
      </c>
      <c r="AL74" s="9">
        <f t="shared" si="61"/>
        <v>25874.161313000001</v>
      </c>
      <c r="AP74" s="12"/>
    </row>
    <row r="75" spans="1:42" x14ac:dyDescent="0.35">
      <c r="A75" s="71">
        <v>46183</v>
      </c>
      <c r="B75" s="72" t="s">
        <v>67</v>
      </c>
      <c r="C75" s="74">
        <v>1076.74285714293</v>
      </c>
      <c r="D75" s="74">
        <v>44611.630952380903</v>
      </c>
      <c r="E75" s="62" t="s">
        <v>68</v>
      </c>
      <c r="F75" s="73" t="s">
        <v>78</v>
      </c>
      <c r="G75" s="76" t="s">
        <v>150</v>
      </c>
      <c r="H75" s="73" t="s">
        <v>89</v>
      </c>
      <c r="I75" s="62" t="s">
        <v>171</v>
      </c>
      <c r="J75" s="55">
        <v>40</v>
      </c>
      <c r="K75" s="18">
        <v>30</v>
      </c>
      <c r="L75" s="18">
        <v>20</v>
      </c>
      <c r="M75" s="18">
        <v>20</v>
      </c>
      <c r="N75" s="8">
        <f t="shared" si="54"/>
        <v>70</v>
      </c>
      <c r="O75" s="18">
        <v>50</v>
      </c>
      <c r="P75" s="18">
        <v>50</v>
      </c>
      <c r="Q75" s="18">
        <v>0</v>
      </c>
      <c r="R75" s="8">
        <f t="shared" si="53"/>
        <v>100</v>
      </c>
      <c r="S75" s="18">
        <f t="shared" si="52"/>
        <v>210</v>
      </c>
      <c r="T75" s="18">
        <f t="shared" si="45"/>
        <v>3</v>
      </c>
      <c r="U75" s="18">
        <f t="shared" si="46"/>
        <v>2</v>
      </c>
      <c r="V75" s="18">
        <f t="shared" si="47"/>
        <v>2</v>
      </c>
      <c r="W75" s="8">
        <f t="shared" si="55"/>
        <v>7</v>
      </c>
      <c r="X75" s="18">
        <f t="shared" si="48"/>
        <v>5</v>
      </c>
      <c r="Y75" s="18">
        <f t="shared" si="49"/>
        <v>5</v>
      </c>
      <c r="Z75" s="18">
        <f t="shared" si="50"/>
        <v>0</v>
      </c>
      <c r="AA75" s="8">
        <f t="shared" si="56"/>
        <v>10</v>
      </c>
      <c r="AB75" s="8">
        <v>39.270000000000003</v>
      </c>
      <c r="AC75" s="8">
        <v>52.462499999999999</v>
      </c>
      <c r="AD75" s="8">
        <v>72.64</v>
      </c>
      <c r="AE75" s="9">
        <f t="shared" si="57"/>
        <v>20497.575000000001</v>
      </c>
      <c r="AF75" s="21">
        <v>6.5000000000000002E-2</v>
      </c>
      <c r="AG75" s="10">
        <f t="shared" si="51"/>
        <v>1332.3423750000002</v>
      </c>
      <c r="AH75" s="64">
        <f t="shared" si="58"/>
        <v>54.978000000000009</v>
      </c>
      <c r="AI75" s="9">
        <f t="shared" si="59"/>
        <v>19165.232625000001</v>
      </c>
      <c r="AJ75" s="5">
        <v>0.18</v>
      </c>
      <c r="AK75" s="11">
        <f t="shared" si="60"/>
        <v>3449.7418724999998</v>
      </c>
      <c r="AL75" s="9">
        <f t="shared" si="61"/>
        <v>22614.974497499999</v>
      </c>
      <c r="AP75" s="12"/>
    </row>
    <row r="76" spans="1:42" x14ac:dyDescent="0.35">
      <c r="A76" s="71">
        <v>46183</v>
      </c>
      <c r="B76" s="72" t="s">
        <v>67</v>
      </c>
      <c r="C76" s="74">
        <v>1077.37142857151</v>
      </c>
      <c r="D76" s="74">
        <v>44585.011904761799</v>
      </c>
      <c r="E76" s="62" t="s">
        <v>68</v>
      </c>
      <c r="F76" s="73" t="s">
        <v>69</v>
      </c>
      <c r="G76" s="76" t="s">
        <v>173</v>
      </c>
      <c r="H76" s="73" t="s">
        <v>89</v>
      </c>
      <c r="I76" s="62" t="s">
        <v>171</v>
      </c>
      <c r="J76" s="55">
        <v>0</v>
      </c>
      <c r="K76" s="18">
        <v>5</v>
      </c>
      <c r="L76" s="18">
        <v>22</v>
      </c>
      <c r="M76" s="18">
        <v>15</v>
      </c>
      <c r="N76" s="8">
        <f t="shared" si="54"/>
        <v>42</v>
      </c>
      <c r="O76" s="20">
        <v>0</v>
      </c>
      <c r="P76" s="20">
        <v>50</v>
      </c>
      <c r="Q76" s="20">
        <v>0</v>
      </c>
      <c r="R76" s="8">
        <f t="shared" si="53"/>
        <v>50</v>
      </c>
      <c r="S76" s="18">
        <f t="shared" si="52"/>
        <v>92</v>
      </c>
      <c r="T76" s="18">
        <f t="shared" si="45"/>
        <v>0.5</v>
      </c>
      <c r="U76" s="18">
        <f t="shared" si="46"/>
        <v>2.2000000000000002</v>
      </c>
      <c r="V76" s="18">
        <f t="shared" si="47"/>
        <v>1.5</v>
      </c>
      <c r="W76" s="8">
        <f t="shared" si="55"/>
        <v>4.2</v>
      </c>
      <c r="X76" s="18">
        <f t="shared" si="48"/>
        <v>0</v>
      </c>
      <c r="Y76" s="18">
        <f t="shared" si="49"/>
        <v>5</v>
      </c>
      <c r="Z76" s="18">
        <f t="shared" si="50"/>
        <v>0</v>
      </c>
      <c r="AA76" s="8">
        <f t="shared" si="56"/>
        <v>5</v>
      </c>
      <c r="AB76" s="8">
        <v>39.270000000000003</v>
      </c>
      <c r="AC76" s="8">
        <v>52.462499999999999</v>
      </c>
      <c r="AD76" s="8">
        <v>72.64</v>
      </c>
      <c r="AE76" s="9">
        <f t="shared" si="57"/>
        <v>8886.3050000000003</v>
      </c>
      <c r="AF76" s="21">
        <v>6.5000000000000002E-2</v>
      </c>
      <c r="AG76" s="10">
        <f t="shared" si="51"/>
        <v>577.609825</v>
      </c>
      <c r="AH76" s="64">
        <f t="shared" si="58"/>
        <v>0</v>
      </c>
      <c r="AI76" s="9">
        <f t="shared" si="59"/>
        <v>8308.6951750000007</v>
      </c>
      <c r="AJ76" s="5">
        <v>0.18</v>
      </c>
      <c r="AK76" s="11">
        <f t="shared" si="60"/>
        <v>1495.5651315</v>
      </c>
      <c r="AL76" s="9">
        <f t="shared" si="61"/>
        <v>9804.2603065000003</v>
      </c>
      <c r="AP76" s="12"/>
    </row>
    <row r="77" spans="1:42" x14ac:dyDescent="0.35">
      <c r="A77" s="71">
        <v>46183</v>
      </c>
      <c r="B77" s="72" t="s">
        <v>67</v>
      </c>
      <c r="C77" s="74">
        <v>1078.6285714286701</v>
      </c>
      <c r="D77" s="74">
        <v>44585.011904761799</v>
      </c>
      <c r="E77" s="62" t="s">
        <v>68</v>
      </c>
      <c r="F77" s="75" t="s">
        <v>208</v>
      </c>
      <c r="G77" s="77" t="s">
        <v>221</v>
      </c>
      <c r="H77" s="75" t="s">
        <v>212</v>
      </c>
      <c r="I77" s="78" t="s">
        <v>224</v>
      </c>
      <c r="J77" s="55"/>
      <c r="K77" s="18">
        <v>240</v>
      </c>
      <c r="L77" s="18">
        <v>240</v>
      </c>
      <c r="M77" s="18">
        <v>240</v>
      </c>
      <c r="N77" s="8">
        <f t="shared" si="54"/>
        <v>720</v>
      </c>
      <c r="O77" s="20">
        <v>240</v>
      </c>
      <c r="P77" s="20">
        <v>240</v>
      </c>
      <c r="Q77" s="20">
        <v>600</v>
      </c>
      <c r="R77" s="8">
        <f t="shared" si="53"/>
        <v>1080</v>
      </c>
      <c r="S77" s="18">
        <f t="shared" si="52"/>
        <v>1800</v>
      </c>
      <c r="T77" s="18">
        <f t="shared" si="45"/>
        <v>24</v>
      </c>
      <c r="U77" s="18">
        <f t="shared" si="46"/>
        <v>24</v>
      </c>
      <c r="V77" s="18">
        <f t="shared" si="47"/>
        <v>24</v>
      </c>
      <c r="W77" s="8">
        <f t="shared" si="55"/>
        <v>72</v>
      </c>
      <c r="X77" s="18">
        <f t="shared" si="48"/>
        <v>24</v>
      </c>
      <c r="Y77" s="18">
        <f t="shared" si="49"/>
        <v>24</v>
      </c>
      <c r="Z77" s="18">
        <f t="shared" si="50"/>
        <v>60</v>
      </c>
      <c r="AA77" s="8">
        <f t="shared" si="56"/>
        <v>108</v>
      </c>
      <c r="AB77" s="8">
        <v>39.270000000000003</v>
      </c>
      <c r="AC77" s="8">
        <v>52.462499999999999</v>
      </c>
      <c r="AD77" s="8">
        <v>72.64</v>
      </c>
      <c r="AE77" s="9">
        <f t="shared" si="57"/>
        <v>168525</v>
      </c>
      <c r="AF77" s="21">
        <v>6.5000000000000002E-2</v>
      </c>
      <c r="AG77" s="10">
        <f t="shared" si="51"/>
        <v>10954.125</v>
      </c>
      <c r="AH77" s="64">
        <f t="shared" si="58"/>
        <v>0</v>
      </c>
      <c r="AI77" s="9">
        <f t="shared" si="59"/>
        <v>157570.875</v>
      </c>
      <c r="AJ77" s="5">
        <v>0.18</v>
      </c>
      <c r="AK77" s="11">
        <f t="shared" si="60"/>
        <v>28362.7575</v>
      </c>
      <c r="AL77" s="9">
        <f t="shared" si="61"/>
        <v>185933.63250000001</v>
      </c>
      <c r="AP77" s="12"/>
    </row>
    <row r="78" spans="1:42" x14ac:dyDescent="0.35">
      <c r="A78" s="71">
        <v>46183</v>
      </c>
      <c r="B78" s="72" t="s">
        <v>67</v>
      </c>
      <c r="C78" s="74">
        <v>1079.2571428572501</v>
      </c>
      <c r="D78" s="74">
        <v>44585.011904761799</v>
      </c>
      <c r="E78" s="62" t="s">
        <v>68</v>
      </c>
      <c r="F78" s="75" t="s">
        <v>208</v>
      </c>
      <c r="G78" s="77" t="s">
        <v>222</v>
      </c>
      <c r="H78" s="75" t="s">
        <v>212</v>
      </c>
      <c r="I78" s="78" t="s">
        <v>225</v>
      </c>
      <c r="J78" s="55"/>
      <c r="K78" s="18">
        <v>0</v>
      </c>
      <c r="L78" s="18">
        <v>0</v>
      </c>
      <c r="M78" s="18">
        <v>80</v>
      </c>
      <c r="N78" s="8">
        <f t="shared" si="54"/>
        <v>80</v>
      </c>
      <c r="O78" s="20">
        <v>80</v>
      </c>
      <c r="P78" s="20">
        <v>80</v>
      </c>
      <c r="Q78" s="20">
        <v>80</v>
      </c>
      <c r="R78" s="8">
        <f t="shared" si="53"/>
        <v>240</v>
      </c>
      <c r="S78" s="18">
        <f t="shared" si="52"/>
        <v>320</v>
      </c>
      <c r="T78" s="18">
        <f t="shared" si="45"/>
        <v>0</v>
      </c>
      <c r="U78" s="18">
        <f t="shared" si="46"/>
        <v>0</v>
      </c>
      <c r="V78" s="18">
        <f t="shared" si="47"/>
        <v>8</v>
      </c>
      <c r="W78" s="8">
        <f t="shared" si="55"/>
        <v>8</v>
      </c>
      <c r="X78" s="18">
        <f t="shared" si="48"/>
        <v>8</v>
      </c>
      <c r="Y78" s="18">
        <f t="shared" si="49"/>
        <v>8</v>
      </c>
      <c r="Z78" s="18">
        <f t="shared" si="50"/>
        <v>8</v>
      </c>
      <c r="AA78" s="8">
        <f t="shared" si="56"/>
        <v>24</v>
      </c>
      <c r="AB78" s="8">
        <v>39.270000000000003</v>
      </c>
      <c r="AC78" s="8">
        <v>52.462499999999999</v>
      </c>
      <c r="AD78" s="8">
        <v>72.64</v>
      </c>
      <c r="AE78" s="9">
        <f t="shared" si="57"/>
        <v>27441.8</v>
      </c>
      <c r="AF78" s="21">
        <v>6.5000000000000002E-2</v>
      </c>
      <c r="AG78" s="10">
        <f t="shared" si="51"/>
        <v>1783.7170000000001</v>
      </c>
      <c r="AH78" s="64">
        <f t="shared" si="58"/>
        <v>0</v>
      </c>
      <c r="AI78" s="9">
        <f t="shared" si="59"/>
        <v>25658.082999999999</v>
      </c>
      <c r="AJ78" s="5">
        <v>0.18</v>
      </c>
      <c r="AK78" s="11">
        <f t="shared" si="60"/>
        <v>4618.4549399999996</v>
      </c>
      <c r="AL78" s="9">
        <f t="shared" si="61"/>
        <v>30276.537939999998</v>
      </c>
      <c r="AP78" s="12"/>
    </row>
    <row r="79" spans="1:42" x14ac:dyDescent="0.35">
      <c r="A79" s="71">
        <v>46183</v>
      </c>
      <c r="B79" s="72" t="s">
        <v>67</v>
      </c>
      <c r="C79" s="74">
        <v>1079.8857142858301</v>
      </c>
      <c r="D79" s="74">
        <v>44585.011904761799</v>
      </c>
      <c r="E79" s="62" t="s">
        <v>68</v>
      </c>
      <c r="F79" s="75" t="s">
        <v>208</v>
      </c>
      <c r="G79" s="77" t="s">
        <v>223</v>
      </c>
      <c r="H79" s="75" t="s">
        <v>212</v>
      </c>
      <c r="I79" s="78" t="s">
        <v>225</v>
      </c>
      <c r="J79" s="55"/>
      <c r="K79" s="18">
        <v>80</v>
      </c>
      <c r="L79" s="18">
        <v>80</v>
      </c>
      <c r="M79" s="18">
        <v>120</v>
      </c>
      <c r="N79" s="8">
        <f t="shared" si="54"/>
        <v>280</v>
      </c>
      <c r="O79" s="20">
        <v>80</v>
      </c>
      <c r="P79" s="20">
        <v>40</v>
      </c>
      <c r="Q79" s="20">
        <v>80</v>
      </c>
      <c r="R79" s="8">
        <f t="shared" si="53"/>
        <v>200</v>
      </c>
      <c r="S79" s="18">
        <f t="shared" si="52"/>
        <v>480</v>
      </c>
      <c r="T79" s="18">
        <f t="shared" si="45"/>
        <v>8</v>
      </c>
      <c r="U79" s="18">
        <f t="shared" si="46"/>
        <v>8</v>
      </c>
      <c r="V79" s="18">
        <f t="shared" si="47"/>
        <v>12</v>
      </c>
      <c r="W79" s="8">
        <f t="shared" si="55"/>
        <v>28</v>
      </c>
      <c r="X79" s="18">
        <f t="shared" si="48"/>
        <v>8</v>
      </c>
      <c r="Y79" s="18">
        <f t="shared" si="49"/>
        <v>4</v>
      </c>
      <c r="Z79" s="18">
        <f t="shared" si="50"/>
        <v>8</v>
      </c>
      <c r="AA79" s="8">
        <f t="shared" si="56"/>
        <v>20</v>
      </c>
      <c r="AB79" s="8">
        <v>39.270000000000003</v>
      </c>
      <c r="AC79" s="8">
        <v>52.462499999999999</v>
      </c>
      <c r="AD79" s="8">
        <v>72.64</v>
      </c>
      <c r="AE79" s="9">
        <f t="shared" si="57"/>
        <v>49556.7</v>
      </c>
      <c r="AF79" s="21">
        <v>6.5000000000000002E-2</v>
      </c>
      <c r="AG79" s="10">
        <f t="shared" si="51"/>
        <v>3221.1855</v>
      </c>
      <c r="AH79" s="64">
        <f t="shared" si="58"/>
        <v>0</v>
      </c>
      <c r="AI79" s="9">
        <f t="shared" si="59"/>
        <v>46335.514499999997</v>
      </c>
      <c r="AJ79" s="5">
        <v>0.18</v>
      </c>
      <c r="AK79" s="11">
        <f t="shared" si="60"/>
        <v>8340.392609999999</v>
      </c>
      <c r="AL79" s="9">
        <f t="shared" si="61"/>
        <v>54675.90711</v>
      </c>
      <c r="AP79" s="12"/>
    </row>
    <row r="80" spans="1:42" x14ac:dyDescent="0.35">
      <c r="A80" s="71">
        <v>46184</v>
      </c>
      <c r="B80" s="72" t="s">
        <v>67</v>
      </c>
      <c r="C80" s="74">
        <v>1080.5142857144101</v>
      </c>
      <c r="D80" s="74">
        <v>44558.392857142797</v>
      </c>
      <c r="E80" s="62" t="s">
        <v>68</v>
      </c>
      <c r="F80" s="73" t="s">
        <v>98</v>
      </c>
      <c r="G80" s="76" t="s">
        <v>132</v>
      </c>
      <c r="H80" s="73" t="s">
        <v>90</v>
      </c>
      <c r="I80" s="62" t="s">
        <v>170</v>
      </c>
      <c r="J80" s="55">
        <v>20</v>
      </c>
      <c r="K80" s="20">
        <v>10</v>
      </c>
      <c r="L80" s="20">
        <v>10</v>
      </c>
      <c r="M80" s="20">
        <v>6</v>
      </c>
      <c r="N80" s="8">
        <f t="shared" si="54"/>
        <v>26</v>
      </c>
      <c r="O80" s="18">
        <v>10</v>
      </c>
      <c r="P80" s="18">
        <v>0</v>
      </c>
      <c r="Q80" s="18">
        <v>10</v>
      </c>
      <c r="R80" s="8">
        <f t="shared" si="53"/>
        <v>20</v>
      </c>
      <c r="S80" s="18">
        <f t="shared" si="52"/>
        <v>66</v>
      </c>
      <c r="T80" s="18">
        <f t="shared" si="45"/>
        <v>1</v>
      </c>
      <c r="U80" s="18">
        <f t="shared" si="46"/>
        <v>1</v>
      </c>
      <c r="V80" s="18">
        <f t="shared" si="47"/>
        <v>0.6</v>
      </c>
      <c r="W80" s="8">
        <f t="shared" si="55"/>
        <v>2.6</v>
      </c>
      <c r="X80" s="18">
        <f t="shared" si="48"/>
        <v>1</v>
      </c>
      <c r="Y80" s="18">
        <f t="shared" si="49"/>
        <v>0</v>
      </c>
      <c r="Z80" s="18">
        <f t="shared" si="50"/>
        <v>1</v>
      </c>
      <c r="AA80" s="8">
        <f t="shared" si="56"/>
        <v>2</v>
      </c>
      <c r="AB80" s="8">
        <v>39.270000000000003</v>
      </c>
      <c r="AC80" s="8">
        <v>52.462499999999999</v>
      </c>
      <c r="AD80" s="8">
        <v>72.64</v>
      </c>
      <c r="AE80" s="9">
        <f t="shared" si="57"/>
        <v>6943.665</v>
      </c>
      <c r="AF80" s="21">
        <v>6.5000000000000002E-2</v>
      </c>
      <c r="AG80" s="10">
        <f t="shared" si="51"/>
        <v>451.33822500000002</v>
      </c>
      <c r="AH80" s="64">
        <f t="shared" si="58"/>
        <v>27.489000000000004</v>
      </c>
      <c r="AI80" s="9">
        <f t="shared" si="59"/>
        <v>6492.3267749999995</v>
      </c>
      <c r="AJ80" s="5">
        <v>0.18</v>
      </c>
      <c r="AK80" s="11">
        <f t="shared" si="60"/>
        <v>1168.6188195</v>
      </c>
      <c r="AL80" s="9">
        <f t="shared" si="61"/>
        <v>7660.9455944999991</v>
      </c>
      <c r="AP80" s="12"/>
    </row>
    <row r="81" spans="1:42" x14ac:dyDescent="0.35">
      <c r="A81" s="71">
        <v>46184</v>
      </c>
      <c r="B81" s="72" t="s">
        <v>67</v>
      </c>
      <c r="C81" s="74">
        <v>1081.1428571429899</v>
      </c>
      <c r="D81" s="74">
        <v>44531.7738095237</v>
      </c>
      <c r="E81" s="62" t="s">
        <v>68</v>
      </c>
      <c r="F81" s="73" t="s">
        <v>98</v>
      </c>
      <c r="G81" s="76" t="s">
        <v>132</v>
      </c>
      <c r="H81" s="73" t="s">
        <v>90</v>
      </c>
      <c r="I81" s="62" t="s">
        <v>170</v>
      </c>
      <c r="J81" s="55">
        <v>8</v>
      </c>
      <c r="K81" s="18">
        <v>0</v>
      </c>
      <c r="L81" s="18">
        <v>0</v>
      </c>
      <c r="M81" s="18">
        <v>0</v>
      </c>
      <c r="N81" s="8">
        <f t="shared" si="54"/>
        <v>0</v>
      </c>
      <c r="O81" s="18">
        <v>10</v>
      </c>
      <c r="P81" s="18">
        <v>0</v>
      </c>
      <c r="Q81" s="18">
        <v>10</v>
      </c>
      <c r="R81" s="8">
        <f t="shared" si="53"/>
        <v>20</v>
      </c>
      <c r="S81" s="18">
        <f t="shared" si="52"/>
        <v>28</v>
      </c>
      <c r="T81" s="18">
        <f t="shared" si="45"/>
        <v>0</v>
      </c>
      <c r="U81" s="18">
        <f t="shared" si="46"/>
        <v>0</v>
      </c>
      <c r="V81" s="18">
        <f t="shared" si="47"/>
        <v>0</v>
      </c>
      <c r="W81" s="8">
        <f t="shared" si="55"/>
        <v>0</v>
      </c>
      <c r="X81" s="18">
        <f t="shared" si="48"/>
        <v>1</v>
      </c>
      <c r="Y81" s="18">
        <f t="shared" si="49"/>
        <v>0</v>
      </c>
      <c r="Z81" s="18">
        <f t="shared" si="50"/>
        <v>1</v>
      </c>
      <c r="AA81" s="8">
        <f t="shared" si="56"/>
        <v>2</v>
      </c>
      <c r="AB81" s="8">
        <v>39.270000000000003</v>
      </c>
      <c r="AC81" s="8">
        <v>52.462499999999999</v>
      </c>
      <c r="AD81" s="8">
        <v>72.64</v>
      </c>
      <c r="AE81" s="9">
        <f t="shared" si="57"/>
        <v>2348.08</v>
      </c>
      <c r="AF81" s="21">
        <v>6.5000000000000002E-2</v>
      </c>
      <c r="AG81" s="10">
        <f t="shared" si="51"/>
        <v>152.62520000000001</v>
      </c>
      <c r="AH81" s="64">
        <f t="shared" si="58"/>
        <v>10.995600000000001</v>
      </c>
      <c r="AI81" s="9">
        <f t="shared" si="59"/>
        <v>2195.4548</v>
      </c>
      <c r="AJ81" s="5">
        <v>0.18</v>
      </c>
      <c r="AK81" s="11">
        <f t="shared" si="60"/>
        <v>395.18186399999996</v>
      </c>
      <c r="AL81" s="9">
        <f t="shared" si="61"/>
        <v>2590.6366640000001</v>
      </c>
      <c r="AP81" s="12"/>
    </row>
    <row r="82" spans="1:42" x14ac:dyDescent="0.35">
      <c r="A82" s="71">
        <v>46184</v>
      </c>
      <c r="B82" s="72" t="s">
        <v>67</v>
      </c>
      <c r="C82" s="74">
        <v>1081.7714285715699</v>
      </c>
      <c r="D82" s="74">
        <v>44505.154761904698</v>
      </c>
      <c r="E82" s="62" t="s">
        <v>68</v>
      </c>
      <c r="F82" s="73" t="s">
        <v>69</v>
      </c>
      <c r="G82" s="76" t="s">
        <v>174</v>
      </c>
      <c r="H82" s="73" t="s">
        <v>90</v>
      </c>
      <c r="I82" s="62" t="s">
        <v>170</v>
      </c>
      <c r="J82" s="55">
        <v>0</v>
      </c>
      <c r="K82" s="20">
        <v>0</v>
      </c>
      <c r="L82" s="20">
        <v>0</v>
      </c>
      <c r="M82" s="20">
        <v>0</v>
      </c>
      <c r="N82" s="8">
        <f t="shared" si="54"/>
        <v>0</v>
      </c>
      <c r="O82" s="18">
        <v>16</v>
      </c>
      <c r="P82" s="18">
        <v>10</v>
      </c>
      <c r="Q82" s="20">
        <v>10</v>
      </c>
      <c r="R82" s="8">
        <f t="shared" si="53"/>
        <v>36</v>
      </c>
      <c r="S82" s="18">
        <f t="shared" si="52"/>
        <v>36</v>
      </c>
      <c r="T82" s="18">
        <f t="shared" si="45"/>
        <v>0</v>
      </c>
      <c r="U82" s="18">
        <f t="shared" si="46"/>
        <v>0</v>
      </c>
      <c r="V82" s="18">
        <f t="shared" si="47"/>
        <v>0</v>
      </c>
      <c r="W82" s="8">
        <f t="shared" si="55"/>
        <v>0</v>
      </c>
      <c r="X82" s="18">
        <f t="shared" si="48"/>
        <v>1.6</v>
      </c>
      <c r="Y82" s="18">
        <f t="shared" si="49"/>
        <v>1</v>
      </c>
      <c r="Z82" s="18">
        <f t="shared" si="50"/>
        <v>1</v>
      </c>
      <c r="AA82" s="8">
        <f t="shared" si="56"/>
        <v>3.6</v>
      </c>
      <c r="AB82" s="8">
        <v>39.270000000000003</v>
      </c>
      <c r="AC82" s="8">
        <v>52.462499999999999</v>
      </c>
      <c r="AD82" s="8">
        <v>72.64</v>
      </c>
      <c r="AE82" s="9">
        <f t="shared" si="57"/>
        <v>2615.04</v>
      </c>
      <c r="AF82" s="21">
        <v>6.5000000000000002E-2</v>
      </c>
      <c r="AG82" s="10">
        <f t="shared" si="51"/>
        <v>169.9776</v>
      </c>
      <c r="AH82" s="64">
        <f t="shared" si="58"/>
        <v>0</v>
      </c>
      <c r="AI82" s="9">
        <f t="shared" si="59"/>
        <v>2445.0623999999998</v>
      </c>
      <c r="AJ82" s="5">
        <v>0.18</v>
      </c>
      <c r="AK82" s="11">
        <f t="shared" si="60"/>
        <v>440.11123199999997</v>
      </c>
      <c r="AL82" s="9">
        <f t="shared" si="61"/>
        <v>2885.173632</v>
      </c>
      <c r="AP82" s="12"/>
    </row>
    <row r="83" spans="1:42" x14ac:dyDescent="0.35">
      <c r="A83" s="71">
        <v>46184</v>
      </c>
      <c r="B83" s="72" t="s">
        <v>67</v>
      </c>
      <c r="C83" s="74">
        <v>1082.4000000001499</v>
      </c>
      <c r="D83" s="74">
        <v>44478.535714285601</v>
      </c>
      <c r="E83" s="62" t="s">
        <v>68</v>
      </c>
      <c r="F83" s="73" t="s">
        <v>98</v>
      </c>
      <c r="G83" s="76" t="s">
        <v>176</v>
      </c>
      <c r="H83" s="73" t="s">
        <v>101</v>
      </c>
      <c r="I83" s="62" t="s">
        <v>175</v>
      </c>
      <c r="J83" s="55">
        <v>0</v>
      </c>
      <c r="K83" s="20">
        <v>10</v>
      </c>
      <c r="L83" s="20">
        <v>20</v>
      </c>
      <c r="M83" s="20">
        <v>10</v>
      </c>
      <c r="N83" s="8">
        <f t="shared" si="54"/>
        <v>40</v>
      </c>
      <c r="O83" s="18">
        <v>30</v>
      </c>
      <c r="P83" s="18">
        <v>20</v>
      </c>
      <c r="Q83" s="18">
        <v>40</v>
      </c>
      <c r="R83" s="8">
        <f t="shared" si="53"/>
        <v>90</v>
      </c>
      <c r="S83" s="18">
        <f t="shared" si="52"/>
        <v>130</v>
      </c>
      <c r="T83" s="18">
        <f t="shared" si="45"/>
        <v>1</v>
      </c>
      <c r="U83" s="18">
        <f t="shared" si="46"/>
        <v>2</v>
      </c>
      <c r="V83" s="18">
        <f t="shared" si="47"/>
        <v>1</v>
      </c>
      <c r="W83" s="8">
        <f t="shared" si="55"/>
        <v>4</v>
      </c>
      <c r="X83" s="18">
        <f t="shared" si="48"/>
        <v>3</v>
      </c>
      <c r="Y83" s="18">
        <f t="shared" si="49"/>
        <v>2</v>
      </c>
      <c r="Z83" s="18">
        <f t="shared" si="50"/>
        <v>4</v>
      </c>
      <c r="AA83" s="8">
        <f t="shared" si="56"/>
        <v>9</v>
      </c>
      <c r="AB83" s="8">
        <v>39.270000000000003</v>
      </c>
      <c r="AC83" s="8">
        <v>52.462499999999999</v>
      </c>
      <c r="AD83" s="8">
        <v>72.64</v>
      </c>
      <c r="AE83" s="9">
        <f t="shared" si="57"/>
        <v>11541.7</v>
      </c>
      <c r="AF83" s="21">
        <v>6.5000000000000002E-2</v>
      </c>
      <c r="AG83" s="10">
        <f t="shared" si="51"/>
        <v>750.21050000000002</v>
      </c>
      <c r="AH83" s="64">
        <f t="shared" si="58"/>
        <v>0</v>
      </c>
      <c r="AI83" s="9">
        <f t="shared" si="59"/>
        <v>10791.489500000001</v>
      </c>
      <c r="AJ83" s="5">
        <v>0.18</v>
      </c>
      <c r="AK83" s="11">
        <f t="shared" si="60"/>
        <v>1942.4681100000003</v>
      </c>
      <c r="AL83" s="9">
        <f t="shared" si="61"/>
        <v>12733.957610000001</v>
      </c>
      <c r="AP83" s="12"/>
    </row>
    <row r="84" spans="1:42" x14ac:dyDescent="0.35">
      <c r="A84" s="71">
        <v>46184</v>
      </c>
      <c r="B84" s="72" t="s">
        <v>67</v>
      </c>
      <c r="C84" s="74">
        <v>1083.0285714287299</v>
      </c>
      <c r="D84" s="74">
        <v>44451.916666666599</v>
      </c>
      <c r="E84" s="62" t="s">
        <v>68</v>
      </c>
      <c r="F84" s="73" t="s">
        <v>98</v>
      </c>
      <c r="G84" s="76" t="s">
        <v>177</v>
      </c>
      <c r="H84" s="73" t="s">
        <v>101</v>
      </c>
      <c r="I84" s="62" t="s">
        <v>175</v>
      </c>
      <c r="J84" s="55">
        <v>0</v>
      </c>
      <c r="K84" s="20">
        <v>5</v>
      </c>
      <c r="L84" s="20">
        <v>0</v>
      </c>
      <c r="M84" s="20">
        <v>10</v>
      </c>
      <c r="N84" s="8">
        <f t="shared" si="54"/>
        <v>15</v>
      </c>
      <c r="O84" s="20">
        <v>30</v>
      </c>
      <c r="P84" s="18">
        <v>20</v>
      </c>
      <c r="Q84" s="18">
        <v>40</v>
      </c>
      <c r="R84" s="8">
        <f t="shared" si="53"/>
        <v>90</v>
      </c>
      <c r="S84" s="18">
        <f t="shared" si="52"/>
        <v>105</v>
      </c>
      <c r="T84" s="18">
        <f t="shared" si="45"/>
        <v>0.5</v>
      </c>
      <c r="U84" s="18">
        <f t="shared" si="46"/>
        <v>0</v>
      </c>
      <c r="V84" s="18">
        <f t="shared" si="47"/>
        <v>1</v>
      </c>
      <c r="W84" s="8">
        <f t="shared" si="55"/>
        <v>1.5</v>
      </c>
      <c r="X84" s="18">
        <f t="shared" si="48"/>
        <v>3</v>
      </c>
      <c r="Y84" s="18">
        <f t="shared" si="49"/>
        <v>2</v>
      </c>
      <c r="Z84" s="18">
        <f t="shared" si="50"/>
        <v>4</v>
      </c>
      <c r="AA84" s="8">
        <f t="shared" si="56"/>
        <v>9</v>
      </c>
      <c r="AB84" s="8">
        <v>39.270000000000003</v>
      </c>
      <c r="AC84" s="8">
        <v>52.462499999999999</v>
      </c>
      <c r="AD84" s="8">
        <v>72.64</v>
      </c>
      <c r="AE84" s="9">
        <f t="shared" si="57"/>
        <v>8414.1375000000007</v>
      </c>
      <c r="AF84" s="21">
        <v>6.5000000000000002E-2</v>
      </c>
      <c r="AG84" s="10">
        <f t="shared" si="51"/>
        <v>546.91893750000008</v>
      </c>
      <c r="AH84" s="64">
        <f t="shared" si="58"/>
        <v>0</v>
      </c>
      <c r="AI84" s="9">
        <f t="shared" si="59"/>
        <v>7867.2185625000002</v>
      </c>
      <c r="AJ84" s="5">
        <v>0.18</v>
      </c>
      <c r="AK84" s="11">
        <f t="shared" si="60"/>
        <v>1416.09934125</v>
      </c>
      <c r="AL84" s="9">
        <f t="shared" si="61"/>
        <v>9283.3179037499995</v>
      </c>
      <c r="AP84" s="12"/>
    </row>
    <row r="85" spans="1:42" x14ac:dyDescent="0.35">
      <c r="A85" s="71">
        <v>46184</v>
      </c>
      <c r="B85" s="72" t="s">
        <v>67</v>
      </c>
      <c r="C85" s="74">
        <v>1083.65714285731</v>
      </c>
      <c r="D85" s="74">
        <v>44425.297619047502</v>
      </c>
      <c r="E85" s="62" t="s">
        <v>68</v>
      </c>
      <c r="F85" s="73" t="s">
        <v>69</v>
      </c>
      <c r="G85" s="76" t="s">
        <v>133</v>
      </c>
      <c r="H85" s="73" t="s">
        <v>101</v>
      </c>
      <c r="I85" s="62" t="s">
        <v>175</v>
      </c>
      <c r="J85" s="55">
        <v>0</v>
      </c>
      <c r="K85" s="20">
        <v>0</v>
      </c>
      <c r="L85" s="20">
        <v>0</v>
      </c>
      <c r="M85" s="20">
        <v>10</v>
      </c>
      <c r="N85" s="8">
        <f t="shared" si="54"/>
        <v>10</v>
      </c>
      <c r="O85" s="18">
        <v>10</v>
      </c>
      <c r="P85" s="20">
        <v>40</v>
      </c>
      <c r="Q85" s="20">
        <v>5</v>
      </c>
      <c r="R85" s="8">
        <f t="shared" si="53"/>
        <v>55</v>
      </c>
      <c r="S85" s="18">
        <f t="shared" si="52"/>
        <v>65</v>
      </c>
      <c r="T85" s="18">
        <f t="shared" si="45"/>
        <v>0</v>
      </c>
      <c r="U85" s="18">
        <f t="shared" si="46"/>
        <v>0</v>
      </c>
      <c r="V85" s="18">
        <f t="shared" si="47"/>
        <v>1</v>
      </c>
      <c r="W85" s="8">
        <f t="shared" si="55"/>
        <v>1</v>
      </c>
      <c r="X85" s="18">
        <f t="shared" si="48"/>
        <v>1</v>
      </c>
      <c r="Y85" s="18">
        <f t="shared" si="49"/>
        <v>4</v>
      </c>
      <c r="Z85" s="18">
        <f t="shared" si="50"/>
        <v>0.5</v>
      </c>
      <c r="AA85" s="8">
        <f t="shared" si="56"/>
        <v>5.5</v>
      </c>
      <c r="AB85" s="8">
        <v>39.270000000000003</v>
      </c>
      <c r="AC85" s="8">
        <v>52.462499999999999</v>
      </c>
      <c r="AD85" s="8">
        <v>72.64</v>
      </c>
      <c r="AE85" s="9">
        <f t="shared" si="57"/>
        <v>5246.2250000000004</v>
      </c>
      <c r="AF85" s="21">
        <v>6.5000000000000002E-2</v>
      </c>
      <c r="AG85" s="10">
        <f t="shared" si="51"/>
        <v>341.00462500000003</v>
      </c>
      <c r="AH85" s="64">
        <f t="shared" si="58"/>
        <v>0</v>
      </c>
      <c r="AI85" s="9">
        <f t="shared" si="59"/>
        <v>4905.2203750000008</v>
      </c>
      <c r="AJ85" s="5">
        <v>0.18</v>
      </c>
      <c r="AK85" s="11">
        <f t="shared" si="60"/>
        <v>882.93966750000016</v>
      </c>
      <c r="AL85" s="9">
        <f t="shared" si="61"/>
        <v>5788.1600425000006</v>
      </c>
      <c r="AP85" s="12"/>
    </row>
    <row r="86" spans="1:42" x14ac:dyDescent="0.35">
      <c r="A86" s="71">
        <v>46184</v>
      </c>
      <c r="B86" s="72" t="s">
        <v>67</v>
      </c>
      <c r="C86" s="74">
        <v>1084.28571428589</v>
      </c>
      <c r="D86" s="74">
        <v>44398.678571428398</v>
      </c>
      <c r="E86" s="62" t="s">
        <v>68</v>
      </c>
      <c r="F86" s="73" t="s">
        <v>78</v>
      </c>
      <c r="G86" s="76" t="s">
        <v>178</v>
      </c>
      <c r="H86" s="73" t="s">
        <v>101</v>
      </c>
      <c r="I86" s="62" t="s">
        <v>175</v>
      </c>
      <c r="J86" s="55">
        <v>0</v>
      </c>
      <c r="K86" s="18">
        <v>0</v>
      </c>
      <c r="L86" s="18">
        <v>10</v>
      </c>
      <c r="M86" s="18">
        <v>5</v>
      </c>
      <c r="N86" s="8">
        <f t="shared" si="54"/>
        <v>15</v>
      </c>
      <c r="O86" s="18">
        <v>0</v>
      </c>
      <c r="P86" s="18">
        <v>0</v>
      </c>
      <c r="Q86" s="18">
        <v>5</v>
      </c>
      <c r="R86" s="8">
        <f t="shared" si="53"/>
        <v>5</v>
      </c>
      <c r="S86" s="18">
        <f t="shared" si="52"/>
        <v>20</v>
      </c>
      <c r="T86" s="18">
        <f t="shared" si="45"/>
        <v>0</v>
      </c>
      <c r="U86" s="18">
        <f t="shared" si="46"/>
        <v>1</v>
      </c>
      <c r="V86" s="18">
        <f t="shared" si="47"/>
        <v>0.5</v>
      </c>
      <c r="W86" s="8">
        <f t="shared" si="55"/>
        <v>1.5</v>
      </c>
      <c r="X86" s="18">
        <f t="shared" si="48"/>
        <v>0</v>
      </c>
      <c r="Y86" s="18">
        <f t="shared" si="49"/>
        <v>0</v>
      </c>
      <c r="Z86" s="18">
        <f t="shared" si="50"/>
        <v>0.5</v>
      </c>
      <c r="AA86" s="8">
        <f t="shared" si="56"/>
        <v>0.5</v>
      </c>
      <c r="AB86" s="8">
        <v>39.270000000000003</v>
      </c>
      <c r="AC86" s="8">
        <v>52.462499999999999</v>
      </c>
      <c r="AD86" s="8">
        <v>72.64</v>
      </c>
      <c r="AE86" s="9">
        <f t="shared" si="57"/>
        <v>2239.7375000000002</v>
      </c>
      <c r="AF86" s="21">
        <v>0.14000000000000001</v>
      </c>
      <c r="AG86" s="10">
        <f t="shared" si="51"/>
        <v>313.56325000000004</v>
      </c>
      <c r="AH86" s="64">
        <f t="shared" si="58"/>
        <v>0</v>
      </c>
      <c r="AI86" s="9">
        <f t="shared" si="59"/>
        <v>1926.17425</v>
      </c>
      <c r="AJ86" s="5">
        <v>0.18</v>
      </c>
      <c r="AK86" s="11">
        <f t="shared" si="60"/>
        <v>346.711365</v>
      </c>
      <c r="AL86" s="9">
        <f t="shared" si="61"/>
        <v>2272.8856150000001</v>
      </c>
      <c r="AP86" s="12"/>
    </row>
    <row r="87" spans="1:42" x14ac:dyDescent="0.35">
      <c r="A87" s="71">
        <v>46184</v>
      </c>
      <c r="B87" s="72" t="s">
        <v>67</v>
      </c>
      <c r="C87" s="74">
        <v>1084.91428571447</v>
      </c>
      <c r="D87" s="74">
        <v>44372.059523809403</v>
      </c>
      <c r="E87" s="62" t="s">
        <v>68</v>
      </c>
      <c r="F87" s="73" t="s">
        <v>78</v>
      </c>
      <c r="G87" s="76" t="s">
        <v>180</v>
      </c>
      <c r="H87" s="73" t="s">
        <v>89</v>
      </c>
      <c r="I87" s="62" t="s">
        <v>179</v>
      </c>
      <c r="J87" s="55">
        <v>50</v>
      </c>
      <c r="K87" s="18">
        <v>20</v>
      </c>
      <c r="L87" s="18">
        <v>12</v>
      </c>
      <c r="M87" s="18">
        <v>10</v>
      </c>
      <c r="N87" s="8">
        <f t="shared" si="54"/>
        <v>42</v>
      </c>
      <c r="O87" s="18">
        <v>40</v>
      </c>
      <c r="P87" s="18">
        <v>70</v>
      </c>
      <c r="Q87" s="18">
        <v>105</v>
      </c>
      <c r="R87" s="8">
        <f t="shared" si="53"/>
        <v>215</v>
      </c>
      <c r="S87" s="18">
        <f t="shared" si="52"/>
        <v>307</v>
      </c>
      <c r="T87" s="18">
        <f t="shared" si="45"/>
        <v>2</v>
      </c>
      <c r="U87" s="18">
        <f t="shared" si="46"/>
        <v>1.2</v>
      </c>
      <c r="V87" s="18">
        <f t="shared" si="47"/>
        <v>1</v>
      </c>
      <c r="W87" s="8">
        <f t="shared" si="55"/>
        <v>4.2</v>
      </c>
      <c r="X87" s="18">
        <f t="shared" si="48"/>
        <v>4</v>
      </c>
      <c r="Y87" s="18">
        <f t="shared" si="49"/>
        <v>7</v>
      </c>
      <c r="Z87" s="18">
        <f t="shared" si="50"/>
        <v>10.5</v>
      </c>
      <c r="AA87" s="8">
        <f t="shared" si="56"/>
        <v>21.5</v>
      </c>
      <c r="AB87" s="8">
        <v>39.270000000000003</v>
      </c>
      <c r="AC87" s="8">
        <v>52.462499999999999</v>
      </c>
      <c r="AD87" s="8">
        <v>72.64</v>
      </c>
      <c r="AE87" s="9">
        <f t="shared" si="57"/>
        <v>26467.404999999999</v>
      </c>
      <c r="AF87" s="21">
        <v>0.14000000000000001</v>
      </c>
      <c r="AG87" s="10">
        <f t="shared" si="51"/>
        <v>3705.4367000000002</v>
      </c>
      <c r="AH87" s="64">
        <f t="shared" si="58"/>
        <v>68.722500000000011</v>
      </c>
      <c r="AI87" s="9">
        <f t="shared" si="59"/>
        <v>22761.9683</v>
      </c>
      <c r="AJ87" s="5">
        <v>0.18</v>
      </c>
      <c r="AK87" s="11">
        <f t="shared" si="60"/>
        <v>4097.1542939999999</v>
      </c>
      <c r="AL87" s="9">
        <f t="shared" si="61"/>
        <v>26859.122594</v>
      </c>
      <c r="AP87" s="12"/>
    </row>
    <row r="88" spans="1:42" x14ac:dyDescent="0.35">
      <c r="A88" s="71">
        <v>46184</v>
      </c>
      <c r="B88" s="72" t="s">
        <v>67</v>
      </c>
      <c r="C88" s="74">
        <v>1085.54285714305</v>
      </c>
      <c r="D88" s="74">
        <v>44345.440476190299</v>
      </c>
      <c r="E88" s="62" t="s">
        <v>68</v>
      </c>
      <c r="F88" s="73" t="s">
        <v>69</v>
      </c>
      <c r="G88" s="76" t="s">
        <v>181</v>
      </c>
      <c r="H88" s="73" t="s">
        <v>89</v>
      </c>
      <c r="I88" s="62" t="s">
        <v>179</v>
      </c>
      <c r="J88" s="55">
        <v>60</v>
      </c>
      <c r="K88" s="18">
        <v>22</v>
      </c>
      <c r="L88" s="18">
        <v>24</v>
      </c>
      <c r="M88" s="18">
        <v>10</v>
      </c>
      <c r="N88" s="8">
        <f t="shared" si="54"/>
        <v>56</v>
      </c>
      <c r="O88" s="20">
        <v>40</v>
      </c>
      <c r="P88" s="20">
        <v>60</v>
      </c>
      <c r="Q88" s="20">
        <v>60</v>
      </c>
      <c r="R88" s="8">
        <f t="shared" si="53"/>
        <v>160</v>
      </c>
      <c r="S88" s="18">
        <f t="shared" si="52"/>
        <v>276</v>
      </c>
      <c r="T88" s="18">
        <f t="shared" si="45"/>
        <v>2.2000000000000002</v>
      </c>
      <c r="U88" s="18">
        <f t="shared" si="46"/>
        <v>2.4</v>
      </c>
      <c r="V88" s="18">
        <f t="shared" si="47"/>
        <v>1</v>
      </c>
      <c r="W88" s="8">
        <f t="shared" si="55"/>
        <v>5.6</v>
      </c>
      <c r="X88" s="18">
        <f t="shared" si="48"/>
        <v>4</v>
      </c>
      <c r="Y88" s="18">
        <f t="shared" si="49"/>
        <v>6</v>
      </c>
      <c r="Z88" s="18">
        <f t="shared" si="50"/>
        <v>6</v>
      </c>
      <c r="AA88" s="8">
        <f t="shared" si="56"/>
        <v>16</v>
      </c>
      <c r="AB88" s="8">
        <v>39.270000000000003</v>
      </c>
      <c r="AC88" s="8">
        <v>52.462499999999999</v>
      </c>
      <c r="AD88" s="8">
        <v>72.64</v>
      </c>
      <c r="AE88" s="9">
        <f t="shared" si="57"/>
        <v>25342.739999999998</v>
      </c>
      <c r="AF88" s="21">
        <v>6.5000000000000002E-2</v>
      </c>
      <c r="AG88" s="10">
        <f t="shared" si="51"/>
        <v>1647.2781</v>
      </c>
      <c r="AH88" s="64">
        <f t="shared" si="58"/>
        <v>82.467000000000013</v>
      </c>
      <c r="AI88" s="9">
        <f t="shared" si="59"/>
        <v>23695.461899999998</v>
      </c>
      <c r="AJ88" s="5">
        <v>0.18</v>
      </c>
      <c r="AK88" s="11">
        <f t="shared" si="60"/>
        <v>4265.1831419999999</v>
      </c>
      <c r="AL88" s="9">
        <f t="shared" si="61"/>
        <v>27960.645041999996</v>
      </c>
      <c r="AP88" s="12"/>
    </row>
    <row r="89" spans="1:42" x14ac:dyDescent="0.35">
      <c r="A89" s="71">
        <v>46184</v>
      </c>
      <c r="B89" s="72" t="s">
        <v>67</v>
      </c>
      <c r="C89" s="74">
        <v>1086.17142857163</v>
      </c>
      <c r="D89" s="74">
        <v>44318.821428571297</v>
      </c>
      <c r="E89" s="62" t="s">
        <v>68</v>
      </c>
      <c r="F89" s="73" t="s">
        <v>98</v>
      </c>
      <c r="G89" s="76" t="s">
        <v>182</v>
      </c>
      <c r="H89" s="73" t="s">
        <v>89</v>
      </c>
      <c r="I89" s="62" t="s">
        <v>179</v>
      </c>
      <c r="J89" s="55">
        <v>40</v>
      </c>
      <c r="K89" s="20">
        <v>24</v>
      </c>
      <c r="L89" s="20">
        <v>22</v>
      </c>
      <c r="M89" s="20">
        <v>20</v>
      </c>
      <c r="N89" s="8">
        <f t="shared" si="54"/>
        <v>66</v>
      </c>
      <c r="O89" s="18">
        <v>65</v>
      </c>
      <c r="P89" s="18">
        <v>46</v>
      </c>
      <c r="Q89" s="18">
        <v>50</v>
      </c>
      <c r="R89" s="8">
        <f t="shared" si="53"/>
        <v>161</v>
      </c>
      <c r="S89" s="18">
        <f t="shared" si="52"/>
        <v>267</v>
      </c>
      <c r="T89" s="18">
        <f t="shared" si="45"/>
        <v>2.4</v>
      </c>
      <c r="U89" s="18">
        <f t="shared" si="46"/>
        <v>2.2000000000000002</v>
      </c>
      <c r="V89" s="18">
        <f t="shared" si="47"/>
        <v>2</v>
      </c>
      <c r="W89" s="8">
        <f t="shared" si="55"/>
        <v>6.6</v>
      </c>
      <c r="X89" s="18">
        <f t="shared" si="48"/>
        <v>6.5</v>
      </c>
      <c r="Y89" s="18">
        <f t="shared" si="49"/>
        <v>4.5999999999999996</v>
      </c>
      <c r="Z89" s="18">
        <f t="shared" si="50"/>
        <v>5</v>
      </c>
      <c r="AA89" s="8">
        <f t="shared" si="56"/>
        <v>16.100000000000001</v>
      </c>
      <c r="AB89" s="8">
        <v>39.270000000000003</v>
      </c>
      <c r="AC89" s="8">
        <v>52.462499999999999</v>
      </c>
      <c r="AD89" s="8">
        <v>72.64</v>
      </c>
      <c r="AE89" s="9">
        <f t="shared" si="57"/>
        <v>24428.205000000002</v>
      </c>
      <c r="AF89" s="21">
        <v>6.5000000000000002E-2</v>
      </c>
      <c r="AG89" s="10">
        <f t="shared" si="51"/>
        <v>1587.8333250000001</v>
      </c>
      <c r="AH89" s="64">
        <f t="shared" si="58"/>
        <v>54.978000000000009</v>
      </c>
      <c r="AI89" s="9">
        <f t="shared" si="59"/>
        <v>22840.371675000002</v>
      </c>
      <c r="AJ89" s="5">
        <v>0.18</v>
      </c>
      <c r="AK89" s="11">
        <f t="shared" si="60"/>
        <v>4111.2669015000001</v>
      </c>
      <c r="AL89" s="9">
        <f t="shared" si="61"/>
        <v>26951.638576500001</v>
      </c>
      <c r="AP89" s="12"/>
    </row>
    <row r="90" spans="1:42" x14ac:dyDescent="0.35">
      <c r="A90" s="71">
        <v>46184</v>
      </c>
      <c r="B90" s="72" t="s">
        <v>67</v>
      </c>
      <c r="C90" s="74">
        <v>1086.80000000021</v>
      </c>
      <c r="D90" s="74">
        <v>44292.202380952302</v>
      </c>
      <c r="E90" s="62" t="s">
        <v>68</v>
      </c>
      <c r="F90" s="73" t="s">
        <v>78</v>
      </c>
      <c r="G90" s="76" t="s">
        <v>183</v>
      </c>
      <c r="H90" s="73" t="s">
        <v>89</v>
      </c>
      <c r="I90" s="62" t="s">
        <v>179</v>
      </c>
      <c r="J90" s="55">
        <v>10</v>
      </c>
      <c r="K90" s="18">
        <v>12</v>
      </c>
      <c r="L90" s="18">
        <v>12</v>
      </c>
      <c r="M90" s="18">
        <v>20</v>
      </c>
      <c r="N90" s="8">
        <f t="shared" si="54"/>
        <v>44</v>
      </c>
      <c r="O90" s="20">
        <v>82</v>
      </c>
      <c r="P90" s="20">
        <v>40</v>
      </c>
      <c r="Q90" s="20">
        <v>50</v>
      </c>
      <c r="R90" s="8">
        <f t="shared" si="53"/>
        <v>172</v>
      </c>
      <c r="S90" s="18">
        <f t="shared" si="52"/>
        <v>226</v>
      </c>
      <c r="T90" s="18">
        <f t="shared" si="45"/>
        <v>1.2</v>
      </c>
      <c r="U90" s="18">
        <f t="shared" si="46"/>
        <v>1.2</v>
      </c>
      <c r="V90" s="18">
        <f t="shared" si="47"/>
        <v>2</v>
      </c>
      <c r="W90" s="8">
        <f t="shared" si="55"/>
        <v>4.4000000000000004</v>
      </c>
      <c r="X90" s="18">
        <f t="shared" si="48"/>
        <v>8.1999999999999993</v>
      </c>
      <c r="Y90" s="18">
        <f t="shared" si="49"/>
        <v>4</v>
      </c>
      <c r="Z90" s="18">
        <f t="shared" si="50"/>
        <v>5</v>
      </c>
      <c r="AA90" s="8">
        <f t="shared" si="56"/>
        <v>17.2</v>
      </c>
      <c r="AB90" s="8">
        <v>39.270000000000003</v>
      </c>
      <c r="AC90" s="8">
        <v>52.462499999999999</v>
      </c>
      <c r="AD90" s="8">
        <v>72.64</v>
      </c>
      <c r="AE90" s="9">
        <f t="shared" si="57"/>
        <v>19117.689999999999</v>
      </c>
      <c r="AF90" s="21">
        <v>6.5000000000000002E-2</v>
      </c>
      <c r="AG90" s="10">
        <f t="shared" si="51"/>
        <v>1242.64985</v>
      </c>
      <c r="AH90" s="64">
        <f t="shared" si="58"/>
        <v>13.744500000000002</v>
      </c>
      <c r="AI90" s="9">
        <f t="shared" si="59"/>
        <v>17875.040149999997</v>
      </c>
      <c r="AJ90" s="5">
        <v>0.18</v>
      </c>
      <c r="AK90" s="11">
        <f t="shared" si="60"/>
        <v>3217.5072269999991</v>
      </c>
      <c r="AL90" s="9">
        <f t="shared" si="61"/>
        <v>21092.547376999995</v>
      </c>
      <c r="AP90" s="12"/>
    </row>
    <row r="91" spans="1:42" x14ac:dyDescent="0.35">
      <c r="A91" s="71">
        <v>46184</v>
      </c>
      <c r="B91" s="72" t="s">
        <v>67</v>
      </c>
      <c r="C91" s="74">
        <v>1087.4285714287901</v>
      </c>
      <c r="D91" s="74">
        <v>44265.583333333299</v>
      </c>
      <c r="E91" s="62" t="s">
        <v>68</v>
      </c>
      <c r="F91" s="73" t="s">
        <v>69</v>
      </c>
      <c r="G91" s="76" t="s">
        <v>184</v>
      </c>
      <c r="H91" s="73" t="s">
        <v>89</v>
      </c>
      <c r="I91" s="62" t="s">
        <v>179</v>
      </c>
      <c r="J91" s="55">
        <v>12</v>
      </c>
      <c r="K91" s="18">
        <v>12</v>
      </c>
      <c r="L91" s="20">
        <v>20</v>
      </c>
      <c r="M91" s="20">
        <v>20</v>
      </c>
      <c r="N91" s="8">
        <f t="shared" si="54"/>
        <v>52</v>
      </c>
      <c r="O91" s="18">
        <v>80</v>
      </c>
      <c r="P91" s="20">
        <v>40</v>
      </c>
      <c r="Q91" s="20">
        <v>70</v>
      </c>
      <c r="R91" s="8">
        <f t="shared" si="53"/>
        <v>190</v>
      </c>
      <c r="S91" s="18">
        <f t="shared" si="52"/>
        <v>254</v>
      </c>
      <c r="T91" s="18">
        <f t="shared" si="45"/>
        <v>1.2</v>
      </c>
      <c r="U91" s="18">
        <f t="shared" si="46"/>
        <v>2</v>
      </c>
      <c r="V91" s="18">
        <f t="shared" si="47"/>
        <v>2</v>
      </c>
      <c r="W91" s="8">
        <f t="shared" si="55"/>
        <v>5.2</v>
      </c>
      <c r="X91" s="18">
        <f t="shared" si="48"/>
        <v>8</v>
      </c>
      <c r="Y91" s="18">
        <f t="shared" si="49"/>
        <v>4</v>
      </c>
      <c r="Z91" s="18">
        <f t="shared" si="50"/>
        <v>7</v>
      </c>
      <c r="AA91" s="8">
        <f t="shared" si="56"/>
        <v>19</v>
      </c>
      <c r="AB91" s="8">
        <v>39.270000000000003</v>
      </c>
      <c r="AC91" s="8">
        <v>52.462499999999999</v>
      </c>
      <c r="AD91" s="8">
        <v>72.64</v>
      </c>
      <c r="AE91" s="9">
        <f t="shared" si="57"/>
        <v>21649.850000000002</v>
      </c>
      <c r="AF91" s="21">
        <v>6.5000000000000002E-2</v>
      </c>
      <c r="AG91" s="10">
        <f t="shared" si="51"/>
        <v>1407.2402500000003</v>
      </c>
      <c r="AH91" s="64">
        <f t="shared" si="58"/>
        <v>16.493400000000001</v>
      </c>
      <c r="AI91" s="9">
        <f t="shared" si="59"/>
        <v>20242.609750000003</v>
      </c>
      <c r="AJ91" s="5">
        <v>0.18</v>
      </c>
      <c r="AK91" s="11">
        <f t="shared" si="60"/>
        <v>3643.6697550000004</v>
      </c>
      <c r="AL91" s="9">
        <f t="shared" si="61"/>
        <v>23886.279505000002</v>
      </c>
      <c r="AP91" s="12"/>
    </row>
    <row r="92" spans="1:42" x14ac:dyDescent="0.35">
      <c r="A92" s="71">
        <v>46184</v>
      </c>
      <c r="B92" s="72" t="s">
        <v>67</v>
      </c>
      <c r="C92" s="74">
        <v>1088.0571428573701</v>
      </c>
      <c r="D92" s="74">
        <v>44238.964285714297</v>
      </c>
      <c r="E92" s="62" t="s">
        <v>68</v>
      </c>
      <c r="F92" s="75" t="s">
        <v>208</v>
      </c>
      <c r="G92" s="77" t="s">
        <v>227</v>
      </c>
      <c r="H92" s="75" t="s">
        <v>212</v>
      </c>
      <c r="I92" s="78" t="s">
        <v>229</v>
      </c>
      <c r="J92" s="55">
        <v>40</v>
      </c>
      <c r="K92" s="69">
        <v>40</v>
      </c>
      <c r="L92" s="70"/>
      <c r="M92" s="70">
        <v>40</v>
      </c>
      <c r="N92" s="8">
        <f t="shared" si="54"/>
        <v>80</v>
      </c>
      <c r="O92" s="69">
        <v>0</v>
      </c>
      <c r="P92" s="70">
        <v>0</v>
      </c>
      <c r="Q92" s="70">
        <v>80</v>
      </c>
      <c r="R92" s="8">
        <f t="shared" si="53"/>
        <v>80</v>
      </c>
      <c r="S92" s="18">
        <f t="shared" si="52"/>
        <v>200</v>
      </c>
      <c r="T92" s="18">
        <f t="shared" si="45"/>
        <v>4</v>
      </c>
      <c r="U92" s="18">
        <f t="shared" si="46"/>
        <v>0</v>
      </c>
      <c r="V92" s="18">
        <f t="shared" si="47"/>
        <v>4</v>
      </c>
      <c r="W92" s="8">
        <f t="shared" si="55"/>
        <v>8</v>
      </c>
      <c r="X92" s="18">
        <f t="shared" si="48"/>
        <v>0</v>
      </c>
      <c r="Y92" s="18">
        <f t="shared" si="49"/>
        <v>0</v>
      </c>
      <c r="Z92" s="18">
        <f t="shared" si="50"/>
        <v>8</v>
      </c>
      <c r="AA92" s="8">
        <f t="shared" si="56"/>
        <v>8</v>
      </c>
      <c r="AB92" s="8">
        <v>39.270000000000003</v>
      </c>
      <c r="AC92" s="8">
        <v>52.462499999999999</v>
      </c>
      <c r="AD92" s="8">
        <v>72.64</v>
      </c>
      <c r="AE92" s="9">
        <f t="shared" si="57"/>
        <v>20295.8</v>
      </c>
      <c r="AF92" s="21">
        <v>6.5000000000000002E-2</v>
      </c>
      <c r="AG92" s="10">
        <f t="shared" si="51"/>
        <v>1319.2270000000001</v>
      </c>
      <c r="AH92" s="64">
        <f t="shared" si="58"/>
        <v>54.978000000000009</v>
      </c>
      <c r="AI92" s="9">
        <f t="shared" si="59"/>
        <v>18976.573</v>
      </c>
      <c r="AJ92" s="5">
        <v>0.18</v>
      </c>
      <c r="AK92" s="11">
        <f t="shared" si="60"/>
        <v>3415.78314</v>
      </c>
      <c r="AL92" s="9">
        <f t="shared" si="61"/>
        <v>22392.35614</v>
      </c>
      <c r="AP92" s="12"/>
    </row>
    <row r="93" spans="1:42" x14ac:dyDescent="0.35">
      <c r="A93" s="71">
        <v>46184</v>
      </c>
      <c r="B93" s="72" t="s">
        <v>67</v>
      </c>
      <c r="C93" s="74">
        <v>1088.6857142859501</v>
      </c>
      <c r="D93" s="74">
        <v>44212.345238095302</v>
      </c>
      <c r="E93" s="62" t="s">
        <v>68</v>
      </c>
      <c r="F93" s="75" t="s">
        <v>208</v>
      </c>
      <c r="G93" s="77" t="s">
        <v>214</v>
      </c>
      <c r="H93" s="75" t="s">
        <v>212</v>
      </c>
      <c r="I93" s="78" t="s">
        <v>230</v>
      </c>
      <c r="J93" s="55"/>
      <c r="K93" s="69">
        <v>600</v>
      </c>
      <c r="L93" s="70">
        <v>597</v>
      </c>
      <c r="M93" s="70">
        <v>820</v>
      </c>
      <c r="N93" s="8">
        <f t="shared" si="54"/>
        <v>2017</v>
      </c>
      <c r="O93" s="69">
        <v>1597</v>
      </c>
      <c r="P93" s="70">
        <v>1184</v>
      </c>
      <c r="Q93" s="70">
        <v>1199</v>
      </c>
      <c r="R93" s="8">
        <f t="shared" si="53"/>
        <v>3980</v>
      </c>
      <c r="S93" s="18">
        <f t="shared" si="52"/>
        <v>5997</v>
      </c>
      <c r="T93" s="18">
        <f t="shared" si="45"/>
        <v>60</v>
      </c>
      <c r="U93" s="18">
        <f t="shared" si="46"/>
        <v>59.7</v>
      </c>
      <c r="V93" s="18">
        <f t="shared" si="47"/>
        <v>82</v>
      </c>
      <c r="W93" s="8">
        <f t="shared" si="55"/>
        <v>201.7</v>
      </c>
      <c r="X93" s="18">
        <f t="shared" si="48"/>
        <v>159.69999999999999</v>
      </c>
      <c r="Y93" s="18">
        <f t="shared" si="49"/>
        <v>118.4</v>
      </c>
      <c r="Z93" s="18">
        <f t="shared" si="50"/>
        <v>119.9</v>
      </c>
      <c r="AA93" s="8">
        <f t="shared" si="56"/>
        <v>398</v>
      </c>
      <c r="AB93" s="8">
        <v>39.270000000000003</v>
      </c>
      <c r="AC93" s="8">
        <v>52.462499999999999</v>
      </c>
      <c r="AD93" s="8">
        <v>72.64</v>
      </c>
      <c r="AE93" s="9">
        <f t="shared" si="57"/>
        <v>541438.9425</v>
      </c>
      <c r="AF93" s="21">
        <v>6.5000000000000002E-2</v>
      </c>
      <c r="AG93" s="10">
        <f t="shared" si="51"/>
        <v>35193.531262500001</v>
      </c>
      <c r="AH93" s="64">
        <f t="shared" si="58"/>
        <v>0</v>
      </c>
      <c r="AI93" s="9">
        <f t="shared" si="59"/>
        <v>506245.41123750003</v>
      </c>
      <c r="AJ93" s="5">
        <v>0.18</v>
      </c>
      <c r="AK93" s="11">
        <f t="shared" si="60"/>
        <v>91124.174022749998</v>
      </c>
      <c r="AL93" s="9">
        <f t="shared" si="61"/>
        <v>597369.58526025002</v>
      </c>
      <c r="AP93" s="12"/>
    </row>
    <row r="94" spans="1:42" x14ac:dyDescent="0.35">
      <c r="A94" s="71">
        <v>46184</v>
      </c>
      <c r="B94" s="72" t="s">
        <v>67</v>
      </c>
      <c r="C94" s="74">
        <v>1089.3142857145299</v>
      </c>
      <c r="D94" s="74">
        <v>44185.7261904763</v>
      </c>
      <c r="E94" s="62" t="s">
        <v>68</v>
      </c>
      <c r="F94" s="75" t="s">
        <v>208</v>
      </c>
      <c r="G94" s="77" t="s">
        <v>228</v>
      </c>
      <c r="H94" s="75" t="s">
        <v>212</v>
      </c>
      <c r="I94" s="78" t="s">
        <v>142</v>
      </c>
      <c r="J94" s="55"/>
      <c r="K94" s="69"/>
      <c r="L94" s="70"/>
      <c r="M94" s="70">
        <v>40</v>
      </c>
      <c r="N94" s="8">
        <f t="shared" si="54"/>
        <v>40</v>
      </c>
      <c r="O94" s="69">
        <v>40</v>
      </c>
      <c r="P94" s="70">
        <v>40</v>
      </c>
      <c r="Q94" s="70">
        <v>40</v>
      </c>
      <c r="R94" s="8">
        <f t="shared" si="53"/>
        <v>120</v>
      </c>
      <c r="S94" s="18">
        <f t="shared" si="52"/>
        <v>160</v>
      </c>
      <c r="T94" s="18">
        <f t="shared" si="45"/>
        <v>0</v>
      </c>
      <c r="U94" s="18">
        <f t="shared" si="46"/>
        <v>0</v>
      </c>
      <c r="V94" s="18">
        <f t="shared" si="47"/>
        <v>4</v>
      </c>
      <c r="W94" s="8">
        <f t="shared" si="55"/>
        <v>4</v>
      </c>
      <c r="X94" s="18">
        <f t="shared" si="48"/>
        <v>4</v>
      </c>
      <c r="Y94" s="18">
        <f t="shared" si="49"/>
        <v>4</v>
      </c>
      <c r="Z94" s="18">
        <f t="shared" si="50"/>
        <v>4</v>
      </c>
      <c r="AA94" s="8">
        <f t="shared" si="56"/>
        <v>12</v>
      </c>
      <c r="AB94" s="8">
        <v>39.270000000000003</v>
      </c>
      <c r="AC94" s="8">
        <v>52.462499999999999</v>
      </c>
      <c r="AD94" s="8">
        <v>72.64</v>
      </c>
      <c r="AE94" s="9">
        <f t="shared" si="57"/>
        <v>13720.9</v>
      </c>
      <c r="AF94" s="21">
        <v>6.5000000000000002E-2</v>
      </c>
      <c r="AG94" s="10">
        <f t="shared" si="51"/>
        <v>891.85850000000005</v>
      </c>
      <c r="AH94" s="64">
        <f t="shared" si="58"/>
        <v>0</v>
      </c>
      <c r="AI94" s="9">
        <f t="shared" si="59"/>
        <v>12829.041499999999</v>
      </c>
      <c r="AJ94" s="5">
        <v>0.18</v>
      </c>
      <c r="AK94" s="11">
        <f t="shared" si="60"/>
        <v>2309.2274699999998</v>
      </c>
      <c r="AL94" s="9">
        <f t="shared" si="61"/>
        <v>15138.268969999999</v>
      </c>
      <c r="AP94" s="12"/>
    </row>
    <row r="95" spans="1:42" x14ac:dyDescent="0.35">
      <c r="A95" s="71">
        <v>46184</v>
      </c>
      <c r="B95" s="72" t="s">
        <v>67</v>
      </c>
      <c r="C95" s="74">
        <v>1089.9428571431099</v>
      </c>
      <c r="D95" s="74">
        <v>44159.107142857298</v>
      </c>
      <c r="E95" s="62" t="s">
        <v>68</v>
      </c>
      <c r="F95" s="75" t="s">
        <v>208</v>
      </c>
      <c r="G95" s="77" t="s">
        <v>143</v>
      </c>
      <c r="H95" s="75" t="s">
        <v>212</v>
      </c>
      <c r="I95" s="78" t="s">
        <v>142</v>
      </c>
      <c r="J95" s="55"/>
      <c r="K95" s="69">
        <v>40</v>
      </c>
      <c r="L95" s="70">
        <v>40</v>
      </c>
      <c r="M95" s="70">
        <v>40</v>
      </c>
      <c r="N95" s="8">
        <f t="shared" si="54"/>
        <v>120</v>
      </c>
      <c r="O95" s="69">
        <v>40</v>
      </c>
      <c r="P95" s="70">
        <v>40</v>
      </c>
      <c r="Q95" s="70">
        <v>40</v>
      </c>
      <c r="R95" s="8">
        <f t="shared" si="53"/>
        <v>120</v>
      </c>
      <c r="S95" s="18">
        <f t="shared" si="52"/>
        <v>240</v>
      </c>
      <c r="T95" s="18">
        <f t="shared" si="45"/>
        <v>4</v>
      </c>
      <c r="U95" s="18">
        <f t="shared" si="46"/>
        <v>4</v>
      </c>
      <c r="V95" s="18">
        <f t="shared" si="47"/>
        <v>4</v>
      </c>
      <c r="W95" s="8">
        <f t="shared" si="55"/>
        <v>12</v>
      </c>
      <c r="X95" s="18">
        <f t="shared" si="48"/>
        <v>4</v>
      </c>
      <c r="Y95" s="18">
        <f t="shared" si="49"/>
        <v>4</v>
      </c>
      <c r="Z95" s="18">
        <f t="shared" si="50"/>
        <v>4</v>
      </c>
      <c r="AA95" s="8">
        <f t="shared" si="56"/>
        <v>12</v>
      </c>
      <c r="AB95" s="8">
        <v>39.270000000000003</v>
      </c>
      <c r="AC95" s="8">
        <v>52.462499999999999</v>
      </c>
      <c r="AD95" s="8">
        <v>72.64</v>
      </c>
      <c r="AE95" s="9">
        <f t="shared" si="57"/>
        <v>23729.1</v>
      </c>
      <c r="AF95" s="21">
        <v>6.5000000000000002E-2</v>
      </c>
      <c r="AG95" s="10">
        <f t="shared" si="51"/>
        <v>1542.3915</v>
      </c>
      <c r="AH95" s="64">
        <f t="shared" si="58"/>
        <v>0</v>
      </c>
      <c r="AI95" s="9">
        <f t="shared" si="59"/>
        <v>22186.708499999997</v>
      </c>
      <c r="AJ95" s="5">
        <v>0.18</v>
      </c>
      <c r="AK95" s="11">
        <f t="shared" si="60"/>
        <v>3993.6075299999993</v>
      </c>
      <c r="AL95" s="9">
        <f t="shared" si="61"/>
        <v>26180.316029999994</v>
      </c>
      <c r="AP95" s="12"/>
    </row>
    <row r="96" spans="1:42" x14ac:dyDescent="0.35">
      <c r="A96" s="71">
        <v>46185</v>
      </c>
      <c r="B96" s="72" t="s">
        <v>67</v>
      </c>
      <c r="C96" s="74">
        <v>1090.5714285716899</v>
      </c>
      <c r="D96" s="74">
        <v>44132.488095238303</v>
      </c>
      <c r="E96" s="62" t="s">
        <v>68</v>
      </c>
      <c r="F96" s="73" t="s">
        <v>98</v>
      </c>
      <c r="G96" s="76" t="s">
        <v>186</v>
      </c>
      <c r="H96" s="73" t="s">
        <v>104</v>
      </c>
      <c r="I96" s="62" t="s">
        <v>185</v>
      </c>
      <c r="J96" s="55">
        <v>20</v>
      </c>
      <c r="K96" s="20">
        <v>10</v>
      </c>
      <c r="L96" s="20">
        <v>20</v>
      </c>
      <c r="M96" s="18">
        <v>20</v>
      </c>
      <c r="N96" s="8">
        <f t="shared" si="54"/>
        <v>50</v>
      </c>
      <c r="O96" s="20">
        <v>20</v>
      </c>
      <c r="P96" s="18">
        <v>20</v>
      </c>
      <c r="Q96" s="20">
        <v>10</v>
      </c>
      <c r="R96" s="8">
        <f t="shared" si="53"/>
        <v>50</v>
      </c>
      <c r="S96" s="18">
        <f t="shared" si="52"/>
        <v>120</v>
      </c>
      <c r="T96" s="18">
        <f t="shared" si="45"/>
        <v>1</v>
      </c>
      <c r="U96" s="18">
        <f t="shared" si="46"/>
        <v>2</v>
      </c>
      <c r="V96" s="18">
        <f t="shared" si="47"/>
        <v>2</v>
      </c>
      <c r="W96" s="8">
        <f t="shared" si="55"/>
        <v>5</v>
      </c>
      <c r="X96" s="18">
        <f t="shared" si="48"/>
        <v>2</v>
      </c>
      <c r="Y96" s="18">
        <f t="shared" si="49"/>
        <v>2</v>
      </c>
      <c r="Z96" s="18">
        <f t="shared" si="50"/>
        <v>1</v>
      </c>
      <c r="AA96" s="8">
        <f t="shared" si="56"/>
        <v>5</v>
      </c>
      <c r="AB96" s="8">
        <v>39.270000000000003</v>
      </c>
      <c r="AC96" s="8">
        <v>52.462499999999999</v>
      </c>
      <c r="AD96" s="8">
        <v>72.64</v>
      </c>
      <c r="AE96" s="9">
        <f t="shared" si="57"/>
        <v>12125.324999999999</v>
      </c>
      <c r="AF96" s="21">
        <v>0.1</v>
      </c>
      <c r="AG96" s="10">
        <f t="shared" si="51"/>
        <v>1212.5325</v>
      </c>
      <c r="AH96" s="64">
        <f t="shared" si="58"/>
        <v>27.489000000000004</v>
      </c>
      <c r="AI96" s="9">
        <f t="shared" si="59"/>
        <v>10912.7925</v>
      </c>
      <c r="AJ96" s="5">
        <v>0.18</v>
      </c>
      <c r="AK96" s="11">
        <f t="shared" si="60"/>
        <v>1964.3026499999999</v>
      </c>
      <c r="AL96" s="9">
        <f t="shared" si="61"/>
        <v>12877.095149999999</v>
      </c>
      <c r="AP96" s="12"/>
    </row>
    <row r="97" spans="1:42" x14ac:dyDescent="0.35">
      <c r="A97" s="71">
        <v>46185</v>
      </c>
      <c r="B97" s="72" t="s">
        <v>67</v>
      </c>
      <c r="C97" s="74">
        <v>1091.2000000002699</v>
      </c>
      <c r="D97" s="74">
        <v>44212.345238095098</v>
      </c>
      <c r="E97" s="62" t="s">
        <v>68</v>
      </c>
      <c r="F97" s="73" t="s">
        <v>78</v>
      </c>
      <c r="G97" s="76" t="s">
        <v>187</v>
      </c>
      <c r="H97" s="73" t="s">
        <v>104</v>
      </c>
      <c r="I97" s="62" t="s">
        <v>185</v>
      </c>
      <c r="J97" s="55">
        <v>20</v>
      </c>
      <c r="K97" s="18">
        <v>10</v>
      </c>
      <c r="L97" s="18">
        <v>10</v>
      </c>
      <c r="M97" s="18">
        <v>10</v>
      </c>
      <c r="N97" s="8">
        <f t="shared" si="54"/>
        <v>30</v>
      </c>
      <c r="O97" s="20">
        <v>20</v>
      </c>
      <c r="P97" s="20">
        <v>20</v>
      </c>
      <c r="Q97" s="20">
        <v>20</v>
      </c>
      <c r="R97" s="8">
        <f t="shared" si="53"/>
        <v>60</v>
      </c>
      <c r="S97" s="18">
        <f t="shared" si="52"/>
        <v>110</v>
      </c>
      <c r="T97" s="18">
        <f t="shared" si="45"/>
        <v>1</v>
      </c>
      <c r="U97" s="18">
        <f t="shared" si="46"/>
        <v>1</v>
      </c>
      <c r="V97" s="18">
        <f t="shared" si="47"/>
        <v>1</v>
      </c>
      <c r="W97" s="8">
        <f t="shared" si="55"/>
        <v>3</v>
      </c>
      <c r="X97" s="18">
        <f t="shared" si="48"/>
        <v>2</v>
      </c>
      <c r="Y97" s="18">
        <f t="shared" si="49"/>
        <v>2</v>
      </c>
      <c r="Z97" s="18">
        <f t="shared" si="50"/>
        <v>2</v>
      </c>
      <c r="AA97" s="8">
        <f t="shared" si="56"/>
        <v>6</v>
      </c>
      <c r="AB97" s="8">
        <v>39.270000000000003</v>
      </c>
      <c r="AC97" s="8">
        <v>52.462499999999999</v>
      </c>
      <c r="AD97" s="8">
        <v>72.64</v>
      </c>
      <c r="AE97" s="9">
        <f t="shared" si="57"/>
        <v>10349.674999999999</v>
      </c>
      <c r="AF97" s="21">
        <v>6.5000000000000002E-2</v>
      </c>
      <c r="AG97" s="10">
        <f t="shared" si="51"/>
        <v>672.72887500000002</v>
      </c>
      <c r="AH97" s="64">
        <f t="shared" si="58"/>
        <v>27.489000000000004</v>
      </c>
      <c r="AI97" s="9">
        <f t="shared" si="59"/>
        <v>9676.9461249999986</v>
      </c>
      <c r="AJ97" s="5">
        <v>0.18</v>
      </c>
      <c r="AK97" s="11">
        <f t="shared" si="60"/>
        <v>1741.8503024999998</v>
      </c>
      <c r="AL97" s="9">
        <f t="shared" si="61"/>
        <v>11418.796427499998</v>
      </c>
      <c r="AP97" s="12"/>
    </row>
    <row r="98" spans="1:42" x14ac:dyDescent="0.35">
      <c r="A98" s="71">
        <v>46185</v>
      </c>
      <c r="B98" s="72" t="s">
        <v>67</v>
      </c>
      <c r="C98" s="74">
        <v>1091.82857142885</v>
      </c>
      <c r="D98" s="74">
        <v>44185.726190476104</v>
      </c>
      <c r="E98" s="62" t="s">
        <v>68</v>
      </c>
      <c r="F98" s="73" t="s">
        <v>69</v>
      </c>
      <c r="G98" s="76" t="s">
        <v>188</v>
      </c>
      <c r="H98" s="73" t="s">
        <v>104</v>
      </c>
      <c r="I98" s="62" t="s">
        <v>185</v>
      </c>
      <c r="J98" s="55">
        <v>12</v>
      </c>
      <c r="K98" s="20">
        <v>0</v>
      </c>
      <c r="L98" s="20">
        <v>10</v>
      </c>
      <c r="M98" s="20">
        <v>20</v>
      </c>
      <c r="N98" s="8">
        <f t="shared" si="54"/>
        <v>30</v>
      </c>
      <c r="O98" s="18">
        <v>20</v>
      </c>
      <c r="P98" s="18">
        <v>20</v>
      </c>
      <c r="Q98" s="18">
        <v>10</v>
      </c>
      <c r="R98" s="8">
        <f t="shared" si="53"/>
        <v>50</v>
      </c>
      <c r="S98" s="18">
        <f t="shared" si="52"/>
        <v>92</v>
      </c>
      <c r="T98" s="18">
        <f t="shared" si="45"/>
        <v>0</v>
      </c>
      <c r="U98" s="18">
        <f t="shared" si="46"/>
        <v>1</v>
      </c>
      <c r="V98" s="18">
        <f t="shared" si="47"/>
        <v>2</v>
      </c>
      <c r="W98" s="8">
        <f t="shared" si="55"/>
        <v>3</v>
      </c>
      <c r="X98" s="18">
        <f t="shared" si="48"/>
        <v>2</v>
      </c>
      <c r="Y98" s="18">
        <f t="shared" si="49"/>
        <v>2</v>
      </c>
      <c r="Z98" s="18">
        <f t="shared" si="50"/>
        <v>1</v>
      </c>
      <c r="AA98" s="8">
        <f t="shared" si="56"/>
        <v>5</v>
      </c>
      <c r="AB98" s="8">
        <v>39.270000000000003</v>
      </c>
      <c r="AC98" s="8">
        <v>52.462499999999999</v>
      </c>
      <c r="AD98" s="8">
        <v>72.64</v>
      </c>
      <c r="AE98" s="9">
        <f t="shared" si="57"/>
        <v>8727.9950000000008</v>
      </c>
      <c r="AF98" s="21">
        <v>6.5000000000000002E-2</v>
      </c>
      <c r="AG98" s="10">
        <f t="shared" si="51"/>
        <v>567.31967500000007</v>
      </c>
      <c r="AH98" s="64">
        <f t="shared" si="58"/>
        <v>16.493400000000001</v>
      </c>
      <c r="AI98" s="9">
        <f t="shared" si="59"/>
        <v>8160.6753250000011</v>
      </c>
      <c r="AJ98" s="5">
        <v>0.18</v>
      </c>
      <c r="AK98" s="11">
        <f t="shared" si="60"/>
        <v>1468.9215585000002</v>
      </c>
      <c r="AL98" s="9">
        <f t="shared" si="61"/>
        <v>9629.5968835000021</v>
      </c>
      <c r="AP98" s="12"/>
    </row>
    <row r="99" spans="1:42" x14ac:dyDescent="0.35">
      <c r="A99" s="71">
        <v>46185</v>
      </c>
      <c r="B99" s="72" t="s">
        <v>67</v>
      </c>
      <c r="C99" s="74">
        <v>1092.45714285743</v>
      </c>
      <c r="D99" s="74">
        <v>44159.107142856999</v>
      </c>
      <c r="E99" s="62" t="s">
        <v>68</v>
      </c>
      <c r="F99" s="73" t="s">
        <v>98</v>
      </c>
      <c r="G99" s="76" t="s">
        <v>120</v>
      </c>
      <c r="H99" s="73" t="s">
        <v>77</v>
      </c>
      <c r="I99" s="62" t="s">
        <v>86</v>
      </c>
      <c r="J99" s="55">
        <v>0</v>
      </c>
      <c r="K99" s="18">
        <v>20</v>
      </c>
      <c r="L99" s="18">
        <v>20</v>
      </c>
      <c r="M99" s="18">
        <v>0</v>
      </c>
      <c r="N99" s="8">
        <f t="shared" si="54"/>
        <v>40</v>
      </c>
      <c r="O99" s="20">
        <v>90</v>
      </c>
      <c r="P99" s="20">
        <v>60</v>
      </c>
      <c r="Q99" s="20">
        <v>80</v>
      </c>
      <c r="R99" s="8">
        <f t="shared" si="53"/>
        <v>230</v>
      </c>
      <c r="S99" s="18">
        <f t="shared" si="52"/>
        <v>270</v>
      </c>
      <c r="T99" s="18">
        <f t="shared" si="45"/>
        <v>2</v>
      </c>
      <c r="U99" s="18">
        <f t="shared" si="46"/>
        <v>2</v>
      </c>
      <c r="V99" s="18">
        <f t="shared" si="47"/>
        <v>0</v>
      </c>
      <c r="W99" s="8">
        <f t="shared" si="55"/>
        <v>4</v>
      </c>
      <c r="X99" s="18">
        <f t="shared" si="48"/>
        <v>9</v>
      </c>
      <c r="Y99" s="18">
        <f t="shared" si="49"/>
        <v>6</v>
      </c>
      <c r="Z99" s="18">
        <f t="shared" si="50"/>
        <v>8</v>
      </c>
      <c r="AA99" s="8">
        <f t="shared" si="56"/>
        <v>23</v>
      </c>
      <c r="AB99" s="8">
        <v>39.270000000000003</v>
      </c>
      <c r="AC99" s="8">
        <v>52.462499999999999</v>
      </c>
      <c r="AD99" s="8">
        <v>72.64</v>
      </c>
      <c r="AE99" s="9">
        <f t="shared" si="57"/>
        <v>21711.3</v>
      </c>
      <c r="AF99" s="21">
        <v>6.5000000000000002E-2</v>
      </c>
      <c r="AG99" s="10">
        <f t="shared" si="51"/>
        <v>1411.2345</v>
      </c>
      <c r="AH99" s="64">
        <f t="shared" si="58"/>
        <v>0</v>
      </c>
      <c r="AI99" s="9">
        <f t="shared" si="59"/>
        <v>20300.065500000001</v>
      </c>
      <c r="AJ99" s="5">
        <v>0.18</v>
      </c>
      <c r="AK99" s="11">
        <f t="shared" si="60"/>
        <v>3654.01179</v>
      </c>
      <c r="AL99" s="9">
        <f t="shared" si="61"/>
        <v>23954.077290000001</v>
      </c>
      <c r="AP99" s="12"/>
    </row>
    <row r="100" spans="1:42" x14ac:dyDescent="0.35">
      <c r="A100" s="71">
        <v>46185</v>
      </c>
      <c r="B100" s="72" t="s">
        <v>67</v>
      </c>
      <c r="C100" s="74">
        <v>1093.08571428601</v>
      </c>
      <c r="D100" s="74">
        <v>44132.488095237997</v>
      </c>
      <c r="E100" s="62" t="s">
        <v>68</v>
      </c>
      <c r="F100" s="73" t="s">
        <v>78</v>
      </c>
      <c r="G100" s="76" t="s">
        <v>121</v>
      </c>
      <c r="H100" s="73" t="s">
        <v>77</v>
      </c>
      <c r="I100" s="62" t="s">
        <v>86</v>
      </c>
      <c r="J100" s="55">
        <v>0</v>
      </c>
      <c r="K100" s="20">
        <v>0</v>
      </c>
      <c r="L100" s="20">
        <v>0</v>
      </c>
      <c r="M100" s="20">
        <v>0</v>
      </c>
      <c r="N100" s="8">
        <f t="shared" si="54"/>
        <v>0</v>
      </c>
      <c r="O100" s="18">
        <v>55</v>
      </c>
      <c r="P100" s="18">
        <v>45</v>
      </c>
      <c r="Q100" s="18">
        <v>36</v>
      </c>
      <c r="R100" s="8">
        <f t="shared" si="53"/>
        <v>136</v>
      </c>
      <c r="S100" s="18">
        <f t="shared" si="52"/>
        <v>136</v>
      </c>
      <c r="T100" s="18">
        <f t="shared" si="45"/>
        <v>0</v>
      </c>
      <c r="U100" s="18">
        <f t="shared" si="46"/>
        <v>0</v>
      </c>
      <c r="V100" s="18">
        <f t="shared" si="47"/>
        <v>0</v>
      </c>
      <c r="W100" s="8">
        <f t="shared" si="55"/>
        <v>0</v>
      </c>
      <c r="X100" s="18">
        <f t="shared" si="48"/>
        <v>5.5</v>
      </c>
      <c r="Y100" s="18">
        <f t="shared" si="49"/>
        <v>4.5</v>
      </c>
      <c r="Z100" s="18">
        <f t="shared" si="50"/>
        <v>3.6</v>
      </c>
      <c r="AA100" s="8">
        <f t="shared" si="56"/>
        <v>13.6</v>
      </c>
      <c r="AB100" s="8">
        <v>39.270000000000003</v>
      </c>
      <c r="AC100" s="8">
        <v>52.462499999999999</v>
      </c>
      <c r="AD100" s="8">
        <v>72.64</v>
      </c>
      <c r="AE100" s="9">
        <f t="shared" si="57"/>
        <v>9879.0400000000009</v>
      </c>
      <c r="AF100" s="21">
        <v>6.5000000000000002E-2</v>
      </c>
      <c r="AG100" s="10">
        <f t="shared" si="51"/>
        <v>642.13760000000013</v>
      </c>
      <c r="AH100" s="64">
        <f t="shared" si="58"/>
        <v>0</v>
      </c>
      <c r="AI100" s="9">
        <f t="shared" si="59"/>
        <v>9236.9024000000009</v>
      </c>
      <c r="AJ100" s="5">
        <v>0.18</v>
      </c>
      <c r="AK100" s="11">
        <f t="shared" si="60"/>
        <v>1662.6424320000001</v>
      </c>
      <c r="AL100" s="9">
        <f t="shared" si="61"/>
        <v>10899.544832000001</v>
      </c>
      <c r="AP100" s="12"/>
    </row>
    <row r="101" spans="1:42" x14ac:dyDescent="0.35">
      <c r="A101" s="71">
        <v>46185</v>
      </c>
      <c r="B101" s="72" t="s">
        <v>67</v>
      </c>
      <c r="C101" s="74">
        <v>1093.71428571459</v>
      </c>
      <c r="D101" s="74">
        <v>44105.8690476189</v>
      </c>
      <c r="E101" s="62" t="s">
        <v>68</v>
      </c>
      <c r="F101" s="73" t="s">
        <v>69</v>
      </c>
      <c r="G101" s="76" t="s">
        <v>180</v>
      </c>
      <c r="H101" s="73" t="s">
        <v>89</v>
      </c>
      <c r="I101" s="62" t="s">
        <v>189</v>
      </c>
      <c r="J101" s="55">
        <v>20</v>
      </c>
      <c r="K101" s="18">
        <v>10</v>
      </c>
      <c r="L101" s="20">
        <v>10</v>
      </c>
      <c r="M101" s="18">
        <v>0</v>
      </c>
      <c r="N101" s="8">
        <f t="shared" si="54"/>
        <v>20</v>
      </c>
      <c r="O101" s="20">
        <v>20</v>
      </c>
      <c r="P101" s="20">
        <v>20</v>
      </c>
      <c r="Q101" s="20">
        <v>20</v>
      </c>
      <c r="R101" s="8">
        <f t="shared" si="53"/>
        <v>60</v>
      </c>
      <c r="S101" s="18">
        <f t="shared" si="52"/>
        <v>100</v>
      </c>
      <c r="T101" s="18">
        <f t="shared" si="45"/>
        <v>1</v>
      </c>
      <c r="U101" s="18">
        <f t="shared" si="46"/>
        <v>1</v>
      </c>
      <c r="V101" s="18">
        <f t="shared" si="47"/>
        <v>0</v>
      </c>
      <c r="W101" s="8">
        <f t="shared" si="55"/>
        <v>2</v>
      </c>
      <c r="X101" s="18">
        <f t="shared" si="48"/>
        <v>2</v>
      </c>
      <c r="Y101" s="18">
        <f t="shared" si="49"/>
        <v>2</v>
      </c>
      <c r="Z101" s="18">
        <f t="shared" si="50"/>
        <v>2</v>
      </c>
      <c r="AA101" s="8">
        <f t="shared" si="56"/>
        <v>6</v>
      </c>
      <c r="AB101" s="8">
        <v>39.270000000000003</v>
      </c>
      <c r="AC101" s="8">
        <v>52.462499999999999</v>
      </c>
      <c r="AD101" s="8">
        <v>72.64</v>
      </c>
      <c r="AE101" s="9">
        <f t="shared" si="57"/>
        <v>9098.65</v>
      </c>
      <c r="AF101" s="21">
        <v>6.5000000000000002E-2</v>
      </c>
      <c r="AG101" s="10">
        <f t="shared" si="51"/>
        <v>591.41224999999997</v>
      </c>
      <c r="AH101" s="64">
        <f t="shared" si="58"/>
        <v>27.489000000000004</v>
      </c>
      <c r="AI101" s="9">
        <f t="shared" si="59"/>
        <v>8507.2377500000002</v>
      </c>
      <c r="AJ101" s="5">
        <v>0.18</v>
      </c>
      <c r="AK101" s="11">
        <f t="shared" si="60"/>
        <v>1531.3027950000001</v>
      </c>
      <c r="AL101" s="9">
        <f t="shared" si="61"/>
        <v>10038.540545</v>
      </c>
      <c r="AP101" s="12"/>
    </row>
    <row r="102" spans="1:42" x14ac:dyDescent="0.35">
      <c r="A102" s="71">
        <v>46185</v>
      </c>
      <c r="B102" s="72" t="s">
        <v>67</v>
      </c>
      <c r="C102" s="74">
        <v>1094.34285714317</v>
      </c>
      <c r="D102" s="74">
        <v>44079.249999999898</v>
      </c>
      <c r="E102" s="62" t="s">
        <v>68</v>
      </c>
      <c r="F102" s="73" t="s">
        <v>98</v>
      </c>
      <c r="G102" s="76" t="s">
        <v>181</v>
      </c>
      <c r="H102" s="73" t="s">
        <v>89</v>
      </c>
      <c r="I102" s="62" t="s">
        <v>189</v>
      </c>
      <c r="J102" s="55">
        <v>0</v>
      </c>
      <c r="K102" s="18">
        <v>10</v>
      </c>
      <c r="L102" s="18">
        <v>10</v>
      </c>
      <c r="M102" s="18">
        <v>0</v>
      </c>
      <c r="N102" s="8">
        <f t="shared" si="54"/>
        <v>20</v>
      </c>
      <c r="O102" s="20">
        <v>20</v>
      </c>
      <c r="P102" s="20">
        <v>20</v>
      </c>
      <c r="Q102" s="20">
        <v>20</v>
      </c>
      <c r="R102" s="8">
        <f t="shared" si="53"/>
        <v>60</v>
      </c>
      <c r="S102" s="18">
        <f t="shared" si="52"/>
        <v>80</v>
      </c>
      <c r="T102" s="18">
        <f t="shared" si="45"/>
        <v>1</v>
      </c>
      <c r="U102" s="18">
        <f t="shared" si="46"/>
        <v>1</v>
      </c>
      <c r="V102" s="18">
        <f t="shared" si="47"/>
        <v>0</v>
      </c>
      <c r="W102" s="8">
        <f t="shared" si="55"/>
        <v>2</v>
      </c>
      <c r="X102" s="18">
        <f t="shared" si="48"/>
        <v>2</v>
      </c>
      <c r="Y102" s="18">
        <f t="shared" si="49"/>
        <v>2</v>
      </c>
      <c r="Z102" s="18">
        <f t="shared" si="50"/>
        <v>2</v>
      </c>
      <c r="AA102" s="8">
        <f t="shared" si="56"/>
        <v>6</v>
      </c>
      <c r="AB102" s="8">
        <v>39.270000000000003</v>
      </c>
      <c r="AC102" s="8">
        <v>52.462499999999999</v>
      </c>
      <c r="AD102" s="8">
        <v>72.64</v>
      </c>
      <c r="AE102" s="9">
        <f t="shared" si="57"/>
        <v>6860.45</v>
      </c>
      <c r="AF102" s="21">
        <v>6.5000000000000002E-2</v>
      </c>
      <c r="AG102" s="10">
        <f t="shared" si="51"/>
        <v>445.92925000000002</v>
      </c>
      <c r="AH102" s="64">
        <f t="shared" si="58"/>
        <v>0</v>
      </c>
      <c r="AI102" s="9">
        <f t="shared" si="59"/>
        <v>6414.5207499999997</v>
      </c>
      <c r="AJ102" s="5">
        <v>0.18</v>
      </c>
      <c r="AK102" s="11">
        <f t="shared" si="60"/>
        <v>1154.6137349999999</v>
      </c>
      <c r="AL102" s="9">
        <f t="shared" si="61"/>
        <v>7569.1344849999996</v>
      </c>
      <c r="AP102" s="12"/>
    </row>
    <row r="103" spans="1:42" x14ac:dyDescent="0.35">
      <c r="A103" s="71">
        <v>46185</v>
      </c>
      <c r="B103" s="72" t="s">
        <v>67</v>
      </c>
      <c r="C103" s="74">
        <v>1094.97142857175</v>
      </c>
      <c r="D103" s="74">
        <v>44052.630952380801</v>
      </c>
      <c r="E103" s="62" t="s">
        <v>68</v>
      </c>
      <c r="F103" s="73" t="s">
        <v>78</v>
      </c>
      <c r="G103" s="76" t="s">
        <v>182</v>
      </c>
      <c r="H103" s="73" t="s">
        <v>89</v>
      </c>
      <c r="I103" s="62" t="s">
        <v>189</v>
      </c>
      <c r="J103" s="55">
        <v>10</v>
      </c>
      <c r="K103" s="20">
        <v>10</v>
      </c>
      <c r="L103" s="20">
        <v>10</v>
      </c>
      <c r="M103" s="18">
        <v>0</v>
      </c>
      <c r="N103" s="8">
        <f t="shared" si="54"/>
        <v>20</v>
      </c>
      <c r="O103" s="18">
        <v>20</v>
      </c>
      <c r="P103" s="18">
        <v>20</v>
      </c>
      <c r="Q103" s="18">
        <v>20</v>
      </c>
      <c r="R103" s="8">
        <f t="shared" si="53"/>
        <v>60</v>
      </c>
      <c r="S103" s="18">
        <f t="shared" si="52"/>
        <v>90</v>
      </c>
      <c r="T103" s="18">
        <f t="shared" si="45"/>
        <v>1</v>
      </c>
      <c r="U103" s="18">
        <f t="shared" si="46"/>
        <v>1</v>
      </c>
      <c r="V103" s="18">
        <f t="shared" si="47"/>
        <v>0</v>
      </c>
      <c r="W103" s="8">
        <f t="shared" si="55"/>
        <v>2</v>
      </c>
      <c r="X103" s="18">
        <f t="shared" si="48"/>
        <v>2</v>
      </c>
      <c r="Y103" s="18">
        <f t="shared" si="49"/>
        <v>2</v>
      </c>
      <c r="Z103" s="18">
        <f t="shared" si="50"/>
        <v>2</v>
      </c>
      <c r="AA103" s="8">
        <f t="shared" si="56"/>
        <v>6</v>
      </c>
      <c r="AB103" s="8">
        <v>39.270000000000003</v>
      </c>
      <c r="AC103" s="8">
        <v>52.462499999999999</v>
      </c>
      <c r="AD103" s="8">
        <v>72.64</v>
      </c>
      <c r="AE103" s="9">
        <f t="shared" si="57"/>
        <v>7979.55</v>
      </c>
      <c r="AF103" s="21">
        <v>6.5000000000000002E-2</v>
      </c>
      <c r="AG103" s="10">
        <f t="shared" si="51"/>
        <v>518.67075</v>
      </c>
      <c r="AH103" s="64">
        <f t="shared" si="58"/>
        <v>13.744500000000002</v>
      </c>
      <c r="AI103" s="9">
        <f t="shared" si="59"/>
        <v>7460.87925</v>
      </c>
      <c r="AJ103" s="5">
        <v>0.18</v>
      </c>
      <c r="AK103" s="11">
        <f t="shared" si="60"/>
        <v>1342.958265</v>
      </c>
      <c r="AL103" s="9">
        <f t="shared" si="61"/>
        <v>8803.8375149999993</v>
      </c>
      <c r="AP103" s="12"/>
    </row>
    <row r="104" spans="1:42" x14ac:dyDescent="0.35">
      <c r="A104" s="71">
        <v>46185</v>
      </c>
      <c r="B104" s="72" t="s">
        <v>67</v>
      </c>
      <c r="C104" s="74">
        <v>1095.6000000003301</v>
      </c>
      <c r="D104" s="74">
        <v>44052.630952380801</v>
      </c>
      <c r="E104" s="62" t="s">
        <v>68</v>
      </c>
      <c r="F104" s="73" t="s">
        <v>69</v>
      </c>
      <c r="G104" s="76" t="s">
        <v>190</v>
      </c>
      <c r="H104" s="73" t="s">
        <v>89</v>
      </c>
      <c r="I104" s="62" t="s">
        <v>189</v>
      </c>
      <c r="J104" s="55">
        <v>0</v>
      </c>
      <c r="K104" s="20">
        <v>10</v>
      </c>
      <c r="L104" s="20">
        <v>20</v>
      </c>
      <c r="M104" s="18">
        <v>0</v>
      </c>
      <c r="N104" s="8">
        <f t="shared" si="54"/>
        <v>30</v>
      </c>
      <c r="O104" s="18">
        <v>4</v>
      </c>
      <c r="P104" s="18">
        <v>6</v>
      </c>
      <c r="Q104" s="18">
        <v>20</v>
      </c>
      <c r="R104" s="8">
        <f t="shared" si="53"/>
        <v>30</v>
      </c>
      <c r="S104" s="18">
        <f t="shared" si="52"/>
        <v>60</v>
      </c>
      <c r="T104" s="18">
        <f t="shared" si="45"/>
        <v>1</v>
      </c>
      <c r="U104" s="18">
        <f t="shared" si="46"/>
        <v>2</v>
      </c>
      <c r="V104" s="18">
        <f t="shared" si="47"/>
        <v>0</v>
      </c>
      <c r="W104" s="8">
        <f t="shared" si="55"/>
        <v>3</v>
      </c>
      <c r="X104" s="18">
        <f t="shared" si="48"/>
        <v>0.4</v>
      </c>
      <c r="Y104" s="18">
        <f t="shared" si="49"/>
        <v>0.6</v>
      </c>
      <c r="Z104" s="18">
        <f t="shared" si="50"/>
        <v>2</v>
      </c>
      <c r="AA104" s="8">
        <f t="shared" si="56"/>
        <v>3</v>
      </c>
      <c r="AB104" s="8">
        <v>39.270000000000003</v>
      </c>
      <c r="AC104" s="8">
        <v>52.462499999999999</v>
      </c>
      <c r="AD104" s="8">
        <v>72.64</v>
      </c>
      <c r="AE104" s="9">
        <f t="shared" si="57"/>
        <v>5932.2749999999996</v>
      </c>
      <c r="AF104" s="21">
        <v>6.5000000000000002E-2</v>
      </c>
      <c r="AG104" s="10">
        <f t="shared" si="51"/>
        <v>385.59787499999999</v>
      </c>
      <c r="AH104" s="64">
        <f t="shared" si="58"/>
        <v>0</v>
      </c>
      <c r="AI104" s="9">
        <f t="shared" si="59"/>
        <v>5546.6771249999993</v>
      </c>
      <c r="AJ104" s="5">
        <v>0.18</v>
      </c>
      <c r="AK104" s="11">
        <f t="shared" si="60"/>
        <v>998.40188249999983</v>
      </c>
      <c r="AL104" s="9">
        <f t="shared" si="61"/>
        <v>6545.0790074999986</v>
      </c>
      <c r="AP104" s="12"/>
    </row>
    <row r="105" spans="1:42" x14ac:dyDescent="0.35">
      <c r="A105" s="71">
        <v>46185</v>
      </c>
      <c r="B105" s="72" t="s">
        <v>67</v>
      </c>
      <c r="C105" s="74">
        <v>1096.2285714289101</v>
      </c>
      <c r="D105" s="74">
        <v>44052.630952380801</v>
      </c>
      <c r="E105" s="62" t="s">
        <v>68</v>
      </c>
      <c r="F105" s="73" t="s">
        <v>69</v>
      </c>
      <c r="G105" s="76" t="s">
        <v>184</v>
      </c>
      <c r="H105" s="73" t="s">
        <v>89</v>
      </c>
      <c r="I105" s="62" t="s">
        <v>189</v>
      </c>
      <c r="J105" s="55">
        <v>20</v>
      </c>
      <c r="K105" s="18">
        <v>20</v>
      </c>
      <c r="L105" s="18">
        <v>10</v>
      </c>
      <c r="M105" s="18">
        <v>0</v>
      </c>
      <c r="N105" s="8">
        <f t="shared" si="54"/>
        <v>30</v>
      </c>
      <c r="O105" s="18">
        <v>4</v>
      </c>
      <c r="P105" s="18">
        <v>0</v>
      </c>
      <c r="Q105" s="18">
        <v>6</v>
      </c>
      <c r="R105" s="8">
        <f t="shared" si="53"/>
        <v>10</v>
      </c>
      <c r="S105" s="18">
        <f t="shared" si="52"/>
        <v>60</v>
      </c>
      <c r="T105" s="18">
        <f t="shared" si="45"/>
        <v>2</v>
      </c>
      <c r="U105" s="18">
        <f t="shared" si="46"/>
        <v>1</v>
      </c>
      <c r="V105" s="18">
        <f t="shared" si="47"/>
        <v>0</v>
      </c>
      <c r="W105" s="8">
        <f t="shared" si="55"/>
        <v>3</v>
      </c>
      <c r="X105" s="18">
        <f t="shared" si="48"/>
        <v>0.4</v>
      </c>
      <c r="Y105" s="18">
        <f t="shared" si="49"/>
        <v>0</v>
      </c>
      <c r="Z105" s="18">
        <f t="shared" si="50"/>
        <v>0.6</v>
      </c>
      <c r="AA105" s="8">
        <f t="shared" si="56"/>
        <v>1</v>
      </c>
      <c r="AB105" s="8">
        <v>39.270000000000003</v>
      </c>
      <c r="AC105" s="8">
        <v>52.462499999999999</v>
      </c>
      <c r="AD105" s="8">
        <v>72.64</v>
      </c>
      <c r="AE105" s="9">
        <f t="shared" si="57"/>
        <v>6717.6749999999993</v>
      </c>
      <c r="AF105" s="21">
        <v>6.5000000000000002E-2</v>
      </c>
      <c r="AG105" s="10">
        <f t="shared" si="51"/>
        <v>436.64887499999998</v>
      </c>
      <c r="AH105" s="64">
        <f t="shared" si="58"/>
        <v>27.489000000000004</v>
      </c>
      <c r="AI105" s="9">
        <f t="shared" si="59"/>
        <v>6281.0261249999994</v>
      </c>
      <c r="AJ105" s="5">
        <v>0.18</v>
      </c>
      <c r="AK105" s="11">
        <f t="shared" si="60"/>
        <v>1130.5847024999998</v>
      </c>
      <c r="AL105" s="9">
        <f t="shared" si="61"/>
        <v>7411.6108274999988</v>
      </c>
      <c r="AP105" s="12"/>
    </row>
    <row r="106" spans="1:42" x14ac:dyDescent="0.35">
      <c r="A106" s="71">
        <v>46185</v>
      </c>
      <c r="B106" s="72" t="s">
        <v>67</v>
      </c>
      <c r="C106" s="74">
        <v>1096.8571428574901</v>
      </c>
      <c r="D106" s="74">
        <v>44052.630952380801</v>
      </c>
      <c r="E106" s="62" t="s">
        <v>68</v>
      </c>
      <c r="F106" s="75" t="s">
        <v>208</v>
      </c>
      <c r="G106" s="77" t="s">
        <v>231</v>
      </c>
      <c r="H106" s="75" t="s">
        <v>212</v>
      </c>
      <c r="I106" s="78" t="s">
        <v>232</v>
      </c>
      <c r="J106" s="55"/>
      <c r="K106" s="69">
        <v>120</v>
      </c>
      <c r="L106" s="69">
        <v>120</v>
      </c>
      <c r="M106" s="69">
        <v>120</v>
      </c>
      <c r="N106" s="8">
        <f t="shared" si="54"/>
        <v>360</v>
      </c>
      <c r="O106" s="69">
        <v>120</v>
      </c>
      <c r="P106" s="69">
        <v>120</v>
      </c>
      <c r="Q106" s="69">
        <v>120</v>
      </c>
      <c r="R106" s="8">
        <f t="shared" si="53"/>
        <v>360</v>
      </c>
      <c r="S106" s="18">
        <f t="shared" si="52"/>
        <v>720</v>
      </c>
      <c r="T106" s="18">
        <f t="shared" si="45"/>
        <v>12</v>
      </c>
      <c r="U106" s="18">
        <f t="shared" si="46"/>
        <v>12</v>
      </c>
      <c r="V106" s="18">
        <f t="shared" si="47"/>
        <v>12</v>
      </c>
      <c r="W106" s="8">
        <f t="shared" si="55"/>
        <v>36</v>
      </c>
      <c r="X106" s="18">
        <f t="shared" si="48"/>
        <v>12</v>
      </c>
      <c r="Y106" s="18">
        <f t="shared" si="49"/>
        <v>12</v>
      </c>
      <c r="Z106" s="18">
        <f t="shared" si="50"/>
        <v>12</v>
      </c>
      <c r="AA106" s="8">
        <f t="shared" si="56"/>
        <v>36</v>
      </c>
      <c r="AB106" s="8">
        <v>39.270000000000003</v>
      </c>
      <c r="AC106" s="8">
        <v>52.462499999999999</v>
      </c>
      <c r="AD106" s="8">
        <v>72.64</v>
      </c>
      <c r="AE106" s="9">
        <f t="shared" si="57"/>
        <v>71187.3</v>
      </c>
      <c r="AF106" s="21">
        <v>6.5000000000000002E-2</v>
      </c>
      <c r="AG106" s="10">
        <f t="shared" si="51"/>
        <v>4627.1745000000001</v>
      </c>
      <c r="AH106" s="64">
        <f t="shared" si="58"/>
        <v>0</v>
      </c>
      <c r="AI106" s="9">
        <f t="shared" si="59"/>
        <v>66560.125500000009</v>
      </c>
      <c r="AJ106" s="5">
        <v>0.18</v>
      </c>
      <c r="AK106" s="11">
        <f t="shared" si="60"/>
        <v>11980.822590000002</v>
      </c>
      <c r="AL106" s="9">
        <f t="shared" si="61"/>
        <v>78540.948090000005</v>
      </c>
      <c r="AP106" s="12"/>
    </row>
    <row r="107" spans="1:42" x14ac:dyDescent="0.35">
      <c r="A107" s="71">
        <v>46186</v>
      </c>
      <c r="B107" s="72" t="s">
        <v>67</v>
      </c>
      <c r="C107" s="74">
        <v>1098.1142857146499</v>
      </c>
      <c r="D107" s="74">
        <v>43972.7738095237</v>
      </c>
      <c r="E107" s="62" t="s">
        <v>68</v>
      </c>
      <c r="F107" s="73" t="s">
        <v>78</v>
      </c>
      <c r="G107" s="76" t="s">
        <v>191</v>
      </c>
      <c r="H107" s="73" t="s">
        <v>89</v>
      </c>
      <c r="I107" s="62" t="s">
        <v>189</v>
      </c>
      <c r="J107" s="55">
        <v>20</v>
      </c>
      <c r="K107" s="20">
        <v>300</v>
      </c>
      <c r="L107" s="20">
        <v>300</v>
      </c>
      <c r="M107" s="20">
        <v>10</v>
      </c>
      <c r="N107" s="8">
        <f t="shared" si="54"/>
        <v>610</v>
      </c>
      <c r="O107" s="18">
        <v>50</v>
      </c>
      <c r="P107" s="18">
        <v>40</v>
      </c>
      <c r="Q107" s="18">
        <v>20</v>
      </c>
      <c r="R107" s="8">
        <f t="shared" si="53"/>
        <v>110</v>
      </c>
      <c r="S107" s="18">
        <f t="shared" si="52"/>
        <v>740</v>
      </c>
      <c r="T107" s="18">
        <f t="shared" ref="T107" si="62">K107/10</f>
        <v>30</v>
      </c>
      <c r="U107" s="18">
        <f t="shared" ref="U107" si="63">L107/10</f>
        <v>30</v>
      </c>
      <c r="V107" s="18">
        <f t="shared" ref="V107" si="64">M107/10</f>
        <v>1</v>
      </c>
      <c r="W107" s="8">
        <f t="shared" ref="W107" si="65">N107/10</f>
        <v>61</v>
      </c>
      <c r="X107" s="18">
        <f t="shared" ref="X107" si="66">O107/10</f>
        <v>5</v>
      </c>
      <c r="Y107" s="18">
        <f t="shared" ref="Y107" si="67">P107/10</f>
        <v>4</v>
      </c>
      <c r="Z107" s="18">
        <f t="shared" ref="Z107" si="68">Q107/10</f>
        <v>2</v>
      </c>
      <c r="AA107" s="8">
        <f t="shared" ref="AA107" si="69">R107/10</f>
        <v>11</v>
      </c>
      <c r="AB107" s="8">
        <v>39.270000000000003</v>
      </c>
      <c r="AC107" s="8">
        <v>52.462499999999999</v>
      </c>
      <c r="AD107" s="8">
        <v>72.64</v>
      </c>
      <c r="AE107" s="9">
        <f t="shared" ref="AE107" si="70">(J107*AB107)+(N107*AC107)+(AD107*S107)</f>
        <v>86541.125</v>
      </c>
      <c r="AF107" s="21">
        <v>6.5000000000000002E-2</v>
      </c>
      <c r="AG107" s="10">
        <f t="shared" ref="AG107" si="71">AE107*AF107</f>
        <v>5625.1731250000003</v>
      </c>
      <c r="AH107" s="64">
        <f t="shared" ref="AH107" si="72">(AB107*J107)*$AH$1</f>
        <v>27.489000000000004</v>
      </c>
      <c r="AI107" s="9">
        <f t="shared" ref="AI107" si="73">AE107-AG107</f>
        <v>80915.951874999999</v>
      </c>
      <c r="AJ107" s="5">
        <v>0.18</v>
      </c>
      <c r="AK107" s="11">
        <f t="shared" ref="AK107" si="74">AI107*AJ107</f>
        <v>14564.871337499999</v>
      </c>
      <c r="AL107" s="9">
        <f t="shared" ref="AL107" si="75">AI107+AK107</f>
        <v>95480.823212499992</v>
      </c>
      <c r="AP107" s="12"/>
    </row>
    <row r="108" spans="1:42" x14ac:dyDescent="0.35">
      <c r="A108" s="71">
        <v>46186</v>
      </c>
      <c r="B108" s="72" t="s">
        <v>67</v>
      </c>
      <c r="C108" s="74">
        <v>1098.7428571432299</v>
      </c>
      <c r="D108" s="74">
        <v>43946.154761904603</v>
      </c>
      <c r="E108" s="62" t="s">
        <v>68</v>
      </c>
      <c r="F108" s="73" t="s">
        <v>69</v>
      </c>
      <c r="G108" s="76" t="s">
        <v>154</v>
      </c>
      <c r="H108" s="73" t="s">
        <v>89</v>
      </c>
      <c r="I108" s="62" t="s">
        <v>189</v>
      </c>
      <c r="J108" s="55">
        <v>20</v>
      </c>
      <c r="K108" s="18">
        <v>10</v>
      </c>
      <c r="L108" s="18">
        <v>20</v>
      </c>
      <c r="M108" s="18">
        <v>20</v>
      </c>
      <c r="N108" s="8">
        <f t="shared" si="54"/>
        <v>50</v>
      </c>
      <c r="O108" s="18">
        <v>50</v>
      </c>
      <c r="P108" s="18">
        <v>40</v>
      </c>
      <c r="Q108" s="18">
        <v>20</v>
      </c>
      <c r="R108" s="8">
        <f t="shared" si="53"/>
        <v>110</v>
      </c>
      <c r="S108" s="18">
        <f t="shared" si="52"/>
        <v>180</v>
      </c>
      <c r="T108" s="18">
        <f t="shared" si="45"/>
        <v>1</v>
      </c>
      <c r="U108" s="18">
        <f t="shared" si="46"/>
        <v>2</v>
      </c>
      <c r="V108" s="18">
        <f t="shared" si="47"/>
        <v>2</v>
      </c>
      <c r="W108" s="8">
        <f t="shared" si="55"/>
        <v>5</v>
      </c>
      <c r="X108" s="18">
        <f t="shared" si="48"/>
        <v>5</v>
      </c>
      <c r="Y108" s="18">
        <f t="shared" si="49"/>
        <v>4</v>
      </c>
      <c r="Z108" s="18">
        <f t="shared" si="50"/>
        <v>2</v>
      </c>
      <c r="AA108" s="8">
        <f t="shared" si="56"/>
        <v>11</v>
      </c>
      <c r="AB108" s="8">
        <v>39.270000000000003</v>
      </c>
      <c r="AC108" s="8">
        <v>52.462499999999999</v>
      </c>
      <c r="AD108" s="8">
        <v>72.64</v>
      </c>
      <c r="AE108" s="9">
        <f t="shared" si="57"/>
        <v>16483.725000000002</v>
      </c>
      <c r="AF108" s="21">
        <v>6.5000000000000002E-2</v>
      </c>
      <c r="AG108" s="10">
        <f t="shared" si="51"/>
        <v>1071.4421250000003</v>
      </c>
      <c r="AH108" s="64">
        <f t="shared" si="58"/>
        <v>27.489000000000004</v>
      </c>
      <c r="AI108" s="9">
        <f t="shared" si="59"/>
        <v>15412.282875000003</v>
      </c>
      <c r="AJ108" s="5">
        <v>0.18</v>
      </c>
      <c r="AK108" s="11">
        <f t="shared" si="60"/>
        <v>2774.2109175000005</v>
      </c>
      <c r="AL108" s="9">
        <f t="shared" si="61"/>
        <v>18186.493792500005</v>
      </c>
      <c r="AP108" s="12"/>
    </row>
    <row r="109" spans="1:42" x14ac:dyDescent="0.35">
      <c r="A109" s="71">
        <v>46186</v>
      </c>
      <c r="B109" s="72" t="s">
        <v>67</v>
      </c>
      <c r="C109" s="74">
        <v>1099.3714285718099</v>
      </c>
      <c r="D109" s="74">
        <v>43919.535714285601</v>
      </c>
      <c r="E109" s="62" t="s">
        <v>68</v>
      </c>
      <c r="F109" s="73" t="s">
        <v>98</v>
      </c>
      <c r="G109" s="76" t="s">
        <v>192</v>
      </c>
      <c r="H109" s="73" t="s">
        <v>89</v>
      </c>
      <c r="I109" s="62" t="s">
        <v>189</v>
      </c>
      <c r="J109" s="55">
        <v>0</v>
      </c>
      <c r="K109" s="18">
        <v>20</v>
      </c>
      <c r="L109" s="20">
        <v>40</v>
      </c>
      <c r="M109" s="18">
        <v>20</v>
      </c>
      <c r="N109" s="8">
        <f t="shared" si="54"/>
        <v>80</v>
      </c>
      <c r="O109" s="20">
        <v>35</v>
      </c>
      <c r="P109" s="20">
        <v>20</v>
      </c>
      <c r="Q109" s="20">
        <v>40</v>
      </c>
      <c r="R109" s="8">
        <f t="shared" si="53"/>
        <v>95</v>
      </c>
      <c r="S109" s="18">
        <f t="shared" si="52"/>
        <v>175</v>
      </c>
      <c r="T109" s="18">
        <f t="shared" si="45"/>
        <v>2</v>
      </c>
      <c r="U109" s="18">
        <f t="shared" si="46"/>
        <v>4</v>
      </c>
      <c r="V109" s="18">
        <f t="shared" si="47"/>
        <v>2</v>
      </c>
      <c r="W109" s="8">
        <f t="shared" si="55"/>
        <v>8</v>
      </c>
      <c r="X109" s="18">
        <f t="shared" si="48"/>
        <v>3.5</v>
      </c>
      <c r="Y109" s="18">
        <f t="shared" si="49"/>
        <v>2</v>
      </c>
      <c r="Z109" s="18">
        <f t="shared" si="50"/>
        <v>4</v>
      </c>
      <c r="AA109" s="8">
        <f t="shared" si="56"/>
        <v>9.5</v>
      </c>
      <c r="AB109" s="8">
        <v>39.270000000000003</v>
      </c>
      <c r="AC109" s="8">
        <v>52.462499999999999</v>
      </c>
      <c r="AD109" s="8">
        <v>72.64</v>
      </c>
      <c r="AE109" s="9">
        <f t="shared" si="57"/>
        <v>16909</v>
      </c>
      <c r="AF109" s="21">
        <v>6.5000000000000002E-2</v>
      </c>
      <c r="AG109" s="10">
        <f t="shared" si="51"/>
        <v>1099.085</v>
      </c>
      <c r="AH109" s="64">
        <f t="shared" si="58"/>
        <v>0</v>
      </c>
      <c r="AI109" s="9">
        <f t="shared" si="59"/>
        <v>15809.915000000001</v>
      </c>
      <c r="AJ109" s="5">
        <v>0.18</v>
      </c>
      <c r="AK109" s="11">
        <f t="shared" si="60"/>
        <v>2845.7847000000002</v>
      </c>
      <c r="AL109" s="9">
        <f t="shared" si="61"/>
        <v>18655.699700000001</v>
      </c>
      <c r="AP109" s="12"/>
    </row>
    <row r="110" spans="1:42" x14ac:dyDescent="0.35">
      <c r="A110" s="71">
        <v>46186</v>
      </c>
      <c r="B110" s="72" t="s">
        <v>67</v>
      </c>
      <c r="C110" s="74">
        <v>1100.0000000003899</v>
      </c>
      <c r="D110" s="74">
        <v>43892.916666666497</v>
      </c>
      <c r="E110" s="62" t="s">
        <v>68</v>
      </c>
      <c r="F110" s="73" t="s">
        <v>78</v>
      </c>
      <c r="G110" s="76" t="s">
        <v>193</v>
      </c>
      <c r="H110" s="73" t="s">
        <v>89</v>
      </c>
      <c r="I110" s="62" t="s">
        <v>189</v>
      </c>
      <c r="J110" s="55">
        <v>0</v>
      </c>
      <c r="K110" s="20">
        <v>20</v>
      </c>
      <c r="L110" s="18">
        <v>20</v>
      </c>
      <c r="M110" s="20">
        <v>20</v>
      </c>
      <c r="N110" s="8">
        <f t="shared" si="54"/>
        <v>60</v>
      </c>
      <c r="O110" s="20">
        <v>0</v>
      </c>
      <c r="P110" s="20">
        <v>10</v>
      </c>
      <c r="Q110" s="20">
        <v>35</v>
      </c>
      <c r="R110" s="8">
        <f t="shared" si="53"/>
        <v>45</v>
      </c>
      <c r="S110" s="18">
        <f t="shared" si="52"/>
        <v>105</v>
      </c>
      <c r="T110" s="18">
        <f t="shared" si="45"/>
        <v>2</v>
      </c>
      <c r="U110" s="18">
        <f t="shared" si="46"/>
        <v>2</v>
      </c>
      <c r="V110" s="18">
        <f t="shared" si="47"/>
        <v>2</v>
      </c>
      <c r="W110" s="8">
        <f t="shared" si="55"/>
        <v>6</v>
      </c>
      <c r="X110" s="18">
        <f t="shared" si="48"/>
        <v>0</v>
      </c>
      <c r="Y110" s="18">
        <f t="shared" si="49"/>
        <v>1</v>
      </c>
      <c r="Z110" s="18">
        <f t="shared" si="50"/>
        <v>3.5</v>
      </c>
      <c r="AA110" s="8">
        <f t="shared" si="56"/>
        <v>4.5</v>
      </c>
      <c r="AB110" s="8">
        <v>39.270000000000003</v>
      </c>
      <c r="AC110" s="8">
        <v>52.462499999999999</v>
      </c>
      <c r="AD110" s="8">
        <v>72.64</v>
      </c>
      <c r="AE110" s="9">
        <f t="shared" si="57"/>
        <v>10774.95</v>
      </c>
      <c r="AF110" s="21">
        <v>6.5000000000000002E-2</v>
      </c>
      <c r="AG110" s="10">
        <f t="shared" si="51"/>
        <v>700.37175000000002</v>
      </c>
      <c r="AH110" s="64">
        <f t="shared" si="58"/>
        <v>0</v>
      </c>
      <c r="AI110" s="9">
        <f t="shared" si="59"/>
        <v>10074.57825</v>
      </c>
      <c r="AJ110" s="5">
        <v>0.18</v>
      </c>
      <c r="AK110" s="11">
        <f t="shared" si="60"/>
        <v>1813.4240850000001</v>
      </c>
      <c r="AL110" s="9">
        <f t="shared" si="61"/>
        <v>11888.002335000001</v>
      </c>
      <c r="AP110" s="12"/>
    </row>
    <row r="111" spans="1:42" x14ac:dyDescent="0.35">
      <c r="A111" s="71">
        <v>46186</v>
      </c>
      <c r="B111" s="72" t="s">
        <v>67</v>
      </c>
      <c r="C111" s="74">
        <v>1100.62857142897</v>
      </c>
      <c r="D111" s="74">
        <v>43866.297619047502</v>
      </c>
      <c r="E111" s="62" t="s">
        <v>68</v>
      </c>
      <c r="F111" s="73" t="s">
        <v>69</v>
      </c>
      <c r="G111" s="76" t="s">
        <v>195</v>
      </c>
      <c r="H111" s="73" t="s">
        <v>101</v>
      </c>
      <c r="I111" s="62" t="s">
        <v>194</v>
      </c>
      <c r="J111" s="55">
        <v>0</v>
      </c>
      <c r="K111" s="20">
        <v>10</v>
      </c>
      <c r="L111" s="20">
        <v>10</v>
      </c>
      <c r="M111" s="20">
        <v>10</v>
      </c>
      <c r="N111" s="8">
        <f t="shared" si="54"/>
        <v>30</v>
      </c>
      <c r="O111" s="18">
        <v>10</v>
      </c>
      <c r="P111" s="18">
        <v>20</v>
      </c>
      <c r="Q111" s="18">
        <v>10</v>
      </c>
      <c r="R111" s="8">
        <f t="shared" si="53"/>
        <v>40</v>
      </c>
      <c r="S111" s="18">
        <f t="shared" si="52"/>
        <v>70</v>
      </c>
      <c r="T111" s="18">
        <f t="shared" si="45"/>
        <v>1</v>
      </c>
      <c r="U111" s="18">
        <f t="shared" si="46"/>
        <v>1</v>
      </c>
      <c r="V111" s="18">
        <f t="shared" si="47"/>
        <v>1</v>
      </c>
      <c r="W111" s="8">
        <f t="shared" si="55"/>
        <v>3</v>
      </c>
      <c r="X111" s="18">
        <f t="shared" si="48"/>
        <v>1</v>
      </c>
      <c r="Y111" s="18">
        <f t="shared" si="49"/>
        <v>2</v>
      </c>
      <c r="Z111" s="18">
        <f t="shared" si="50"/>
        <v>1</v>
      </c>
      <c r="AA111" s="8">
        <f t="shared" si="56"/>
        <v>4</v>
      </c>
      <c r="AB111" s="8">
        <v>39.270000000000003</v>
      </c>
      <c r="AC111" s="8">
        <v>52.462499999999999</v>
      </c>
      <c r="AD111" s="8">
        <v>72.64</v>
      </c>
      <c r="AE111" s="9">
        <f t="shared" si="57"/>
        <v>6658.6750000000002</v>
      </c>
      <c r="AF111" s="21">
        <v>6.5000000000000002E-2</v>
      </c>
      <c r="AG111" s="10">
        <f t="shared" si="51"/>
        <v>432.81387500000005</v>
      </c>
      <c r="AH111" s="64">
        <f t="shared" si="58"/>
        <v>0</v>
      </c>
      <c r="AI111" s="9">
        <f t="shared" si="59"/>
        <v>6225.8611250000004</v>
      </c>
      <c r="AJ111" s="5">
        <v>0.18</v>
      </c>
      <c r="AK111" s="11">
        <f t="shared" si="60"/>
        <v>1120.6550024999999</v>
      </c>
      <c r="AL111" s="9">
        <f t="shared" si="61"/>
        <v>7346.5161275</v>
      </c>
      <c r="AP111" s="12"/>
    </row>
    <row r="112" spans="1:42" x14ac:dyDescent="0.35">
      <c r="A112" s="71">
        <v>46186</v>
      </c>
      <c r="B112" s="72" t="s">
        <v>67</v>
      </c>
      <c r="C112" s="74">
        <v>1101.25714285755</v>
      </c>
      <c r="D112" s="74">
        <v>43839.678571428398</v>
      </c>
      <c r="E112" s="62" t="s">
        <v>68</v>
      </c>
      <c r="F112" s="73" t="s">
        <v>153</v>
      </c>
      <c r="G112" s="76" t="s">
        <v>196</v>
      </c>
      <c r="H112" s="73" t="s">
        <v>101</v>
      </c>
      <c r="I112" s="62" t="s">
        <v>194</v>
      </c>
      <c r="J112" s="55">
        <v>0</v>
      </c>
      <c r="K112" s="18">
        <v>10</v>
      </c>
      <c r="L112" s="18">
        <v>12</v>
      </c>
      <c r="M112" s="18">
        <v>10</v>
      </c>
      <c r="N112" s="8">
        <f t="shared" si="54"/>
        <v>32</v>
      </c>
      <c r="O112" s="18">
        <v>12</v>
      </c>
      <c r="P112" s="18">
        <v>20</v>
      </c>
      <c r="Q112" s="18">
        <v>10</v>
      </c>
      <c r="R112" s="8">
        <f t="shared" si="53"/>
        <v>42</v>
      </c>
      <c r="S112" s="18">
        <f t="shared" si="52"/>
        <v>74</v>
      </c>
      <c r="T112" s="18">
        <f t="shared" si="45"/>
        <v>1</v>
      </c>
      <c r="U112" s="18">
        <f t="shared" si="46"/>
        <v>1.2</v>
      </c>
      <c r="V112" s="18">
        <f t="shared" si="47"/>
        <v>1</v>
      </c>
      <c r="W112" s="8">
        <f t="shared" si="55"/>
        <v>3.2</v>
      </c>
      <c r="X112" s="18">
        <f t="shared" si="48"/>
        <v>1.2</v>
      </c>
      <c r="Y112" s="18">
        <f t="shared" si="49"/>
        <v>2</v>
      </c>
      <c r="Z112" s="18">
        <f t="shared" si="50"/>
        <v>1</v>
      </c>
      <c r="AA112" s="8">
        <f t="shared" si="56"/>
        <v>4.2</v>
      </c>
      <c r="AB112" s="8">
        <v>39.270000000000003</v>
      </c>
      <c r="AC112" s="8">
        <v>52.462499999999999</v>
      </c>
      <c r="AD112" s="8">
        <v>72.64</v>
      </c>
      <c r="AE112" s="9">
        <f t="shared" si="57"/>
        <v>7054.16</v>
      </c>
      <c r="AF112" s="21">
        <v>6.5000000000000002E-2</v>
      </c>
      <c r="AG112" s="10">
        <f t="shared" si="51"/>
        <v>458.5204</v>
      </c>
      <c r="AH112" s="64">
        <f t="shared" si="58"/>
        <v>0</v>
      </c>
      <c r="AI112" s="9">
        <f t="shared" si="59"/>
        <v>6595.6395999999995</v>
      </c>
      <c r="AJ112" s="5">
        <v>0.18</v>
      </c>
      <c r="AK112" s="11">
        <f t="shared" si="60"/>
        <v>1187.2151279999998</v>
      </c>
      <c r="AL112" s="9">
        <f t="shared" si="61"/>
        <v>7782.8547279999993</v>
      </c>
      <c r="AP112" s="12"/>
    </row>
    <row r="113" spans="1:42" x14ac:dyDescent="0.35">
      <c r="A113" s="71">
        <v>46186</v>
      </c>
      <c r="B113" s="72" t="s">
        <v>67</v>
      </c>
      <c r="C113" s="74">
        <v>1101.88571428613</v>
      </c>
      <c r="D113" s="74">
        <v>43813.059523809403</v>
      </c>
      <c r="E113" s="62" t="s">
        <v>68</v>
      </c>
      <c r="F113" s="73" t="s">
        <v>78</v>
      </c>
      <c r="G113" s="76" t="s">
        <v>197</v>
      </c>
      <c r="H113" s="73" t="s">
        <v>101</v>
      </c>
      <c r="I113" s="62" t="s">
        <v>194</v>
      </c>
      <c r="J113" s="55">
        <v>0</v>
      </c>
      <c r="K113" s="18">
        <v>7</v>
      </c>
      <c r="L113" s="18">
        <v>0</v>
      </c>
      <c r="M113" s="18">
        <v>6</v>
      </c>
      <c r="N113" s="8">
        <f t="shared" si="54"/>
        <v>13</v>
      </c>
      <c r="O113" s="18">
        <v>0</v>
      </c>
      <c r="P113" s="18">
        <v>0</v>
      </c>
      <c r="Q113" s="18">
        <v>10</v>
      </c>
      <c r="R113" s="8">
        <f t="shared" si="53"/>
        <v>10</v>
      </c>
      <c r="S113" s="18">
        <f t="shared" si="52"/>
        <v>23</v>
      </c>
      <c r="T113" s="18">
        <f t="shared" si="45"/>
        <v>0.7</v>
      </c>
      <c r="U113" s="18">
        <f t="shared" si="46"/>
        <v>0</v>
      </c>
      <c r="V113" s="18">
        <f t="shared" si="47"/>
        <v>0.6</v>
      </c>
      <c r="W113" s="8">
        <f t="shared" si="55"/>
        <v>1.3</v>
      </c>
      <c r="X113" s="18">
        <f t="shared" si="48"/>
        <v>0</v>
      </c>
      <c r="Y113" s="18">
        <f t="shared" si="49"/>
        <v>0</v>
      </c>
      <c r="Z113" s="18">
        <f t="shared" si="50"/>
        <v>1</v>
      </c>
      <c r="AA113" s="8">
        <f t="shared" si="56"/>
        <v>1</v>
      </c>
      <c r="AB113" s="8">
        <v>39.270000000000003</v>
      </c>
      <c r="AC113" s="8">
        <v>52.462499999999999</v>
      </c>
      <c r="AD113" s="8">
        <v>72.64</v>
      </c>
      <c r="AE113" s="9">
        <f t="shared" si="57"/>
        <v>2352.7325000000001</v>
      </c>
      <c r="AF113" s="21">
        <v>6.5000000000000002E-2</v>
      </c>
      <c r="AG113" s="10">
        <f t="shared" si="51"/>
        <v>152.92761250000001</v>
      </c>
      <c r="AH113" s="64">
        <f t="shared" si="58"/>
        <v>0</v>
      </c>
      <c r="AI113" s="9">
        <f t="shared" si="59"/>
        <v>2199.8048874999999</v>
      </c>
      <c r="AJ113" s="5">
        <v>0.18</v>
      </c>
      <c r="AK113" s="11">
        <f t="shared" si="60"/>
        <v>395.96487974999997</v>
      </c>
      <c r="AL113" s="9">
        <f t="shared" si="61"/>
        <v>2595.7697672499999</v>
      </c>
      <c r="AP113" s="12"/>
    </row>
    <row r="114" spans="1:42" x14ac:dyDescent="0.35">
      <c r="A114" s="71">
        <v>46186</v>
      </c>
      <c r="B114" s="72" t="s">
        <v>67</v>
      </c>
      <c r="C114" s="74">
        <v>1102.51428571471</v>
      </c>
      <c r="D114" s="74">
        <v>43786.440476190299</v>
      </c>
      <c r="E114" s="62" t="s">
        <v>68</v>
      </c>
      <c r="F114" s="73" t="s">
        <v>69</v>
      </c>
      <c r="G114" s="76" t="s">
        <v>198</v>
      </c>
      <c r="H114" s="73" t="s">
        <v>101</v>
      </c>
      <c r="I114" s="62" t="s">
        <v>194</v>
      </c>
      <c r="J114" s="55">
        <v>0</v>
      </c>
      <c r="K114" s="18">
        <v>0</v>
      </c>
      <c r="L114" s="18">
        <v>0</v>
      </c>
      <c r="M114" s="18">
        <v>0</v>
      </c>
      <c r="N114" s="8">
        <f t="shared" si="54"/>
        <v>0</v>
      </c>
      <c r="O114" s="18">
        <v>0</v>
      </c>
      <c r="P114" s="18">
        <v>12</v>
      </c>
      <c r="Q114" s="18">
        <v>12</v>
      </c>
      <c r="R114" s="8">
        <f t="shared" si="53"/>
        <v>24</v>
      </c>
      <c r="S114" s="18">
        <f t="shared" si="52"/>
        <v>24</v>
      </c>
      <c r="T114" s="18">
        <f t="shared" si="45"/>
        <v>0</v>
      </c>
      <c r="U114" s="18">
        <f t="shared" si="46"/>
        <v>0</v>
      </c>
      <c r="V114" s="18">
        <f t="shared" si="47"/>
        <v>0</v>
      </c>
      <c r="W114" s="8">
        <f t="shared" si="55"/>
        <v>0</v>
      </c>
      <c r="X114" s="18">
        <f t="shared" si="48"/>
        <v>0</v>
      </c>
      <c r="Y114" s="18">
        <f t="shared" si="49"/>
        <v>1.2</v>
      </c>
      <c r="Z114" s="18">
        <f t="shared" si="50"/>
        <v>1.2</v>
      </c>
      <c r="AA114" s="8">
        <f t="shared" si="56"/>
        <v>2.4</v>
      </c>
      <c r="AB114" s="8">
        <v>39.270000000000003</v>
      </c>
      <c r="AC114" s="8">
        <v>52.462499999999999</v>
      </c>
      <c r="AD114" s="8">
        <v>72.64</v>
      </c>
      <c r="AE114" s="9">
        <f t="shared" si="57"/>
        <v>1743.3600000000001</v>
      </c>
      <c r="AF114" s="21">
        <v>6.5000000000000002E-2</v>
      </c>
      <c r="AG114" s="10">
        <f t="shared" si="51"/>
        <v>113.31840000000001</v>
      </c>
      <c r="AH114" s="64">
        <f t="shared" si="58"/>
        <v>0</v>
      </c>
      <c r="AI114" s="9">
        <f t="shared" si="59"/>
        <v>1630.0416</v>
      </c>
      <c r="AJ114" s="5">
        <v>0.18</v>
      </c>
      <c r="AK114" s="11">
        <f t="shared" si="60"/>
        <v>293.407488</v>
      </c>
      <c r="AL114" s="9">
        <f t="shared" si="61"/>
        <v>1923.4490880000001</v>
      </c>
      <c r="AP114" s="12"/>
    </row>
    <row r="115" spans="1:42" x14ac:dyDescent="0.35">
      <c r="A115" s="71">
        <v>46186</v>
      </c>
      <c r="B115" s="72" t="s">
        <v>67</v>
      </c>
      <c r="C115" s="74">
        <v>1103.14285714329</v>
      </c>
      <c r="D115" s="74">
        <v>43759.821428571297</v>
      </c>
      <c r="E115" s="62" t="s">
        <v>68</v>
      </c>
      <c r="F115" s="73" t="s">
        <v>108</v>
      </c>
      <c r="G115" s="76" t="s">
        <v>115</v>
      </c>
      <c r="H115" s="73" t="s">
        <v>212</v>
      </c>
      <c r="I115" s="62" t="s">
        <v>109</v>
      </c>
      <c r="J115" s="55">
        <v>0</v>
      </c>
      <c r="K115" s="20">
        <v>80</v>
      </c>
      <c r="L115" s="20">
        <v>80</v>
      </c>
      <c r="M115" s="20">
        <v>80</v>
      </c>
      <c r="N115" s="8">
        <f t="shared" si="54"/>
        <v>240</v>
      </c>
      <c r="O115" s="18">
        <v>80</v>
      </c>
      <c r="P115" s="18">
        <v>80</v>
      </c>
      <c r="Q115" s="20">
        <v>80</v>
      </c>
      <c r="R115" s="8">
        <f t="shared" si="53"/>
        <v>240</v>
      </c>
      <c r="S115" s="18">
        <f t="shared" si="52"/>
        <v>480</v>
      </c>
      <c r="T115" s="18">
        <f t="shared" si="45"/>
        <v>8</v>
      </c>
      <c r="U115" s="18">
        <f t="shared" si="46"/>
        <v>8</v>
      </c>
      <c r="V115" s="18">
        <f t="shared" si="47"/>
        <v>8</v>
      </c>
      <c r="W115" s="8">
        <f t="shared" si="55"/>
        <v>24</v>
      </c>
      <c r="X115" s="18">
        <f t="shared" si="48"/>
        <v>8</v>
      </c>
      <c r="Y115" s="18">
        <f t="shared" si="49"/>
        <v>8</v>
      </c>
      <c r="Z115" s="18">
        <f t="shared" si="50"/>
        <v>8</v>
      </c>
      <c r="AA115" s="8">
        <f t="shared" si="56"/>
        <v>24</v>
      </c>
      <c r="AB115" s="8">
        <v>39.270000000000003</v>
      </c>
      <c r="AC115" s="8">
        <v>52.462499999999999</v>
      </c>
      <c r="AD115" s="8">
        <v>72.64</v>
      </c>
      <c r="AE115" s="9">
        <f t="shared" si="57"/>
        <v>47458.2</v>
      </c>
      <c r="AF115" s="21">
        <v>6.5000000000000002E-2</v>
      </c>
      <c r="AG115" s="10">
        <f t="shared" si="51"/>
        <v>3084.7829999999999</v>
      </c>
      <c r="AH115" s="64">
        <f t="shared" si="58"/>
        <v>0</v>
      </c>
      <c r="AI115" s="9">
        <f t="shared" si="59"/>
        <v>44373.416999999994</v>
      </c>
      <c r="AJ115" s="5">
        <v>0.18</v>
      </c>
      <c r="AK115" s="11">
        <f t="shared" si="60"/>
        <v>7987.2150599999986</v>
      </c>
      <c r="AL115" s="9">
        <f t="shared" si="61"/>
        <v>52360.632059999989</v>
      </c>
      <c r="AP115" s="12"/>
    </row>
    <row r="116" spans="1:42" x14ac:dyDescent="0.35">
      <c r="A116" s="71">
        <v>46186</v>
      </c>
      <c r="B116" s="72" t="s">
        <v>67</v>
      </c>
      <c r="C116" s="74">
        <v>1103.77142857187</v>
      </c>
      <c r="D116" s="74">
        <v>43733.2023809522</v>
      </c>
      <c r="E116" s="62" t="s">
        <v>68</v>
      </c>
      <c r="F116" s="73" t="s">
        <v>108</v>
      </c>
      <c r="G116" s="76" t="s">
        <v>115</v>
      </c>
      <c r="H116" s="73" t="s">
        <v>212</v>
      </c>
      <c r="I116" s="62" t="s">
        <v>110</v>
      </c>
      <c r="J116" s="55">
        <v>0</v>
      </c>
      <c r="K116" s="18">
        <v>20</v>
      </c>
      <c r="L116" s="18">
        <v>20</v>
      </c>
      <c r="M116" s="18">
        <v>20</v>
      </c>
      <c r="N116" s="8">
        <f t="shared" si="54"/>
        <v>60</v>
      </c>
      <c r="O116" s="18">
        <v>20</v>
      </c>
      <c r="P116" s="18">
        <v>20</v>
      </c>
      <c r="Q116" s="18">
        <v>20</v>
      </c>
      <c r="R116" s="8">
        <f t="shared" si="53"/>
        <v>60</v>
      </c>
      <c r="S116" s="18">
        <f t="shared" si="52"/>
        <v>120</v>
      </c>
      <c r="T116" s="18">
        <f t="shared" ref="T116:T172" si="76">K116/10</f>
        <v>2</v>
      </c>
      <c r="U116" s="18">
        <f t="shared" ref="U116:U172" si="77">L116/10</f>
        <v>2</v>
      </c>
      <c r="V116" s="18">
        <f t="shared" ref="V116:V172" si="78">M116/10</f>
        <v>2</v>
      </c>
      <c r="W116" s="8">
        <f t="shared" si="55"/>
        <v>6</v>
      </c>
      <c r="X116" s="18">
        <f t="shared" ref="X116:X172" si="79">O116/10</f>
        <v>2</v>
      </c>
      <c r="Y116" s="18">
        <f t="shared" ref="Y116:Y172" si="80">P116/10</f>
        <v>2</v>
      </c>
      <c r="Z116" s="18">
        <f t="shared" ref="Z116:Z172" si="81">Q116/10</f>
        <v>2</v>
      </c>
      <c r="AA116" s="8">
        <f t="shared" si="56"/>
        <v>6</v>
      </c>
      <c r="AB116" s="8">
        <v>39.270000000000003</v>
      </c>
      <c r="AC116" s="8">
        <v>52.462499999999999</v>
      </c>
      <c r="AD116" s="8">
        <v>72.64</v>
      </c>
      <c r="AE116" s="9">
        <f t="shared" si="57"/>
        <v>11864.55</v>
      </c>
      <c r="AF116" s="21">
        <v>6.5000000000000002E-2</v>
      </c>
      <c r="AG116" s="10">
        <f t="shared" ref="AG116:AG172" si="82">AE116*AF116</f>
        <v>771.19574999999998</v>
      </c>
      <c r="AH116" s="64">
        <f t="shared" si="58"/>
        <v>0</v>
      </c>
      <c r="AI116" s="9">
        <f t="shared" si="59"/>
        <v>11093.354249999999</v>
      </c>
      <c r="AJ116" s="5">
        <v>0.18</v>
      </c>
      <c r="AK116" s="11">
        <f t="shared" si="60"/>
        <v>1996.8037649999997</v>
      </c>
      <c r="AL116" s="9">
        <f t="shared" si="61"/>
        <v>13090.158014999997</v>
      </c>
      <c r="AP116" s="12"/>
    </row>
    <row r="117" spans="1:42" x14ac:dyDescent="0.35">
      <c r="A117" s="71">
        <v>46186</v>
      </c>
      <c r="B117" s="72" t="s">
        <v>67</v>
      </c>
      <c r="C117" s="74">
        <v>1104.4000000004501</v>
      </c>
      <c r="D117" s="74">
        <v>43706.583333333198</v>
      </c>
      <c r="E117" s="62" t="s">
        <v>68</v>
      </c>
      <c r="F117" s="73" t="s">
        <v>108</v>
      </c>
      <c r="G117" s="76" t="s">
        <v>115</v>
      </c>
      <c r="H117" s="73" t="s">
        <v>212</v>
      </c>
      <c r="I117" s="62" t="s">
        <v>111</v>
      </c>
      <c r="J117" s="55">
        <v>0</v>
      </c>
      <c r="K117" s="20">
        <v>40</v>
      </c>
      <c r="L117" s="20">
        <v>40</v>
      </c>
      <c r="M117" s="20">
        <v>40</v>
      </c>
      <c r="N117" s="8">
        <f t="shared" si="54"/>
        <v>120</v>
      </c>
      <c r="O117" s="18">
        <v>40</v>
      </c>
      <c r="P117" s="18">
        <v>40</v>
      </c>
      <c r="Q117" s="20">
        <v>40</v>
      </c>
      <c r="R117" s="8">
        <f t="shared" si="53"/>
        <v>120</v>
      </c>
      <c r="S117" s="18">
        <f t="shared" si="52"/>
        <v>240</v>
      </c>
      <c r="T117" s="18">
        <f t="shared" si="76"/>
        <v>4</v>
      </c>
      <c r="U117" s="18">
        <f t="shared" si="77"/>
        <v>4</v>
      </c>
      <c r="V117" s="18">
        <f t="shared" si="78"/>
        <v>4</v>
      </c>
      <c r="W117" s="8">
        <f t="shared" si="55"/>
        <v>12</v>
      </c>
      <c r="X117" s="18">
        <f t="shared" si="79"/>
        <v>4</v>
      </c>
      <c r="Y117" s="18">
        <f t="shared" si="80"/>
        <v>4</v>
      </c>
      <c r="Z117" s="18">
        <f t="shared" si="81"/>
        <v>4</v>
      </c>
      <c r="AA117" s="8">
        <f t="shared" si="56"/>
        <v>12</v>
      </c>
      <c r="AB117" s="8">
        <v>39.270000000000003</v>
      </c>
      <c r="AC117" s="8">
        <v>52.462499999999999</v>
      </c>
      <c r="AD117" s="8">
        <v>72.64</v>
      </c>
      <c r="AE117" s="9">
        <f t="shared" si="57"/>
        <v>23729.1</v>
      </c>
      <c r="AF117" s="21">
        <v>6.5000000000000002E-2</v>
      </c>
      <c r="AG117" s="10">
        <f t="shared" si="82"/>
        <v>1542.3915</v>
      </c>
      <c r="AH117" s="64">
        <f t="shared" si="58"/>
        <v>0</v>
      </c>
      <c r="AI117" s="9">
        <f t="shared" si="59"/>
        <v>22186.708499999997</v>
      </c>
      <c r="AJ117" s="5">
        <v>0.18</v>
      </c>
      <c r="AK117" s="11">
        <f t="shared" si="60"/>
        <v>3993.6075299999993</v>
      </c>
      <c r="AL117" s="9">
        <f t="shared" si="61"/>
        <v>26180.316029999994</v>
      </c>
      <c r="AP117" s="12"/>
    </row>
    <row r="118" spans="1:42" x14ac:dyDescent="0.35">
      <c r="A118" s="71">
        <v>46186</v>
      </c>
      <c r="B118" s="72" t="s">
        <v>67</v>
      </c>
      <c r="C118" s="74">
        <v>1105.0285714290301</v>
      </c>
      <c r="D118" s="74">
        <v>43679.964285714101</v>
      </c>
      <c r="E118" s="62" t="s">
        <v>68</v>
      </c>
      <c r="F118" s="73" t="s">
        <v>108</v>
      </c>
      <c r="G118" s="76" t="s">
        <v>115</v>
      </c>
      <c r="H118" s="73" t="s">
        <v>212</v>
      </c>
      <c r="I118" s="62" t="s">
        <v>112</v>
      </c>
      <c r="J118" s="55">
        <v>0</v>
      </c>
      <c r="K118" s="20">
        <v>40</v>
      </c>
      <c r="L118" s="20">
        <v>40</v>
      </c>
      <c r="M118" s="20">
        <v>40</v>
      </c>
      <c r="N118" s="8">
        <f t="shared" si="54"/>
        <v>120</v>
      </c>
      <c r="O118" s="18">
        <v>40</v>
      </c>
      <c r="P118" s="18">
        <v>40</v>
      </c>
      <c r="Q118" s="18">
        <v>40</v>
      </c>
      <c r="R118" s="8">
        <f t="shared" si="53"/>
        <v>120</v>
      </c>
      <c r="S118" s="18">
        <f t="shared" si="52"/>
        <v>240</v>
      </c>
      <c r="T118" s="18">
        <f t="shared" si="76"/>
        <v>4</v>
      </c>
      <c r="U118" s="18">
        <f t="shared" si="77"/>
        <v>4</v>
      </c>
      <c r="V118" s="18">
        <f t="shared" si="78"/>
        <v>4</v>
      </c>
      <c r="W118" s="8">
        <f t="shared" si="55"/>
        <v>12</v>
      </c>
      <c r="X118" s="18">
        <f t="shared" si="79"/>
        <v>4</v>
      </c>
      <c r="Y118" s="18">
        <f t="shared" si="80"/>
        <v>4</v>
      </c>
      <c r="Z118" s="18">
        <f t="shared" si="81"/>
        <v>4</v>
      </c>
      <c r="AA118" s="8">
        <f t="shared" si="56"/>
        <v>12</v>
      </c>
      <c r="AB118" s="8">
        <v>39.270000000000003</v>
      </c>
      <c r="AC118" s="8">
        <v>52.462499999999999</v>
      </c>
      <c r="AD118" s="8">
        <v>72.64</v>
      </c>
      <c r="AE118" s="9">
        <f t="shared" si="57"/>
        <v>23729.1</v>
      </c>
      <c r="AF118" s="21">
        <v>6.5000000000000002E-2</v>
      </c>
      <c r="AG118" s="10">
        <f t="shared" si="82"/>
        <v>1542.3915</v>
      </c>
      <c r="AH118" s="64">
        <f t="shared" si="58"/>
        <v>0</v>
      </c>
      <c r="AI118" s="9">
        <f t="shared" si="59"/>
        <v>22186.708499999997</v>
      </c>
      <c r="AJ118" s="5">
        <v>0.18</v>
      </c>
      <c r="AK118" s="11">
        <f t="shared" si="60"/>
        <v>3993.6075299999993</v>
      </c>
      <c r="AL118" s="9">
        <f t="shared" si="61"/>
        <v>26180.316029999994</v>
      </c>
      <c r="AP118" s="12"/>
    </row>
    <row r="119" spans="1:42" x14ac:dyDescent="0.35">
      <c r="A119" s="71">
        <v>46186</v>
      </c>
      <c r="B119" s="72" t="s">
        <v>67</v>
      </c>
      <c r="C119" s="74">
        <v>1105.6571428576101</v>
      </c>
      <c r="D119" s="74">
        <v>43653.345238095302</v>
      </c>
      <c r="E119" s="62" t="s">
        <v>68</v>
      </c>
      <c r="F119" s="73" t="s">
        <v>108</v>
      </c>
      <c r="G119" s="76" t="s">
        <v>115</v>
      </c>
      <c r="H119" s="73" t="s">
        <v>212</v>
      </c>
      <c r="I119" s="62" t="s">
        <v>113</v>
      </c>
      <c r="J119" s="55">
        <v>0</v>
      </c>
      <c r="K119" s="18">
        <v>80</v>
      </c>
      <c r="L119" s="18">
        <v>80</v>
      </c>
      <c r="M119" s="20">
        <v>80</v>
      </c>
      <c r="N119" s="8">
        <f t="shared" si="54"/>
        <v>240</v>
      </c>
      <c r="O119" s="20">
        <v>80</v>
      </c>
      <c r="P119" s="20">
        <v>80</v>
      </c>
      <c r="Q119" s="20">
        <v>80</v>
      </c>
      <c r="R119" s="8">
        <f t="shared" si="53"/>
        <v>240</v>
      </c>
      <c r="S119" s="18">
        <f t="shared" si="52"/>
        <v>480</v>
      </c>
      <c r="T119" s="18">
        <f t="shared" si="76"/>
        <v>8</v>
      </c>
      <c r="U119" s="18">
        <f t="shared" si="77"/>
        <v>8</v>
      </c>
      <c r="V119" s="18">
        <f t="shared" si="78"/>
        <v>8</v>
      </c>
      <c r="W119" s="8">
        <f t="shared" si="55"/>
        <v>24</v>
      </c>
      <c r="X119" s="18">
        <f t="shared" si="79"/>
        <v>8</v>
      </c>
      <c r="Y119" s="18">
        <f t="shared" si="80"/>
        <v>8</v>
      </c>
      <c r="Z119" s="18">
        <f t="shared" si="81"/>
        <v>8</v>
      </c>
      <c r="AA119" s="8">
        <f t="shared" si="56"/>
        <v>24</v>
      </c>
      <c r="AB119" s="8">
        <v>39.270000000000003</v>
      </c>
      <c r="AC119" s="8">
        <v>52.462499999999999</v>
      </c>
      <c r="AD119" s="8">
        <v>72.64</v>
      </c>
      <c r="AE119" s="9">
        <f t="shared" si="57"/>
        <v>47458.2</v>
      </c>
      <c r="AF119" s="21">
        <v>6.5000000000000002E-2</v>
      </c>
      <c r="AG119" s="10">
        <f t="shared" si="82"/>
        <v>3084.7829999999999</v>
      </c>
      <c r="AH119" s="64">
        <f t="shared" si="58"/>
        <v>0</v>
      </c>
      <c r="AI119" s="9">
        <f t="shared" si="59"/>
        <v>44373.416999999994</v>
      </c>
      <c r="AJ119" s="5">
        <v>0.18</v>
      </c>
      <c r="AK119" s="11">
        <f t="shared" si="60"/>
        <v>7987.2150599999986</v>
      </c>
      <c r="AL119" s="9">
        <f t="shared" si="61"/>
        <v>52360.632059999989</v>
      </c>
      <c r="AP119" s="12"/>
    </row>
    <row r="120" spans="1:42" x14ac:dyDescent="0.35">
      <c r="A120" s="71">
        <v>46186</v>
      </c>
      <c r="B120" s="72" t="s">
        <v>67</v>
      </c>
      <c r="C120" s="74">
        <v>1106.2857142861899</v>
      </c>
      <c r="D120" s="74">
        <v>43626.7261904763</v>
      </c>
      <c r="E120" s="62" t="s">
        <v>68</v>
      </c>
      <c r="F120" s="73" t="s">
        <v>108</v>
      </c>
      <c r="G120" s="76" t="s">
        <v>115</v>
      </c>
      <c r="H120" s="73" t="s">
        <v>212</v>
      </c>
      <c r="I120" s="62" t="s">
        <v>114</v>
      </c>
      <c r="J120" s="55">
        <v>0</v>
      </c>
      <c r="K120" s="18">
        <v>40</v>
      </c>
      <c r="L120" s="18">
        <v>40</v>
      </c>
      <c r="M120" s="18">
        <v>40</v>
      </c>
      <c r="N120" s="8">
        <f t="shared" si="54"/>
        <v>120</v>
      </c>
      <c r="O120" s="20">
        <v>40</v>
      </c>
      <c r="P120" s="20">
        <v>40</v>
      </c>
      <c r="Q120" s="20">
        <v>40</v>
      </c>
      <c r="R120" s="8">
        <f t="shared" si="53"/>
        <v>120</v>
      </c>
      <c r="S120" s="18">
        <f t="shared" si="52"/>
        <v>240</v>
      </c>
      <c r="T120" s="18">
        <f t="shared" si="76"/>
        <v>4</v>
      </c>
      <c r="U120" s="18">
        <f t="shared" si="77"/>
        <v>4</v>
      </c>
      <c r="V120" s="18">
        <f t="shared" si="78"/>
        <v>4</v>
      </c>
      <c r="W120" s="8">
        <f t="shared" si="55"/>
        <v>12</v>
      </c>
      <c r="X120" s="18">
        <f t="shared" si="79"/>
        <v>4</v>
      </c>
      <c r="Y120" s="18">
        <f t="shared" si="80"/>
        <v>4</v>
      </c>
      <c r="Z120" s="18">
        <f t="shared" si="81"/>
        <v>4</v>
      </c>
      <c r="AA120" s="8">
        <f t="shared" si="56"/>
        <v>12</v>
      </c>
      <c r="AB120" s="8">
        <v>39.270000000000003</v>
      </c>
      <c r="AC120" s="8">
        <v>52.462499999999999</v>
      </c>
      <c r="AD120" s="8">
        <v>72.64</v>
      </c>
      <c r="AE120" s="9">
        <f t="shared" si="57"/>
        <v>23729.1</v>
      </c>
      <c r="AF120" s="21">
        <v>6.5000000000000002E-2</v>
      </c>
      <c r="AG120" s="10">
        <f t="shared" si="82"/>
        <v>1542.3915</v>
      </c>
      <c r="AH120" s="64">
        <f t="shared" si="58"/>
        <v>0</v>
      </c>
      <c r="AI120" s="9">
        <f t="shared" si="59"/>
        <v>22186.708499999997</v>
      </c>
      <c r="AJ120" s="5">
        <v>0.18</v>
      </c>
      <c r="AK120" s="11">
        <f t="shared" si="60"/>
        <v>3993.6075299999993</v>
      </c>
      <c r="AL120" s="9">
        <f t="shared" si="61"/>
        <v>26180.316029999994</v>
      </c>
      <c r="AP120" s="12"/>
    </row>
    <row r="121" spans="1:42" x14ac:dyDescent="0.35">
      <c r="A121" s="71">
        <v>46188</v>
      </c>
      <c r="B121" s="72" t="s">
        <v>67</v>
      </c>
      <c r="C121" s="74">
        <v>1106.9142857147699</v>
      </c>
      <c r="D121" s="74">
        <v>43600.107142857298</v>
      </c>
      <c r="E121" s="62" t="s">
        <v>68</v>
      </c>
      <c r="F121" s="73" t="s">
        <v>78</v>
      </c>
      <c r="G121" s="76" t="s">
        <v>95</v>
      </c>
      <c r="H121" s="73" t="s">
        <v>90</v>
      </c>
      <c r="I121" s="62" t="s">
        <v>199</v>
      </c>
      <c r="J121" s="55">
        <v>10</v>
      </c>
      <c r="K121" s="20">
        <v>6</v>
      </c>
      <c r="L121" s="20">
        <v>0</v>
      </c>
      <c r="M121" s="20">
        <v>0</v>
      </c>
      <c r="N121" s="8">
        <f t="shared" si="54"/>
        <v>6</v>
      </c>
      <c r="O121" s="18">
        <v>10</v>
      </c>
      <c r="P121" s="18">
        <v>10</v>
      </c>
      <c r="Q121" s="18">
        <v>20</v>
      </c>
      <c r="R121" s="8">
        <f t="shared" si="53"/>
        <v>40</v>
      </c>
      <c r="S121" s="18">
        <f t="shared" si="52"/>
        <v>56</v>
      </c>
      <c r="T121" s="18">
        <f t="shared" si="76"/>
        <v>0.6</v>
      </c>
      <c r="U121" s="18">
        <f t="shared" si="77"/>
        <v>0</v>
      </c>
      <c r="V121" s="18">
        <f t="shared" si="78"/>
        <v>0</v>
      </c>
      <c r="W121" s="8">
        <f t="shared" si="55"/>
        <v>0.6</v>
      </c>
      <c r="X121" s="18">
        <f t="shared" si="79"/>
        <v>1</v>
      </c>
      <c r="Y121" s="18">
        <f t="shared" si="80"/>
        <v>1</v>
      </c>
      <c r="Z121" s="18">
        <f t="shared" si="81"/>
        <v>2</v>
      </c>
      <c r="AA121" s="8">
        <f t="shared" si="56"/>
        <v>4</v>
      </c>
      <c r="AB121" s="8">
        <v>39.270000000000003</v>
      </c>
      <c r="AC121" s="8">
        <v>52.462499999999999</v>
      </c>
      <c r="AD121" s="8">
        <v>72.64</v>
      </c>
      <c r="AE121" s="9">
        <f t="shared" si="57"/>
        <v>4775.3150000000005</v>
      </c>
      <c r="AF121" s="21">
        <v>6.5000000000000002E-2</v>
      </c>
      <c r="AG121" s="10">
        <f t="shared" si="82"/>
        <v>310.39547500000003</v>
      </c>
      <c r="AH121" s="64">
        <f t="shared" si="58"/>
        <v>13.744500000000002</v>
      </c>
      <c r="AI121" s="9">
        <f t="shared" si="59"/>
        <v>4464.9195250000002</v>
      </c>
      <c r="AJ121" s="5">
        <v>0.18</v>
      </c>
      <c r="AK121" s="11">
        <f t="shared" si="60"/>
        <v>803.68551450000007</v>
      </c>
      <c r="AL121" s="9">
        <f t="shared" si="61"/>
        <v>5268.6050395000002</v>
      </c>
      <c r="AP121" s="12"/>
    </row>
    <row r="122" spans="1:42" x14ac:dyDescent="0.35">
      <c r="A122" s="71">
        <v>46188</v>
      </c>
      <c r="B122" s="72" t="s">
        <v>67</v>
      </c>
      <c r="C122" s="74">
        <v>1107.5428571433499</v>
      </c>
      <c r="D122" s="74">
        <v>43585.933364254801</v>
      </c>
      <c r="E122" s="62" t="s">
        <v>68</v>
      </c>
      <c r="F122" s="73" t="s">
        <v>69</v>
      </c>
      <c r="G122" s="76" t="s">
        <v>184</v>
      </c>
      <c r="H122" s="73" t="s">
        <v>90</v>
      </c>
      <c r="I122" s="62" t="s">
        <v>199</v>
      </c>
      <c r="J122" s="55">
        <v>20</v>
      </c>
      <c r="K122" s="20">
        <v>6</v>
      </c>
      <c r="L122" s="20">
        <v>0</v>
      </c>
      <c r="M122" s="20">
        <v>0</v>
      </c>
      <c r="N122" s="8">
        <f t="shared" si="54"/>
        <v>6</v>
      </c>
      <c r="O122" s="18">
        <v>10</v>
      </c>
      <c r="P122" s="18">
        <v>10</v>
      </c>
      <c r="Q122" s="18">
        <v>7</v>
      </c>
      <c r="R122" s="8">
        <f t="shared" si="53"/>
        <v>27</v>
      </c>
      <c r="S122" s="18">
        <f t="shared" si="52"/>
        <v>53</v>
      </c>
      <c r="T122" s="18">
        <f t="shared" si="76"/>
        <v>0.6</v>
      </c>
      <c r="U122" s="18">
        <f t="shared" si="77"/>
        <v>0</v>
      </c>
      <c r="V122" s="18">
        <f t="shared" si="78"/>
        <v>0</v>
      </c>
      <c r="W122" s="8">
        <f t="shared" si="55"/>
        <v>0.6</v>
      </c>
      <c r="X122" s="18">
        <f t="shared" si="79"/>
        <v>1</v>
      </c>
      <c r="Y122" s="18">
        <f t="shared" si="80"/>
        <v>1</v>
      </c>
      <c r="Z122" s="18">
        <f t="shared" si="81"/>
        <v>0.7</v>
      </c>
      <c r="AA122" s="8">
        <f t="shared" si="56"/>
        <v>2.7</v>
      </c>
      <c r="AB122" s="8">
        <v>39.270000000000003</v>
      </c>
      <c r="AC122" s="8">
        <v>52.462499999999999</v>
      </c>
      <c r="AD122" s="8">
        <v>72.64</v>
      </c>
      <c r="AE122" s="9">
        <f t="shared" si="57"/>
        <v>4950.0950000000003</v>
      </c>
      <c r="AF122" s="21">
        <v>6.5000000000000002E-2</v>
      </c>
      <c r="AG122" s="10">
        <f t="shared" si="82"/>
        <v>321.75617500000004</v>
      </c>
      <c r="AH122" s="64">
        <f t="shared" si="58"/>
        <v>27.489000000000004</v>
      </c>
      <c r="AI122" s="9">
        <f t="shared" si="59"/>
        <v>4628.3388249999998</v>
      </c>
      <c r="AJ122" s="5">
        <v>0.18</v>
      </c>
      <c r="AK122" s="11">
        <f t="shared" si="60"/>
        <v>833.10098849999997</v>
      </c>
      <c r="AL122" s="9">
        <f t="shared" si="61"/>
        <v>5461.4398135000001</v>
      </c>
      <c r="AP122" s="12"/>
    </row>
    <row r="123" spans="1:42" x14ac:dyDescent="0.35">
      <c r="A123" s="71">
        <v>46188</v>
      </c>
      <c r="B123" s="72" t="s">
        <v>67</v>
      </c>
      <c r="C123" s="74">
        <v>1108.1714285719299</v>
      </c>
      <c r="D123" s="74">
        <v>43560.817368449301</v>
      </c>
      <c r="E123" s="62" t="s">
        <v>68</v>
      </c>
      <c r="F123" s="73" t="s">
        <v>69</v>
      </c>
      <c r="G123" s="76" t="s">
        <v>183</v>
      </c>
      <c r="H123" s="73" t="s">
        <v>90</v>
      </c>
      <c r="I123" s="62" t="s">
        <v>199</v>
      </c>
      <c r="J123" s="55">
        <v>6</v>
      </c>
      <c r="K123" s="20">
        <v>0</v>
      </c>
      <c r="L123" s="20">
        <v>0</v>
      </c>
      <c r="M123" s="20">
        <v>0</v>
      </c>
      <c r="N123" s="8">
        <f t="shared" si="54"/>
        <v>0</v>
      </c>
      <c r="O123" s="18">
        <v>7</v>
      </c>
      <c r="P123" s="18">
        <v>7</v>
      </c>
      <c r="Q123" s="18">
        <v>0</v>
      </c>
      <c r="R123" s="8">
        <f t="shared" si="53"/>
        <v>14</v>
      </c>
      <c r="S123" s="18">
        <f t="shared" si="52"/>
        <v>20</v>
      </c>
      <c r="T123" s="18">
        <f t="shared" si="76"/>
        <v>0</v>
      </c>
      <c r="U123" s="18">
        <f t="shared" si="77"/>
        <v>0</v>
      </c>
      <c r="V123" s="18">
        <f t="shared" si="78"/>
        <v>0</v>
      </c>
      <c r="W123" s="8">
        <f t="shared" si="55"/>
        <v>0</v>
      </c>
      <c r="X123" s="18">
        <f t="shared" si="79"/>
        <v>0.7</v>
      </c>
      <c r="Y123" s="18">
        <f t="shared" si="80"/>
        <v>0.7</v>
      </c>
      <c r="Z123" s="18">
        <f t="shared" si="81"/>
        <v>0</v>
      </c>
      <c r="AA123" s="8">
        <f t="shared" si="56"/>
        <v>1.4</v>
      </c>
      <c r="AB123" s="8">
        <v>39.270000000000003</v>
      </c>
      <c r="AC123" s="8">
        <v>52.462499999999999</v>
      </c>
      <c r="AD123" s="8">
        <v>72.64</v>
      </c>
      <c r="AE123" s="9">
        <f t="shared" si="57"/>
        <v>1688.42</v>
      </c>
      <c r="AF123" s="21">
        <v>6.5000000000000002E-2</v>
      </c>
      <c r="AG123" s="10">
        <f t="shared" si="82"/>
        <v>109.74730000000001</v>
      </c>
      <c r="AH123" s="64">
        <f t="shared" si="58"/>
        <v>8.2467000000000006</v>
      </c>
      <c r="AI123" s="9">
        <f t="shared" si="59"/>
        <v>1578.6727000000001</v>
      </c>
      <c r="AJ123" s="5">
        <v>0.18</v>
      </c>
      <c r="AK123" s="11">
        <f t="shared" si="60"/>
        <v>284.16108600000001</v>
      </c>
      <c r="AL123" s="9">
        <f t="shared" si="61"/>
        <v>1862.8337860000001</v>
      </c>
      <c r="AP123" s="12"/>
    </row>
    <row r="124" spans="1:42" x14ac:dyDescent="0.35">
      <c r="A124" s="71">
        <v>46188</v>
      </c>
      <c r="B124" s="72" t="s">
        <v>67</v>
      </c>
      <c r="C124" s="74">
        <v>1108.80000000051</v>
      </c>
      <c r="D124" s="74">
        <v>43535.701372643904</v>
      </c>
      <c r="E124" s="62" t="s">
        <v>68</v>
      </c>
      <c r="F124" s="73" t="s">
        <v>78</v>
      </c>
      <c r="G124" s="76" t="s">
        <v>200</v>
      </c>
      <c r="H124" s="73" t="s">
        <v>90</v>
      </c>
      <c r="I124" s="62" t="s">
        <v>199</v>
      </c>
      <c r="J124" s="55">
        <v>0</v>
      </c>
      <c r="K124" s="20">
        <v>0</v>
      </c>
      <c r="L124" s="20">
        <v>0</v>
      </c>
      <c r="M124" s="20">
        <v>0</v>
      </c>
      <c r="N124" s="8">
        <f t="shared" si="54"/>
        <v>0</v>
      </c>
      <c r="O124" s="18">
        <v>0</v>
      </c>
      <c r="P124" s="18">
        <v>0</v>
      </c>
      <c r="Q124" s="18">
        <v>0</v>
      </c>
      <c r="R124" s="8">
        <f t="shared" si="53"/>
        <v>0</v>
      </c>
      <c r="S124" s="18">
        <f t="shared" si="52"/>
        <v>0</v>
      </c>
      <c r="T124" s="18">
        <f t="shared" si="76"/>
        <v>0</v>
      </c>
      <c r="U124" s="18">
        <f t="shared" si="77"/>
        <v>0</v>
      </c>
      <c r="V124" s="18">
        <f t="shared" si="78"/>
        <v>0</v>
      </c>
      <c r="W124" s="8">
        <f t="shared" si="55"/>
        <v>0</v>
      </c>
      <c r="X124" s="18">
        <f t="shared" si="79"/>
        <v>0</v>
      </c>
      <c r="Y124" s="18">
        <f t="shared" si="80"/>
        <v>0</v>
      </c>
      <c r="Z124" s="18">
        <f t="shared" si="81"/>
        <v>0</v>
      </c>
      <c r="AA124" s="8">
        <f t="shared" si="56"/>
        <v>0</v>
      </c>
      <c r="AB124" s="8">
        <v>39.270000000000003</v>
      </c>
      <c r="AC124" s="8">
        <v>52.462499999999999</v>
      </c>
      <c r="AD124" s="8">
        <v>72.64</v>
      </c>
      <c r="AE124" s="9">
        <f t="shared" si="57"/>
        <v>0</v>
      </c>
      <c r="AF124" s="21">
        <v>6.5000000000000002E-2</v>
      </c>
      <c r="AG124" s="10">
        <f t="shared" si="82"/>
        <v>0</v>
      </c>
      <c r="AH124" s="64">
        <f t="shared" si="58"/>
        <v>0</v>
      </c>
      <c r="AI124" s="9">
        <f t="shared" si="59"/>
        <v>0</v>
      </c>
      <c r="AJ124" s="5">
        <v>0.18</v>
      </c>
      <c r="AK124" s="11">
        <f t="shared" si="60"/>
        <v>0</v>
      </c>
      <c r="AL124" s="9">
        <f t="shared" si="61"/>
        <v>0</v>
      </c>
      <c r="AP124" s="12"/>
    </row>
    <row r="125" spans="1:42" x14ac:dyDescent="0.35">
      <c r="A125" s="71">
        <v>46188</v>
      </c>
      <c r="B125" s="72" t="s">
        <v>67</v>
      </c>
      <c r="C125" s="74">
        <v>1109.42857142909</v>
      </c>
      <c r="D125" s="74">
        <v>43510.585376838499</v>
      </c>
      <c r="E125" s="62" t="s">
        <v>68</v>
      </c>
      <c r="F125" s="73" t="s">
        <v>78</v>
      </c>
      <c r="G125" s="76" t="s">
        <v>202</v>
      </c>
      <c r="H125" s="73" t="s">
        <v>201</v>
      </c>
      <c r="I125" s="62" t="s">
        <v>207</v>
      </c>
      <c r="J125" s="55">
        <v>0</v>
      </c>
      <c r="K125" s="18">
        <v>5</v>
      </c>
      <c r="L125" s="18">
        <v>2</v>
      </c>
      <c r="M125" s="20">
        <v>3</v>
      </c>
      <c r="N125" s="8">
        <f t="shared" si="54"/>
        <v>10</v>
      </c>
      <c r="O125" s="18">
        <v>20</v>
      </c>
      <c r="P125" s="18">
        <v>10</v>
      </c>
      <c r="Q125" s="18">
        <v>40</v>
      </c>
      <c r="R125" s="8">
        <f t="shared" si="53"/>
        <v>70</v>
      </c>
      <c r="S125" s="18">
        <f t="shared" ref="S125:S188" si="83">J125+K125+L125+M125+O125+P125+Q125</f>
        <v>80</v>
      </c>
      <c r="T125" s="18">
        <f t="shared" si="76"/>
        <v>0.5</v>
      </c>
      <c r="U125" s="18">
        <f t="shared" si="77"/>
        <v>0.2</v>
      </c>
      <c r="V125" s="18">
        <f t="shared" si="78"/>
        <v>0.3</v>
      </c>
      <c r="W125" s="8">
        <f t="shared" si="55"/>
        <v>1</v>
      </c>
      <c r="X125" s="18">
        <f t="shared" si="79"/>
        <v>2</v>
      </c>
      <c r="Y125" s="18">
        <f t="shared" si="80"/>
        <v>1</v>
      </c>
      <c r="Z125" s="18">
        <f t="shared" si="81"/>
        <v>4</v>
      </c>
      <c r="AA125" s="8">
        <f t="shared" si="56"/>
        <v>7</v>
      </c>
      <c r="AB125" s="8">
        <v>39.270000000000003</v>
      </c>
      <c r="AC125" s="8">
        <v>52.462499999999999</v>
      </c>
      <c r="AD125" s="8">
        <v>72.64</v>
      </c>
      <c r="AE125" s="9">
        <f t="shared" si="57"/>
        <v>6335.8249999999998</v>
      </c>
      <c r="AF125" s="21">
        <v>6.5000000000000002E-2</v>
      </c>
      <c r="AG125" s="10">
        <f t="shared" si="82"/>
        <v>411.82862499999999</v>
      </c>
      <c r="AH125" s="64">
        <f t="shared" si="58"/>
        <v>0</v>
      </c>
      <c r="AI125" s="9">
        <f t="shared" si="59"/>
        <v>5923.9963749999997</v>
      </c>
      <c r="AJ125" s="5">
        <v>0.18</v>
      </c>
      <c r="AK125" s="11">
        <f t="shared" si="60"/>
        <v>1066.3193474999998</v>
      </c>
      <c r="AL125" s="9">
        <f t="shared" si="61"/>
        <v>6990.3157224999995</v>
      </c>
      <c r="AP125" s="12"/>
    </row>
    <row r="126" spans="1:42" x14ac:dyDescent="0.35">
      <c r="A126" s="71">
        <v>46188</v>
      </c>
      <c r="B126" s="72" t="s">
        <v>67</v>
      </c>
      <c r="C126" s="74">
        <v>1110.05714285767</v>
      </c>
      <c r="D126" s="74">
        <v>43485.469381033101</v>
      </c>
      <c r="E126" s="62" t="s">
        <v>68</v>
      </c>
      <c r="F126" s="73" t="s">
        <v>69</v>
      </c>
      <c r="G126" s="76" t="s">
        <v>203</v>
      </c>
      <c r="H126" s="73" t="s">
        <v>201</v>
      </c>
      <c r="I126" s="62" t="s">
        <v>207</v>
      </c>
      <c r="J126" s="55">
        <v>0</v>
      </c>
      <c r="K126" s="18">
        <v>5</v>
      </c>
      <c r="L126" s="18">
        <v>2</v>
      </c>
      <c r="M126" s="20">
        <v>3</v>
      </c>
      <c r="N126" s="8">
        <f t="shared" si="54"/>
        <v>10</v>
      </c>
      <c r="O126" s="18">
        <v>30</v>
      </c>
      <c r="P126" s="18">
        <v>10</v>
      </c>
      <c r="Q126" s="18">
        <v>40</v>
      </c>
      <c r="R126" s="8">
        <f t="shared" si="53"/>
        <v>80</v>
      </c>
      <c r="S126" s="18">
        <f t="shared" si="83"/>
        <v>90</v>
      </c>
      <c r="T126" s="18">
        <f t="shared" si="76"/>
        <v>0.5</v>
      </c>
      <c r="U126" s="18">
        <f t="shared" si="77"/>
        <v>0.2</v>
      </c>
      <c r="V126" s="18">
        <f t="shared" si="78"/>
        <v>0.3</v>
      </c>
      <c r="W126" s="8">
        <f t="shared" si="55"/>
        <v>1</v>
      </c>
      <c r="X126" s="18">
        <f t="shared" si="79"/>
        <v>3</v>
      </c>
      <c r="Y126" s="18">
        <f t="shared" si="80"/>
        <v>1</v>
      </c>
      <c r="Z126" s="18">
        <f t="shared" si="81"/>
        <v>4</v>
      </c>
      <c r="AA126" s="8">
        <f t="shared" si="56"/>
        <v>8</v>
      </c>
      <c r="AB126" s="8">
        <v>39.270000000000003</v>
      </c>
      <c r="AC126" s="8">
        <v>52.462499999999999</v>
      </c>
      <c r="AD126" s="8">
        <v>72.64</v>
      </c>
      <c r="AE126" s="9">
        <f t="shared" si="57"/>
        <v>7062.2250000000004</v>
      </c>
      <c r="AF126" s="21">
        <v>6.5000000000000002E-2</v>
      </c>
      <c r="AG126" s="10">
        <f t="shared" si="82"/>
        <v>459.04462500000005</v>
      </c>
      <c r="AH126" s="64">
        <f t="shared" si="58"/>
        <v>0</v>
      </c>
      <c r="AI126" s="9">
        <f t="shared" si="59"/>
        <v>6603.1803749999999</v>
      </c>
      <c r="AJ126" s="5">
        <v>0.18</v>
      </c>
      <c r="AK126" s="11">
        <f t="shared" si="60"/>
        <v>1188.5724674999999</v>
      </c>
      <c r="AL126" s="9">
        <f t="shared" si="61"/>
        <v>7791.7528425</v>
      </c>
      <c r="AP126" s="12"/>
    </row>
    <row r="127" spans="1:42" x14ac:dyDescent="0.35">
      <c r="A127" s="71">
        <v>46188</v>
      </c>
      <c r="B127" s="72" t="s">
        <v>67</v>
      </c>
      <c r="C127" s="74">
        <v>1110.68571428625</v>
      </c>
      <c r="D127" s="74">
        <v>43460.353385227601</v>
      </c>
      <c r="E127" s="62" t="s">
        <v>68</v>
      </c>
      <c r="F127" s="73" t="s">
        <v>69</v>
      </c>
      <c r="G127" s="76" t="s">
        <v>204</v>
      </c>
      <c r="H127" s="73" t="s">
        <v>201</v>
      </c>
      <c r="I127" s="62" t="s">
        <v>207</v>
      </c>
      <c r="J127" s="55">
        <v>0</v>
      </c>
      <c r="K127" s="18">
        <v>5</v>
      </c>
      <c r="L127" s="20">
        <v>2</v>
      </c>
      <c r="M127" s="18">
        <v>4</v>
      </c>
      <c r="N127" s="8">
        <f t="shared" si="54"/>
        <v>11</v>
      </c>
      <c r="O127" s="20">
        <v>30</v>
      </c>
      <c r="P127" s="18">
        <v>10</v>
      </c>
      <c r="Q127" s="18">
        <v>20</v>
      </c>
      <c r="R127" s="8">
        <f t="shared" si="53"/>
        <v>60</v>
      </c>
      <c r="S127" s="18">
        <f t="shared" si="83"/>
        <v>71</v>
      </c>
      <c r="T127" s="18">
        <f t="shared" si="76"/>
        <v>0.5</v>
      </c>
      <c r="U127" s="18">
        <f t="shared" si="77"/>
        <v>0.2</v>
      </c>
      <c r="V127" s="18">
        <f t="shared" si="78"/>
        <v>0.4</v>
      </c>
      <c r="W127" s="8">
        <f t="shared" si="55"/>
        <v>1.1000000000000001</v>
      </c>
      <c r="X127" s="18">
        <f t="shared" si="79"/>
        <v>3</v>
      </c>
      <c r="Y127" s="18">
        <f t="shared" si="80"/>
        <v>1</v>
      </c>
      <c r="Z127" s="18">
        <f t="shared" si="81"/>
        <v>2</v>
      </c>
      <c r="AA127" s="8">
        <f t="shared" si="56"/>
        <v>6</v>
      </c>
      <c r="AB127" s="8">
        <v>39.270000000000003</v>
      </c>
      <c r="AC127" s="8">
        <v>52.462499999999999</v>
      </c>
      <c r="AD127" s="8">
        <v>72.64</v>
      </c>
      <c r="AE127" s="9">
        <f t="shared" si="57"/>
        <v>5734.5274999999992</v>
      </c>
      <c r="AF127" s="21">
        <v>6.5000000000000002E-2</v>
      </c>
      <c r="AG127" s="10">
        <f t="shared" si="82"/>
        <v>372.74428749999998</v>
      </c>
      <c r="AH127" s="64">
        <f t="shared" si="58"/>
        <v>0</v>
      </c>
      <c r="AI127" s="9">
        <f t="shared" si="59"/>
        <v>5361.7832124999995</v>
      </c>
      <c r="AJ127" s="5">
        <v>0.18</v>
      </c>
      <c r="AK127" s="11">
        <f t="shared" si="60"/>
        <v>965.12097824999989</v>
      </c>
      <c r="AL127" s="9">
        <f t="shared" si="61"/>
        <v>6326.9041907499995</v>
      </c>
      <c r="AP127" s="12"/>
    </row>
    <row r="128" spans="1:42" x14ac:dyDescent="0.35">
      <c r="A128" s="71">
        <v>46188</v>
      </c>
      <c r="B128" s="72" t="s">
        <v>67</v>
      </c>
      <c r="C128" s="74">
        <v>1111.31428571483</v>
      </c>
      <c r="D128" s="74">
        <v>43435.237389422196</v>
      </c>
      <c r="E128" s="62" t="s">
        <v>68</v>
      </c>
      <c r="F128" s="73" t="s">
        <v>78</v>
      </c>
      <c r="G128" s="76" t="s">
        <v>205</v>
      </c>
      <c r="H128" s="73" t="s">
        <v>201</v>
      </c>
      <c r="I128" s="62" t="s">
        <v>207</v>
      </c>
      <c r="J128" s="55">
        <v>0</v>
      </c>
      <c r="K128" s="20">
        <v>0</v>
      </c>
      <c r="L128" s="20">
        <v>2</v>
      </c>
      <c r="M128" s="20">
        <v>5</v>
      </c>
      <c r="N128" s="8">
        <f t="shared" si="54"/>
        <v>7</v>
      </c>
      <c r="O128" s="18">
        <v>19</v>
      </c>
      <c r="P128" s="20">
        <v>10</v>
      </c>
      <c r="Q128" s="20">
        <v>30</v>
      </c>
      <c r="R128" s="8">
        <f t="shared" si="53"/>
        <v>59</v>
      </c>
      <c r="S128" s="18">
        <f t="shared" si="83"/>
        <v>66</v>
      </c>
      <c r="T128" s="18">
        <f t="shared" si="76"/>
        <v>0</v>
      </c>
      <c r="U128" s="18">
        <f t="shared" si="77"/>
        <v>0.2</v>
      </c>
      <c r="V128" s="18">
        <f t="shared" si="78"/>
        <v>0.5</v>
      </c>
      <c r="W128" s="8">
        <f t="shared" si="55"/>
        <v>0.7</v>
      </c>
      <c r="X128" s="18">
        <f t="shared" si="79"/>
        <v>1.9</v>
      </c>
      <c r="Y128" s="18">
        <f t="shared" si="80"/>
        <v>1</v>
      </c>
      <c r="Z128" s="18">
        <f t="shared" si="81"/>
        <v>3</v>
      </c>
      <c r="AA128" s="8">
        <f t="shared" si="56"/>
        <v>5.9</v>
      </c>
      <c r="AB128" s="8">
        <v>39.270000000000003</v>
      </c>
      <c r="AC128" s="8">
        <v>52.462499999999999</v>
      </c>
      <c r="AD128" s="8">
        <v>72.64</v>
      </c>
      <c r="AE128" s="9">
        <f t="shared" si="57"/>
        <v>5161.4775</v>
      </c>
      <c r="AF128" s="21">
        <v>6.5000000000000002E-2</v>
      </c>
      <c r="AG128" s="10">
        <f t="shared" si="82"/>
        <v>335.4960375</v>
      </c>
      <c r="AH128" s="64">
        <f t="shared" si="58"/>
        <v>0</v>
      </c>
      <c r="AI128" s="9">
        <f t="shared" si="59"/>
        <v>4825.9814624999999</v>
      </c>
      <c r="AJ128" s="5">
        <v>0.18</v>
      </c>
      <c r="AK128" s="11">
        <f t="shared" si="60"/>
        <v>868.67666324999993</v>
      </c>
      <c r="AL128" s="9">
        <f t="shared" si="61"/>
        <v>5694.6581257500002</v>
      </c>
      <c r="AP128" s="12"/>
    </row>
    <row r="129" spans="1:42" x14ac:dyDescent="0.35">
      <c r="A129" s="71">
        <v>46188</v>
      </c>
      <c r="B129" s="72" t="s">
        <v>67</v>
      </c>
      <c r="C129" s="74">
        <v>1111.94285714341</v>
      </c>
      <c r="D129" s="74">
        <v>43410.121393616799</v>
      </c>
      <c r="E129" s="62" t="s">
        <v>68</v>
      </c>
      <c r="F129" s="73" t="s">
        <v>78</v>
      </c>
      <c r="G129" s="76" t="s">
        <v>206</v>
      </c>
      <c r="H129" s="73" t="s">
        <v>201</v>
      </c>
      <c r="I129" s="62" t="s">
        <v>207</v>
      </c>
      <c r="J129" s="55">
        <v>0</v>
      </c>
      <c r="K129" s="20">
        <v>0</v>
      </c>
      <c r="L129" s="20">
        <v>2</v>
      </c>
      <c r="M129" s="20">
        <v>0</v>
      </c>
      <c r="N129" s="8">
        <f t="shared" si="54"/>
        <v>2</v>
      </c>
      <c r="O129" s="20">
        <v>10</v>
      </c>
      <c r="P129" s="18">
        <v>11</v>
      </c>
      <c r="Q129" s="20">
        <v>30</v>
      </c>
      <c r="R129" s="8">
        <f t="shared" si="53"/>
        <v>51</v>
      </c>
      <c r="S129" s="18">
        <f t="shared" si="83"/>
        <v>53</v>
      </c>
      <c r="T129" s="18">
        <f t="shared" si="76"/>
        <v>0</v>
      </c>
      <c r="U129" s="18">
        <f t="shared" si="77"/>
        <v>0.2</v>
      </c>
      <c r="V129" s="18">
        <f t="shared" si="78"/>
        <v>0</v>
      </c>
      <c r="W129" s="8">
        <f t="shared" si="55"/>
        <v>0.2</v>
      </c>
      <c r="X129" s="18">
        <f t="shared" si="79"/>
        <v>1</v>
      </c>
      <c r="Y129" s="18">
        <f t="shared" si="80"/>
        <v>1.1000000000000001</v>
      </c>
      <c r="Z129" s="18">
        <f t="shared" si="81"/>
        <v>3</v>
      </c>
      <c r="AA129" s="8">
        <f t="shared" si="56"/>
        <v>5.0999999999999996</v>
      </c>
      <c r="AB129" s="8">
        <v>39.270000000000003</v>
      </c>
      <c r="AC129" s="8">
        <v>52.462499999999999</v>
      </c>
      <c r="AD129" s="8">
        <v>72.64</v>
      </c>
      <c r="AE129" s="9">
        <f t="shared" si="57"/>
        <v>3954.8450000000003</v>
      </c>
      <c r="AF129" s="21">
        <v>0.1</v>
      </c>
      <c r="AG129" s="10">
        <f t="shared" si="82"/>
        <v>395.48450000000003</v>
      </c>
      <c r="AH129" s="64">
        <f t="shared" si="58"/>
        <v>0</v>
      </c>
      <c r="AI129" s="9">
        <f t="shared" si="59"/>
        <v>3559.3605000000002</v>
      </c>
      <c r="AJ129" s="5">
        <v>0.18</v>
      </c>
      <c r="AK129" s="11">
        <f t="shared" si="60"/>
        <v>640.68489</v>
      </c>
      <c r="AL129" s="9">
        <f t="shared" si="61"/>
        <v>4200.0453900000002</v>
      </c>
      <c r="AP129" s="12"/>
    </row>
    <row r="130" spans="1:42" x14ac:dyDescent="0.35">
      <c r="A130" s="71">
        <v>46188</v>
      </c>
      <c r="B130" s="72" t="s">
        <v>67</v>
      </c>
      <c r="C130" s="74">
        <v>1112.5714285719901</v>
      </c>
      <c r="D130" s="74">
        <v>43385.005397811299</v>
      </c>
      <c r="E130" s="62" t="s">
        <v>68</v>
      </c>
      <c r="F130" s="73" t="s">
        <v>233</v>
      </c>
      <c r="G130" s="76" t="s">
        <v>234</v>
      </c>
      <c r="H130" s="73" t="s">
        <v>236</v>
      </c>
      <c r="I130" s="62" t="s">
        <v>237</v>
      </c>
      <c r="J130" s="55"/>
      <c r="K130" s="18">
        <v>1880</v>
      </c>
      <c r="L130" s="18">
        <v>600</v>
      </c>
      <c r="M130" s="18">
        <v>2120</v>
      </c>
      <c r="N130" s="8">
        <f t="shared" si="54"/>
        <v>4600</v>
      </c>
      <c r="O130" s="18">
        <v>3400</v>
      </c>
      <c r="P130" s="18">
        <v>3000</v>
      </c>
      <c r="Q130" s="18">
        <v>5000</v>
      </c>
      <c r="R130" s="8">
        <f t="shared" si="53"/>
        <v>11400</v>
      </c>
      <c r="S130" s="18">
        <f t="shared" si="83"/>
        <v>16000</v>
      </c>
      <c r="T130" s="18">
        <f t="shared" si="76"/>
        <v>188</v>
      </c>
      <c r="U130" s="18">
        <f t="shared" si="77"/>
        <v>60</v>
      </c>
      <c r="V130" s="18">
        <f t="shared" si="78"/>
        <v>212</v>
      </c>
      <c r="W130" s="8">
        <f t="shared" si="55"/>
        <v>460</v>
      </c>
      <c r="X130" s="18">
        <f t="shared" si="79"/>
        <v>340</v>
      </c>
      <c r="Y130" s="18">
        <f t="shared" si="80"/>
        <v>300</v>
      </c>
      <c r="Z130" s="18">
        <f t="shared" si="81"/>
        <v>500</v>
      </c>
      <c r="AA130" s="8">
        <f t="shared" si="56"/>
        <v>1140</v>
      </c>
      <c r="AB130" s="8">
        <v>39.270000000000003</v>
      </c>
      <c r="AC130" s="8">
        <v>52.462499999999999</v>
      </c>
      <c r="AD130" s="8">
        <v>72.64</v>
      </c>
      <c r="AE130" s="9">
        <f t="shared" si="57"/>
        <v>1403567.5</v>
      </c>
      <c r="AF130" s="21">
        <v>6.5000000000000002E-2</v>
      </c>
      <c r="AG130" s="10">
        <f t="shared" si="82"/>
        <v>91231.887499999997</v>
      </c>
      <c r="AH130" s="64">
        <f t="shared" si="58"/>
        <v>0</v>
      </c>
      <c r="AI130" s="9">
        <f t="shared" si="59"/>
        <v>1312335.6125</v>
      </c>
      <c r="AJ130" s="5">
        <v>0.18</v>
      </c>
      <c r="AK130" s="11">
        <f t="shared" si="60"/>
        <v>236220.41024999999</v>
      </c>
      <c r="AL130" s="9">
        <f t="shared" si="61"/>
        <v>1548556.02275</v>
      </c>
      <c r="AP130" s="12"/>
    </row>
    <row r="131" spans="1:42" x14ac:dyDescent="0.35">
      <c r="A131" s="71">
        <v>46188</v>
      </c>
      <c r="B131" s="72" t="s">
        <v>67</v>
      </c>
      <c r="C131" s="74">
        <v>1113.2000000005701</v>
      </c>
      <c r="D131" s="74">
        <v>43359.889402005902</v>
      </c>
      <c r="E131" s="62" t="s">
        <v>68</v>
      </c>
      <c r="F131" s="73" t="s">
        <v>233</v>
      </c>
      <c r="G131" s="76" t="s">
        <v>235</v>
      </c>
      <c r="H131" s="73" t="s">
        <v>236</v>
      </c>
      <c r="I131" s="62" t="s">
        <v>226</v>
      </c>
      <c r="J131" s="55">
        <v>1400</v>
      </c>
      <c r="K131" s="18">
        <v>400</v>
      </c>
      <c r="L131" s="20">
        <v>400</v>
      </c>
      <c r="M131" s="20">
        <v>0</v>
      </c>
      <c r="N131" s="8">
        <f t="shared" si="54"/>
        <v>800</v>
      </c>
      <c r="O131" s="20">
        <v>400</v>
      </c>
      <c r="P131" s="18">
        <v>400</v>
      </c>
      <c r="Q131" s="18">
        <v>600</v>
      </c>
      <c r="R131" s="8">
        <f t="shared" ref="R131:R194" si="84">SUM(O131:Q131)</f>
        <v>1400</v>
      </c>
      <c r="S131" s="18">
        <f t="shared" si="83"/>
        <v>3600</v>
      </c>
      <c r="T131" s="18">
        <f t="shared" si="76"/>
        <v>40</v>
      </c>
      <c r="U131" s="18">
        <f t="shared" si="77"/>
        <v>40</v>
      </c>
      <c r="V131" s="18">
        <f t="shared" si="78"/>
        <v>0</v>
      </c>
      <c r="W131" s="8">
        <f t="shared" si="55"/>
        <v>80</v>
      </c>
      <c r="X131" s="18">
        <f t="shared" si="79"/>
        <v>40</v>
      </c>
      <c r="Y131" s="18">
        <f t="shared" si="80"/>
        <v>40</v>
      </c>
      <c r="Z131" s="18">
        <f t="shared" si="81"/>
        <v>60</v>
      </c>
      <c r="AA131" s="8">
        <f t="shared" si="56"/>
        <v>140</v>
      </c>
      <c r="AB131" s="8">
        <v>39.270000000000003</v>
      </c>
      <c r="AC131" s="8">
        <v>52.462499999999999</v>
      </c>
      <c r="AD131" s="8">
        <v>72.64</v>
      </c>
      <c r="AE131" s="9">
        <f t="shared" si="57"/>
        <v>358452</v>
      </c>
      <c r="AF131" s="21">
        <v>6.5000000000000002E-2</v>
      </c>
      <c r="AG131" s="10">
        <f t="shared" si="82"/>
        <v>23299.38</v>
      </c>
      <c r="AH131" s="64">
        <f t="shared" si="58"/>
        <v>1924.2300000000005</v>
      </c>
      <c r="AI131" s="9">
        <f t="shared" si="59"/>
        <v>335152.62</v>
      </c>
      <c r="AJ131" s="5">
        <v>0.18</v>
      </c>
      <c r="AK131" s="11">
        <f t="shared" si="60"/>
        <v>60327.471599999997</v>
      </c>
      <c r="AL131" s="9">
        <f t="shared" si="61"/>
        <v>395480.09159999999</v>
      </c>
      <c r="AP131" s="12"/>
    </row>
    <row r="132" spans="1:42" x14ac:dyDescent="0.35">
      <c r="A132" s="71">
        <v>46189</v>
      </c>
      <c r="B132" s="72" t="s">
        <v>67</v>
      </c>
      <c r="C132" s="74">
        <v>1113.8285714291501</v>
      </c>
      <c r="D132" s="74">
        <v>43334.773406200497</v>
      </c>
      <c r="E132" s="62" t="s">
        <v>68</v>
      </c>
      <c r="F132" s="73" t="s">
        <v>208</v>
      </c>
      <c r="G132" s="76" t="s">
        <v>238</v>
      </c>
      <c r="H132" s="73" t="s">
        <v>212</v>
      </c>
      <c r="I132" s="62" t="s">
        <v>244</v>
      </c>
      <c r="J132" s="55"/>
      <c r="K132" s="20">
        <v>80</v>
      </c>
      <c r="L132" s="20">
        <v>80</v>
      </c>
      <c r="M132" s="20">
        <v>80</v>
      </c>
      <c r="N132" s="8">
        <f t="shared" ref="N132:N195" si="85">K132+L132+M132</f>
        <v>240</v>
      </c>
      <c r="O132" s="18">
        <v>80</v>
      </c>
      <c r="P132" s="20">
        <v>80</v>
      </c>
      <c r="Q132" s="20">
        <v>80</v>
      </c>
      <c r="R132" s="8">
        <f t="shared" si="84"/>
        <v>240</v>
      </c>
      <c r="S132" s="18">
        <f t="shared" si="83"/>
        <v>480</v>
      </c>
      <c r="T132" s="18">
        <f t="shared" si="76"/>
        <v>8</v>
      </c>
      <c r="U132" s="18">
        <f t="shared" si="77"/>
        <v>8</v>
      </c>
      <c r="V132" s="18">
        <f t="shared" si="78"/>
        <v>8</v>
      </c>
      <c r="W132" s="8">
        <f t="shared" si="55"/>
        <v>24</v>
      </c>
      <c r="X132" s="18">
        <f t="shared" si="79"/>
        <v>8</v>
      </c>
      <c r="Y132" s="18">
        <f t="shared" si="80"/>
        <v>8</v>
      </c>
      <c r="Z132" s="18">
        <f t="shared" si="81"/>
        <v>8</v>
      </c>
      <c r="AA132" s="8">
        <f t="shared" si="56"/>
        <v>24</v>
      </c>
      <c r="AB132" s="8">
        <v>39.270000000000003</v>
      </c>
      <c r="AC132" s="8">
        <v>52.462499999999999</v>
      </c>
      <c r="AD132" s="8">
        <v>72.64</v>
      </c>
      <c r="AE132" s="9">
        <f t="shared" si="57"/>
        <v>47458.2</v>
      </c>
      <c r="AF132" s="21">
        <v>6.5000000000000002E-2</v>
      </c>
      <c r="AG132" s="10">
        <f t="shared" si="82"/>
        <v>3084.7829999999999</v>
      </c>
      <c r="AH132" s="64">
        <f t="shared" si="58"/>
        <v>0</v>
      </c>
      <c r="AI132" s="9">
        <f t="shared" si="59"/>
        <v>44373.416999999994</v>
      </c>
      <c r="AJ132" s="5">
        <v>0.18</v>
      </c>
      <c r="AK132" s="11">
        <f t="shared" si="60"/>
        <v>7987.2150599999986</v>
      </c>
      <c r="AL132" s="9">
        <f t="shared" si="61"/>
        <v>52360.632059999989</v>
      </c>
      <c r="AP132" s="12"/>
    </row>
    <row r="133" spans="1:42" x14ac:dyDescent="0.35">
      <c r="A133" s="71">
        <v>46189</v>
      </c>
      <c r="B133" s="72" t="s">
        <v>67</v>
      </c>
      <c r="C133" s="74">
        <v>1114.4571428577301</v>
      </c>
      <c r="D133" s="74">
        <v>43309.657410394997</v>
      </c>
      <c r="E133" s="62" t="s">
        <v>68</v>
      </c>
      <c r="F133" s="73" t="s">
        <v>208</v>
      </c>
      <c r="G133" s="76" t="s">
        <v>239</v>
      </c>
      <c r="H133" s="73" t="s">
        <v>212</v>
      </c>
      <c r="I133" s="62" t="s">
        <v>245</v>
      </c>
      <c r="J133" s="55"/>
      <c r="K133" s="20">
        <v>80</v>
      </c>
      <c r="L133" s="20">
        <v>80</v>
      </c>
      <c r="M133" s="20">
        <v>80</v>
      </c>
      <c r="N133" s="8">
        <f t="shared" si="85"/>
        <v>240</v>
      </c>
      <c r="O133" s="18">
        <v>80</v>
      </c>
      <c r="P133" s="18">
        <v>80</v>
      </c>
      <c r="Q133" s="18">
        <v>80</v>
      </c>
      <c r="R133" s="8">
        <f t="shared" si="84"/>
        <v>240</v>
      </c>
      <c r="S133" s="18">
        <f t="shared" si="83"/>
        <v>480</v>
      </c>
      <c r="T133" s="18">
        <f t="shared" si="76"/>
        <v>8</v>
      </c>
      <c r="U133" s="18">
        <f t="shared" si="77"/>
        <v>8</v>
      </c>
      <c r="V133" s="18">
        <f t="shared" si="78"/>
        <v>8</v>
      </c>
      <c r="W133" s="8">
        <f t="shared" si="55"/>
        <v>24</v>
      </c>
      <c r="X133" s="18">
        <f t="shared" si="79"/>
        <v>8</v>
      </c>
      <c r="Y133" s="18">
        <f t="shared" si="80"/>
        <v>8</v>
      </c>
      <c r="Z133" s="18">
        <f t="shared" si="81"/>
        <v>8</v>
      </c>
      <c r="AA133" s="8">
        <f t="shared" si="56"/>
        <v>24</v>
      </c>
      <c r="AB133" s="8">
        <v>39.270000000000003</v>
      </c>
      <c r="AC133" s="8">
        <v>52.462499999999999</v>
      </c>
      <c r="AD133" s="8">
        <v>72.64</v>
      </c>
      <c r="AE133" s="9">
        <f t="shared" si="57"/>
        <v>47458.2</v>
      </c>
      <c r="AF133" s="21">
        <v>6.5000000000000002E-2</v>
      </c>
      <c r="AG133" s="10">
        <f t="shared" si="82"/>
        <v>3084.7829999999999</v>
      </c>
      <c r="AH133" s="64">
        <f t="shared" si="58"/>
        <v>0</v>
      </c>
      <c r="AI133" s="9">
        <f t="shared" si="59"/>
        <v>44373.416999999994</v>
      </c>
      <c r="AJ133" s="5">
        <v>0.18</v>
      </c>
      <c r="AK133" s="11">
        <f t="shared" si="60"/>
        <v>7987.2150599999986</v>
      </c>
      <c r="AL133" s="9">
        <f t="shared" si="61"/>
        <v>52360.632059999989</v>
      </c>
      <c r="AP133" s="12"/>
    </row>
    <row r="134" spans="1:42" x14ac:dyDescent="0.35">
      <c r="A134" s="71">
        <v>46189</v>
      </c>
      <c r="B134" s="72" t="s">
        <v>67</v>
      </c>
      <c r="C134" s="74">
        <v>1115.0857142863099</v>
      </c>
      <c r="D134" s="74">
        <v>43284.541414589599</v>
      </c>
      <c r="E134" s="62" t="s">
        <v>68</v>
      </c>
      <c r="F134" s="73" t="s">
        <v>208</v>
      </c>
      <c r="G134" s="76" t="s">
        <v>240</v>
      </c>
      <c r="H134" s="73" t="s">
        <v>212</v>
      </c>
      <c r="I134" s="62" t="s">
        <v>246</v>
      </c>
      <c r="J134" s="55"/>
      <c r="K134" s="20">
        <v>80</v>
      </c>
      <c r="L134" s="20">
        <v>80</v>
      </c>
      <c r="M134" s="20">
        <v>80</v>
      </c>
      <c r="N134" s="8">
        <f t="shared" si="85"/>
        <v>240</v>
      </c>
      <c r="O134" s="18">
        <v>80</v>
      </c>
      <c r="P134" s="20">
        <v>80</v>
      </c>
      <c r="Q134" s="18">
        <v>80</v>
      </c>
      <c r="R134" s="8">
        <f t="shared" si="84"/>
        <v>240</v>
      </c>
      <c r="S134" s="18">
        <f t="shared" si="83"/>
        <v>480</v>
      </c>
      <c r="T134" s="18">
        <f t="shared" si="76"/>
        <v>8</v>
      </c>
      <c r="U134" s="18">
        <f t="shared" si="77"/>
        <v>8</v>
      </c>
      <c r="V134" s="18">
        <f t="shared" si="78"/>
        <v>8</v>
      </c>
      <c r="W134" s="8">
        <f t="shared" si="55"/>
        <v>24</v>
      </c>
      <c r="X134" s="18">
        <f t="shared" si="79"/>
        <v>8</v>
      </c>
      <c r="Y134" s="18">
        <f t="shared" si="80"/>
        <v>8</v>
      </c>
      <c r="Z134" s="18">
        <f t="shared" si="81"/>
        <v>8</v>
      </c>
      <c r="AA134" s="8">
        <f t="shared" si="56"/>
        <v>24</v>
      </c>
      <c r="AB134" s="8">
        <v>39.270000000000003</v>
      </c>
      <c r="AC134" s="8">
        <v>52.462499999999999</v>
      </c>
      <c r="AD134" s="8">
        <v>72.64</v>
      </c>
      <c r="AE134" s="9">
        <f t="shared" si="57"/>
        <v>47458.2</v>
      </c>
      <c r="AF134" s="21">
        <v>6.5000000000000002E-2</v>
      </c>
      <c r="AG134" s="10">
        <f t="shared" si="82"/>
        <v>3084.7829999999999</v>
      </c>
      <c r="AH134" s="64">
        <f t="shared" si="58"/>
        <v>0</v>
      </c>
      <c r="AI134" s="9">
        <f t="shared" si="59"/>
        <v>44373.416999999994</v>
      </c>
      <c r="AJ134" s="5">
        <v>0.18</v>
      </c>
      <c r="AK134" s="11">
        <f t="shared" si="60"/>
        <v>7987.2150599999986</v>
      </c>
      <c r="AL134" s="9">
        <f t="shared" si="61"/>
        <v>52360.632059999989</v>
      </c>
      <c r="AP134" s="12"/>
    </row>
    <row r="135" spans="1:42" x14ac:dyDescent="0.35">
      <c r="A135" s="71">
        <v>46189</v>
      </c>
      <c r="B135" s="72" t="s">
        <v>67</v>
      </c>
      <c r="C135" s="74">
        <v>1115.7142857148899</v>
      </c>
      <c r="D135" s="74">
        <v>43259.425418784202</v>
      </c>
      <c r="E135" s="62" t="s">
        <v>68</v>
      </c>
      <c r="F135" s="73" t="s">
        <v>208</v>
      </c>
      <c r="G135" s="76" t="s">
        <v>241</v>
      </c>
      <c r="H135" s="73" t="s">
        <v>212</v>
      </c>
      <c r="I135" s="62" t="s">
        <v>247</v>
      </c>
      <c r="J135" s="55"/>
      <c r="K135" s="18">
        <v>40</v>
      </c>
      <c r="L135" s="20">
        <v>40</v>
      </c>
      <c r="M135" s="20">
        <v>40</v>
      </c>
      <c r="N135" s="8">
        <f t="shared" si="85"/>
        <v>120</v>
      </c>
      <c r="O135" s="18">
        <v>40</v>
      </c>
      <c r="P135" s="18">
        <v>40</v>
      </c>
      <c r="Q135" s="20">
        <v>40</v>
      </c>
      <c r="R135" s="8">
        <f t="shared" si="84"/>
        <v>120</v>
      </c>
      <c r="S135" s="18">
        <f t="shared" si="83"/>
        <v>240</v>
      </c>
      <c r="T135" s="18">
        <f t="shared" si="76"/>
        <v>4</v>
      </c>
      <c r="U135" s="18">
        <f t="shared" si="77"/>
        <v>4</v>
      </c>
      <c r="V135" s="18">
        <f t="shared" si="78"/>
        <v>4</v>
      </c>
      <c r="W135" s="8">
        <f t="shared" si="55"/>
        <v>12</v>
      </c>
      <c r="X135" s="18">
        <f t="shared" si="79"/>
        <v>4</v>
      </c>
      <c r="Y135" s="18">
        <f t="shared" si="80"/>
        <v>4</v>
      </c>
      <c r="Z135" s="18">
        <f t="shared" si="81"/>
        <v>4</v>
      </c>
      <c r="AA135" s="8">
        <f t="shared" si="56"/>
        <v>12</v>
      </c>
      <c r="AB135" s="8">
        <v>39.270000000000003</v>
      </c>
      <c r="AC135" s="8">
        <v>52.462499999999999</v>
      </c>
      <c r="AD135" s="8">
        <v>72.64</v>
      </c>
      <c r="AE135" s="9">
        <f t="shared" si="57"/>
        <v>23729.1</v>
      </c>
      <c r="AF135" s="21">
        <v>6.5000000000000002E-2</v>
      </c>
      <c r="AG135" s="10">
        <f t="shared" si="82"/>
        <v>1542.3915</v>
      </c>
      <c r="AH135" s="64">
        <f t="shared" si="58"/>
        <v>0</v>
      </c>
      <c r="AI135" s="9">
        <f t="shared" si="59"/>
        <v>22186.708499999997</v>
      </c>
      <c r="AJ135" s="5">
        <v>0.18</v>
      </c>
      <c r="AK135" s="11">
        <f t="shared" si="60"/>
        <v>3993.6075299999993</v>
      </c>
      <c r="AL135" s="9">
        <f t="shared" si="61"/>
        <v>26180.316029999994</v>
      </c>
      <c r="AP135" s="12"/>
    </row>
    <row r="136" spans="1:42" x14ac:dyDescent="0.35">
      <c r="A136" s="71">
        <v>46189</v>
      </c>
      <c r="B136" s="72" t="s">
        <v>67</v>
      </c>
      <c r="C136" s="74">
        <v>1116.3428571434699</v>
      </c>
      <c r="D136" s="74">
        <v>43234.309422978797</v>
      </c>
      <c r="E136" s="62" t="s">
        <v>68</v>
      </c>
      <c r="F136" s="73" t="s">
        <v>208</v>
      </c>
      <c r="G136" s="76" t="s">
        <v>242</v>
      </c>
      <c r="H136" s="73" t="s">
        <v>212</v>
      </c>
      <c r="I136" s="62" t="s">
        <v>248</v>
      </c>
      <c r="J136" s="55">
        <v>80</v>
      </c>
      <c r="K136" s="20">
        <v>80</v>
      </c>
      <c r="L136" s="20">
        <v>80</v>
      </c>
      <c r="M136" s="20">
        <v>80</v>
      </c>
      <c r="N136" s="8">
        <f t="shared" si="85"/>
        <v>240</v>
      </c>
      <c r="O136" s="18">
        <v>80</v>
      </c>
      <c r="P136" s="20">
        <v>80</v>
      </c>
      <c r="Q136" s="18">
        <v>80</v>
      </c>
      <c r="R136" s="8">
        <f t="shared" si="84"/>
        <v>240</v>
      </c>
      <c r="S136" s="18">
        <f t="shared" si="83"/>
        <v>560</v>
      </c>
      <c r="T136" s="18">
        <f t="shared" si="76"/>
        <v>8</v>
      </c>
      <c r="U136" s="18">
        <f t="shared" si="77"/>
        <v>8</v>
      </c>
      <c r="V136" s="18">
        <f t="shared" si="78"/>
        <v>8</v>
      </c>
      <c r="W136" s="8">
        <f t="shared" si="55"/>
        <v>24</v>
      </c>
      <c r="X136" s="18">
        <f t="shared" si="79"/>
        <v>8</v>
      </c>
      <c r="Y136" s="18">
        <f t="shared" si="80"/>
        <v>8</v>
      </c>
      <c r="Z136" s="18">
        <f t="shared" si="81"/>
        <v>8</v>
      </c>
      <c r="AA136" s="8">
        <f t="shared" si="56"/>
        <v>24</v>
      </c>
      <c r="AB136" s="8">
        <v>39.270000000000003</v>
      </c>
      <c r="AC136" s="8">
        <v>52.462499999999999</v>
      </c>
      <c r="AD136" s="8">
        <v>72.64</v>
      </c>
      <c r="AE136" s="9">
        <f t="shared" si="57"/>
        <v>56411</v>
      </c>
      <c r="AF136" s="21">
        <v>6.5000000000000002E-2</v>
      </c>
      <c r="AG136" s="10">
        <f t="shared" si="82"/>
        <v>3666.7150000000001</v>
      </c>
      <c r="AH136" s="64">
        <f t="shared" si="58"/>
        <v>109.95600000000002</v>
      </c>
      <c r="AI136" s="9">
        <f t="shared" si="59"/>
        <v>52744.285000000003</v>
      </c>
      <c r="AJ136" s="5">
        <v>0.18</v>
      </c>
      <c r="AK136" s="11">
        <f t="shared" si="60"/>
        <v>9493.9713000000011</v>
      </c>
      <c r="AL136" s="9">
        <f t="shared" si="61"/>
        <v>62238.256300000008</v>
      </c>
      <c r="AP136" s="12"/>
    </row>
    <row r="137" spans="1:42" x14ac:dyDescent="0.35">
      <c r="A137" s="71">
        <v>46189</v>
      </c>
      <c r="B137" s="72" t="s">
        <v>67</v>
      </c>
      <c r="C137" s="74">
        <v>1116.9714285720499</v>
      </c>
      <c r="D137" s="74">
        <v>43209.193427173297</v>
      </c>
      <c r="E137" s="62" t="s">
        <v>68</v>
      </c>
      <c r="F137" s="73" t="s">
        <v>208</v>
      </c>
      <c r="G137" s="76" t="s">
        <v>243</v>
      </c>
      <c r="H137" s="73" t="s">
        <v>212</v>
      </c>
      <c r="I137" s="62" t="s">
        <v>248</v>
      </c>
      <c r="J137" s="55">
        <v>120</v>
      </c>
      <c r="K137" s="18">
        <v>120</v>
      </c>
      <c r="L137" s="20">
        <v>120</v>
      </c>
      <c r="M137" s="18">
        <v>120</v>
      </c>
      <c r="N137" s="8">
        <f t="shared" si="85"/>
        <v>360</v>
      </c>
      <c r="O137" s="18">
        <v>120</v>
      </c>
      <c r="P137" s="18">
        <v>120</v>
      </c>
      <c r="Q137" s="18">
        <v>120</v>
      </c>
      <c r="R137" s="8">
        <f t="shared" si="84"/>
        <v>360</v>
      </c>
      <c r="S137" s="18">
        <f t="shared" si="83"/>
        <v>840</v>
      </c>
      <c r="T137" s="18">
        <f t="shared" si="76"/>
        <v>12</v>
      </c>
      <c r="U137" s="18">
        <f t="shared" si="77"/>
        <v>12</v>
      </c>
      <c r="V137" s="18">
        <f t="shared" si="78"/>
        <v>12</v>
      </c>
      <c r="W137" s="8">
        <f t="shared" si="55"/>
        <v>36</v>
      </c>
      <c r="X137" s="18">
        <f t="shared" si="79"/>
        <v>12</v>
      </c>
      <c r="Y137" s="18">
        <f t="shared" si="80"/>
        <v>12</v>
      </c>
      <c r="Z137" s="18">
        <f t="shared" si="81"/>
        <v>12</v>
      </c>
      <c r="AA137" s="8">
        <f t="shared" si="56"/>
        <v>36</v>
      </c>
      <c r="AB137" s="8">
        <v>39.270000000000003</v>
      </c>
      <c r="AC137" s="8">
        <v>52.462499999999999</v>
      </c>
      <c r="AD137" s="8">
        <v>72.64</v>
      </c>
      <c r="AE137" s="9">
        <f t="shared" si="57"/>
        <v>84616.5</v>
      </c>
      <c r="AF137" s="21">
        <v>6.5000000000000002E-2</v>
      </c>
      <c r="AG137" s="10">
        <f t="shared" si="82"/>
        <v>5500.0725000000002</v>
      </c>
      <c r="AH137" s="64">
        <f t="shared" si="58"/>
        <v>164.93400000000003</v>
      </c>
      <c r="AI137" s="9">
        <f t="shared" si="59"/>
        <v>79116.427500000005</v>
      </c>
      <c r="AJ137" s="5">
        <v>0.18</v>
      </c>
      <c r="AK137" s="11">
        <f t="shared" si="60"/>
        <v>14240.95695</v>
      </c>
      <c r="AL137" s="9">
        <f t="shared" si="61"/>
        <v>93357.384450000012</v>
      </c>
      <c r="AP137" s="12"/>
    </row>
    <row r="138" spans="1:42" x14ac:dyDescent="0.35">
      <c r="A138" s="71">
        <v>46189</v>
      </c>
      <c r="B138" s="72" t="s">
        <v>67</v>
      </c>
      <c r="C138" s="74">
        <v>1117.60000000063</v>
      </c>
      <c r="D138" s="74">
        <v>43184.077431367899</v>
      </c>
      <c r="E138" s="62" t="s">
        <v>68</v>
      </c>
      <c r="F138" s="73" t="s">
        <v>69</v>
      </c>
      <c r="G138" s="76" t="s">
        <v>132</v>
      </c>
      <c r="H138" s="73" t="s">
        <v>90</v>
      </c>
      <c r="I138" s="62" t="s">
        <v>250</v>
      </c>
      <c r="J138" s="55">
        <v>12</v>
      </c>
      <c r="K138" s="18">
        <v>14</v>
      </c>
      <c r="L138" s="18">
        <v>7</v>
      </c>
      <c r="M138" s="18">
        <v>6</v>
      </c>
      <c r="N138" s="8">
        <f t="shared" si="85"/>
        <v>27</v>
      </c>
      <c r="O138" s="20">
        <v>16</v>
      </c>
      <c r="P138" s="20">
        <v>20</v>
      </c>
      <c r="Q138" s="20">
        <v>21</v>
      </c>
      <c r="R138" s="8">
        <f t="shared" si="84"/>
        <v>57</v>
      </c>
      <c r="S138" s="18">
        <f t="shared" si="83"/>
        <v>96</v>
      </c>
      <c r="T138" s="18">
        <f t="shared" si="76"/>
        <v>1.4</v>
      </c>
      <c r="U138" s="18">
        <f t="shared" si="77"/>
        <v>0.7</v>
      </c>
      <c r="V138" s="18">
        <f t="shared" si="78"/>
        <v>0.6</v>
      </c>
      <c r="W138" s="8">
        <f t="shared" si="55"/>
        <v>2.7</v>
      </c>
      <c r="X138" s="18">
        <f t="shared" si="79"/>
        <v>1.6</v>
      </c>
      <c r="Y138" s="18">
        <f t="shared" si="80"/>
        <v>2</v>
      </c>
      <c r="Z138" s="18">
        <f t="shared" si="81"/>
        <v>2.1</v>
      </c>
      <c r="AA138" s="8">
        <f t="shared" si="56"/>
        <v>5.7</v>
      </c>
      <c r="AB138" s="8">
        <v>39.270000000000003</v>
      </c>
      <c r="AC138" s="8">
        <v>52.462499999999999</v>
      </c>
      <c r="AD138" s="8">
        <v>72.64</v>
      </c>
      <c r="AE138" s="9">
        <f t="shared" si="57"/>
        <v>8861.1674999999996</v>
      </c>
      <c r="AF138" s="21">
        <v>6.5000000000000002E-2</v>
      </c>
      <c r="AG138" s="10">
        <f t="shared" si="82"/>
        <v>575.9758875</v>
      </c>
      <c r="AH138" s="64">
        <f t="shared" si="58"/>
        <v>16.493400000000001</v>
      </c>
      <c r="AI138" s="9">
        <f t="shared" si="59"/>
        <v>8285.1916124999989</v>
      </c>
      <c r="AJ138" s="5">
        <v>0.18</v>
      </c>
      <c r="AK138" s="11">
        <f t="shared" si="60"/>
        <v>1491.3344902499998</v>
      </c>
      <c r="AL138" s="9">
        <f t="shared" si="61"/>
        <v>9776.5261027499982</v>
      </c>
      <c r="AP138" s="12"/>
    </row>
    <row r="139" spans="1:42" x14ac:dyDescent="0.35">
      <c r="A139" s="71">
        <v>46189</v>
      </c>
      <c r="B139" s="72" t="s">
        <v>67</v>
      </c>
      <c r="C139" s="74">
        <v>1118.22857142921</v>
      </c>
      <c r="D139" s="74">
        <v>43158.961435562502</v>
      </c>
      <c r="E139" s="62" t="s">
        <v>68</v>
      </c>
      <c r="F139" s="73" t="s">
        <v>69</v>
      </c>
      <c r="G139" s="76" t="s">
        <v>249</v>
      </c>
      <c r="H139" s="73" t="s">
        <v>90</v>
      </c>
      <c r="I139" s="62" t="s">
        <v>251</v>
      </c>
      <c r="J139" s="55">
        <v>12</v>
      </c>
      <c r="K139" s="20">
        <v>20</v>
      </c>
      <c r="L139" s="20">
        <v>12</v>
      </c>
      <c r="M139" s="20">
        <v>9</v>
      </c>
      <c r="N139" s="8">
        <f t="shared" si="85"/>
        <v>41</v>
      </c>
      <c r="O139" s="18">
        <v>40</v>
      </c>
      <c r="P139" s="20">
        <v>20</v>
      </c>
      <c r="Q139" s="20">
        <v>20</v>
      </c>
      <c r="R139" s="8">
        <f t="shared" si="84"/>
        <v>80</v>
      </c>
      <c r="S139" s="18">
        <f t="shared" si="83"/>
        <v>133</v>
      </c>
      <c r="T139" s="18">
        <f t="shared" si="76"/>
        <v>2</v>
      </c>
      <c r="U139" s="18">
        <f t="shared" si="77"/>
        <v>1.2</v>
      </c>
      <c r="V139" s="18">
        <f t="shared" si="78"/>
        <v>0.9</v>
      </c>
      <c r="W139" s="8">
        <f t="shared" si="55"/>
        <v>4.0999999999999996</v>
      </c>
      <c r="X139" s="18">
        <f t="shared" si="79"/>
        <v>4</v>
      </c>
      <c r="Y139" s="18">
        <f t="shared" si="80"/>
        <v>2</v>
      </c>
      <c r="Z139" s="18">
        <f t="shared" si="81"/>
        <v>2</v>
      </c>
      <c r="AA139" s="8">
        <f t="shared" si="56"/>
        <v>8</v>
      </c>
      <c r="AB139" s="8">
        <v>39.270000000000003</v>
      </c>
      <c r="AC139" s="8">
        <v>52.462499999999999</v>
      </c>
      <c r="AD139" s="8">
        <v>72.64</v>
      </c>
      <c r="AE139" s="9">
        <f t="shared" si="57"/>
        <v>12283.322500000002</v>
      </c>
      <c r="AF139" s="21">
        <v>6.5000000000000002E-2</v>
      </c>
      <c r="AG139" s="10">
        <f t="shared" si="82"/>
        <v>798.41596250000021</v>
      </c>
      <c r="AH139" s="64">
        <f t="shared" si="58"/>
        <v>16.493400000000001</v>
      </c>
      <c r="AI139" s="9">
        <f t="shared" si="59"/>
        <v>11484.906537500003</v>
      </c>
      <c r="AJ139" s="5">
        <v>0.18</v>
      </c>
      <c r="AK139" s="11">
        <f t="shared" si="60"/>
        <v>2067.2831767500006</v>
      </c>
      <c r="AL139" s="9">
        <f t="shared" si="61"/>
        <v>13552.189714250004</v>
      </c>
      <c r="AP139" s="12"/>
    </row>
    <row r="140" spans="1:42" x14ac:dyDescent="0.35">
      <c r="A140" s="71">
        <v>46189</v>
      </c>
      <c r="B140" s="72" t="s">
        <v>67</v>
      </c>
      <c r="C140" s="74">
        <v>1118.85714285779</v>
      </c>
      <c r="D140" s="74">
        <v>43133.845439757002</v>
      </c>
      <c r="E140" s="62" t="s">
        <v>68</v>
      </c>
      <c r="F140" s="73" t="s">
        <v>69</v>
      </c>
      <c r="G140" s="76" t="s">
        <v>154</v>
      </c>
      <c r="H140" s="73" t="s">
        <v>90</v>
      </c>
      <c r="I140" s="62" t="s">
        <v>252</v>
      </c>
      <c r="J140" s="55">
        <v>0</v>
      </c>
      <c r="K140" s="18">
        <v>20</v>
      </c>
      <c r="L140" s="18">
        <v>6</v>
      </c>
      <c r="M140" s="18">
        <v>12</v>
      </c>
      <c r="N140" s="8">
        <f t="shared" si="85"/>
        <v>38</v>
      </c>
      <c r="O140" s="18">
        <v>40</v>
      </c>
      <c r="P140" s="18">
        <v>21</v>
      </c>
      <c r="Q140" s="18">
        <v>60</v>
      </c>
      <c r="R140" s="8">
        <f t="shared" si="84"/>
        <v>121</v>
      </c>
      <c r="S140" s="18">
        <f t="shared" si="83"/>
        <v>159</v>
      </c>
      <c r="T140" s="18">
        <f t="shared" si="76"/>
        <v>2</v>
      </c>
      <c r="U140" s="18">
        <f t="shared" si="77"/>
        <v>0.6</v>
      </c>
      <c r="V140" s="18">
        <f t="shared" si="78"/>
        <v>1.2</v>
      </c>
      <c r="W140" s="8">
        <f t="shared" si="55"/>
        <v>3.8</v>
      </c>
      <c r="X140" s="18">
        <f t="shared" si="79"/>
        <v>4</v>
      </c>
      <c r="Y140" s="18">
        <f t="shared" si="80"/>
        <v>2.1</v>
      </c>
      <c r="Z140" s="18">
        <f t="shared" si="81"/>
        <v>6</v>
      </c>
      <c r="AA140" s="8">
        <f t="shared" si="56"/>
        <v>12.1</v>
      </c>
      <c r="AB140" s="8">
        <v>39.270000000000003</v>
      </c>
      <c r="AC140" s="8">
        <v>52.462499999999999</v>
      </c>
      <c r="AD140" s="8">
        <v>72.64</v>
      </c>
      <c r="AE140" s="9">
        <f t="shared" si="57"/>
        <v>13543.335000000001</v>
      </c>
      <c r="AF140" s="21">
        <v>6.5000000000000002E-2</v>
      </c>
      <c r="AG140" s="10">
        <f t="shared" si="82"/>
        <v>880.31677500000012</v>
      </c>
      <c r="AH140" s="64">
        <f t="shared" si="58"/>
        <v>0</v>
      </c>
      <c r="AI140" s="9">
        <f t="shared" si="59"/>
        <v>12663.018225000002</v>
      </c>
      <c r="AJ140" s="5">
        <v>0.18</v>
      </c>
      <c r="AK140" s="11">
        <f t="shared" si="60"/>
        <v>2279.3432805000002</v>
      </c>
      <c r="AL140" s="9">
        <f t="shared" si="61"/>
        <v>14942.361505500001</v>
      </c>
      <c r="AP140" s="12"/>
    </row>
    <row r="141" spans="1:42" x14ac:dyDescent="0.35">
      <c r="A141" s="71">
        <v>46189</v>
      </c>
      <c r="B141" s="72" t="s">
        <v>67</v>
      </c>
      <c r="C141" s="74">
        <v>1119.48571428637</v>
      </c>
      <c r="D141" s="74">
        <v>43108.729443951597</v>
      </c>
      <c r="E141" s="62" t="s">
        <v>68</v>
      </c>
      <c r="F141" s="73" t="s">
        <v>69</v>
      </c>
      <c r="G141" s="76" t="s">
        <v>253</v>
      </c>
      <c r="H141" s="73" t="s">
        <v>79</v>
      </c>
      <c r="I141" s="62" t="s">
        <v>257</v>
      </c>
      <c r="J141" s="55">
        <v>40</v>
      </c>
      <c r="K141" s="18">
        <v>10</v>
      </c>
      <c r="L141" s="18">
        <v>7</v>
      </c>
      <c r="M141" s="18">
        <v>20</v>
      </c>
      <c r="N141" s="8">
        <f t="shared" si="85"/>
        <v>37</v>
      </c>
      <c r="O141" s="20">
        <v>10</v>
      </c>
      <c r="P141" s="20">
        <v>0</v>
      </c>
      <c r="Q141" s="20">
        <v>5</v>
      </c>
      <c r="R141" s="8">
        <f t="shared" si="84"/>
        <v>15</v>
      </c>
      <c r="S141" s="18">
        <f t="shared" si="83"/>
        <v>92</v>
      </c>
      <c r="T141" s="18">
        <f t="shared" si="76"/>
        <v>1</v>
      </c>
      <c r="U141" s="18">
        <f t="shared" si="77"/>
        <v>0.7</v>
      </c>
      <c r="V141" s="18">
        <f t="shared" si="78"/>
        <v>2</v>
      </c>
      <c r="W141" s="8">
        <f t="shared" si="55"/>
        <v>3.7</v>
      </c>
      <c r="X141" s="18">
        <f t="shared" si="79"/>
        <v>1</v>
      </c>
      <c r="Y141" s="18">
        <f t="shared" si="80"/>
        <v>0</v>
      </c>
      <c r="Z141" s="18">
        <f t="shared" si="81"/>
        <v>0.5</v>
      </c>
      <c r="AA141" s="8">
        <f t="shared" si="56"/>
        <v>1.5</v>
      </c>
      <c r="AB141" s="8">
        <v>39.270000000000003</v>
      </c>
      <c r="AC141" s="8">
        <v>52.462499999999999</v>
      </c>
      <c r="AD141" s="8">
        <v>72.64</v>
      </c>
      <c r="AE141" s="9">
        <f t="shared" si="57"/>
        <v>10194.7925</v>
      </c>
      <c r="AF141" s="21">
        <v>6.5000000000000002E-2</v>
      </c>
      <c r="AG141" s="10">
        <f t="shared" si="82"/>
        <v>662.66151249999996</v>
      </c>
      <c r="AH141" s="64">
        <f t="shared" si="58"/>
        <v>54.978000000000009</v>
      </c>
      <c r="AI141" s="9">
        <f t="shared" si="59"/>
        <v>9532.1309874999988</v>
      </c>
      <c r="AJ141" s="5">
        <v>0.18</v>
      </c>
      <c r="AK141" s="11">
        <f t="shared" si="60"/>
        <v>1715.7835777499997</v>
      </c>
      <c r="AL141" s="9">
        <f t="shared" si="61"/>
        <v>11247.914565249999</v>
      </c>
      <c r="AP141" s="12"/>
    </row>
    <row r="142" spans="1:42" x14ac:dyDescent="0.35">
      <c r="A142" s="71">
        <v>46189</v>
      </c>
      <c r="B142" s="72" t="s">
        <v>67</v>
      </c>
      <c r="C142" s="74">
        <v>1120.11428571495</v>
      </c>
      <c r="D142" s="74">
        <v>43083.6134481462</v>
      </c>
      <c r="E142" s="62" t="s">
        <v>68</v>
      </c>
      <c r="F142" s="73" t="s">
        <v>69</v>
      </c>
      <c r="G142" s="76" t="s">
        <v>254</v>
      </c>
      <c r="H142" s="73" t="s">
        <v>79</v>
      </c>
      <c r="I142" s="62" t="s">
        <v>257</v>
      </c>
      <c r="J142" s="55">
        <v>40</v>
      </c>
      <c r="K142" s="20">
        <v>10</v>
      </c>
      <c r="L142" s="20">
        <v>18</v>
      </c>
      <c r="M142" s="20">
        <v>20</v>
      </c>
      <c r="N142" s="8">
        <f t="shared" si="85"/>
        <v>48</v>
      </c>
      <c r="O142" s="18">
        <v>10</v>
      </c>
      <c r="P142" s="18">
        <v>0</v>
      </c>
      <c r="Q142" s="18">
        <v>5</v>
      </c>
      <c r="R142" s="8">
        <f t="shared" si="84"/>
        <v>15</v>
      </c>
      <c r="S142" s="18">
        <f t="shared" si="83"/>
        <v>103</v>
      </c>
      <c r="T142" s="18">
        <f t="shared" si="76"/>
        <v>1</v>
      </c>
      <c r="U142" s="18">
        <f t="shared" si="77"/>
        <v>1.8</v>
      </c>
      <c r="V142" s="18">
        <f t="shared" si="78"/>
        <v>2</v>
      </c>
      <c r="W142" s="8">
        <f t="shared" ref="W142:W205" si="86">N142/10</f>
        <v>4.8</v>
      </c>
      <c r="X142" s="18">
        <f t="shared" si="79"/>
        <v>1</v>
      </c>
      <c r="Y142" s="18">
        <f t="shared" si="80"/>
        <v>0</v>
      </c>
      <c r="Z142" s="18">
        <f t="shared" si="81"/>
        <v>0.5</v>
      </c>
      <c r="AA142" s="8">
        <f t="shared" ref="AA142:AA205" si="87">R142/10</f>
        <v>1.5</v>
      </c>
      <c r="AB142" s="8">
        <v>39.270000000000003</v>
      </c>
      <c r="AC142" s="8">
        <v>52.462499999999999</v>
      </c>
      <c r="AD142" s="8">
        <v>72.64</v>
      </c>
      <c r="AE142" s="9">
        <f t="shared" ref="AE142:AE205" si="88">(J142*AB142)+(N142*AC142)+(AD142*S142)</f>
        <v>11570.92</v>
      </c>
      <c r="AF142" s="21">
        <v>6.5000000000000002E-2</v>
      </c>
      <c r="AG142" s="10">
        <f t="shared" si="82"/>
        <v>752.10980000000006</v>
      </c>
      <c r="AH142" s="64">
        <f t="shared" ref="AH142:AH205" si="89">(AB142*J142)*$AH$1</f>
        <v>54.978000000000009</v>
      </c>
      <c r="AI142" s="9">
        <f t="shared" ref="AI142:AI205" si="90">AE142-AG142</f>
        <v>10818.8102</v>
      </c>
      <c r="AJ142" s="5">
        <v>0.18</v>
      </c>
      <c r="AK142" s="11">
        <f t="shared" ref="AK142:AK205" si="91">AI142*AJ142</f>
        <v>1947.3858359999999</v>
      </c>
      <c r="AL142" s="9">
        <f t="shared" ref="AL142:AL205" si="92">AI142+AK142</f>
        <v>12766.196035999999</v>
      </c>
      <c r="AP142" s="12"/>
    </row>
    <row r="143" spans="1:42" x14ac:dyDescent="0.35">
      <c r="A143" s="71">
        <v>46189</v>
      </c>
      <c r="B143" s="72" t="s">
        <v>67</v>
      </c>
      <c r="C143" s="74">
        <v>1120.74285714353</v>
      </c>
      <c r="D143" s="74">
        <v>43058.497452340802</v>
      </c>
      <c r="E143" s="62" t="s">
        <v>68</v>
      </c>
      <c r="F143" s="73" t="s">
        <v>69</v>
      </c>
      <c r="G143" s="76" t="s">
        <v>255</v>
      </c>
      <c r="H143" s="73" t="s">
        <v>79</v>
      </c>
      <c r="I143" s="62" t="s">
        <v>257</v>
      </c>
      <c r="J143" s="55">
        <v>20</v>
      </c>
      <c r="K143" s="18">
        <v>10</v>
      </c>
      <c r="L143" s="18">
        <v>10</v>
      </c>
      <c r="M143" s="20">
        <v>12</v>
      </c>
      <c r="N143" s="8">
        <f t="shared" si="85"/>
        <v>32</v>
      </c>
      <c r="O143" s="18">
        <v>0</v>
      </c>
      <c r="P143" s="20">
        <v>10</v>
      </c>
      <c r="Q143" s="18">
        <v>0</v>
      </c>
      <c r="R143" s="8">
        <f t="shared" si="84"/>
        <v>10</v>
      </c>
      <c r="S143" s="18">
        <f t="shared" si="83"/>
        <v>62</v>
      </c>
      <c r="T143" s="18">
        <f t="shared" si="76"/>
        <v>1</v>
      </c>
      <c r="U143" s="18">
        <f t="shared" si="77"/>
        <v>1</v>
      </c>
      <c r="V143" s="18">
        <f t="shared" si="78"/>
        <v>1.2</v>
      </c>
      <c r="W143" s="8">
        <f t="shared" si="86"/>
        <v>3.2</v>
      </c>
      <c r="X143" s="18">
        <f t="shared" si="79"/>
        <v>0</v>
      </c>
      <c r="Y143" s="18">
        <f t="shared" si="80"/>
        <v>1</v>
      </c>
      <c r="Z143" s="18">
        <f t="shared" si="81"/>
        <v>0</v>
      </c>
      <c r="AA143" s="8">
        <f t="shared" si="87"/>
        <v>1</v>
      </c>
      <c r="AB143" s="8">
        <v>39.270000000000003</v>
      </c>
      <c r="AC143" s="8">
        <v>52.462499999999999</v>
      </c>
      <c r="AD143" s="8">
        <v>72.64</v>
      </c>
      <c r="AE143" s="9">
        <f t="shared" si="88"/>
        <v>6967.88</v>
      </c>
      <c r="AF143" s="21">
        <v>6.5000000000000002E-2</v>
      </c>
      <c r="AG143" s="10">
        <f t="shared" si="82"/>
        <v>452.91220000000004</v>
      </c>
      <c r="AH143" s="64">
        <f t="shared" si="89"/>
        <v>27.489000000000004</v>
      </c>
      <c r="AI143" s="9">
        <f t="shared" si="90"/>
        <v>6514.9678000000004</v>
      </c>
      <c r="AJ143" s="5">
        <v>0.18</v>
      </c>
      <c r="AK143" s="11">
        <f t="shared" si="91"/>
        <v>1172.6942040000001</v>
      </c>
      <c r="AL143" s="9">
        <f t="shared" si="92"/>
        <v>7687.6620040000007</v>
      </c>
      <c r="AP143" s="12"/>
    </row>
    <row r="144" spans="1:42" x14ac:dyDescent="0.35">
      <c r="A144" s="71">
        <v>46189</v>
      </c>
      <c r="B144" s="72" t="s">
        <v>67</v>
      </c>
      <c r="C144" s="74">
        <v>1121.3714285721101</v>
      </c>
      <c r="D144" s="74">
        <v>43033.381456535302</v>
      </c>
      <c r="E144" s="62" t="s">
        <v>68</v>
      </c>
      <c r="F144" s="73" t="s">
        <v>69</v>
      </c>
      <c r="G144" s="76" t="s">
        <v>256</v>
      </c>
      <c r="H144" s="73" t="s">
        <v>79</v>
      </c>
      <c r="I144" s="62" t="s">
        <v>257</v>
      </c>
      <c r="J144" s="55">
        <v>14</v>
      </c>
      <c r="K144" s="20">
        <v>10</v>
      </c>
      <c r="L144" s="20">
        <v>10</v>
      </c>
      <c r="M144" s="20">
        <v>4</v>
      </c>
      <c r="N144" s="8">
        <f t="shared" si="85"/>
        <v>24</v>
      </c>
      <c r="O144" s="18">
        <v>0</v>
      </c>
      <c r="P144" s="18">
        <v>0</v>
      </c>
      <c r="Q144" s="20">
        <v>0</v>
      </c>
      <c r="R144" s="8">
        <f t="shared" si="84"/>
        <v>0</v>
      </c>
      <c r="S144" s="18">
        <f t="shared" si="83"/>
        <v>38</v>
      </c>
      <c r="T144" s="18">
        <f t="shared" si="76"/>
        <v>1</v>
      </c>
      <c r="U144" s="18">
        <f t="shared" si="77"/>
        <v>1</v>
      </c>
      <c r="V144" s="18">
        <f t="shared" si="78"/>
        <v>0.4</v>
      </c>
      <c r="W144" s="8">
        <f t="shared" si="86"/>
        <v>2.4</v>
      </c>
      <c r="X144" s="18">
        <f t="shared" si="79"/>
        <v>0</v>
      </c>
      <c r="Y144" s="18">
        <f t="shared" si="80"/>
        <v>0</v>
      </c>
      <c r="Z144" s="18">
        <f t="shared" si="81"/>
        <v>0</v>
      </c>
      <c r="AA144" s="8">
        <f t="shared" si="87"/>
        <v>0</v>
      </c>
      <c r="AB144" s="8">
        <v>39.270000000000003</v>
      </c>
      <c r="AC144" s="8">
        <v>52.462499999999999</v>
      </c>
      <c r="AD144" s="8">
        <v>72.64</v>
      </c>
      <c r="AE144" s="9">
        <f t="shared" si="88"/>
        <v>4569.2000000000007</v>
      </c>
      <c r="AF144" s="21">
        <v>6.5000000000000002E-2</v>
      </c>
      <c r="AG144" s="10">
        <f t="shared" si="82"/>
        <v>296.99800000000005</v>
      </c>
      <c r="AH144" s="64">
        <f t="shared" si="89"/>
        <v>19.242300000000004</v>
      </c>
      <c r="AI144" s="9">
        <f t="shared" si="90"/>
        <v>4272.2020000000011</v>
      </c>
      <c r="AJ144" s="5">
        <v>0.18</v>
      </c>
      <c r="AK144" s="11">
        <f t="shared" si="91"/>
        <v>768.99636000000021</v>
      </c>
      <c r="AL144" s="9">
        <f t="shared" si="92"/>
        <v>5041.1983600000012</v>
      </c>
      <c r="AP144" s="12"/>
    </row>
    <row r="145" spans="1:42" x14ac:dyDescent="0.35">
      <c r="A145" s="71">
        <v>46189</v>
      </c>
      <c r="B145" s="72" t="s">
        <v>67</v>
      </c>
      <c r="C145" s="74">
        <v>1122.0000000006901</v>
      </c>
      <c r="D145" s="74">
        <v>43008.265460729897</v>
      </c>
      <c r="E145" s="62" t="s">
        <v>68</v>
      </c>
      <c r="F145" s="73" t="s">
        <v>69</v>
      </c>
      <c r="G145" s="76" t="s">
        <v>258</v>
      </c>
      <c r="H145" s="73" t="s">
        <v>89</v>
      </c>
      <c r="I145" s="62" t="s">
        <v>265</v>
      </c>
      <c r="J145" s="55">
        <v>20</v>
      </c>
      <c r="K145" s="18">
        <v>40</v>
      </c>
      <c r="L145" s="18">
        <v>40</v>
      </c>
      <c r="M145" s="18">
        <v>0</v>
      </c>
      <c r="N145" s="8">
        <f t="shared" si="85"/>
        <v>80</v>
      </c>
      <c r="O145" s="18">
        <v>80</v>
      </c>
      <c r="P145" s="18">
        <v>30</v>
      </c>
      <c r="Q145" s="18">
        <v>40</v>
      </c>
      <c r="R145" s="8">
        <f t="shared" si="84"/>
        <v>150</v>
      </c>
      <c r="S145" s="18">
        <f t="shared" si="83"/>
        <v>250</v>
      </c>
      <c r="T145" s="18">
        <f t="shared" si="76"/>
        <v>4</v>
      </c>
      <c r="U145" s="18">
        <f t="shared" si="77"/>
        <v>4</v>
      </c>
      <c r="V145" s="18">
        <f t="shared" si="78"/>
        <v>0</v>
      </c>
      <c r="W145" s="8">
        <f t="shared" si="86"/>
        <v>8</v>
      </c>
      <c r="X145" s="18">
        <f t="shared" si="79"/>
        <v>8</v>
      </c>
      <c r="Y145" s="18">
        <f t="shared" si="80"/>
        <v>3</v>
      </c>
      <c r="Z145" s="18">
        <f t="shared" si="81"/>
        <v>4</v>
      </c>
      <c r="AA145" s="8">
        <f t="shared" si="87"/>
        <v>15</v>
      </c>
      <c r="AB145" s="8">
        <v>39.270000000000003</v>
      </c>
      <c r="AC145" s="8">
        <v>52.462499999999999</v>
      </c>
      <c r="AD145" s="8">
        <v>72.64</v>
      </c>
      <c r="AE145" s="9">
        <f t="shared" si="88"/>
        <v>23142.400000000001</v>
      </c>
      <c r="AF145" s="21">
        <v>6.5000000000000002E-2</v>
      </c>
      <c r="AG145" s="10">
        <f t="shared" si="82"/>
        <v>1504.2560000000001</v>
      </c>
      <c r="AH145" s="64">
        <f t="shared" si="89"/>
        <v>27.489000000000004</v>
      </c>
      <c r="AI145" s="9">
        <f t="shared" si="90"/>
        <v>21638.144</v>
      </c>
      <c r="AJ145" s="5">
        <v>0.18</v>
      </c>
      <c r="AK145" s="11">
        <f t="shared" si="91"/>
        <v>3894.8659199999997</v>
      </c>
      <c r="AL145" s="9">
        <f t="shared" si="92"/>
        <v>25533.00992</v>
      </c>
      <c r="AP145" s="12"/>
    </row>
    <row r="146" spans="1:42" x14ac:dyDescent="0.35">
      <c r="A146" s="71">
        <v>46189</v>
      </c>
      <c r="B146" s="72" t="s">
        <v>67</v>
      </c>
      <c r="C146" s="74">
        <v>1122.6285714292701</v>
      </c>
      <c r="D146" s="74">
        <v>42983.1494649245</v>
      </c>
      <c r="E146" s="62" t="s">
        <v>68</v>
      </c>
      <c r="F146" s="73" t="s">
        <v>69</v>
      </c>
      <c r="G146" s="76" t="s">
        <v>259</v>
      </c>
      <c r="H146" s="73" t="s">
        <v>89</v>
      </c>
      <c r="I146" s="62" t="s">
        <v>265</v>
      </c>
      <c r="J146" s="55">
        <v>10</v>
      </c>
      <c r="K146" s="18">
        <v>40</v>
      </c>
      <c r="L146" s="20">
        <v>20</v>
      </c>
      <c r="M146" s="20">
        <v>20</v>
      </c>
      <c r="N146" s="8">
        <f t="shared" si="85"/>
        <v>80</v>
      </c>
      <c r="O146" s="18">
        <v>40</v>
      </c>
      <c r="P146" s="18">
        <v>20</v>
      </c>
      <c r="Q146" s="18">
        <v>80</v>
      </c>
      <c r="R146" s="8">
        <f t="shared" si="84"/>
        <v>140</v>
      </c>
      <c r="S146" s="18">
        <f t="shared" si="83"/>
        <v>230</v>
      </c>
      <c r="T146" s="18">
        <f t="shared" si="76"/>
        <v>4</v>
      </c>
      <c r="U146" s="18">
        <f t="shared" si="77"/>
        <v>2</v>
      </c>
      <c r="V146" s="18">
        <f t="shared" si="78"/>
        <v>2</v>
      </c>
      <c r="W146" s="8">
        <f t="shared" si="86"/>
        <v>8</v>
      </c>
      <c r="X146" s="18">
        <f t="shared" si="79"/>
        <v>4</v>
      </c>
      <c r="Y146" s="18">
        <f t="shared" si="80"/>
        <v>2</v>
      </c>
      <c r="Z146" s="18">
        <f t="shared" si="81"/>
        <v>8</v>
      </c>
      <c r="AA146" s="8">
        <f t="shared" si="87"/>
        <v>14</v>
      </c>
      <c r="AB146" s="8">
        <v>39.270000000000003</v>
      </c>
      <c r="AC146" s="8">
        <v>52.462499999999999</v>
      </c>
      <c r="AD146" s="8">
        <v>72.64</v>
      </c>
      <c r="AE146" s="9">
        <f t="shared" si="88"/>
        <v>21296.9</v>
      </c>
      <c r="AF146" s="21">
        <v>6.5000000000000002E-2</v>
      </c>
      <c r="AG146" s="10">
        <f t="shared" si="82"/>
        <v>1384.2985000000001</v>
      </c>
      <c r="AH146" s="64">
        <f t="shared" si="89"/>
        <v>13.744500000000002</v>
      </c>
      <c r="AI146" s="9">
        <f t="shared" si="90"/>
        <v>19912.601500000001</v>
      </c>
      <c r="AJ146" s="5">
        <v>0.18</v>
      </c>
      <c r="AK146" s="11">
        <f t="shared" si="91"/>
        <v>3584.26827</v>
      </c>
      <c r="AL146" s="9">
        <f t="shared" si="92"/>
        <v>23496.869770000001</v>
      </c>
      <c r="AP146" s="12"/>
    </row>
    <row r="147" spans="1:42" x14ac:dyDescent="0.35">
      <c r="A147" s="71">
        <v>46189</v>
      </c>
      <c r="B147" s="72" t="s">
        <v>67</v>
      </c>
      <c r="C147" s="74">
        <v>1123.2571428578501</v>
      </c>
      <c r="D147" s="74">
        <v>42958.033469119</v>
      </c>
      <c r="E147" s="62" t="s">
        <v>68</v>
      </c>
      <c r="F147" s="73" t="s">
        <v>69</v>
      </c>
      <c r="G147" s="76" t="s">
        <v>260</v>
      </c>
      <c r="H147" s="73" t="s">
        <v>89</v>
      </c>
      <c r="I147" s="62" t="s">
        <v>265</v>
      </c>
      <c r="J147" s="55">
        <v>30</v>
      </c>
      <c r="K147" s="20">
        <v>40</v>
      </c>
      <c r="L147" s="20">
        <v>40</v>
      </c>
      <c r="M147" s="20">
        <v>20</v>
      </c>
      <c r="N147" s="8">
        <f t="shared" si="85"/>
        <v>100</v>
      </c>
      <c r="O147" s="18">
        <v>30</v>
      </c>
      <c r="P147" s="20">
        <v>40</v>
      </c>
      <c r="Q147" s="20">
        <v>40</v>
      </c>
      <c r="R147" s="8">
        <f t="shared" si="84"/>
        <v>110</v>
      </c>
      <c r="S147" s="18">
        <f t="shared" si="83"/>
        <v>240</v>
      </c>
      <c r="T147" s="18">
        <f t="shared" si="76"/>
        <v>4</v>
      </c>
      <c r="U147" s="18">
        <f t="shared" si="77"/>
        <v>4</v>
      </c>
      <c r="V147" s="18">
        <f t="shared" si="78"/>
        <v>2</v>
      </c>
      <c r="W147" s="8">
        <f t="shared" si="86"/>
        <v>10</v>
      </c>
      <c r="X147" s="18">
        <f t="shared" si="79"/>
        <v>3</v>
      </c>
      <c r="Y147" s="18">
        <f t="shared" si="80"/>
        <v>4</v>
      </c>
      <c r="Z147" s="18">
        <f t="shared" si="81"/>
        <v>4</v>
      </c>
      <c r="AA147" s="8">
        <f t="shared" si="87"/>
        <v>11</v>
      </c>
      <c r="AB147" s="8">
        <v>39.270000000000003</v>
      </c>
      <c r="AC147" s="8">
        <v>52.462499999999999</v>
      </c>
      <c r="AD147" s="8">
        <v>72.64</v>
      </c>
      <c r="AE147" s="9">
        <f t="shared" si="88"/>
        <v>23857.949999999997</v>
      </c>
      <c r="AF147" s="21">
        <v>6.5000000000000002E-2</v>
      </c>
      <c r="AG147" s="10">
        <f t="shared" si="82"/>
        <v>1550.7667499999998</v>
      </c>
      <c r="AH147" s="64">
        <f t="shared" si="89"/>
        <v>41.233500000000006</v>
      </c>
      <c r="AI147" s="9">
        <f t="shared" si="90"/>
        <v>22307.183249999998</v>
      </c>
      <c r="AJ147" s="5">
        <v>0.18</v>
      </c>
      <c r="AK147" s="11">
        <f t="shared" si="91"/>
        <v>4015.2929849999996</v>
      </c>
      <c r="AL147" s="9">
        <f t="shared" si="92"/>
        <v>26322.476234999998</v>
      </c>
      <c r="AP147" s="12"/>
    </row>
    <row r="148" spans="1:42" x14ac:dyDescent="0.35">
      <c r="A148" s="71">
        <v>46189</v>
      </c>
      <c r="B148" s="72" t="s">
        <v>67</v>
      </c>
      <c r="C148" s="74">
        <v>1123.8857142864299</v>
      </c>
      <c r="D148" s="74">
        <v>42932.917473313602</v>
      </c>
      <c r="E148" s="62" t="s">
        <v>68</v>
      </c>
      <c r="F148" s="73" t="s">
        <v>69</v>
      </c>
      <c r="G148" s="76" t="s">
        <v>261</v>
      </c>
      <c r="H148" s="73" t="s">
        <v>89</v>
      </c>
      <c r="I148" s="62" t="s">
        <v>265</v>
      </c>
      <c r="J148" s="55">
        <v>20</v>
      </c>
      <c r="K148" s="18">
        <v>20</v>
      </c>
      <c r="L148" s="20">
        <v>40</v>
      </c>
      <c r="M148" s="18">
        <v>0</v>
      </c>
      <c r="N148" s="8">
        <f t="shared" si="85"/>
        <v>60</v>
      </c>
      <c r="O148" s="18">
        <v>20</v>
      </c>
      <c r="P148" s="18">
        <v>40</v>
      </c>
      <c r="Q148" s="20">
        <v>80</v>
      </c>
      <c r="R148" s="8">
        <f t="shared" si="84"/>
        <v>140</v>
      </c>
      <c r="S148" s="18">
        <f t="shared" si="83"/>
        <v>220</v>
      </c>
      <c r="T148" s="18">
        <f t="shared" si="76"/>
        <v>2</v>
      </c>
      <c r="U148" s="18">
        <f t="shared" si="77"/>
        <v>4</v>
      </c>
      <c r="V148" s="18">
        <f t="shared" si="78"/>
        <v>0</v>
      </c>
      <c r="W148" s="8">
        <f t="shared" si="86"/>
        <v>6</v>
      </c>
      <c r="X148" s="18">
        <f t="shared" si="79"/>
        <v>2</v>
      </c>
      <c r="Y148" s="18">
        <f t="shared" si="80"/>
        <v>4</v>
      </c>
      <c r="Z148" s="18">
        <f t="shared" si="81"/>
        <v>8</v>
      </c>
      <c r="AA148" s="8">
        <f t="shared" si="87"/>
        <v>14</v>
      </c>
      <c r="AB148" s="8">
        <v>39.270000000000003</v>
      </c>
      <c r="AC148" s="8">
        <v>52.462499999999999</v>
      </c>
      <c r="AD148" s="8">
        <v>72.64</v>
      </c>
      <c r="AE148" s="9">
        <f t="shared" si="88"/>
        <v>19913.95</v>
      </c>
      <c r="AF148" s="21">
        <v>6.5000000000000002E-2</v>
      </c>
      <c r="AG148" s="10">
        <f t="shared" si="82"/>
        <v>1294.4067500000001</v>
      </c>
      <c r="AH148" s="64">
        <f t="shared" si="89"/>
        <v>27.489000000000004</v>
      </c>
      <c r="AI148" s="9">
        <f t="shared" si="90"/>
        <v>18619.543250000002</v>
      </c>
      <c r="AJ148" s="5">
        <v>0.18</v>
      </c>
      <c r="AK148" s="11">
        <f t="shared" si="91"/>
        <v>3351.5177850000005</v>
      </c>
      <c r="AL148" s="9">
        <f t="shared" si="92"/>
        <v>21971.061035000002</v>
      </c>
      <c r="AP148" s="12"/>
    </row>
    <row r="149" spans="1:42" x14ac:dyDescent="0.35">
      <c r="A149" s="71">
        <v>46189</v>
      </c>
      <c r="B149" s="72" t="s">
        <v>67</v>
      </c>
      <c r="C149" s="74">
        <v>1124.5142857150099</v>
      </c>
      <c r="D149" s="74">
        <v>42907.801477508197</v>
      </c>
      <c r="E149" s="62" t="s">
        <v>68</v>
      </c>
      <c r="F149" s="73" t="s">
        <v>69</v>
      </c>
      <c r="G149" s="76" t="s">
        <v>262</v>
      </c>
      <c r="H149" s="73" t="s">
        <v>89</v>
      </c>
      <c r="I149" s="62" t="s">
        <v>265</v>
      </c>
      <c r="J149" s="55">
        <v>20</v>
      </c>
      <c r="K149" s="20">
        <v>20</v>
      </c>
      <c r="L149" s="20">
        <v>60</v>
      </c>
      <c r="M149" s="20">
        <v>20</v>
      </c>
      <c r="N149" s="8">
        <f t="shared" si="85"/>
        <v>100</v>
      </c>
      <c r="O149" s="18">
        <v>40</v>
      </c>
      <c r="P149" s="18">
        <v>40</v>
      </c>
      <c r="Q149" s="18">
        <v>120</v>
      </c>
      <c r="R149" s="8">
        <f t="shared" si="84"/>
        <v>200</v>
      </c>
      <c r="S149" s="18">
        <f t="shared" si="83"/>
        <v>320</v>
      </c>
      <c r="T149" s="18">
        <f t="shared" si="76"/>
        <v>2</v>
      </c>
      <c r="U149" s="18">
        <f t="shared" si="77"/>
        <v>6</v>
      </c>
      <c r="V149" s="18">
        <f t="shared" si="78"/>
        <v>2</v>
      </c>
      <c r="W149" s="8">
        <f t="shared" si="86"/>
        <v>10</v>
      </c>
      <c r="X149" s="18">
        <f t="shared" si="79"/>
        <v>4</v>
      </c>
      <c r="Y149" s="18">
        <f t="shared" si="80"/>
        <v>4</v>
      </c>
      <c r="Z149" s="18">
        <f t="shared" si="81"/>
        <v>12</v>
      </c>
      <c r="AA149" s="8">
        <f t="shared" si="87"/>
        <v>20</v>
      </c>
      <c r="AB149" s="8">
        <v>39.270000000000003</v>
      </c>
      <c r="AC149" s="8">
        <v>52.462499999999999</v>
      </c>
      <c r="AD149" s="8">
        <v>72.64</v>
      </c>
      <c r="AE149" s="9">
        <f t="shared" si="88"/>
        <v>29276.449999999997</v>
      </c>
      <c r="AF149" s="21">
        <v>6.5000000000000002E-2</v>
      </c>
      <c r="AG149" s="10">
        <f t="shared" si="82"/>
        <v>1902.9692499999999</v>
      </c>
      <c r="AH149" s="64">
        <f t="shared" si="89"/>
        <v>27.489000000000004</v>
      </c>
      <c r="AI149" s="9">
        <f t="shared" si="90"/>
        <v>27373.480749999999</v>
      </c>
      <c r="AJ149" s="5">
        <v>0.18</v>
      </c>
      <c r="AK149" s="11">
        <f t="shared" si="91"/>
        <v>4927.2265349999998</v>
      </c>
      <c r="AL149" s="9">
        <f t="shared" si="92"/>
        <v>32300.707284999997</v>
      </c>
      <c r="AP149" s="12"/>
    </row>
    <row r="150" spans="1:42" x14ac:dyDescent="0.35">
      <c r="A150" s="71">
        <v>46189</v>
      </c>
      <c r="B150" s="72" t="s">
        <v>67</v>
      </c>
      <c r="C150" s="74">
        <v>1125.1428571435899</v>
      </c>
      <c r="D150" s="74">
        <v>42882.685481702698</v>
      </c>
      <c r="E150" s="62" t="s">
        <v>68</v>
      </c>
      <c r="F150" s="73" t="s">
        <v>69</v>
      </c>
      <c r="G150" s="76" t="s">
        <v>263</v>
      </c>
      <c r="H150" s="73" t="s">
        <v>89</v>
      </c>
      <c r="I150" s="62" t="s">
        <v>265</v>
      </c>
      <c r="J150" s="55">
        <v>10</v>
      </c>
      <c r="K150" s="20">
        <v>40</v>
      </c>
      <c r="L150" s="20">
        <v>20</v>
      </c>
      <c r="M150" s="20">
        <v>0</v>
      </c>
      <c r="N150" s="8">
        <f t="shared" si="85"/>
        <v>60</v>
      </c>
      <c r="O150" s="18">
        <v>40</v>
      </c>
      <c r="P150" s="18">
        <v>40</v>
      </c>
      <c r="Q150" s="20">
        <v>40</v>
      </c>
      <c r="R150" s="8">
        <f t="shared" si="84"/>
        <v>120</v>
      </c>
      <c r="S150" s="18">
        <f t="shared" si="83"/>
        <v>190</v>
      </c>
      <c r="T150" s="18">
        <f t="shared" si="76"/>
        <v>4</v>
      </c>
      <c r="U150" s="18">
        <f t="shared" si="77"/>
        <v>2</v>
      </c>
      <c r="V150" s="18">
        <f t="shared" si="78"/>
        <v>0</v>
      </c>
      <c r="W150" s="8">
        <f t="shared" si="86"/>
        <v>6</v>
      </c>
      <c r="X150" s="18">
        <f t="shared" si="79"/>
        <v>4</v>
      </c>
      <c r="Y150" s="18">
        <f t="shared" si="80"/>
        <v>4</v>
      </c>
      <c r="Z150" s="18">
        <f t="shared" si="81"/>
        <v>4</v>
      </c>
      <c r="AA150" s="8">
        <f t="shared" si="87"/>
        <v>12</v>
      </c>
      <c r="AB150" s="8">
        <v>39.270000000000003</v>
      </c>
      <c r="AC150" s="8">
        <v>52.462499999999999</v>
      </c>
      <c r="AD150" s="8">
        <v>72.64</v>
      </c>
      <c r="AE150" s="9">
        <f t="shared" si="88"/>
        <v>17342.05</v>
      </c>
      <c r="AF150" s="21">
        <v>6.5000000000000002E-2</v>
      </c>
      <c r="AG150" s="10">
        <f t="shared" si="82"/>
        <v>1127.23325</v>
      </c>
      <c r="AH150" s="64">
        <f t="shared" si="89"/>
        <v>13.744500000000002</v>
      </c>
      <c r="AI150" s="9">
        <f t="shared" si="90"/>
        <v>16214.81675</v>
      </c>
      <c r="AJ150" s="5">
        <v>0.18</v>
      </c>
      <c r="AK150" s="11">
        <f t="shared" si="91"/>
        <v>2918.667015</v>
      </c>
      <c r="AL150" s="9">
        <f t="shared" si="92"/>
        <v>19133.483765000001</v>
      </c>
      <c r="AP150" s="12"/>
    </row>
    <row r="151" spans="1:42" x14ac:dyDescent="0.35">
      <c r="A151" s="71">
        <v>46189</v>
      </c>
      <c r="B151" s="72" t="s">
        <v>67</v>
      </c>
      <c r="C151" s="74">
        <v>1125.77142857217</v>
      </c>
      <c r="D151" s="74">
        <v>42857.5694858973</v>
      </c>
      <c r="E151" s="62" t="s">
        <v>68</v>
      </c>
      <c r="F151" s="73" t="s">
        <v>69</v>
      </c>
      <c r="G151" s="76" t="s">
        <v>264</v>
      </c>
      <c r="H151" s="73" t="s">
        <v>89</v>
      </c>
      <c r="I151" s="62" t="s">
        <v>265</v>
      </c>
      <c r="J151" s="55">
        <v>10</v>
      </c>
      <c r="K151" s="18">
        <v>20</v>
      </c>
      <c r="L151" s="18">
        <v>20</v>
      </c>
      <c r="M151" s="18">
        <v>20</v>
      </c>
      <c r="N151" s="8">
        <f t="shared" si="85"/>
        <v>60</v>
      </c>
      <c r="O151" s="18">
        <v>45</v>
      </c>
      <c r="P151" s="18">
        <v>40</v>
      </c>
      <c r="Q151" s="18">
        <v>15</v>
      </c>
      <c r="R151" s="8">
        <f t="shared" si="84"/>
        <v>100</v>
      </c>
      <c r="S151" s="18">
        <f t="shared" si="83"/>
        <v>170</v>
      </c>
      <c r="T151" s="18">
        <f t="shared" si="76"/>
        <v>2</v>
      </c>
      <c r="U151" s="18">
        <f t="shared" si="77"/>
        <v>2</v>
      </c>
      <c r="V151" s="18">
        <f t="shared" si="78"/>
        <v>2</v>
      </c>
      <c r="W151" s="8">
        <f t="shared" si="86"/>
        <v>6</v>
      </c>
      <c r="X151" s="18">
        <f t="shared" si="79"/>
        <v>4.5</v>
      </c>
      <c r="Y151" s="18">
        <f t="shared" si="80"/>
        <v>4</v>
      </c>
      <c r="Z151" s="18">
        <f t="shared" si="81"/>
        <v>1.5</v>
      </c>
      <c r="AA151" s="8">
        <f t="shared" si="87"/>
        <v>10</v>
      </c>
      <c r="AB151" s="8">
        <v>39.270000000000003</v>
      </c>
      <c r="AC151" s="8">
        <v>52.462499999999999</v>
      </c>
      <c r="AD151" s="8">
        <v>72.64</v>
      </c>
      <c r="AE151" s="9">
        <f t="shared" si="88"/>
        <v>15889.25</v>
      </c>
      <c r="AF151" s="21">
        <v>6.5000000000000002E-2</v>
      </c>
      <c r="AG151" s="10">
        <f t="shared" si="82"/>
        <v>1032.80125</v>
      </c>
      <c r="AH151" s="64">
        <f t="shared" si="89"/>
        <v>13.744500000000002</v>
      </c>
      <c r="AI151" s="9">
        <f t="shared" si="90"/>
        <v>14856.44875</v>
      </c>
      <c r="AJ151" s="5">
        <v>0.18</v>
      </c>
      <c r="AK151" s="11">
        <f t="shared" si="91"/>
        <v>2674.1607749999998</v>
      </c>
      <c r="AL151" s="9">
        <f t="shared" si="92"/>
        <v>17530.609525</v>
      </c>
      <c r="AP151" s="12"/>
    </row>
    <row r="152" spans="1:42" x14ac:dyDescent="0.35">
      <c r="A152" s="71">
        <v>46190</v>
      </c>
      <c r="B152" s="72" t="s">
        <v>67</v>
      </c>
      <c r="C152" s="74">
        <v>1126.40000000075</v>
      </c>
      <c r="D152" s="74">
        <v>42832.453490091902</v>
      </c>
      <c r="E152" s="62" t="s">
        <v>68</v>
      </c>
      <c r="F152" s="73" t="s">
        <v>69</v>
      </c>
      <c r="G152" s="76" t="s">
        <v>267</v>
      </c>
      <c r="H152" s="73" t="s">
        <v>90</v>
      </c>
      <c r="I152" s="62" t="s">
        <v>269</v>
      </c>
      <c r="J152" s="55">
        <v>12</v>
      </c>
      <c r="K152" s="18">
        <v>40</v>
      </c>
      <c r="L152" s="20">
        <v>30</v>
      </c>
      <c r="M152" s="18">
        <v>20</v>
      </c>
      <c r="N152" s="8">
        <f t="shared" si="85"/>
        <v>90</v>
      </c>
      <c r="O152" s="18">
        <v>6</v>
      </c>
      <c r="P152" s="20">
        <v>5</v>
      </c>
      <c r="Q152" s="18">
        <v>4</v>
      </c>
      <c r="R152" s="8">
        <f t="shared" si="84"/>
        <v>15</v>
      </c>
      <c r="S152" s="18">
        <f t="shared" si="83"/>
        <v>117</v>
      </c>
      <c r="T152" s="18">
        <f t="shared" si="76"/>
        <v>4</v>
      </c>
      <c r="U152" s="18">
        <f t="shared" si="77"/>
        <v>3</v>
      </c>
      <c r="V152" s="18">
        <f t="shared" si="78"/>
        <v>2</v>
      </c>
      <c r="W152" s="8">
        <f t="shared" si="86"/>
        <v>9</v>
      </c>
      <c r="X152" s="18">
        <f t="shared" si="79"/>
        <v>0.6</v>
      </c>
      <c r="Y152" s="18">
        <f t="shared" si="80"/>
        <v>0.5</v>
      </c>
      <c r="Z152" s="18">
        <f t="shared" si="81"/>
        <v>0.4</v>
      </c>
      <c r="AA152" s="8">
        <f t="shared" si="87"/>
        <v>1.5</v>
      </c>
      <c r="AB152" s="8">
        <v>39.270000000000003</v>
      </c>
      <c r="AC152" s="8">
        <v>52.462499999999999</v>
      </c>
      <c r="AD152" s="8">
        <v>72.64</v>
      </c>
      <c r="AE152" s="9">
        <f t="shared" si="88"/>
        <v>13691.744999999999</v>
      </c>
      <c r="AF152" s="21">
        <v>6.5000000000000002E-2</v>
      </c>
      <c r="AG152" s="10">
        <f t="shared" si="82"/>
        <v>889.96342499999992</v>
      </c>
      <c r="AH152" s="64">
        <f t="shared" si="89"/>
        <v>16.493400000000001</v>
      </c>
      <c r="AI152" s="9">
        <f t="shared" si="90"/>
        <v>12801.781574999999</v>
      </c>
      <c r="AJ152" s="5">
        <v>0.18</v>
      </c>
      <c r="AK152" s="11">
        <f t="shared" si="91"/>
        <v>2304.3206834999996</v>
      </c>
      <c r="AL152" s="9">
        <f t="shared" si="92"/>
        <v>15106.102258499999</v>
      </c>
      <c r="AP152" s="12"/>
    </row>
    <row r="153" spans="1:42" x14ac:dyDescent="0.35">
      <c r="A153" s="71">
        <v>46190</v>
      </c>
      <c r="B153" s="72" t="s">
        <v>67</v>
      </c>
      <c r="C153" s="74">
        <v>1127.02857142933</v>
      </c>
      <c r="D153" s="74">
        <v>42807.337494286498</v>
      </c>
      <c r="E153" s="62" t="s">
        <v>68</v>
      </c>
      <c r="F153" s="73" t="s">
        <v>69</v>
      </c>
      <c r="G153" s="76" t="s">
        <v>266</v>
      </c>
      <c r="H153" s="73" t="s">
        <v>90</v>
      </c>
      <c r="I153" s="62" t="s">
        <v>268</v>
      </c>
      <c r="J153" s="55">
        <v>12</v>
      </c>
      <c r="K153" s="18">
        <v>26</v>
      </c>
      <c r="L153" s="18">
        <v>36</v>
      </c>
      <c r="M153" s="18">
        <v>20</v>
      </c>
      <c r="N153" s="8">
        <f t="shared" si="85"/>
        <v>82</v>
      </c>
      <c r="O153" s="18">
        <v>2</v>
      </c>
      <c r="P153" s="18">
        <v>0</v>
      </c>
      <c r="Q153" s="18">
        <v>3</v>
      </c>
      <c r="R153" s="8">
        <f t="shared" si="84"/>
        <v>5</v>
      </c>
      <c r="S153" s="18">
        <f t="shared" si="83"/>
        <v>99</v>
      </c>
      <c r="T153" s="18">
        <f t="shared" si="76"/>
        <v>2.6</v>
      </c>
      <c r="U153" s="18">
        <f t="shared" si="77"/>
        <v>3.6</v>
      </c>
      <c r="V153" s="18">
        <f t="shared" si="78"/>
        <v>2</v>
      </c>
      <c r="W153" s="8">
        <f t="shared" si="86"/>
        <v>8.1999999999999993</v>
      </c>
      <c r="X153" s="18">
        <f t="shared" si="79"/>
        <v>0.2</v>
      </c>
      <c r="Y153" s="18">
        <f t="shared" si="80"/>
        <v>0</v>
      </c>
      <c r="Z153" s="18">
        <f t="shared" si="81"/>
        <v>0.3</v>
      </c>
      <c r="AA153" s="8">
        <f t="shared" si="87"/>
        <v>0.5</v>
      </c>
      <c r="AB153" s="8">
        <v>39.270000000000003</v>
      </c>
      <c r="AC153" s="8">
        <v>52.462499999999999</v>
      </c>
      <c r="AD153" s="8">
        <v>72.64</v>
      </c>
      <c r="AE153" s="9">
        <f t="shared" si="88"/>
        <v>11964.525</v>
      </c>
      <c r="AF153" s="21">
        <v>6.5000000000000002E-2</v>
      </c>
      <c r="AG153" s="10">
        <f t="shared" si="82"/>
        <v>777.69412499999999</v>
      </c>
      <c r="AH153" s="64">
        <f t="shared" si="89"/>
        <v>16.493400000000001</v>
      </c>
      <c r="AI153" s="9">
        <f t="shared" si="90"/>
        <v>11186.830875</v>
      </c>
      <c r="AJ153" s="5">
        <v>0.18</v>
      </c>
      <c r="AK153" s="11">
        <f t="shared" si="91"/>
        <v>2013.6295574999999</v>
      </c>
      <c r="AL153" s="9">
        <f t="shared" si="92"/>
        <v>13200.4604325</v>
      </c>
      <c r="AP153" s="12"/>
    </row>
    <row r="154" spans="1:42" x14ac:dyDescent="0.35">
      <c r="A154" s="71">
        <v>46190</v>
      </c>
      <c r="B154" s="72" t="s">
        <v>67</v>
      </c>
      <c r="C154" s="74">
        <v>1127.65714285791</v>
      </c>
      <c r="D154" s="74">
        <v>42782.221498480998</v>
      </c>
      <c r="E154" s="62" t="s">
        <v>68</v>
      </c>
      <c r="F154" s="73" t="s">
        <v>69</v>
      </c>
      <c r="G154" s="76" t="s">
        <v>270</v>
      </c>
      <c r="H154" s="73" t="s">
        <v>104</v>
      </c>
      <c r="I154" s="62" t="s">
        <v>273</v>
      </c>
      <c r="J154" s="55"/>
      <c r="K154" s="18">
        <v>0</v>
      </c>
      <c r="L154" s="20">
        <v>4</v>
      </c>
      <c r="M154" s="20">
        <v>4</v>
      </c>
      <c r="N154" s="8">
        <f t="shared" si="85"/>
        <v>8</v>
      </c>
      <c r="O154" s="18">
        <v>5</v>
      </c>
      <c r="P154" s="20">
        <v>10</v>
      </c>
      <c r="Q154" s="20">
        <v>40</v>
      </c>
      <c r="R154" s="8">
        <f t="shared" si="84"/>
        <v>55</v>
      </c>
      <c r="S154" s="18">
        <f t="shared" si="83"/>
        <v>63</v>
      </c>
      <c r="T154" s="18">
        <f t="shared" si="76"/>
        <v>0</v>
      </c>
      <c r="U154" s="18">
        <f t="shared" si="77"/>
        <v>0.4</v>
      </c>
      <c r="V154" s="18">
        <f t="shared" si="78"/>
        <v>0.4</v>
      </c>
      <c r="W154" s="8">
        <f t="shared" si="86"/>
        <v>0.8</v>
      </c>
      <c r="X154" s="18">
        <f t="shared" si="79"/>
        <v>0.5</v>
      </c>
      <c r="Y154" s="18">
        <f t="shared" si="80"/>
        <v>1</v>
      </c>
      <c r="Z154" s="18">
        <f t="shared" si="81"/>
        <v>4</v>
      </c>
      <c r="AA154" s="8">
        <f t="shared" si="87"/>
        <v>5.5</v>
      </c>
      <c r="AB154" s="8">
        <v>39.270000000000003</v>
      </c>
      <c r="AC154" s="8">
        <v>52.462499999999999</v>
      </c>
      <c r="AD154" s="8">
        <v>72.64</v>
      </c>
      <c r="AE154" s="9">
        <f t="shared" si="88"/>
        <v>4996.0199999999995</v>
      </c>
      <c r="AF154" s="21">
        <v>6.5000000000000002E-2</v>
      </c>
      <c r="AG154" s="10">
        <f t="shared" si="82"/>
        <v>324.74129999999997</v>
      </c>
      <c r="AH154" s="64">
        <f t="shared" si="89"/>
        <v>0</v>
      </c>
      <c r="AI154" s="9">
        <f t="shared" si="90"/>
        <v>4671.2786999999998</v>
      </c>
      <c r="AJ154" s="5">
        <v>0.18</v>
      </c>
      <c r="AK154" s="11">
        <f t="shared" si="91"/>
        <v>840.83016599999996</v>
      </c>
      <c r="AL154" s="9">
        <f t="shared" si="92"/>
        <v>5512.1088659999996</v>
      </c>
      <c r="AP154" s="12"/>
    </row>
    <row r="155" spans="1:42" x14ac:dyDescent="0.35">
      <c r="A155" s="71">
        <v>46190</v>
      </c>
      <c r="B155" s="72" t="s">
        <v>67</v>
      </c>
      <c r="C155" s="74">
        <v>1128.28571428649</v>
      </c>
      <c r="D155" s="74">
        <v>42757.1055026756</v>
      </c>
      <c r="E155" s="62" t="s">
        <v>68</v>
      </c>
      <c r="F155" s="73" t="s">
        <v>69</v>
      </c>
      <c r="G155" s="76" t="s">
        <v>271</v>
      </c>
      <c r="H155" s="73" t="s">
        <v>104</v>
      </c>
      <c r="I155" s="62" t="s">
        <v>273</v>
      </c>
      <c r="J155" s="55"/>
      <c r="K155" s="18">
        <v>6</v>
      </c>
      <c r="L155" s="18">
        <v>4</v>
      </c>
      <c r="M155" s="20">
        <v>4</v>
      </c>
      <c r="N155" s="8">
        <f t="shared" si="85"/>
        <v>14</v>
      </c>
      <c r="O155" s="18">
        <v>5</v>
      </c>
      <c r="P155" s="18">
        <v>7</v>
      </c>
      <c r="Q155" s="20">
        <v>20</v>
      </c>
      <c r="R155" s="8">
        <f t="shared" si="84"/>
        <v>32</v>
      </c>
      <c r="S155" s="18">
        <f t="shared" si="83"/>
        <v>46</v>
      </c>
      <c r="T155" s="18">
        <f t="shared" si="76"/>
        <v>0.6</v>
      </c>
      <c r="U155" s="18">
        <f t="shared" si="77"/>
        <v>0.4</v>
      </c>
      <c r="V155" s="18">
        <f t="shared" si="78"/>
        <v>0.4</v>
      </c>
      <c r="W155" s="8">
        <f t="shared" si="86"/>
        <v>1.4</v>
      </c>
      <c r="X155" s="18">
        <f t="shared" si="79"/>
        <v>0.5</v>
      </c>
      <c r="Y155" s="18">
        <f t="shared" si="80"/>
        <v>0.7</v>
      </c>
      <c r="Z155" s="18">
        <f t="shared" si="81"/>
        <v>2</v>
      </c>
      <c r="AA155" s="8">
        <f t="shared" si="87"/>
        <v>3.2</v>
      </c>
      <c r="AB155" s="8">
        <v>39.270000000000003</v>
      </c>
      <c r="AC155" s="8">
        <v>52.462499999999999</v>
      </c>
      <c r="AD155" s="8">
        <v>72.64</v>
      </c>
      <c r="AE155" s="9">
        <f t="shared" si="88"/>
        <v>4075.915</v>
      </c>
      <c r="AF155" s="21">
        <v>6.5000000000000002E-2</v>
      </c>
      <c r="AG155" s="10">
        <f t="shared" si="82"/>
        <v>264.93447500000002</v>
      </c>
      <c r="AH155" s="64">
        <f t="shared" si="89"/>
        <v>0</v>
      </c>
      <c r="AI155" s="9">
        <f t="shared" si="90"/>
        <v>3810.9805249999999</v>
      </c>
      <c r="AJ155" s="5">
        <v>0.18</v>
      </c>
      <c r="AK155" s="11">
        <f t="shared" si="91"/>
        <v>685.97649449999994</v>
      </c>
      <c r="AL155" s="9">
        <f t="shared" si="92"/>
        <v>4496.9570194999997</v>
      </c>
      <c r="AP155" s="12"/>
    </row>
    <row r="156" spans="1:42" x14ac:dyDescent="0.35">
      <c r="A156" s="71">
        <v>46190</v>
      </c>
      <c r="B156" s="72" t="s">
        <v>67</v>
      </c>
      <c r="C156" s="74">
        <v>1128.91428571507</v>
      </c>
      <c r="D156" s="74">
        <v>42731.989506870203</v>
      </c>
      <c r="E156" s="62" t="s">
        <v>68</v>
      </c>
      <c r="F156" s="73" t="s">
        <v>69</v>
      </c>
      <c r="G156" s="76" t="s">
        <v>272</v>
      </c>
      <c r="H156" s="73" t="s">
        <v>104</v>
      </c>
      <c r="I156" s="62" t="s">
        <v>273</v>
      </c>
      <c r="J156" s="55"/>
      <c r="K156" s="20">
        <v>6</v>
      </c>
      <c r="L156" s="18">
        <v>4</v>
      </c>
      <c r="M156" s="20">
        <v>4</v>
      </c>
      <c r="N156" s="8">
        <f t="shared" si="85"/>
        <v>14</v>
      </c>
      <c r="O156" s="18">
        <v>4</v>
      </c>
      <c r="P156" s="18">
        <v>10</v>
      </c>
      <c r="Q156" s="18">
        <v>14</v>
      </c>
      <c r="R156" s="8">
        <f t="shared" si="84"/>
        <v>28</v>
      </c>
      <c r="S156" s="18">
        <f t="shared" si="83"/>
        <v>42</v>
      </c>
      <c r="T156" s="18">
        <f t="shared" si="76"/>
        <v>0.6</v>
      </c>
      <c r="U156" s="18">
        <f t="shared" si="77"/>
        <v>0.4</v>
      </c>
      <c r="V156" s="18">
        <f t="shared" si="78"/>
        <v>0.4</v>
      </c>
      <c r="W156" s="8">
        <f t="shared" si="86"/>
        <v>1.4</v>
      </c>
      <c r="X156" s="18">
        <f t="shared" si="79"/>
        <v>0.4</v>
      </c>
      <c r="Y156" s="18">
        <f t="shared" si="80"/>
        <v>1</v>
      </c>
      <c r="Z156" s="18">
        <f t="shared" si="81"/>
        <v>1.4</v>
      </c>
      <c r="AA156" s="8">
        <f t="shared" si="87"/>
        <v>2.8</v>
      </c>
      <c r="AB156" s="8">
        <v>39.270000000000003</v>
      </c>
      <c r="AC156" s="8">
        <v>52.462499999999999</v>
      </c>
      <c r="AD156" s="8">
        <v>72.64</v>
      </c>
      <c r="AE156" s="9">
        <f t="shared" si="88"/>
        <v>3785.355</v>
      </c>
      <c r="AF156" s="21">
        <v>6.5000000000000002E-2</v>
      </c>
      <c r="AG156" s="10">
        <f t="shared" si="82"/>
        <v>246.04807500000001</v>
      </c>
      <c r="AH156" s="64">
        <f t="shared" si="89"/>
        <v>0</v>
      </c>
      <c r="AI156" s="9">
        <f t="shared" si="90"/>
        <v>3539.3069249999999</v>
      </c>
      <c r="AJ156" s="5">
        <v>0.18</v>
      </c>
      <c r="AK156" s="11">
        <f t="shared" si="91"/>
        <v>637.07524649999993</v>
      </c>
      <c r="AL156" s="9">
        <f t="shared" si="92"/>
        <v>4176.3821714999995</v>
      </c>
      <c r="AP156" s="12"/>
    </row>
    <row r="157" spans="1:42" x14ac:dyDescent="0.35">
      <c r="A157" s="71">
        <v>46190</v>
      </c>
      <c r="B157" s="72" t="s">
        <v>67</v>
      </c>
      <c r="C157" s="74">
        <v>1129.5428571436501</v>
      </c>
      <c r="D157" s="74">
        <v>42706.873511064703</v>
      </c>
      <c r="E157" s="62" t="s">
        <v>68</v>
      </c>
      <c r="F157" s="73" t="s">
        <v>69</v>
      </c>
      <c r="G157" s="76" t="s">
        <v>274</v>
      </c>
      <c r="H157" s="73" t="s">
        <v>79</v>
      </c>
      <c r="I157" s="62" t="s">
        <v>278</v>
      </c>
      <c r="J157" s="55">
        <v>10</v>
      </c>
      <c r="K157" s="18">
        <v>20</v>
      </c>
      <c r="L157" s="18">
        <v>10</v>
      </c>
      <c r="M157" s="18">
        <v>5</v>
      </c>
      <c r="N157" s="8">
        <f t="shared" si="85"/>
        <v>35</v>
      </c>
      <c r="O157" s="18">
        <v>40</v>
      </c>
      <c r="P157" s="18">
        <v>20</v>
      </c>
      <c r="Q157" s="18">
        <v>20</v>
      </c>
      <c r="R157" s="8">
        <f t="shared" si="84"/>
        <v>80</v>
      </c>
      <c r="S157" s="18">
        <f t="shared" si="83"/>
        <v>125</v>
      </c>
      <c r="T157" s="18">
        <f t="shared" si="76"/>
        <v>2</v>
      </c>
      <c r="U157" s="18">
        <f t="shared" si="77"/>
        <v>1</v>
      </c>
      <c r="V157" s="18">
        <f t="shared" si="78"/>
        <v>0.5</v>
      </c>
      <c r="W157" s="8">
        <f t="shared" si="86"/>
        <v>3.5</v>
      </c>
      <c r="X157" s="18">
        <f t="shared" si="79"/>
        <v>4</v>
      </c>
      <c r="Y157" s="18">
        <f t="shared" si="80"/>
        <v>2</v>
      </c>
      <c r="Z157" s="18">
        <f t="shared" si="81"/>
        <v>2</v>
      </c>
      <c r="AA157" s="8">
        <f t="shared" si="87"/>
        <v>8</v>
      </c>
      <c r="AB157" s="8">
        <v>39.270000000000003</v>
      </c>
      <c r="AC157" s="8">
        <v>52.462499999999999</v>
      </c>
      <c r="AD157" s="8">
        <v>72.64</v>
      </c>
      <c r="AE157" s="9">
        <f t="shared" si="88"/>
        <v>11308.887500000001</v>
      </c>
      <c r="AF157" s="21">
        <v>6.5000000000000002E-2</v>
      </c>
      <c r="AG157" s="10">
        <f t="shared" si="82"/>
        <v>735.07768750000002</v>
      </c>
      <c r="AH157" s="64">
        <f t="shared" si="89"/>
        <v>13.744500000000002</v>
      </c>
      <c r="AI157" s="9">
        <f t="shared" si="90"/>
        <v>10573.809812500001</v>
      </c>
      <c r="AJ157" s="5">
        <v>0.18</v>
      </c>
      <c r="AK157" s="11">
        <f t="shared" si="91"/>
        <v>1903.2857662500003</v>
      </c>
      <c r="AL157" s="9">
        <f t="shared" si="92"/>
        <v>12477.095578750002</v>
      </c>
      <c r="AP157" s="12"/>
    </row>
    <row r="158" spans="1:42" x14ac:dyDescent="0.35">
      <c r="A158" s="71">
        <v>46190</v>
      </c>
      <c r="B158" s="72" t="s">
        <v>67</v>
      </c>
      <c r="C158" s="74">
        <v>1130.1714285722301</v>
      </c>
      <c r="D158" s="74">
        <v>42681.757515259298</v>
      </c>
      <c r="E158" s="62" t="s">
        <v>68</v>
      </c>
      <c r="F158" s="73" t="s">
        <v>69</v>
      </c>
      <c r="G158" s="76" t="s">
        <v>275</v>
      </c>
      <c r="H158" s="73" t="s">
        <v>79</v>
      </c>
      <c r="I158" s="62" t="s">
        <v>278</v>
      </c>
      <c r="J158" s="55">
        <v>14</v>
      </c>
      <c r="K158" s="18">
        <v>20</v>
      </c>
      <c r="L158" s="20">
        <v>20</v>
      </c>
      <c r="M158" s="18">
        <v>10</v>
      </c>
      <c r="N158" s="8">
        <f t="shared" si="85"/>
        <v>50</v>
      </c>
      <c r="O158" s="18">
        <v>40</v>
      </c>
      <c r="P158" s="18">
        <v>20</v>
      </c>
      <c r="Q158" s="18">
        <v>20</v>
      </c>
      <c r="R158" s="8">
        <f t="shared" si="84"/>
        <v>80</v>
      </c>
      <c r="S158" s="18">
        <f t="shared" si="83"/>
        <v>144</v>
      </c>
      <c r="T158" s="18">
        <f t="shared" si="76"/>
        <v>2</v>
      </c>
      <c r="U158" s="18">
        <f t="shared" si="77"/>
        <v>2</v>
      </c>
      <c r="V158" s="18">
        <f t="shared" si="78"/>
        <v>1</v>
      </c>
      <c r="W158" s="8">
        <f t="shared" si="86"/>
        <v>5</v>
      </c>
      <c r="X158" s="18">
        <f t="shared" si="79"/>
        <v>4</v>
      </c>
      <c r="Y158" s="18">
        <f t="shared" si="80"/>
        <v>2</v>
      </c>
      <c r="Z158" s="18">
        <f t="shared" si="81"/>
        <v>2</v>
      </c>
      <c r="AA158" s="8">
        <f t="shared" si="87"/>
        <v>8</v>
      </c>
      <c r="AB158" s="8">
        <v>39.270000000000003</v>
      </c>
      <c r="AC158" s="8">
        <v>52.462499999999999</v>
      </c>
      <c r="AD158" s="8">
        <v>72.64</v>
      </c>
      <c r="AE158" s="9">
        <f t="shared" si="88"/>
        <v>13633.065000000001</v>
      </c>
      <c r="AF158" s="21">
        <v>0.14000000000000001</v>
      </c>
      <c r="AG158" s="10">
        <f t="shared" si="82"/>
        <v>1908.6291000000003</v>
      </c>
      <c r="AH158" s="64">
        <f t="shared" si="89"/>
        <v>19.242300000000004</v>
      </c>
      <c r="AI158" s="9">
        <f t="shared" si="90"/>
        <v>11724.4359</v>
      </c>
      <c r="AJ158" s="5">
        <v>0.18</v>
      </c>
      <c r="AK158" s="11">
        <f t="shared" si="91"/>
        <v>2110.3984620000001</v>
      </c>
      <c r="AL158" s="9">
        <f t="shared" si="92"/>
        <v>13834.834362000001</v>
      </c>
      <c r="AP158" s="12"/>
    </row>
    <row r="159" spans="1:42" x14ac:dyDescent="0.35">
      <c r="A159" s="71">
        <v>46190</v>
      </c>
      <c r="B159" s="72" t="s">
        <v>67</v>
      </c>
      <c r="C159" s="74">
        <v>1130.8000000008101</v>
      </c>
      <c r="D159" s="74">
        <v>42656.6415194539</v>
      </c>
      <c r="E159" s="62" t="s">
        <v>68</v>
      </c>
      <c r="F159" s="73" t="s">
        <v>69</v>
      </c>
      <c r="G159" s="76" t="s">
        <v>276</v>
      </c>
      <c r="H159" s="73" t="s">
        <v>79</v>
      </c>
      <c r="I159" s="62" t="s">
        <v>278</v>
      </c>
      <c r="J159" s="55">
        <v>40</v>
      </c>
      <c r="K159" s="18">
        <v>20</v>
      </c>
      <c r="L159" s="20">
        <v>20</v>
      </c>
      <c r="M159" s="20">
        <v>5</v>
      </c>
      <c r="N159" s="8">
        <f t="shared" si="85"/>
        <v>45</v>
      </c>
      <c r="O159" s="18">
        <v>10</v>
      </c>
      <c r="P159" s="18">
        <v>10</v>
      </c>
      <c r="Q159" s="18">
        <v>20</v>
      </c>
      <c r="R159" s="8">
        <f t="shared" si="84"/>
        <v>40</v>
      </c>
      <c r="S159" s="18">
        <f t="shared" si="83"/>
        <v>125</v>
      </c>
      <c r="T159" s="18">
        <f t="shared" si="76"/>
        <v>2</v>
      </c>
      <c r="U159" s="18">
        <f t="shared" si="77"/>
        <v>2</v>
      </c>
      <c r="V159" s="18">
        <f t="shared" si="78"/>
        <v>0.5</v>
      </c>
      <c r="W159" s="8">
        <f t="shared" si="86"/>
        <v>4.5</v>
      </c>
      <c r="X159" s="18">
        <f t="shared" si="79"/>
        <v>1</v>
      </c>
      <c r="Y159" s="18">
        <f t="shared" si="80"/>
        <v>1</v>
      </c>
      <c r="Z159" s="18">
        <f t="shared" si="81"/>
        <v>2</v>
      </c>
      <c r="AA159" s="8">
        <f t="shared" si="87"/>
        <v>4</v>
      </c>
      <c r="AB159" s="8">
        <v>39.270000000000003</v>
      </c>
      <c r="AC159" s="8">
        <v>52.462499999999999</v>
      </c>
      <c r="AD159" s="8">
        <v>72.64</v>
      </c>
      <c r="AE159" s="9">
        <f t="shared" si="88"/>
        <v>13011.612499999999</v>
      </c>
      <c r="AF159" s="21">
        <v>0.14000000000000001</v>
      </c>
      <c r="AG159" s="10">
        <f t="shared" si="82"/>
        <v>1821.6257500000002</v>
      </c>
      <c r="AH159" s="64">
        <f t="shared" si="89"/>
        <v>54.978000000000009</v>
      </c>
      <c r="AI159" s="9">
        <f t="shared" si="90"/>
        <v>11189.98675</v>
      </c>
      <c r="AJ159" s="5">
        <v>0.18</v>
      </c>
      <c r="AK159" s="11">
        <f t="shared" si="91"/>
        <v>2014.197615</v>
      </c>
      <c r="AL159" s="9">
        <f t="shared" si="92"/>
        <v>13204.184365000001</v>
      </c>
      <c r="AP159" s="12"/>
    </row>
    <row r="160" spans="1:42" x14ac:dyDescent="0.35">
      <c r="A160" s="71">
        <v>46190</v>
      </c>
      <c r="B160" s="72" t="s">
        <v>67</v>
      </c>
      <c r="C160" s="74">
        <v>1131.4285714293901</v>
      </c>
      <c r="D160" s="74">
        <v>42631.525523648503</v>
      </c>
      <c r="E160" s="62" t="s">
        <v>68</v>
      </c>
      <c r="F160" s="73" t="s">
        <v>69</v>
      </c>
      <c r="G160" s="76" t="s">
        <v>277</v>
      </c>
      <c r="H160" s="73" t="s">
        <v>79</v>
      </c>
      <c r="I160" s="62" t="s">
        <v>278</v>
      </c>
      <c r="J160" s="55">
        <v>80</v>
      </c>
      <c r="K160" s="20">
        <v>10</v>
      </c>
      <c r="L160" s="20">
        <v>20</v>
      </c>
      <c r="M160" s="20">
        <v>0</v>
      </c>
      <c r="N160" s="8">
        <f t="shared" si="85"/>
        <v>30</v>
      </c>
      <c r="O160" s="18">
        <v>5</v>
      </c>
      <c r="P160" s="20">
        <v>20</v>
      </c>
      <c r="Q160" s="18">
        <v>15</v>
      </c>
      <c r="R160" s="8">
        <f t="shared" si="84"/>
        <v>40</v>
      </c>
      <c r="S160" s="18">
        <f t="shared" si="83"/>
        <v>150</v>
      </c>
      <c r="T160" s="18">
        <f t="shared" si="76"/>
        <v>1</v>
      </c>
      <c r="U160" s="18">
        <f t="shared" si="77"/>
        <v>2</v>
      </c>
      <c r="V160" s="18">
        <f t="shared" si="78"/>
        <v>0</v>
      </c>
      <c r="W160" s="8">
        <f t="shared" si="86"/>
        <v>3</v>
      </c>
      <c r="X160" s="18">
        <f t="shared" si="79"/>
        <v>0.5</v>
      </c>
      <c r="Y160" s="18">
        <f t="shared" si="80"/>
        <v>2</v>
      </c>
      <c r="Z160" s="18">
        <f t="shared" si="81"/>
        <v>1.5</v>
      </c>
      <c r="AA160" s="8">
        <f t="shared" si="87"/>
        <v>4</v>
      </c>
      <c r="AB160" s="8">
        <v>39.270000000000003</v>
      </c>
      <c r="AC160" s="8">
        <v>52.462499999999999</v>
      </c>
      <c r="AD160" s="8">
        <v>72.64</v>
      </c>
      <c r="AE160" s="9">
        <f t="shared" si="88"/>
        <v>15611.475</v>
      </c>
      <c r="AF160" s="21">
        <v>6.5000000000000002E-2</v>
      </c>
      <c r="AG160" s="10">
        <f t="shared" si="82"/>
        <v>1014.7458750000001</v>
      </c>
      <c r="AH160" s="64">
        <f t="shared" si="89"/>
        <v>109.95600000000002</v>
      </c>
      <c r="AI160" s="9">
        <f t="shared" si="90"/>
        <v>14596.729125</v>
      </c>
      <c r="AJ160" s="5">
        <v>0.18</v>
      </c>
      <c r="AK160" s="11">
        <f t="shared" si="91"/>
        <v>2627.4112424999998</v>
      </c>
      <c r="AL160" s="9">
        <f t="shared" si="92"/>
        <v>17224.1403675</v>
      </c>
      <c r="AP160" s="12"/>
    </row>
    <row r="161" spans="1:42" x14ac:dyDescent="0.35">
      <c r="A161" s="71">
        <v>46190</v>
      </c>
      <c r="B161" s="72" t="s">
        <v>67</v>
      </c>
      <c r="C161" s="74">
        <v>1132.0571428579699</v>
      </c>
      <c r="D161" s="74">
        <v>42606.409527843003</v>
      </c>
      <c r="E161" s="62" t="s">
        <v>68</v>
      </c>
      <c r="F161" s="73" t="s">
        <v>208</v>
      </c>
      <c r="G161" s="76" t="s">
        <v>279</v>
      </c>
      <c r="H161" s="73" t="s">
        <v>212</v>
      </c>
      <c r="I161" s="62" t="s">
        <v>237</v>
      </c>
      <c r="J161" s="55"/>
      <c r="K161" s="20">
        <v>40</v>
      </c>
      <c r="L161" s="20">
        <v>40</v>
      </c>
      <c r="M161" s="20">
        <v>80</v>
      </c>
      <c r="N161" s="8">
        <f t="shared" si="85"/>
        <v>160</v>
      </c>
      <c r="O161" s="18">
        <v>40</v>
      </c>
      <c r="P161" s="18">
        <v>0</v>
      </c>
      <c r="Q161" s="18">
        <v>80</v>
      </c>
      <c r="R161" s="8">
        <f t="shared" si="84"/>
        <v>120</v>
      </c>
      <c r="S161" s="18">
        <f t="shared" si="83"/>
        <v>280</v>
      </c>
      <c r="T161" s="18">
        <f t="shared" si="76"/>
        <v>4</v>
      </c>
      <c r="U161" s="18">
        <f t="shared" si="77"/>
        <v>4</v>
      </c>
      <c r="V161" s="18">
        <f t="shared" si="78"/>
        <v>8</v>
      </c>
      <c r="W161" s="8">
        <f t="shared" si="86"/>
        <v>16</v>
      </c>
      <c r="X161" s="18">
        <f t="shared" si="79"/>
        <v>4</v>
      </c>
      <c r="Y161" s="18">
        <f t="shared" si="80"/>
        <v>0</v>
      </c>
      <c r="Z161" s="18">
        <f t="shared" si="81"/>
        <v>8</v>
      </c>
      <c r="AA161" s="8">
        <f t="shared" si="87"/>
        <v>12</v>
      </c>
      <c r="AB161" s="8">
        <v>39.270000000000003</v>
      </c>
      <c r="AC161" s="8">
        <v>52.462499999999999</v>
      </c>
      <c r="AD161" s="8">
        <v>72.64</v>
      </c>
      <c r="AE161" s="9">
        <f t="shared" si="88"/>
        <v>28733.200000000001</v>
      </c>
      <c r="AF161" s="21">
        <v>6.5000000000000002E-2</v>
      </c>
      <c r="AG161" s="10">
        <f t="shared" si="82"/>
        <v>1867.6580000000001</v>
      </c>
      <c r="AH161" s="64">
        <f t="shared" si="89"/>
        <v>0</v>
      </c>
      <c r="AI161" s="9">
        <f t="shared" si="90"/>
        <v>26865.542000000001</v>
      </c>
      <c r="AJ161" s="5">
        <v>0.18</v>
      </c>
      <c r="AK161" s="11">
        <f t="shared" si="91"/>
        <v>4835.79756</v>
      </c>
      <c r="AL161" s="9">
        <f t="shared" si="92"/>
        <v>31701.33956</v>
      </c>
      <c r="AP161" s="12"/>
    </row>
    <row r="162" spans="1:42" x14ac:dyDescent="0.35">
      <c r="A162" s="71">
        <v>46190</v>
      </c>
      <c r="B162" s="72" t="s">
        <v>67</v>
      </c>
      <c r="C162" s="74">
        <v>1132.6857142865499</v>
      </c>
      <c r="D162" s="74">
        <v>42581.293532037598</v>
      </c>
      <c r="E162" s="62" t="s">
        <v>68</v>
      </c>
      <c r="F162" s="73" t="s">
        <v>208</v>
      </c>
      <c r="G162" s="76" t="s">
        <v>210</v>
      </c>
      <c r="H162" s="73" t="s">
        <v>212</v>
      </c>
      <c r="I162" s="62" t="s">
        <v>295</v>
      </c>
      <c r="J162" s="55"/>
      <c r="K162" s="20">
        <v>80</v>
      </c>
      <c r="L162" s="20">
        <v>80</v>
      </c>
      <c r="M162" s="20">
        <v>200</v>
      </c>
      <c r="N162" s="8">
        <f t="shared" si="85"/>
        <v>360</v>
      </c>
      <c r="O162" s="18">
        <v>80</v>
      </c>
      <c r="P162" s="18">
        <v>80</v>
      </c>
      <c r="Q162" s="20">
        <v>200</v>
      </c>
      <c r="R162" s="8">
        <f t="shared" si="84"/>
        <v>360</v>
      </c>
      <c r="S162" s="18">
        <f t="shared" si="83"/>
        <v>720</v>
      </c>
      <c r="T162" s="18">
        <f t="shared" si="76"/>
        <v>8</v>
      </c>
      <c r="U162" s="18">
        <f t="shared" si="77"/>
        <v>8</v>
      </c>
      <c r="V162" s="18">
        <f t="shared" si="78"/>
        <v>20</v>
      </c>
      <c r="W162" s="8">
        <f t="shared" si="86"/>
        <v>36</v>
      </c>
      <c r="X162" s="18">
        <f t="shared" si="79"/>
        <v>8</v>
      </c>
      <c r="Y162" s="18">
        <f t="shared" si="80"/>
        <v>8</v>
      </c>
      <c r="Z162" s="18">
        <f t="shared" si="81"/>
        <v>20</v>
      </c>
      <c r="AA162" s="8">
        <f t="shared" si="87"/>
        <v>36</v>
      </c>
      <c r="AB162" s="8">
        <v>39.270000000000003</v>
      </c>
      <c r="AC162" s="8">
        <v>52.462499999999999</v>
      </c>
      <c r="AD162" s="8">
        <v>72.64</v>
      </c>
      <c r="AE162" s="9">
        <f t="shared" si="88"/>
        <v>71187.3</v>
      </c>
      <c r="AF162" s="21">
        <v>6.5000000000000002E-2</v>
      </c>
      <c r="AG162" s="10">
        <f t="shared" si="82"/>
        <v>4627.1745000000001</v>
      </c>
      <c r="AH162" s="64">
        <f t="shared" si="89"/>
        <v>0</v>
      </c>
      <c r="AI162" s="9">
        <f t="shared" si="90"/>
        <v>66560.125500000009</v>
      </c>
      <c r="AJ162" s="5">
        <v>0.18</v>
      </c>
      <c r="AK162" s="11">
        <f t="shared" si="91"/>
        <v>11980.822590000002</v>
      </c>
      <c r="AL162" s="9">
        <f t="shared" si="92"/>
        <v>78540.948090000005</v>
      </c>
      <c r="AP162" s="12"/>
    </row>
    <row r="163" spans="1:42" x14ac:dyDescent="0.35">
      <c r="A163" s="71">
        <v>46190</v>
      </c>
      <c r="B163" s="72" t="s">
        <v>67</v>
      </c>
      <c r="C163" s="74">
        <v>1133.3142857151299</v>
      </c>
      <c r="D163" s="74">
        <v>42556.177536232201</v>
      </c>
      <c r="E163" s="62" t="s">
        <v>68</v>
      </c>
      <c r="F163" s="73" t="s">
        <v>208</v>
      </c>
      <c r="G163" s="76" t="s">
        <v>280</v>
      </c>
      <c r="H163" s="73" t="s">
        <v>212</v>
      </c>
      <c r="I163" s="62" t="s">
        <v>296</v>
      </c>
      <c r="J163" s="55"/>
      <c r="K163" s="20">
        <v>80</v>
      </c>
      <c r="L163" s="20">
        <v>80</v>
      </c>
      <c r="M163" s="20">
        <v>80</v>
      </c>
      <c r="N163" s="8">
        <f t="shared" si="85"/>
        <v>240</v>
      </c>
      <c r="O163" s="18">
        <v>80</v>
      </c>
      <c r="P163" s="18">
        <v>80</v>
      </c>
      <c r="Q163" s="18">
        <v>80</v>
      </c>
      <c r="R163" s="8">
        <f t="shared" si="84"/>
        <v>240</v>
      </c>
      <c r="S163" s="18">
        <f t="shared" si="83"/>
        <v>480</v>
      </c>
      <c r="T163" s="18">
        <f t="shared" si="76"/>
        <v>8</v>
      </c>
      <c r="U163" s="18">
        <f t="shared" si="77"/>
        <v>8</v>
      </c>
      <c r="V163" s="18">
        <f t="shared" si="78"/>
        <v>8</v>
      </c>
      <c r="W163" s="8">
        <f t="shared" si="86"/>
        <v>24</v>
      </c>
      <c r="X163" s="18">
        <f t="shared" si="79"/>
        <v>8</v>
      </c>
      <c r="Y163" s="18">
        <f t="shared" si="80"/>
        <v>8</v>
      </c>
      <c r="Z163" s="18">
        <f t="shared" si="81"/>
        <v>8</v>
      </c>
      <c r="AA163" s="8">
        <f t="shared" si="87"/>
        <v>24</v>
      </c>
      <c r="AB163" s="8">
        <v>39.270000000000003</v>
      </c>
      <c r="AC163" s="8">
        <v>52.462499999999999</v>
      </c>
      <c r="AD163" s="8">
        <v>72.64</v>
      </c>
      <c r="AE163" s="9">
        <f t="shared" si="88"/>
        <v>47458.2</v>
      </c>
      <c r="AF163" s="21">
        <v>6.5000000000000002E-2</v>
      </c>
      <c r="AG163" s="10">
        <f t="shared" si="82"/>
        <v>3084.7829999999999</v>
      </c>
      <c r="AH163" s="64">
        <f t="shared" si="89"/>
        <v>0</v>
      </c>
      <c r="AI163" s="9">
        <f t="shared" si="90"/>
        <v>44373.416999999994</v>
      </c>
      <c r="AJ163" s="5">
        <v>0.18</v>
      </c>
      <c r="AK163" s="11">
        <f t="shared" si="91"/>
        <v>7987.2150599999986</v>
      </c>
      <c r="AL163" s="9">
        <f t="shared" si="92"/>
        <v>52360.632059999989</v>
      </c>
      <c r="AP163" s="12"/>
    </row>
    <row r="164" spans="1:42" x14ac:dyDescent="0.35">
      <c r="A164" s="71">
        <v>46190</v>
      </c>
      <c r="B164" s="72" t="s">
        <v>67</v>
      </c>
      <c r="C164" s="74">
        <v>1133.9428571437099</v>
      </c>
      <c r="D164" s="74">
        <v>42531.061540426701</v>
      </c>
      <c r="E164" s="62" t="s">
        <v>68</v>
      </c>
      <c r="F164" s="73" t="s">
        <v>208</v>
      </c>
      <c r="G164" s="76" t="s">
        <v>281</v>
      </c>
      <c r="H164" s="73" t="s">
        <v>212</v>
      </c>
      <c r="I164" s="62" t="s">
        <v>294</v>
      </c>
      <c r="J164" s="55"/>
      <c r="K164" s="20">
        <v>40</v>
      </c>
      <c r="L164" s="18">
        <v>40</v>
      </c>
      <c r="M164" s="18">
        <v>80</v>
      </c>
      <c r="N164" s="8">
        <f t="shared" si="85"/>
        <v>160</v>
      </c>
      <c r="O164" s="18">
        <v>80</v>
      </c>
      <c r="P164" s="18">
        <v>120</v>
      </c>
      <c r="Q164" s="18">
        <v>40</v>
      </c>
      <c r="R164" s="8">
        <f t="shared" si="84"/>
        <v>240</v>
      </c>
      <c r="S164" s="18">
        <f t="shared" si="83"/>
        <v>400</v>
      </c>
      <c r="T164" s="18">
        <f t="shared" si="76"/>
        <v>4</v>
      </c>
      <c r="U164" s="18">
        <f t="shared" si="77"/>
        <v>4</v>
      </c>
      <c r="V164" s="18">
        <f t="shared" si="78"/>
        <v>8</v>
      </c>
      <c r="W164" s="8">
        <f t="shared" si="86"/>
        <v>16</v>
      </c>
      <c r="X164" s="18">
        <f t="shared" si="79"/>
        <v>8</v>
      </c>
      <c r="Y164" s="18">
        <f t="shared" si="80"/>
        <v>12</v>
      </c>
      <c r="Z164" s="18">
        <f t="shared" si="81"/>
        <v>4</v>
      </c>
      <c r="AA164" s="8">
        <f t="shared" si="87"/>
        <v>24</v>
      </c>
      <c r="AB164" s="8">
        <v>39.270000000000003</v>
      </c>
      <c r="AC164" s="8">
        <v>52.462499999999999</v>
      </c>
      <c r="AD164" s="8">
        <v>72.64</v>
      </c>
      <c r="AE164" s="9">
        <f t="shared" si="88"/>
        <v>37450</v>
      </c>
      <c r="AF164" s="21">
        <v>6.5000000000000002E-2</v>
      </c>
      <c r="AG164" s="10">
        <f t="shared" si="82"/>
        <v>2434.25</v>
      </c>
      <c r="AH164" s="64">
        <f t="shared" si="89"/>
        <v>0</v>
      </c>
      <c r="AI164" s="9">
        <f t="shared" si="90"/>
        <v>35015.75</v>
      </c>
      <c r="AJ164" s="5">
        <v>0.18</v>
      </c>
      <c r="AK164" s="11">
        <f t="shared" si="91"/>
        <v>6302.835</v>
      </c>
      <c r="AL164" s="9">
        <f t="shared" si="92"/>
        <v>41318.584999999999</v>
      </c>
      <c r="AP164" s="12"/>
    </row>
    <row r="165" spans="1:42" x14ac:dyDescent="0.35">
      <c r="A165" s="71">
        <v>46190</v>
      </c>
      <c r="B165" s="72" t="s">
        <v>67</v>
      </c>
      <c r="C165" s="74">
        <v>1134.57142857229</v>
      </c>
      <c r="D165" s="74">
        <v>42505.945544621303</v>
      </c>
      <c r="E165" s="62" t="s">
        <v>68</v>
      </c>
      <c r="F165" s="73" t="s">
        <v>208</v>
      </c>
      <c r="G165" s="76" t="s">
        <v>328</v>
      </c>
      <c r="H165" s="73" t="s">
        <v>212</v>
      </c>
      <c r="I165" s="62" t="s">
        <v>282</v>
      </c>
      <c r="J165" s="55"/>
      <c r="K165" s="18">
        <v>40</v>
      </c>
      <c r="L165" s="18">
        <v>40</v>
      </c>
      <c r="M165" s="18">
        <v>40</v>
      </c>
      <c r="N165" s="8">
        <f t="shared" si="85"/>
        <v>120</v>
      </c>
      <c r="O165" s="20">
        <v>40</v>
      </c>
      <c r="P165" s="20">
        <v>40</v>
      </c>
      <c r="Q165" s="20">
        <v>40</v>
      </c>
      <c r="R165" s="8">
        <f t="shared" si="84"/>
        <v>120</v>
      </c>
      <c r="S165" s="18">
        <f t="shared" si="83"/>
        <v>240</v>
      </c>
      <c r="T165" s="18">
        <f t="shared" si="76"/>
        <v>4</v>
      </c>
      <c r="U165" s="18">
        <f t="shared" si="77"/>
        <v>4</v>
      </c>
      <c r="V165" s="18">
        <f t="shared" si="78"/>
        <v>4</v>
      </c>
      <c r="W165" s="8">
        <f t="shared" si="86"/>
        <v>12</v>
      </c>
      <c r="X165" s="18">
        <f t="shared" si="79"/>
        <v>4</v>
      </c>
      <c r="Y165" s="18">
        <f t="shared" si="80"/>
        <v>4</v>
      </c>
      <c r="Z165" s="18">
        <f t="shared" si="81"/>
        <v>4</v>
      </c>
      <c r="AA165" s="8">
        <f t="shared" si="87"/>
        <v>12</v>
      </c>
      <c r="AB165" s="8">
        <v>39.270000000000003</v>
      </c>
      <c r="AC165" s="8">
        <v>52.462499999999999</v>
      </c>
      <c r="AD165" s="8">
        <v>72.64</v>
      </c>
      <c r="AE165" s="9">
        <f t="shared" si="88"/>
        <v>23729.1</v>
      </c>
      <c r="AF165" s="21">
        <v>6.5000000000000002E-2</v>
      </c>
      <c r="AG165" s="10">
        <f t="shared" si="82"/>
        <v>1542.3915</v>
      </c>
      <c r="AH165" s="64">
        <f t="shared" si="89"/>
        <v>0</v>
      </c>
      <c r="AI165" s="9">
        <f t="shared" si="90"/>
        <v>22186.708499999997</v>
      </c>
      <c r="AJ165" s="5">
        <v>0.18</v>
      </c>
      <c r="AK165" s="11">
        <f t="shared" si="91"/>
        <v>3993.6075299999993</v>
      </c>
      <c r="AL165" s="9">
        <f t="shared" si="92"/>
        <v>26180.316029999994</v>
      </c>
      <c r="AP165" s="12"/>
    </row>
    <row r="166" spans="1:42" x14ac:dyDescent="0.35">
      <c r="A166" s="71">
        <v>46190</v>
      </c>
      <c r="B166" s="72" t="s">
        <v>67</v>
      </c>
      <c r="C166" s="74">
        <v>1135.20000000087</v>
      </c>
      <c r="D166" s="74">
        <v>42480.829548815898</v>
      </c>
      <c r="E166" s="62" t="s">
        <v>68</v>
      </c>
      <c r="F166" s="73" t="s">
        <v>208</v>
      </c>
      <c r="G166" s="76" t="s">
        <v>328</v>
      </c>
      <c r="H166" s="73" t="s">
        <v>212</v>
      </c>
      <c r="I166" s="62" t="s">
        <v>283</v>
      </c>
      <c r="J166" s="55"/>
      <c r="K166" s="18">
        <v>40</v>
      </c>
      <c r="L166" s="18">
        <v>40</v>
      </c>
      <c r="M166" s="18">
        <v>40</v>
      </c>
      <c r="N166" s="8">
        <f t="shared" si="85"/>
        <v>120</v>
      </c>
      <c r="O166" s="20">
        <v>40</v>
      </c>
      <c r="P166" s="20">
        <v>40</v>
      </c>
      <c r="Q166" s="20">
        <v>40</v>
      </c>
      <c r="R166" s="8">
        <f t="shared" si="84"/>
        <v>120</v>
      </c>
      <c r="S166" s="18">
        <f t="shared" si="83"/>
        <v>240</v>
      </c>
      <c r="T166" s="18">
        <f t="shared" si="76"/>
        <v>4</v>
      </c>
      <c r="U166" s="18">
        <f t="shared" si="77"/>
        <v>4</v>
      </c>
      <c r="V166" s="18">
        <f t="shared" si="78"/>
        <v>4</v>
      </c>
      <c r="W166" s="8">
        <f t="shared" si="86"/>
        <v>12</v>
      </c>
      <c r="X166" s="18">
        <f t="shared" si="79"/>
        <v>4</v>
      </c>
      <c r="Y166" s="18">
        <f t="shared" si="80"/>
        <v>4</v>
      </c>
      <c r="Z166" s="18">
        <f t="shared" si="81"/>
        <v>4</v>
      </c>
      <c r="AA166" s="8">
        <f t="shared" si="87"/>
        <v>12</v>
      </c>
      <c r="AB166" s="8">
        <v>39.270000000000003</v>
      </c>
      <c r="AC166" s="8">
        <v>52.462499999999999</v>
      </c>
      <c r="AD166" s="8">
        <v>72.64</v>
      </c>
      <c r="AE166" s="9">
        <f t="shared" si="88"/>
        <v>23729.1</v>
      </c>
      <c r="AF166" s="21">
        <v>6.5000000000000002E-2</v>
      </c>
      <c r="AG166" s="10">
        <f t="shared" si="82"/>
        <v>1542.3915</v>
      </c>
      <c r="AH166" s="64">
        <f t="shared" si="89"/>
        <v>0</v>
      </c>
      <c r="AI166" s="9">
        <f t="shared" si="90"/>
        <v>22186.708499999997</v>
      </c>
      <c r="AJ166" s="5">
        <v>0.18</v>
      </c>
      <c r="AK166" s="11">
        <f t="shared" si="91"/>
        <v>3993.6075299999993</v>
      </c>
      <c r="AL166" s="9">
        <f t="shared" si="92"/>
        <v>26180.316029999994</v>
      </c>
      <c r="AP166" s="12"/>
    </row>
    <row r="167" spans="1:42" x14ac:dyDescent="0.35">
      <c r="A167" s="71">
        <v>46190</v>
      </c>
      <c r="B167" s="72" t="s">
        <v>67</v>
      </c>
      <c r="C167" s="74">
        <v>1135.82857142945</v>
      </c>
      <c r="D167" s="74">
        <v>42455.713553010399</v>
      </c>
      <c r="E167" s="62" t="s">
        <v>68</v>
      </c>
      <c r="F167" s="73" t="s">
        <v>208</v>
      </c>
      <c r="G167" s="76" t="s">
        <v>328</v>
      </c>
      <c r="H167" s="73" t="s">
        <v>212</v>
      </c>
      <c r="I167" s="62" t="s">
        <v>284</v>
      </c>
      <c r="J167" s="55"/>
      <c r="K167" s="20">
        <v>40</v>
      </c>
      <c r="L167" s="20">
        <v>40</v>
      </c>
      <c r="M167" s="20">
        <v>40</v>
      </c>
      <c r="N167" s="8">
        <f t="shared" si="85"/>
        <v>120</v>
      </c>
      <c r="O167" s="18">
        <v>40</v>
      </c>
      <c r="P167" s="18">
        <v>40</v>
      </c>
      <c r="Q167" s="18">
        <v>40</v>
      </c>
      <c r="R167" s="8">
        <f t="shared" si="84"/>
        <v>120</v>
      </c>
      <c r="S167" s="18">
        <f t="shared" si="83"/>
        <v>240</v>
      </c>
      <c r="T167" s="18">
        <f t="shared" si="76"/>
        <v>4</v>
      </c>
      <c r="U167" s="18">
        <f t="shared" si="77"/>
        <v>4</v>
      </c>
      <c r="V167" s="18">
        <f t="shared" si="78"/>
        <v>4</v>
      </c>
      <c r="W167" s="8">
        <f t="shared" si="86"/>
        <v>12</v>
      </c>
      <c r="X167" s="18">
        <f t="shared" si="79"/>
        <v>4</v>
      </c>
      <c r="Y167" s="18">
        <f t="shared" si="80"/>
        <v>4</v>
      </c>
      <c r="Z167" s="18">
        <f t="shared" si="81"/>
        <v>4</v>
      </c>
      <c r="AA167" s="8">
        <f t="shared" si="87"/>
        <v>12</v>
      </c>
      <c r="AB167" s="8">
        <v>39.270000000000003</v>
      </c>
      <c r="AC167" s="8">
        <v>52.462499999999999</v>
      </c>
      <c r="AD167" s="8">
        <v>72.64</v>
      </c>
      <c r="AE167" s="9">
        <f t="shared" si="88"/>
        <v>23729.1</v>
      </c>
      <c r="AF167" s="21">
        <v>6.5000000000000002E-2</v>
      </c>
      <c r="AG167" s="10">
        <f t="shared" si="82"/>
        <v>1542.3915</v>
      </c>
      <c r="AH167" s="64">
        <f t="shared" si="89"/>
        <v>0</v>
      </c>
      <c r="AI167" s="9">
        <f t="shared" si="90"/>
        <v>22186.708499999997</v>
      </c>
      <c r="AJ167" s="5">
        <v>0.18</v>
      </c>
      <c r="AK167" s="11">
        <f t="shared" si="91"/>
        <v>3993.6075299999993</v>
      </c>
      <c r="AL167" s="9">
        <f t="shared" si="92"/>
        <v>26180.316029999994</v>
      </c>
      <c r="AP167" s="12"/>
    </row>
    <row r="168" spans="1:42" x14ac:dyDescent="0.35">
      <c r="A168" s="71">
        <v>46190</v>
      </c>
      <c r="B168" s="72" t="s">
        <v>67</v>
      </c>
      <c r="C168" s="74">
        <v>1136.45714285803</v>
      </c>
      <c r="D168" s="74">
        <v>42430.597557205001</v>
      </c>
      <c r="E168" s="62" t="s">
        <v>68</v>
      </c>
      <c r="F168" s="73" t="s">
        <v>208</v>
      </c>
      <c r="G168" s="76" t="s">
        <v>328</v>
      </c>
      <c r="H168" s="73" t="s">
        <v>212</v>
      </c>
      <c r="I168" s="62" t="s">
        <v>285</v>
      </c>
      <c r="J168" s="55"/>
      <c r="K168" s="20">
        <v>40</v>
      </c>
      <c r="L168" s="20">
        <v>40</v>
      </c>
      <c r="M168" s="20">
        <v>40</v>
      </c>
      <c r="N168" s="8">
        <f t="shared" si="85"/>
        <v>120</v>
      </c>
      <c r="O168" s="18">
        <v>40</v>
      </c>
      <c r="P168" s="18">
        <v>40</v>
      </c>
      <c r="Q168" s="18">
        <v>40</v>
      </c>
      <c r="R168" s="8">
        <f t="shared" si="84"/>
        <v>120</v>
      </c>
      <c r="S168" s="18">
        <f t="shared" si="83"/>
        <v>240</v>
      </c>
      <c r="T168" s="18">
        <f t="shared" si="76"/>
        <v>4</v>
      </c>
      <c r="U168" s="18">
        <f t="shared" si="77"/>
        <v>4</v>
      </c>
      <c r="V168" s="18">
        <f t="shared" si="78"/>
        <v>4</v>
      </c>
      <c r="W168" s="8">
        <f t="shared" si="86"/>
        <v>12</v>
      </c>
      <c r="X168" s="18">
        <f t="shared" si="79"/>
        <v>4</v>
      </c>
      <c r="Y168" s="18">
        <f t="shared" si="80"/>
        <v>4</v>
      </c>
      <c r="Z168" s="18">
        <f t="shared" si="81"/>
        <v>4</v>
      </c>
      <c r="AA168" s="8">
        <f t="shared" si="87"/>
        <v>12</v>
      </c>
      <c r="AB168" s="8">
        <v>39.270000000000003</v>
      </c>
      <c r="AC168" s="8">
        <v>52.462499999999999</v>
      </c>
      <c r="AD168" s="8">
        <v>72.64</v>
      </c>
      <c r="AE168" s="9">
        <f t="shared" si="88"/>
        <v>23729.1</v>
      </c>
      <c r="AF168" s="21">
        <v>6.5000000000000002E-2</v>
      </c>
      <c r="AG168" s="10">
        <f t="shared" si="82"/>
        <v>1542.3915</v>
      </c>
      <c r="AH168" s="64">
        <f t="shared" si="89"/>
        <v>0</v>
      </c>
      <c r="AI168" s="9">
        <f t="shared" si="90"/>
        <v>22186.708499999997</v>
      </c>
      <c r="AJ168" s="5">
        <v>0.18</v>
      </c>
      <c r="AK168" s="11">
        <f t="shared" si="91"/>
        <v>3993.6075299999993</v>
      </c>
      <c r="AL168" s="9">
        <f t="shared" si="92"/>
        <v>26180.316029999994</v>
      </c>
      <c r="AP168" s="12"/>
    </row>
    <row r="169" spans="1:42" x14ac:dyDescent="0.35">
      <c r="A169" s="71">
        <v>46190</v>
      </c>
      <c r="B169" s="72" t="s">
        <v>67</v>
      </c>
      <c r="C169" s="74">
        <v>1137.08571428661</v>
      </c>
      <c r="D169" s="74">
        <v>42405.481561399603</v>
      </c>
      <c r="E169" s="62" t="s">
        <v>68</v>
      </c>
      <c r="F169" s="73" t="s">
        <v>208</v>
      </c>
      <c r="G169" s="76" t="s">
        <v>328</v>
      </c>
      <c r="H169" s="73" t="s">
        <v>212</v>
      </c>
      <c r="I169" s="62" t="s">
        <v>286</v>
      </c>
      <c r="J169" s="55"/>
      <c r="K169" s="20">
        <v>80</v>
      </c>
      <c r="L169" s="20">
        <v>80</v>
      </c>
      <c r="M169" s="20">
        <v>80</v>
      </c>
      <c r="N169" s="8">
        <f t="shared" si="85"/>
        <v>240</v>
      </c>
      <c r="O169" s="18">
        <v>80</v>
      </c>
      <c r="P169" s="18">
        <v>80</v>
      </c>
      <c r="Q169" s="18">
        <v>80</v>
      </c>
      <c r="R169" s="8">
        <f t="shared" si="84"/>
        <v>240</v>
      </c>
      <c r="S169" s="18">
        <f t="shared" si="83"/>
        <v>480</v>
      </c>
      <c r="T169" s="18">
        <f t="shared" si="76"/>
        <v>8</v>
      </c>
      <c r="U169" s="18">
        <f t="shared" si="77"/>
        <v>8</v>
      </c>
      <c r="V169" s="18">
        <f t="shared" si="78"/>
        <v>8</v>
      </c>
      <c r="W169" s="8">
        <f t="shared" si="86"/>
        <v>24</v>
      </c>
      <c r="X169" s="18">
        <f t="shared" si="79"/>
        <v>8</v>
      </c>
      <c r="Y169" s="18">
        <f t="shared" si="80"/>
        <v>8</v>
      </c>
      <c r="Z169" s="18">
        <f t="shared" si="81"/>
        <v>8</v>
      </c>
      <c r="AA169" s="8">
        <f t="shared" si="87"/>
        <v>24</v>
      </c>
      <c r="AB169" s="8">
        <v>39.270000000000003</v>
      </c>
      <c r="AC169" s="8">
        <v>52.462499999999999</v>
      </c>
      <c r="AD169" s="8">
        <v>72.64</v>
      </c>
      <c r="AE169" s="9">
        <f t="shared" si="88"/>
        <v>47458.2</v>
      </c>
      <c r="AF169" s="21">
        <v>6.5000000000000002E-2</v>
      </c>
      <c r="AG169" s="10">
        <f t="shared" si="82"/>
        <v>3084.7829999999999</v>
      </c>
      <c r="AH169" s="64">
        <f t="shared" si="89"/>
        <v>0</v>
      </c>
      <c r="AI169" s="9">
        <f t="shared" si="90"/>
        <v>44373.416999999994</v>
      </c>
      <c r="AJ169" s="5">
        <v>0.18</v>
      </c>
      <c r="AK169" s="11">
        <f t="shared" si="91"/>
        <v>7987.2150599999986</v>
      </c>
      <c r="AL169" s="9">
        <f t="shared" si="92"/>
        <v>52360.632059999989</v>
      </c>
      <c r="AP169" s="12"/>
    </row>
    <row r="170" spans="1:42" x14ac:dyDescent="0.35">
      <c r="A170" s="71">
        <v>46190</v>
      </c>
      <c r="B170" s="72" t="s">
        <v>67</v>
      </c>
      <c r="C170" s="74">
        <v>1137.71428571519</v>
      </c>
      <c r="D170" s="74">
        <v>42380.365565594198</v>
      </c>
      <c r="E170" s="62" t="s">
        <v>68</v>
      </c>
      <c r="F170" s="73" t="s">
        <v>208</v>
      </c>
      <c r="G170" s="76" t="s">
        <v>328</v>
      </c>
      <c r="H170" s="73" t="s">
        <v>212</v>
      </c>
      <c r="I170" s="62" t="s">
        <v>287</v>
      </c>
      <c r="J170" s="55"/>
      <c r="K170" s="20">
        <v>40</v>
      </c>
      <c r="L170" s="20">
        <v>40</v>
      </c>
      <c r="M170" s="20">
        <v>40</v>
      </c>
      <c r="N170" s="8">
        <f t="shared" si="85"/>
        <v>120</v>
      </c>
      <c r="O170" s="18">
        <v>40</v>
      </c>
      <c r="P170" s="18">
        <v>40</v>
      </c>
      <c r="Q170" s="18">
        <v>40</v>
      </c>
      <c r="R170" s="8">
        <f t="shared" si="84"/>
        <v>120</v>
      </c>
      <c r="S170" s="18">
        <f t="shared" si="83"/>
        <v>240</v>
      </c>
      <c r="T170" s="18">
        <f t="shared" si="76"/>
        <v>4</v>
      </c>
      <c r="U170" s="18">
        <f t="shared" si="77"/>
        <v>4</v>
      </c>
      <c r="V170" s="18">
        <f t="shared" si="78"/>
        <v>4</v>
      </c>
      <c r="W170" s="8">
        <f t="shared" si="86"/>
        <v>12</v>
      </c>
      <c r="X170" s="18">
        <f t="shared" si="79"/>
        <v>4</v>
      </c>
      <c r="Y170" s="18">
        <f t="shared" si="80"/>
        <v>4</v>
      </c>
      <c r="Z170" s="18">
        <f t="shared" si="81"/>
        <v>4</v>
      </c>
      <c r="AA170" s="8">
        <f t="shared" si="87"/>
        <v>12</v>
      </c>
      <c r="AB170" s="8">
        <v>39.270000000000003</v>
      </c>
      <c r="AC170" s="8">
        <v>52.462499999999999</v>
      </c>
      <c r="AD170" s="8">
        <v>72.64</v>
      </c>
      <c r="AE170" s="9">
        <f t="shared" si="88"/>
        <v>23729.1</v>
      </c>
      <c r="AF170" s="21">
        <v>6.5000000000000002E-2</v>
      </c>
      <c r="AG170" s="10">
        <f t="shared" si="82"/>
        <v>1542.3915</v>
      </c>
      <c r="AH170" s="64">
        <f t="shared" si="89"/>
        <v>0</v>
      </c>
      <c r="AI170" s="9">
        <f t="shared" si="90"/>
        <v>22186.708499999997</v>
      </c>
      <c r="AJ170" s="5">
        <v>0.18</v>
      </c>
      <c r="AK170" s="11">
        <f t="shared" si="91"/>
        <v>3993.6075299999993</v>
      </c>
      <c r="AL170" s="9">
        <f t="shared" si="92"/>
        <v>26180.316029999994</v>
      </c>
      <c r="AP170" s="12"/>
    </row>
    <row r="171" spans="1:42" x14ac:dyDescent="0.35">
      <c r="A171" s="71">
        <v>46190</v>
      </c>
      <c r="B171" s="72" t="s">
        <v>67</v>
      </c>
      <c r="C171" s="74">
        <v>1138.3428571437701</v>
      </c>
      <c r="D171" s="74">
        <v>42355.249569788699</v>
      </c>
      <c r="E171" s="62" t="s">
        <v>68</v>
      </c>
      <c r="F171" s="73" t="s">
        <v>208</v>
      </c>
      <c r="G171" s="76" t="s">
        <v>328</v>
      </c>
      <c r="H171" s="73" t="s">
        <v>212</v>
      </c>
      <c r="I171" s="62" t="s">
        <v>288</v>
      </c>
      <c r="J171" s="55"/>
      <c r="K171" s="18">
        <v>80</v>
      </c>
      <c r="L171" s="18">
        <v>80</v>
      </c>
      <c r="M171" s="18">
        <v>80</v>
      </c>
      <c r="N171" s="8">
        <f t="shared" si="85"/>
        <v>240</v>
      </c>
      <c r="O171" s="20">
        <v>80</v>
      </c>
      <c r="P171" s="20">
        <v>80</v>
      </c>
      <c r="Q171" s="20">
        <v>80</v>
      </c>
      <c r="R171" s="8">
        <f t="shared" si="84"/>
        <v>240</v>
      </c>
      <c r="S171" s="18">
        <f t="shared" si="83"/>
        <v>480</v>
      </c>
      <c r="T171" s="18">
        <f t="shared" si="76"/>
        <v>8</v>
      </c>
      <c r="U171" s="18">
        <f t="shared" si="77"/>
        <v>8</v>
      </c>
      <c r="V171" s="18">
        <f t="shared" si="78"/>
        <v>8</v>
      </c>
      <c r="W171" s="8">
        <f t="shared" si="86"/>
        <v>24</v>
      </c>
      <c r="X171" s="18">
        <f t="shared" si="79"/>
        <v>8</v>
      </c>
      <c r="Y171" s="18">
        <f t="shared" si="80"/>
        <v>8</v>
      </c>
      <c r="Z171" s="18">
        <f t="shared" si="81"/>
        <v>8</v>
      </c>
      <c r="AA171" s="8">
        <f t="shared" si="87"/>
        <v>24</v>
      </c>
      <c r="AB171" s="8">
        <v>39.270000000000003</v>
      </c>
      <c r="AC171" s="8">
        <v>52.462499999999999</v>
      </c>
      <c r="AD171" s="8">
        <v>72.64</v>
      </c>
      <c r="AE171" s="9">
        <f t="shared" si="88"/>
        <v>47458.2</v>
      </c>
      <c r="AF171" s="21">
        <v>6.5000000000000002E-2</v>
      </c>
      <c r="AG171" s="10">
        <f t="shared" si="82"/>
        <v>3084.7829999999999</v>
      </c>
      <c r="AH171" s="64">
        <f t="shared" si="89"/>
        <v>0</v>
      </c>
      <c r="AI171" s="9">
        <f t="shared" si="90"/>
        <v>44373.416999999994</v>
      </c>
      <c r="AJ171" s="5">
        <v>0.18</v>
      </c>
      <c r="AK171" s="11">
        <f t="shared" si="91"/>
        <v>7987.2150599999986</v>
      </c>
      <c r="AL171" s="9">
        <f t="shared" si="92"/>
        <v>52360.632059999989</v>
      </c>
      <c r="AP171" s="12"/>
    </row>
    <row r="172" spans="1:42" x14ac:dyDescent="0.35">
      <c r="A172" s="71">
        <v>46190</v>
      </c>
      <c r="B172" s="72" t="s">
        <v>67</v>
      </c>
      <c r="C172" s="74">
        <v>1138.9714285723501</v>
      </c>
      <c r="D172" s="74">
        <v>42330.133573983301</v>
      </c>
      <c r="E172" s="62" t="s">
        <v>68</v>
      </c>
      <c r="F172" s="73" t="s">
        <v>208</v>
      </c>
      <c r="G172" s="76" t="s">
        <v>328</v>
      </c>
      <c r="H172" s="73" t="s">
        <v>212</v>
      </c>
      <c r="I172" s="62" t="s">
        <v>289</v>
      </c>
      <c r="J172" s="55"/>
      <c r="K172" s="18">
        <v>80</v>
      </c>
      <c r="L172" s="18">
        <v>80</v>
      </c>
      <c r="M172" s="18">
        <v>80</v>
      </c>
      <c r="N172" s="8">
        <f t="shared" si="85"/>
        <v>240</v>
      </c>
      <c r="O172" s="18">
        <v>80</v>
      </c>
      <c r="P172" s="18">
        <v>80</v>
      </c>
      <c r="Q172" s="18">
        <v>80</v>
      </c>
      <c r="R172" s="8">
        <f t="shared" si="84"/>
        <v>240</v>
      </c>
      <c r="S172" s="18">
        <f t="shared" si="83"/>
        <v>480</v>
      </c>
      <c r="T172" s="18">
        <f t="shared" si="76"/>
        <v>8</v>
      </c>
      <c r="U172" s="18">
        <f t="shared" si="77"/>
        <v>8</v>
      </c>
      <c r="V172" s="18">
        <f t="shared" si="78"/>
        <v>8</v>
      </c>
      <c r="W172" s="8">
        <f t="shared" si="86"/>
        <v>24</v>
      </c>
      <c r="X172" s="18">
        <f t="shared" si="79"/>
        <v>8</v>
      </c>
      <c r="Y172" s="18">
        <f t="shared" si="80"/>
        <v>8</v>
      </c>
      <c r="Z172" s="18">
        <f t="shared" si="81"/>
        <v>8</v>
      </c>
      <c r="AA172" s="8">
        <f t="shared" si="87"/>
        <v>24</v>
      </c>
      <c r="AB172" s="8">
        <v>39.270000000000003</v>
      </c>
      <c r="AC172" s="8">
        <v>52.462499999999999</v>
      </c>
      <c r="AD172" s="8">
        <v>72.64</v>
      </c>
      <c r="AE172" s="9">
        <f t="shared" si="88"/>
        <v>47458.2</v>
      </c>
      <c r="AF172" s="21">
        <v>0.1</v>
      </c>
      <c r="AG172" s="10">
        <f t="shared" si="82"/>
        <v>4745.82</v>
      </c>
      <c r="AH172" s="64">
        <f t="shared" si="89"/>
        <v>0</v>
      </c>
      <c r="AI172" s="9">
        <f t="shared" si="90"/>
        <v>42712.38</v>
      </c>
      <c r="AJ172" s="5">
        <v>0.18</v>
      </c>
      <c r="AK172" s="11">
        <f t="shared" si="91"/>
        <v>7688.2283999999991</v>
      </c>
      <c r="AL172" s="9">
        <f t="shared" si="92"/>
        <v>50400.608399999997</v>
      </c>
      <c r="AP172" s="12"/>
    </row>
    <row r="173" spans="1:42" x14ac:dyDescent="0.35">
      <c r="A173" s="71">
        <v>46190</v>
      </c>
      <c r="B173" s="72" t="s">
        <v>67</v>
      </c>
      <c r="C173" s="74">
        <v>1139.6000000009301</v>
      </c>
      <c r="D173" s="74">
        <v>42305.017578177903</v>
      </c>
      <c r="E173" s="62" t="s">
        <v>68</v>
      </c>
      <c r="F173" s="73" t="s">
        <v>208</v>
      </c>
      <c r="G173" s="76" t="s">
        <v>328</v>
      </c>
      <c r="H173" s="73" t="s">
        <v>212</v>
      </c>
      <c r="I173" s="62" t="s">
        <v>290</v>
      </c>
      <c r="J173" s="55"/>
      <c r="K173" s="20">
        <v>40</v>
      </c>
      <c r="L173" s="20">
        <v>40</v>
      </c>
      <c r="M173" s="20">
        <v>40</v>
      </c>
      <c r="N173" s="8">
        <f t="shared" si="85"/>
        <v>120</v>
      </c>
      <c r="O173" s="18">
        <v>40</v>
      </c>
      <c r="P173" s="18">
        <v>40</v>
      </c>
      <c r="Q173" s="18">
        <v>40</v>
      </c>
      <c r="R173" s="8">
        <f t="shared" si="84"/>
        <v>120</v>
      </c>
      <c r="S173" s="18">
        <f t="shared" si="83"/>
        <v>240</v>
      </c>
      <c r="T173" s="18">
        <f t="shared" ref="T173:T214" si="93">K173/10</f>
        <v>4</v>
      </c>
      <c r="U173" s="18">
        <f t="shared" ref="U173:U214" si="94">L173/10</f>
        <v>4</v>
      </c>
      <c r="V173" s="18">
        <f t="shared" ref="V173:V214" si="95">M173/10</f>
        <v>4</v>
      </c>
      <c r="W173" s="8">
        <f t="shared" si="86"/>
        <v>12</v>
      </c>
      <c r="X173" s="18">
        <f t="shared" ref="X173:X214" si="96">O173/10</f>
        <v>4</v>
      </c>
      <c r="Y173" s="18">
        <f t="shared" ref="Y173:Y214" si="97">P173/10</f>
        <v>4</v>
      </c>
      <c r="Z173" s="18">
        <f t="shared" ref="Z173:Z214" si="98">Q173/10</f>
        <v>4</v>
      </c>
      <c r="AA173" s="8">
        <f t="shared" si="87"/>
        <v>12</v>
      </c>
      <c r="AB173" s="8">
        <v>39.270000000000003</v>
      </c>
      <c r="AC173" s="8">
        <v>52.462499999999999</v>
      </c>
      <c r="AD173" s="8">
        <v>72.64</v>
      </c>
      <c r="AE173" s="9">
        <f t="shared" si="88"/>
        <v>23729.1</v>
      </c>
      <c r="AF173" s="21">
        <v>6.5000000000000002E-2</v>
      </c>
      <c r="AG173" s="10">
        <f t="shared" ref="AG173:AG214" si="99">AE173*AF173</f>
        <v>1542.3915</v>
      </c>
      <c r="AH173" s="64">
        <f t="shared" si="89"/>
        <v>0</v>
      </c>
      <c r="AI173" s="9">
        <f t="shared" si="90"/>
        <v>22186.708499999997</v>
      </c>
      <c r="AJ173" s="5">
        <v>0.18</v>
      </c>
      <c r="AK173" s="11">
        <f t="shared" si="91"/>
        <v>3993.6075299999993</v>
      </c>
      <c r="AL173" s="9">
        <f t="shared" si="92"/>
        <v>26180.316029999994</v>
      </c>
      <c r="AP173" s="12"/>
    </row>
    <row r="174" spans="1:42" x14ac:dyDescent="0.35">
      <c r="A174" s="71">
        <v>46190</v>
      </c>
      <c r="B174" s="72" t="s">
        <v>67</v>
      </c>
      <c r="C174" s="74">
        <v>1140.2285714295101</v>
      </c>
      <c r="D174" s="74">
        <v>42279.901582372397</v>
      </c>
      <c r="E174" s="62" t="s">
        <v>68</v>
      </c>
      <c r="F174" s="73" t="s">
        <v>208</v>
      </c>
      <c r="G174" s="76" t="s">
        <v>328</v>
      </c>
      <c r="H174" s="73" t="s">
        <v>212</v>
      </c>
      <c r="I174" s="62" t="s">
        <v>291</v>
      </c>
      <c r="J174" s="55"/>
      <c r="K174" s="20">
        <v>40</v>
      </c>
      <c r="L174" s="20">
        <v>40</v>
      </c>
      <c r="M174" s="20">
        <v>40</v>
      </c>
      <c r="N174" s="8">
        <f t="shared" si="85"/>
        <v>120</v>
      </c>
      <c r="O174" s="18">
        <v>40</v>
      </c>
      <c r="P174" s="20">
        <v>40</v>
      </c>
      <c r="Q174" s="18">
        <v>40</v>
      </c>
      <c r="R174" s="8">
        <f t="shared" si="84"/>
        <v>120</v>
      </c>
      <c r="S174" s="18">
        <f t="shared" si="83"/>
        <v>240</v>
      </c>
      <c r="T174" s="18">
        <f t="shared" si="93"/>
        <v>4</v>
      </c>
      <c r="U174" s="18">
        <f t="shared" si="94"/>
        <v>4</v>
      </c>
      <c r="V174" s="18">
        <f t="shared" si="95"/>
        <v>4</v>
      </c>
      <c r="W174" s="8">
        <f t="shared" si="86"/>
        <v>12</v>
      </c>
      <c r="X174" s="18">
        <f t="shared" si="96"/>
        <v>4</v>
      </c>
      <c r="Y174" s="18">
        <f t="shared" si="97"/>
        <v>4</v>
      </c>
      <c r="Z174" s="18">
        <f t="shared" si="98"/>
        <v>4</v>
      </c>
      <c r="AA174" s="8">
        <f t="shared" si="87"/>
        <v>12</v>
      </c>
      <c r="AB174" s="8">
        <v>39.270000000000003</v>
      </c>
      <c r="AC174" s="8">
        <v>52.462499999999999</v>
      </c>
      <c r="AD174" s="8">
        <v>72.64</v>
      </c>
      <c r="AE174" s="9">
        <f t="shared" si="88"/>
        <v>23729.1</v>
      </c>
      <c r="AF174" s="21">
        <v>6.5000000000000002E-2</v>
      </c>
      <c r="AG174" s="10">
        <f t="shared" si="99"/>
        <v>1542.3915</v>
      </c>
      <c r="AH174" s="64">
        <f t="shared" si="89"/>
        <v>0</v>
      </c>
      <c r="AI174" s="9">
        <f t="shared" si="90"/>
        <v>22186.708499999997</v>
      </c>
      <c r="AJ174" s="5">
        <v>0.18</v>
      </c>
      <c r="AK174" s="11">
        <f t="shared" si="91"/>
        <v>3993.6075299999993</v>
      </c>
      <c r="AL174" s="9">
        <f t="shared" si="92"/>
        <v>26180.316029999994</v>
      </c>
      <c r="AP174" s="12"/>
    </row>
    <row r="175" spans="1:42" x14ac:dyDescent="0.35">
      <c r="A175" s="71">
        <v>46190</v>
      </c>
      <c r="B175" s="72" t="s">
        <v>67</v>
      </c>
      <c r="C175" s="74">
        <v>1140.8571428580899</v>
      </c>
      <c r="D175" s="74">
        <v>42254.785586566999</v>
      </c>
      <c r="E175" s="62" t="s">
        <v>68</v>
      </c>
      <c r="F175" s="73" t="s">
        <v>208</v>
      </c>
      <c r="G175" s="76" t="s">
        <v>328</v>
      </c>
      <c r="H175" s="73" t="s">
        <v>212</v>
      </c>
      <c r="I175" s="62" t="s">
        <v>292</v>
      </c>
      <c r="J175" s="55"/>
      <c r="K175" s="20">
        <v>40</v>
      </c>
      <c r="L175" s="20">
        <v>40</v>
      </c>
      <c r="M175" s="20">
        <v>40</v>
      </c>
      <c r="N175" s="8">
        <f t="shared" si="85"/>
        <v>120</v>
      </c>
      <c r="O175" s="18">
        <v>40</v>
      </c>
      <c r="P175" s="18">
        <v>40</v>
      </c>
      <c r="Q175" s="18">
        <v>40</v>
      </c>
      <c r="R175" s="8">
        <f t="shared" si="84"/>
        <v>120</v>
      </c>
      <c r="S175" s="18">
        <f t="shared" si="83"/>
        <v>240</v>
      </c>
      <c r="T175" s="18">
        <f t="shared" si="93"/>
        <v>4</v>
      </c>
      <c r="U175" s="18">
        <f t="shared" si="94"/>
        <v>4</v>
      </c>
      <c r="V175" s="18">
        <f t="shared" si="95"/>
        <v>4</v>
      </c>
      <c r="W175" s="8">
        <f t="shared" si="86"/>
        <v>12</v>
      </c>
      <c r="X175" s="18">
        <f t="shared" si="96"/>
        <v>4</v>
      </c>
      <c r="Y175" s="18">
        <f t="shared" si="97"/>
        <v>4</v>
      </c>
      <c r="Z175" s="18">
        <f t="shared" si="98"/>
        <v>4</v>
      </c>
      <c r="AA175" s="8">
        <f t="shared" si="87"/>
        <v>12</v>
      </c>
      <c r="AB175" s="8">
        <v>39.270000000000003</v>
      </c>
      <c r="AC175" s="8">
        <v>52.462499999999999</v>
      </c>
      <c r="AD175" s="8">
        <v>72.64</v>
      </c>
      <c r="AE175" s="9">
        <f t="shared" si="88"/>
        <v>23729.1</v>
      </c>
      <c r="AF175" s="21">
        <v>6.5000000000000002E-2</v>
      </c>
      <c r="AG175" s="10">
        <f t="shared" si="99"/>
        <v>1542.3915</v>
      </c>
      <c r="AH175" s="64">
        <f t="shared" si="89"/>
        <v>0</v>
      </c>
      <c r="AI175" s="9">
        <f t="shared" si="90"/>
        <v>22186.708499999997</v>
      </c>
      <c r="AJ175" s="5">
        <v>0.18</v>
      </c>
      <c r="AK175" s="11">
        <f t="shared" si="91"/>
        <v>3993.6075299999993</v>
      </c>
      <c r="AL175" s="9">
        <f t="shared" si="92"/>
        <v>26180.316029999994</v>
      </c>
      <c r="AP175" s="12"/>
    </row>
    <row r="176" spans="1:42" x14ac:dyDescent="0.35">
      <c r="A176" s="71">
        <v>46190</v>
      </c>
      <c r="B176" s="72" t="s">
        <v>67</v>
      </c>
      <c r="C176" s="74">
        <v>1141.4857142866699</v>
      </c>
      <c r="D176" s="74">
        <v>42229.669590761601</v>
      </c>
      <c r="E176" s="62" t="s">
        <v>68</v>
      </c>
      <c r="F176" s="73" t="s">
        <v>208</v>
      </c>
      <c r="G176" s="76" t="s">
        <v>328</v>
      </c>
      <c r="H176" s="73" t="s">
        <v>212</v>
      </c>
      <c r="I176" s="62" t="s">
        <v>293</v>
      </c>
      <c r="J176" s="55"/>
      <c r="K176" s="20">
        <v>80</v>
      </c>
      <c r="L176" s="20">
        <v>80</v>
      </c>
      <c r="M176" s="20">
        <v>80</v>
      </c>
      <c r="N176" s="8">
        <f t="shared" si="85"/>
        <v>240</v>
      </c>
      <c r="O176" s="18">
        <v>80</v>
      </c>
      <c r="P176" s="18">
        <v>80</v>
      </c>
      <c r="Q176" s="18">
        <v>80</v>
      </c>
      <c r="R176" s="8">
        <f t="shared" si="84"/>
        <v>240</v>
      </c>
      <c r="S176" s="18">
        <f t="shared" si="83"/>
        <v>480</v>
      </c>
      <c r="T176" s="18">
        <f t="shared" si="93"/>
        <v>8</v>
      </c>
      <c r="U176" s="18">
        <f t="shared" si="94"/>
        <v>8</v>
      </c>
      <c r="V176" s="18">
        <f t="shared" si="95"/>
        <v>8</v>
      </c>
      <c r="W176" s="8">
        <f t="shared" si="86"/>
        <v>24</v>
      </c>
      <c r="X176" s="18">
        <f t="shared" si="96"/>
        <v>8</v>
      </c>
      <c r="Y176" s="18">
        <f t="shared" si="97"/>
        <v>8</v>
      </c>
      <c r="Z176" s="18">
        <f t="shared" si="98"/>
        <v>8</v>
      </c>
      <c r="AA176" s="8">
        <f t="shared" si="87"/>
        <v>24</v>
      </c>
      <c r="AB176" s="8">
        <v>39.270000000000003</v>
      </c>
      <c r="AC176" s="8">
        <v>52.462499999999999</v>
      </c>
      <c r="AD176" s="8">
        <v>72.64</v>
      </c>
      <c r="AE176" s="9">
        <f t="shared" si="88"/>
        <v>47458.2</v>
      </c>
      <c r="AF176" s="21">
        <v>6.5000000000000002E-2</v>
      </c>
      <c r="AG176" s="10">
        <f t="shared" si="99"/>
        <v>3084.7829999999999</v>
      </c>
      <c r="AH176" s="64">
        <f t="shared" si="89"/>
        <v>0</v>
      </c>
      <c r="AI176" s="9">
        <f t="shared" si="90"/>
        <v>44373.416999999994</v>
      </c>
      <c r="AJ176" s="5">
        <v>0.18</v>
      </c>
      <c r="AK176" s="11">
        <f t="shared" si="91"/>
        <v>7987.2150599999986</v>
      </c>
      <c r="AL176" s="9">
        <f t="shared" si="92"/>
        <v>52360.632059999989</v>
      </c>
      <c r="AP176" s="12"/>
    </row>
    <row r="177" spans="1:42" x14ac:dyDescent="0.35">
      <c r="A177" s="71">
        <v>46191</v>
      </c>
      <c r="B177" s="72" t="s">
        <v>67</v>
      </c>
      <c r="C177" s="74">
        <v>1142.1142857152499</v>
      </c>
      <c r="D177" s="74">
        <v>42204.553594956502</v>
      </c>
      <c r="E177" s="62" t="s">
        <v>68</v>
      </c>
      <c r="F177" s="73" t="s">
        <v>298</v>
      </c>
      <c r="G177" s="76" t="s">
        <v>297</v>
      </c>
      <c r="H177" s="73" t="s">
        <v>90</v>
      </c>
      <c r="I177" s="62" t="s">
        <v>301</v>
      </c>
      <c r="J177" s="55">
        <v>30</v>
      </c>
      <c r="K177" s="18">
        <v>0</v>
      </c>
      <c r="L177" s="20">
        <v>0</v>
      </c>
      <c r="M177" s="20">
        <v>0</v>
      </c>
      <c r="N177" s="8">
        <f t="shared" si="85"/>
        <v>0</v>
      </c>
      <c r="O177" s="18">
        <v>20</v>
      </c>
      <c r="P177" s="20">
        <v>10</v>
      </c>
      <c r="Q177" s="20">
        <v>30</v>
      </c>
      <c r="R177" s="8">
        <f t="shared" si="84"/>
        <v>60</v>
      </c>
      <c r="S177" s="18">
        <f t="shared" si="83"/>
        <v>90</v>
      </c>
      <c r="T177" s="18">
        <f t="shared" si="93"/>
        <v>0</v>
      </c>
      <c r="U177" s="18">
        <f t="shared" si="94"/>
        <v>0</v>
      </c>
      <c r="V177" s="18">
        <f t="shared" si="95"/>
        <v>0</v>
      </c>
      <c r="W177" s="8">
        <f t="shared" si="86"/>
        <v>0</v>
      </c>
      <c r="X177" s="18">
        <f t="shared" si="96"/>
        <v>2</v>
      </c>
      <c r="Y177" s="18">
        <f t="shared" si="97"/>
        <v>1</v>
      </c>
      <c r="Z177" s="18">
        <f t="shared" si="98"/>
        <v>3</v>
      </c>
      <c r="AA177" s="8">
        <f t="shared" si="87"/>
        <v>6</v>
      </c>
      <c r="AB177" s="8">
        <v>39.270000000000003</v>
      </c>
      <c r="AC177" s="8">
        <v>52.462499999999999</v>
      </c>
      <c r="AD177" s="8">
        <v>72.64</v>
      </c>
      <c r="AE177" s="9">
        <f t="shared" si="88"/>
        <v>7715.7000000000007</v>
      </c>
      <c r="AF177" s="21">
        <v>6.5000000000000002E-2</v>
      </c>
      <c r="AG177" s="10">
        <f t="shared" si="99"/>
        <v>501.52050000000008</v>
      </c>
      <c r="AH177" s="64">
        <f t="shared" si="89"/>
        <v>41.233500000000006</v>
      </c>
      <c r="AI177" s="9">
        <f t="shared" si="90"/>
        <v>7214.1795000000002</v>
      </c>
      <c r="AJ177" s="5">
        <v>0.18</v>
      </c>
      <c r="AK177" s="11">
        <f t="shared" si="91"/>
        <v>1298.55231</v>
      </c>
      <c r="AL177" s="9">
        <f t="shared" si="92"/>
        <v>8512.7318100000011</v>
      </c>
      <c r="AP177" s="12"/>
    </row>
    <row r="178" spans="1:42" x14ac:dyDescent="0.35">
      <c r="A178" s="71">
        <v>46191</v>
      </c>
      <c r="B178" s="72" t="s">
        <v>67</v>
      </c>
      <c r="C178" s="74">
        <v>1142.74285714383</v>
      </c>
      <c r="D178" s="74">
        <v>42179.437599151097</v>
      </c>
      <c r="E178" s="62" t="s">
        <v>68</v>
      </c>
      <c r="F178" s="73" t="s">
        <v>69</v>
      </c>
      <c r="G178" s="76" t="s">
        <v>299</v>
      </c>
      <c r="H178" s="73" t="s">
        <v>90</v>
      </c>
      <c r="I178" s="62" t="s">
        <v>301</v>
      </c>
      <c r="J178" s="55">
        <v>20</v>
      </c>
      <c r="K178" s="18">
        <v>0</v>
      </c>
      <c r="L178" s="20">
        <v>0</v>
      </c>
      <c r="M178" s="20">
        <v>0</v>
      </c>
      <c r="N178" s="8">
        <f t="shared" si="85"/>
        <v>0</v>
      </c>
      <c r="O178" s="18">
        <v>20</v>
      </c>
      <c r="P178" s="18">
        <v>10</v>
      </c>
      <c r="Q178" s="18">
        <v>20</v>
      </c>
      <c r="R178" s="8">
        <f t="shared" si="84"/>
        <v>50</v>
      </c>
      <c r="S178" s="18">
        <f t="shared" si="83"/>
        <v>70</v>
      </c>
      <c r="T178" s="18">
        <f t="shared" si="93"/>
        <v>0</v>
      </c>
      <c r="U178" s="18">
        <f t="shared" si="94"/>
        <v>0</v>
      </c>
      <c r="V178" s="18">
        <f t="shared" si="95"/>
        <v>0</v>
      </c>
      <c r="W178" s="8">
        <f t="shared" si="86"/>
        <v>0</v>
      </c>
      <c r="X178" s="18">
        <f t="shared" si="96"/>
        <v>2</v>
      </c>
      <c r="Y178" s="18">
        <f t="shared" si="97"/>
        <v>1</v>
      </c>
      <c r="Z178" s="18">
        <f t="shared" si="98"/>
        <v>2</v>
      </c>
      <c r="AA178" s="8">
        <f t="shared" si="87"/>
        <v>5</v>
      </c>
      <c r="AB178" s="8">
        <v>39.270000000000003</v>
      </c>
      <c r="AC178" s="8">
        <v>52.462499999999999</v>
      </c>
      <c r="AD178" s="8">
        <v>72.64</v>
      </c>
      <c r="AE178" s="9">
        <f t="shared" si="88"/>
        <v>5870.2000000000007</v>
      </c>
      <c r="AF178" s="21">
        <v>6.5000000000000002E-2</v>
      </c>
      <c r="AG178" s="10">
        <f t="shared" si="99"/>
        <v>381.56300000000005</v>
      </c>
      <c r="AH178" s="64">
        <f t="shared" si="89"/>
        <v>27.489000000000004</v>
      </c>
      <c r="AI178" s="9">
        <f t="shared" si="90"/>
        <v>5488.6370000000006</v>
      </c>
      <c r="AJ178" s="5">
        <v>0.18</v>
      </c>
      <c r="AK178" s="11">
        <f t="shared" si="91"/>
        <v>987.9546600000001</v>
      </c>
      <c r="AL178" s="9">
        <f t="shared" si="92"/>
        <v>6476.591660000001</v>
      </c>
      <c r="AP178" s="12"/>
    </row>
    <row r="179" spans="1:42" x14ac:dyDescent="0.35">
      <c r="A179" s="71">
        <v>46191</v>
      </c>
      <c r="B179" s="72" t="s">
        <v>67</v>
      </c>
      <c r="C179" s="74">
        <v>1143.37142857241</v>
      </c>
      <c r="D179" s="74">
        <v>42154.321603345699</v>
      </c>
      <c r="E179" s="62" t="s">
        <v>68</v>
      </c>
      <c r="F179" s="73" t="s">
        <v>69</v>
      </c>
      <c r="G179" s="76" t="s">
        <v>300</v>
      </c>
      <c r="H179" s="73" t="s">
        <v>90</v>
      </c>
      <c r="I179" s="62" t="s">
        <v>301</v>
      </c>
      <c r="J179" s="55">
        <v>14</v>
      </c>
      <c r="K179" s="18">
        <v>0</v>
      </c>
      <c r="L179" s="20">
        <v>0</v>
      </c>
      <c r="M179" s="20">
        <v>0</v>
      </c>
      <c r="N179" s="8">
        <f t="shared" si="85"/>
        <v>0</v>
      </c>
      <c r="O179" s="18">
        <v>20</v>
      </c>
      <c r="P179" s="18">
        <v>20</v>
      </c>
      <c r="Q179" s="18">
        <v>10</v>
      </c>
      <c r="R179" s="8">
        <f t="shared" si="84"/>
        <v>50</v>
      </c>
      <c r="S179" s="18">
        <f t="shared" si="83"/>
        <v>64</v>
      </c>
      <c r="T179" s="18">
        <f t="shared" si="93"/>
        <v>0</v>
      </c>
      <c r="U179" s="18">
        <f t="shared" si="94"/>
        <v>0</v>
      </c>
      <c r="V179" s="18">
        <f t="shared" si="95"/>
        <v>0</v>
      </c>
      <c r="W179" s="8">
        <f t="shared" si="86"/>
        <v>0</v>
      </c>
      <c r="X179" s="18">
        <f t="shared" si="96"/>
        <v>2</v>
      </c>
      <c r="Y179" s="18">
        <f t="shared" si="97"/>
        <v>2</v>
      </c>
      <c r="Z179" s="18">
        <f t="shared" si="98"/>
        <v>1</v>
      </c>
      <c r="AA179" s="8">
        <f t="shared" si="87"/>
        <v>5</v>
      </c>
      <c r="AB179" s="8">
        <v>39.270000000000003</v>
      </c>
      <c r="AC179" s="8">
        <v>52.462499999999999</v>
      </c>
      <c r="AD179" s="8">
        <v>72.64</v>
      </c>
      <c r="AE179" s="9">
        <f t="shared" si="88"/>
        <v>5198.74</v>
      </c>
      <c r="AF179" s="21">
        <v>6.5000000000000002E-2</v>
      </c>
      <c r="AG179" s="10">
        <f t="shared" si="99"/>
        <v>337.91809999999998</v>
      </c>
      <c r="AH179" s="64">
        <f t="shared" si="89"/>
        <v>19.242300000000004</v>
      </c>
      <c r="AI179" s="9">
        <f t="shared" si="90"/>
        <v>4860.8218999999999</v>
      </c>
      <c r="AJ179" s="5">
        <v>0.18</v>
      </c>
      <c r="AK179" s="11">
        <f t="shared" si="91"/>
        <v>874.9479419999999</v>
      </c>
      <c r="AL179" s="9">
        <f t="shared" si="92"/>
        <v>5735.7698419999997</v>
      </c>
      <c r="AP179" s="12"/>
    </row>
    <row r="180" spans="1:42" x14ac:dyDescent="0.35">
      <c r="A180" s="71">
        <v>46191</v>
      </c>
      <c r="B180" s="72" t="s">
        <v>67</v>
      </c>
      <c r="C180" s="74">
        <v>1144.00000000099</v>
      </c>
      <c r="D180" s="74">
        <v>42129.205607540302</v>
      </c>
      <c r="E180" s="62" t="s">
        <v>68</v>
      </c>
      <c r="F180" s="73" t="s">
        <v>298</v>
      </c>
      <c r="G180" s="76" t="s">
        <v>302</v>
      </c>
      <c r="H180" s="73" t="s">
        <v>104</v>
      </c>
      <c r="I180" s="62" t="s">
        <v>306</v>
      </c>
      <c r="J180" s="55">
        <v>20</v>
      </c>
      <c r="K180" s="18">
        <v>20</v>
      </c>
      <c r="L180" s="18">
        <v>20</v>
      </c>
      <c r="M180" s="18">
        <v>14</v>
      </c>
      <c r="N180" s="8">
        <f t="shared" si="85"/>
        <v>54</v>
      </c>
      <c r="O180" s="20">
        <v>32</v>
      </c>
      <c r="P180" s="20">
        <v>20</v>
      </c>
      <c r="Q180" s="20">
        <v>30</v>
      </c>
      <c r="R180" s="8">
        <f t="shared" si="84"/>
        <v>82</v>
      </c>
      <c r="S180" s="18">
        <f t="shared" si="83"/>
        <v>156</v>
      </c>
      <c r="T180" s="18">
        <f t="shared" si="93"/>
        <v>2</v>
      </c>
      <c r="U180" s="18">
        <f t="shared" si="94"/>
        <v>2</v>
      </c>
      <c r="V180" s="18">
        <f t="shared" si="95"/>
        <v>1.4</v>
      </c>
      <c r="W180" s="8">
        <f t="shared" si="86"/>
        <v>5.4</v>
      </c>
      <c r="X180" s="18">
        <f t="shared" si="96"/>
        <v>3.2</v>
      </c>
      <c r="Y180" s="18">
        <f t="shared" si="97"/>
        <v>2</v>
      </c>
      <c r="Z180" s="18">
        <f t="shared" si="98"/>
        <v>3</v>
      </c>
      <c r="AA180" s="8">
        <f t="shared" si="87"/>
        <v>8.1999999999999993</v>
      </c>
      <c r="AB180" s="8">
        <v>39.270000000000003</v>
      </c>
      <c r="AC180" s="8">
        <v>52.462499999999999</v>
      </c>
      <c r="AD180" s="8">
        <v>72.64</v>
      </c>
      <c r="AE180" s="9">
        <f t="shared" si="88"/>
        <v>14950.215</v>
      </c>
      <c r="AF180" s="21">
        <v>6.5000000000000002E-2</v>
      </c>
      <c r="AG180" s="10">
        <f t="shared" si="99"/>
        <v>971.76397500000007</v>
      </c>
      <c r="AH180" s="64">
        <f t="shared" si="89"/>
        <v>27.489000000000004</v>
      </c>
      <c r="AI180" s="9">
        <f t="shared" si="90"/>
        <v>13978.451025</v>
      </c>
      <c r="AJ180" s="5">
        <v>0.18</v>
      </c>
      <c r="AK180" s="11">
        <f t="shared" si="91"/>
        <v>2516.1211844999998</v>
      </c>
      <c r="AL180" s="9">
        <f t="shared" si="92"/>
        <v>16494.572209500002</v>
      </c>
      <c r="AP180" s="12"/>
    </row>
    <row r="181" spans="1:42" x14ac:dyDescent="0.35">
      <c r="A181" s="71">
        <v>46191</v>
      </c>
      <c r="B181" s="72" t="s">
        <v>67</v>
      </c>
      <c r="C181" s="74">
        <v>1144.62857142957</v>
      </c>
      <c r="D181" s="74">
        <v>42104.089611734897</v>
      </c>
      <c r="E181" s="62" t="s">
        <v>68</v>
      </c>
      <c r="F181" s="73" t="s">
        <v>298</v>
      </c>
      <c r="G181" s="76" t="s">
        <v>303</v>
      </c>
      <c r="H181" s="73" t="s">
        <v>104</v>
      </c>
      <c r="I181" s="62" t="s">
        <v>306</v>
      </c>
      <c r="J181" s="55">
        <v>20</v>
      </c>
      <c r="K181" s="18">
        <v>20</v>
      </c>
      <c r="L181" s="20">
        <v>20</v>
      </c>
      <c r="M181" s="20">
        <v>10</v>
      </c>
      <c r="N181" s="8">
        <f t="shared" si="85"/>
        <v>50</v>
      </c>
      <c r="O181" s="18">
        <v>20</v>
      </c>
      <c r="P181" s="20">
        <v>20</v>
      </c>
      <c r="Q181" s="18">
        <v>36</v>
      </c>
      <c r="R181" s="8">
        <f t="shared" si="84"/>
        <v>76</v>
      </c>
      <c r="S181" s="18">
        <f t="shared" si="83"/>
        <v>146</v>
      </c>
      <c r="T181" s="18">
        <f t="shared" si="93"/>
        <v>2</v>
      </c>
      <c r="U181" s="18">
        <f t="shared" si="94"/>
        <v>2</v>
      </c>
      <c r="V181" s="18">
        <f t="shared" si="95"/>
        <v>1</v>
      </c>
      <c r="W181" s="8">
        <f t="shared" si="86"/>
        <v>5</v>
      </c>
      <c r="X181" s="18">
        <f t="shared" si="96"/>
        <v>2</v>
      </c>
      <c r="Y181" s="18">
        <f t="shared" si="97"/>
        <v>2</v>
      </c>
      <c r="Z181" s="18">
        <f t="shared" si="98"/>
        <v>3.6</v>
      </c>
      <c r="AA181" s="8">
        <f t="shared" si="87"/>
        <v>7.6</v>
      </c>
      <c r="AB181" s="8">
        <v>39.270000000000003</v>
      </c>
      <c r="AC181" s="8">
        <v>52.462499999999999</v>
      </c>
      <c r="AD181" s="8">
        <v>72.64</v>
      </c>
      <c r="AE181" s="9">
        <f t="shared" si="88"/>
        <v>14013.965</v>
      </c>
      <c r="AF181" s="21">
        <v>6.5000000000000002E-2</v>
      </c>
      <c r="AG181" s="10">
        <f t="shared" si="99"/>
        <v>910.90772500000003</v>
      </c>
      <c r="AH181" s="64">
        <f t="shared" si="89"/>
        <v>27.489000000000004</v>
      </c>
      <c r="AI181" s="9">
        <f t="shared" si="90"/>
        <v>13103.057274999999</v>
      </c>
      <c r="AJ181" s="5">
        <v>0.18</v>
      </c>
      <c r="AK181" s="11">
        <f t="shared" si="91"/>
        <v>2358.5503094999999</v>
      </c>
      <c r="AL181" s="9">
        <f t="shared" si="92"/>
        <v>15461.6075845</v>
      </c>
      <c r="AP181" s="12"/>
    </row>
    <row r="182" spans="1:42" x14ac:dyDescent="0.35">
      <c r="A182" s="71">
        <v>46191</v>
      </c>
      <c r="B182" s="72" t="s">
        <v>67</v>
      </c>
      <c r="C182" s="74">
        <v>1145.25714285815</v>
      </c>
      <c r="D182" s="74">
        <v>42078.973615929499</v>
      </c>
      <c r="E182" s="62" t="s">
        <v>68</v>
      </c>
      <c r="F182" s="73" t="s">
        <v>69</v>
      </c>
      <c r="G182" s="76" t="s">
        <v>304</v>
      </c>
      <c r="H182" s="73" t="s">
        <v>104</v>
      </c>
      <c r="I182" s="62" t="s">
        <v>306</v>
      </c>
      <c r="J182" s="55">
        <v>40</v>
      </c>
      <c r="K182" s="18">
        <v>20</v>
      </c>
      <c r="L182" s="18">
        <v>17</v>
      </c>
      <c r="M182" s="18">
        <v>10</v>
      </c>
      <c r="N182" s="8">
        <f t="shared" si="85"/>
        <v>47</v>
      </c>
      <c r="O182" s="18">
        <v>40</v>
      </c>
      <c r="P182" s="18">
        <v>40</v>
      </c>
      <c r="Q182" s="18">
        <v>30</v>
      </c>
      <c r="R182" s="8">
        <f t="shared" si="84"/>
        <v>110</v>
      </c>
      <c r="S182" s="18">
        <f t="shared" si="83"/>
        <v>197</v>
      </c>
      <c r="T182" s="18">
        <f t="shared" si="93"/>
        <v>2</v>
      </c>
      <c r="U182" s="18">
        <f t="shared" si="94"/>
        <v>1.7</v>
      </c>
      <c r="V182" s="18">
        <f t="shared" si="95"/>
        <v>1</v>
      </c>
      <c r="W182" s="8">
        <f t="shared" si="86"/>
        <v>4.7</v>
      </c>
      <c r="X182" s="18">
        <f t="shared" si="96"/>
        <v>4</v>
      </c>
      <c r="Y182" s="18">
        <f t="shared" si="97"/>
        <v>4</v>
      </c>
      <c r="Z182" s="18">
        <f t="shared" si="98"/>
        <v>3</v>
      </c>
      <c r="AA182" s="8">
        <f t="shared" si="87"/>
        <v>11</v>
      </c>
      <c r="AB182" s="8">
        <v>39.270000000000003</v>
      </c>
      <c r="AC182" s="8">
        <v>52.462499999999999</v>
      </c>
      <c r="AD182" s="8">
        <v>72.64</v>
      </c>
      <c r="AE182" s="9">
        <f t="shared" si="88"/>
        <v>18346.6175</v>
      </c>
      <c r="AF182" s="21">
        <v>6.5000000000000002E-2</v>
      </c>
      <c r="AG182" s="10">
        <f t="shared" si="99"/>
        <v>1192.5301375000001</v>
      </c>
      <c r="AH182" s="64">
        <f t="shared" si="89"/>
        <v>54.978000000000009</v>
      </c>
      <c r="AI182" s="9">
        <f t="shared" si="90"/>
        <v>17154.087362499999</v>
      </c>
      <c r="AJ182" s="5">
        <v>0.18</v>
      </c>
      <c r="AK182" s="11">
        <f t="shared" si="91"/>
        <v>3087.7357252499996</v>
      </c>
      <c r="AL182" s="9">
        <f t="shared" si="92"/>
        <v>20241.823087749999</v>
      </c>
      <c r="AP182" s="12"/>
    </row>
    <row r="183" spans="1:42" x14ac:dyDescent="0.35">
      <c r="A183" s="71">
        <v>46191</v>
      </c>
      <c r="B183" s="72" t="s">
        <v>67</v>
      </c>
      <c r="C183" s="74">
        <v>1145.88571428673</v>
      </c>
      <c r="D183" s="74">
        <v>42053.857620124101</v>
      </c>
      <c r="E183" s="62" t="s">
        <v>68</v>
      </c>
      <c r="F183" s="73" t="s">
        <v>69</v>
      </c>
      <c r="G183" s="76" t="s">
        <v>305</v>
      </c>
      <c r="H183" s="73" t="s">
        <v>104</v>
      </c>
      <c r="I183" s="62" t="s">
        <v>306</v>
      </c>
      <c r="J183" s="55">
        <v>20</v>
      </c>
      <c r="K183" s="20">
        <v>7</v>
      </c>
      <c r="L183" s="20">
        <v>0</v>
      </c>
      <c r="M183" s="20">
        <v>20</v>
      </c>
      <c r="N183" s="8">
        <f t="shared" si="85"/>
        <v>27</v>
      </c>
      <c r="O183" s="18">
        <v>40</v>
      </c>
      <c r="P183" s="18">
        <v>32</v>
      </c>
      <c r="Q183" s="18">
        <v>30</v>
      </c>
      <c r="R183" s="8">
        <f t="shared" si="84"/>
        <v>102</v>
      </c>
      <c r="S183" s="18">
        <f t="shared" si="83"/>
        <v>149</v>
      </c>
      <c r="T183" s="18">
        <f t="shared" si="93"/>
        <v>0.7</v>
      </c>
      <c r="U183" s="18">
        <f t="shared" si="94"/>
        <v>0</v>
      </c>
      <c r="V183" s="18">
        <f t="shared" si="95"/>
        <v>2</v>
      </c>
      <c r="W183" s="8">
        <f t="shared" si="86"/>
        <v>2.7</v>
      </c>
      <c r="X183" s="18">
        <f t="shared" si="96"/>
        <v>4</v>
      </c>
      <c r="Y183" s="18">
        <f t="shared" si="97"/>
        <v>3.2</v>
      </c>
      <c r="Z183" s="18">
        <f t="shared" si="98"/>
        <v>3</v>
      </c>
      <c r="AA183" s="8">
        <f t="shared" si="87"/>
        <v>10.199999999999999</v>
      </c>
      <c r="AB183" s="8">
        <v>39.270000000000003</v>
      </c>
      <c r="AC183" s="8">
        <v>52.462499999999999</v>
      </c>
      <c r="AD183" s="8">
        <v>72.64</v>
      </c>
      <c r="AE183" s="9">
        <f t="shared" si="88"/>
        <v>13025.247500000001</v>
      </c>
      <c r="AF183" s="21">
        <v>6.5000000000000002E-2</v>
      </c>
      <c r="AG183" s="10">
        <f t="shared" si="99"/>
        <v>846.64108750000014</v>
      </c>
      <c r="AH183" s="64">
        <f t="shared" si="89"/>
        <v>27.489000000000004</v>
      </c>
      <c r="AI183" s="9">
        <f t="shared" si="90"/>
        <v>12178.606412500001</v>
      </c>
      <c r="AJ183" s="5">
        <v>0.18</v>
      </c>
      <c r="AK183" s="11">
        <f t="shared" si="91"/>
        <v>2192.1491542500003</v>
      </c>
      <c r="AL183" s="9">
        <f t="shared" si="92"/>
        <v>14370.755566750002</v>
      </c>
      <c r="AP183" s="12"/>
    </row>
    <row r="184" spans="1:42" x14ac:dyDescent="0.35">
      <c r="A184" s="71">
        <v>46191</v>
      </c>
      <c r="B184" s="72" t="s">
        <v>67</v>
      </c>
      <c r="C184" s="74">
        <v>1146.5142857153101</v>
      </c>
      <c r="D184" s="74">
        <v>42028.741624318704</v>
      </c>
      <c r="E184" s="62" t="s">
        <v>68</v>
      </c>
      <c r="F184" s="73" t="s">
        <v>69</v>
      </c>
      <c r="G184" s="76" t="s">
        <v>307</v>
      </c>
      <c r="H184" s="73" t="s">
        <v>79</v>
      </c>
      <c r="I184" s="62" t="s">
        <v>308</v>
      </c>
      <c r="J184" s="55">
        <v>30</v>
      </c>
      <c r="K184" s="18">
        <v>80</v>
      </c>
      <c r="L184" s="18">
        <v>33</v>
      </c>
      <c r="M184" s="18">
        <v>20</v>
      </c>
      <c r="N184" s="8">
        <f t="shared" si="85"/>
        <v>133</v>
      </c>
      <c r="O184" s="18">
        <v>35</v>
      </c>
      <c r="P184" s="18">
        <v>20</v>
      </c>
      <c r="Q184" s="18">
        <v>40</v>
      </c>
      <c r="R184" s="8">
        <f t="shared" si="84"/>
        <v>95</v>
      </c>
      <c r="S184" s="18">
        <f t="shared" si="83"/>
        <v>258</v>
      </c>
      <c r="T184" s="18">
        <f t="shared" si="93"/>
        <v>8</v>
      </c>
      <c r="U184" s="18">
        <f t="shared" si="94"/>
        <v>3.3</v>
      </c>
      <c r="V184" s="18">
        <f t="shared" si="95"/>
        <v>2</v>
      </c>
      <c r="W184" s="8">
        <f t="shared" si="86"/>
        <v>13.3</v>
      </c>
      <c r="X184" s="18">
        <f t="shared" si="96"/>
        <v>3.5</v>
      </c>
      <c r="Y184" s="18">
        <f t="shared" si="97"/>
        <v>2</v>
      </c>
      <c r="Z184" s="18">
        <f t="shared" si="98"/>
        <v>4</v>
      </c>
      <c r="AA184" s="8">
        <f t="shared" si="87"/>
        <v>9.5</v>
      </c>
      <c r="AB184" s="8">
        <v>39.270000000000003</v>
      </c>
      <c r="AC184" s="8">
        <v>52.462499999999999</v>
      </c>
      <c r="AD184" s="8">
        <v>72.64</v>
      </c>
      <c r="AE184" s="9">
        <f t="shared" si="88"/>
        <v>26896.732499999998</v>
      </c>
      <c r="AF184" s="21">
        <v>6.5000000000000002E-2</v>
      </c>
      <c r="AG184" s="10">
        <f t="shared" si="99"/>
        <v>1748.2876125</v>
      </c>
      <c r="AH184" s="64">
        <f t="shared" si="89"/>
        <v>41.233500000000006</v>
      </c>
      <c r="AI184" s="9">
        <f t="shared" si="90"/>
        <v>25148.444887499998</v>
      </c>
      <c r="AJ184" s="5">
        <v>0.18</v>
      </c>
      <c r="AK184" s="11">
        <f t="shared" si="91"/>
        <v>4526.7200797499991</v>
      </c>
      <c r="AL184" s="9">
        <f t="shared" si="92"/>
        <v>29675.164967249999</v>
      </c>
      <c r="AP184" s="12"/>
    </row>
    <row r="185" spans="1:42" x14ac:dyDescent="0.35">
      <c r="A185" s="71">
        <v>46191</v>
      </c>
      <c r="B185" s="72" t="s">
        <v>67</v>
      </c>
      <c r="C185" s="74">
        <v>1147.1428571438901</v>
      </c>
      <c r="D185" s="74">
        <v>42003.625628513299</v>
      </c>
      <c r="E185" s="62" t="s">
        <v>68</v>
      </c>
      <c r="F185" s="73" t="s">
        <v>69</v>
      </c>
      <c r="G185" s="76" t="s">
        <v>141</v>
      </c>
      <c r="H185" s="73" t="s">
        <v>79</v>
      </c>
      <c r="I185" s="62" t="s">
        <v>308</v>
      </c>
      <c r="J185" s="55">
        <v>30</v>
      </c>
      <c r="K185" s="18">
        <v>80</v>
      </c>
      <c r="L185" s="18">
        <v>80</v>
      </c>
      <c r="M185" s="18">
        <v>40</v>
      </c>
      <c r="N185" s="8">
        <f t="shared" si="85"/>
        <v>200</v>
      </c>
      <c r="O185" s="18">
        <v>100</v>
      </c>
      <c r="P185" s="18">
        <v>110</v>
      </c>
      <c r="Q185" s="18">
        <v>80</v>
      </c>
      <c r="R185" s="8">
        <f t="shared" si="84"/>
        <v>290</v>
      </c>
      <c r="S185" s="18">
        <f t="shared" si="83"/>
        <v>520</v>
      </c>
      <c r="T185" s="18">
        <f t="shared" si="93"/>
        <v>8</v>
      </c>
      <c r="U185" s="18">
        <f t="shared" si="94"/>
        <v>8</v>
      </c>
      <c r="V185" s="18">
        <f t="shared" si="95"/>
        <v>4</v>
      </c>
      <c r="W185" s="8">
        <f t="shared" si="86"/>
        <v>20</v>
      </c>
      <c r="X185" s="18">
        <f t="shared" si="96"/>
        <v>10</v>
      </c>
      <c r="Y185" s="18">
        <f t="shared" si="97"/>
        <v>11</v>
      </c>
      <c r="Z185" s="18">
        <f t="shared" si="98"/>
        <v>8</v>
      </c>
      <c r="AA185" s="8">
        <f t="shared" si="87"/>
        <v>29</v>
      </c>
      <c r="AB185" s="8">
        <v>39.270000000000003</v>
      </c>
      <c r="AC185" s="8">
        <v>52.462499999999999</v>
      </c>
      <c r="AD185" s="8">
        <v>72.64</v>
      </c>
      <c r="AE185" s="9">
        <f t="shared" si="88"/>
        <v>49443.4</v>
      </c>
      <c r="AF185" s="21">
        <v>6.5000000000000002E-2</v>
      </c>
      <c r="AG185" s="10">
        <f t="shared" si="99"/>
        <v>3213.8210000000004</v>
      </c>
      <c r="AH185" s="64">
        <f t="shared" si="89"/>
        <v>41.233500000000006</v>
      </c>
      <c r="AI185" s="9">
        <f t="shared" si="90"/>
        <v>46229.578999999998</v>
      </c>
      <c r="AJ185" s="5">
        <v>0.18</v>
      </c>
      <c r="AK185" s="11">
        <f t="shared" si="91"/>
        <v>8321.3242199999986</v>
      </c>
      <c r="AL185" s="9">
        <f t="shared" si="92"/>
        <v>54550.903219999993</v>
      </c>
      <c r="AP185" s="12"/>
    </row>
    <row r="186" spans="1:42" x14ac:dyDescent="0.35">
      <c r="A186" s="71">
        <v>46191</v>
      </c>
      <c r="B186" s="72" t="s">
        <v>67</v>
      </c>
      <c r="C186" s="74">
        <v>1147.7714285724701</v>
      </c>
      <c r="D186" s="74">
        <v>41978.509632708003</v>
      </c>
      <c r="E186" s="62" t="s">
        <v>68</v>
      </c>
      <c r="F186" s="73" t="s">
        <v>69</v>
      </c>
      <c r="G186" s="76" t="s">
        <v>274</v>
      </c>
      <c r="H186" s="73" t="s">
        <v>79</v>
      </c>
      <c r="I186" s="62" t="s">
        <v>308</v>
      </c>
      <c r="J186" s="55">
        <v>30</v>
      </c>
      <c r="K186" s="18">
        <v>36</v>
      </c>
      <c r="L186" s="18">
        <v>80</v>
      </c>
      <c r="M186" s="18">
        <v>34</v>
      </c>
      <c r="N186" s="8">
        <f t="shared" si="85"/>
        <v>150</v>
      </c>
      <c r="O186" s="18">
        <v>35</v>
      </c>
      <c r="P186" s="18">
        <v>15</v>
      </c>
      <c r="Q186" s="18">
        <v>25</v>
      </c>
      <c r="R186" s="8">
        <f t="shared" si="84"/>
        <v>75</v>
      </c>
      <c r="S186" s="18">
        <f t="shared" si="83"/>
        <v>255</v>
      </c>
      <c r="T186" s="18">
        <f t="shared" si="93"/>
        <v>3.6</v>
      </c>
      <c r="U186" s="18">
        <f t="shared" si="94"/>
        <v>8</v>
      </c>
      <c r="V186" s="18">
        <f t="shared" si="95"/>
        <v>3.4</v>
      </c>
      <c r="W186" s="8">
        <f t="shared" si="86"/>
        <v>15</v>
      </c>
      <c r="X186" s="18">
        <f t="shared" si="96"/>
        <v>3.5</v>
      </c>
      <c r="Y186" s="18">
        <f t="shared" si="97"/>
        <v>1.5</v>
      </c>
      <c r="Z186" s="18">
        <f t="shared" si="98"/>
        <v>2.5</v>
      </c>
      <c r="AA186" s="8">
        <f t="shared" si="87"/>
        <v>7.5</v>
      </c>
      <c r="AB186" s="8">
        <v>39.270000000000003</v>
      </c>
      <c r="AC186" s="8">
        <v>52.462499999999999</v>
      </c>
      <c r="AD186" s="8">
        <v>72.64</v>
      </c>
      <c r="AE186" s="9">
        <f t="shared" si="88"/>
        <v>27570.675000000003</v>
      </c>
      <c r="AF186" s="21">
        <v>6.5000000000000002E-2</v>
      </c>
      <c r="AG186" s="10">
        <f t="shared" si="99"/>
        <v>1792.0938750000003</v>
      </c>
      <c r="AH186" s="64">
        <f t="shared" si="89"/>
        <v>41.233500000000006</v>
      </c>
      <c r="AI186" s="9">
        <f t="shared" si="90"/>
        <v>25778.581125000004</v>
      </c>
      <c r="AJ186" s="5">
        <v>0.18</v>
      </c>
      <c r="AK186" s="11">
        <f t="shared" si="91"/>
        <v>4640.1446025000005</v>
      </c>
      <c r="AL186" s="9">
        <f t="shared" si="92"/>
        <v>30418.725727500005</v>
      </c>
      <c r="AP186" s="12"/>
    </row>
    <row r="187" spans="1:42" x14ac:dyDescent="0.35">
      <c r="A187" s="71">
        <v>46191</v>
      </c>
      <c r="B187" s="72" t="s">
        <v>67</v>
      </c>
      <c r="C187" s="74">
        <v>1148.4000000010501</v>
      </c>
      <c r="D187" s="74">
        <v>41953.393636902503</v>
      </c>
      <c r="E187" s="62" t="s">
        <v>68</v>
      </c>
      <c r="F187" s="73" t="s">
        <v>208</v>
      </c>
      <c r="G187" s="76" t="s">
        <v>356</v>
      </c>
      <c r="H187" s="73" t="s">
        <v>212</v>
      </c>
      <c r="I187" s="62" t="s">
        <v>309</v>
      </c>
      <c r="J187" s="55"/>
      <c r="K187" s="18">
        <v>0</v>
      </c>
      <c r="L187" s="18">
        <v>0</v>
      </c>
      <c r="M187" s="18">
        <v>40</v>
      </c>
      <c r="N187" s="8">
        <f t="shared" si="85"/>
        <v>40</v>
      </c>
      <c r="O187" s="18">
        <v>0</v>
      </c>
      <c r="P187" s="18">
        <v>0</v>
      </c>
      <c r="Q187" s="18">
        <v>40</v>
      </c>
      <c r="R187" s="8">
        <f t="shared" si="84"/>
        <v>40</v>
      </c>
      <c r="S187" s="18">
        <f t="shared" si="83"/>
        <v>80</v>
      </c>
      <c r="T187" s="18">
        <f t="shared" si="93"/>
        <v>0</v>
      </c>
      <c r="U187" s="18">
        <f t="shared" si="94"/>
        <v>0</v>
      </c>
      <c r="V187" s="18">
        <f t="shared" si="95"/>
        <v>4</v>
      </c>
      <c r="W187" s="8">
        <f t="shared" si="86"/>
        <v>4</v>
      </c>
      <c r="X187" s="18">
        <f t="shared" si="96"/>
        <v>0</v>
      </c>
      <c r="Y187" s="18">
        <f t="shared" si="97"/>
        <v>0</v>
      </c>
      <c r="Z187" s="18">
        <f t="shared" si="98"/>
        <v>4</v>
      </c>
      <c r="AA187" s="8">
        <f t="shared" si="87"/>
        <v>4</v>
      </c>
      <c r="AB187" s="8">
        <v>39.270000000000003</v>
      </c>
      <c r="AC187" s="8">
        <v>52.462499999999999</v>
      </c>
      <c r="AD187" s="8">
        <v>72.64</v>
      </c>
      <c r="AE187" s="9">
        <f t="shared" si="88"/>
        <v>7909.7</v>
      </c>
      <c r="AF187" s="21">
        <v>6.5000000000000002E-2</v>
      </c>
      <c r="AG187" s="10">
        <f t="shared" si="99"/>
        <v>514.13049999999998</v>
      </c>
      <c r="AH187" s="64">
        <f t="shared" si="89"/>
        <v>0</v>
      </c>
      <c r="AI187" s="9">
        <f t="shared" si="90"/>
        <v>7395.5694999999996</v>
      </c>
      <c r="AJ187" s="5">
        <v>0.18</v>
      </c>
      <c r="AK187" s="11">
        <f t="shared" si="91"/>
        <v>1331.2025099999998</v>
      </c>
      <c r="AL187" s="9">
        <f t="shared" si="92"/>
        <v>8726.7720099999988</v>
      </c>
      <c r="AP187" s="12"/>
    </row>
    <row r="188" spans="1:42" x14ac:dyDescent="0.35">
      <c r="A188" s="71">
        <v>46191</v>
      </c>
      <c r="B188" s="72" t="s">
        <v>67</v>
      </c>
      <c r="C188" s="74">
        <v>1149.0285714296299</v>
      </c>
      <c r="D188" s="74">
        <v>41928.277641096996</v>
      </c>
      <c r="E188" s="62" t="s">
        <v>68</v>
      </c>
      <c r="F188" s="73" t="s">
        <v>208</v>
      </c>
      <c r="G188" s="76" t="s">
        <v>356</v>
      </c>
      <c r="H188" s="73" t="s">
        <v>212</v>
      </c>
      <c r="I188" s="62" t="s">
        <v>310</v>
      </c>
      <c r="J188" s="55"/>
      <c r="K188" s="20">
        <v>40</v>
      </c>
      <c r="L188" s="20">
        <v>200</v>
      </c>
      <c r="M188" s="20">
        <v>250</v>
      </c>
      <c r="N188" s="8">
        <f t="shared" si="85"/>
        <v>490</v>
      </c>
      <c r="O188" s="18">
        <v>200</v>
      </c>
      <c r="P188" s="18">
        <v>280</v>
      </c>
      <c r="Q188" s="18">
        <v>400</v>
      </c>
      <c r="R188" s="8">
        <f t="shared" si="84"/>
        <v>880</v>
      </c>
      <c r="S188" s="18">
        <f t="shared" si="83"/>
        <v>1370</v>
      </c>
      <c r="T188" s="18">
        <f t="shared" si="93"/>
        <v>4</v>
      </c>
      <c r="U188" s="18">
        <f t="shared" si="94"/>
        <v>20</v>
      </c>
      <c r="V188" s="18">
        <f t="shared" si="95"/>
        <v>25</v>
      </c>
      <c r="W188" s="8">
        <f t="shared" si="86"/>
        <v>49</v>
      </c>
      <c r="X188" s="18">
        <f t="shared" si="96"/>
        <v>20</v>
      </c>
      <c r="Y188" s="18">
        <f t="shared" si="97"/>
        <v>28</v>
      </c>
      <c r="Z188" s="18">
        <f t="shared" si="98"/>
        <v>40</v>
      </c>
      <c r="AA188" s="8">
        <f t="shared" si="87"/>
        <v>88</v>
      </c>
      <c r="AB188" s="8">
        <v>39.270000000000003</v>
      </c>
      <c r="AC188" s="8">
        <v>52.462499999999999</v>
      </c>
      <c r="AD188" s="8">
        <v>72.64</v>
      </c>
      <c r="AE188" s="9">
        <f t="shared" si="88"/>
        <v>125223.425</v>
      </c>
      <c r="AF188" s="21">
        <v>6.5000000000000002E-2</v>
      </c>
      <c r="AG188" s="10">
        <f t="shared" si="99"/>
        <v>8139.5226250000005</v>
      </c>
      <c r="AH188" s="64">
        <f t="shared" si="89"/>
        <v>0</v>
      </c>
      <c r="AI188" s="9">
        <f t="shared" si="90"/>
        <v>117083.90237500001</v>
      </c>
      <c r="AJ188" s="5">
        <v>0.18</v>
      </c>
      <c r="AK188" s="11">
        <f t="shared" si="91"/>
        <v>21075.102427500002</v>
      </c>
      <c r="AL188" s="9">
        <f t="shared" si="92"/>
        <v>138159.00480250001</v>
      </c>
      <c r="AP188" s="12"/>
    </row>
    <row r="189" spans="1:42" x14ac:dyDescent="0.35">
      <c r="A189" s="71">
        <v>46191</v>
      </c>
      <c r="B189" s="72" t="s">
        <v>67</v>
      </c>
      <c r="C189" s="74">
        <v>1149.6571428582099</v>
      </c>
      <c r="D189" s="74">
        <v>41903.161645291599</v>
      </c>
      <c r="E189" s="62" t="s">
        <v>68</v>
      </c>
      <c r="F189" s="73" t="s">
        <v>208</v>
      </c>
      <c r="G189" s="76" t="s">
        <v>356</v>
      </c>
      <c r="H189" s="73" t="s">
        <v>212</v>
      </c>
      <c r="I189" s="62" t="s">
        <v>311</v>
      </c>
      <c r="J189" s="55"/>
      <c r="K189" s="18">
        <v>120</v>
      </c>
      <c r="L189" s="18">
        <v>240</v>
      </c>
      <c r="M189" s="18">
        <v>250</v>
      </c>
      <c r="N189" s="8">
        <f t="shared" si="85"/>
        <v>610</v>
      </c>
      <c r="O189" s="18">
        <v>160</v>
      </c>
      <c r="P189" s="18">
        <v>280</v>
      </c>
      <c r="Q189" s="18">
        <v>160</v>
      </c>
      <c r="R189" s="8">
        <f t="shared" si="84"/>
        <v>600</v>
      </c>
      <c r="S189" s="18">
        <f t="shared" ref="S189:S205" si="100">J189+K189+L189+M189+O189+P189+Q189</f>
        <v>1210</v>
      </c>
      <c r="T189" s="18">
        <f t="shared" si="93"/>
        <v>12</v>
      </c>
      <c r="U189" s="18">
        <f t="shared" si="94"/>
        <v>24</v>
      </c>
      <c r="V189" s="18">
        <f t="shared" si="95"/>
        <v>25</v>
      </c>
      <c r="W189" s="8">
        <f t="shared" si="86"/>
        <v>61</v>
      </c>
      <c r="X189" s="18">
        <f t="shared" si="96"/>
        <v>16</v>
      </c>
      <c r="Y189" s="18">
        <f t="shared" si="97"/>
        <v>28</v>
      </c>
      <c r="Z189" s="18">
        <f t="shared" si="98"/>
        <v>16</v>
      </c>
      <c r="AA189" s="8">
        <f t="shared" si="87"/>
        <v>60</v>
      </c>
      <c r="AB189" s="8">
        <v>39.270000000000003</v>
      </c>
      <c r="AC189" s="8">
        <v>52.462499999999999</v>
      </c>
      <c r="AD189" s="8">
        <v>72.64</v>
      </c>
      <c r="AE189" s="9">
        <f t="shared" si="88"/>
        <v>119896.52499999999</v>
      </c>
      <c r="AF189" s="21">
        <v>6.5000000000000002E-2</v>
      </c>
      <c r="AG189" s="10">
        <f t="shared" si="99"/>
        <v>7793.2741249999999</v>
      </c>
      <c r="AH189" s="64">
        <f t="shared" si="89"/>
        <v>0</v>
      </c>
      <c r="AI189" s="9">
        <f t="shared" si="90"/>
        <v>112103.250875</v>
      </c>
      <c r="AJ189" s="5">
        <v>0.18</v>
      </c>
      <c r="AK189" s="11">
        <f t="shared" si="91"/>
        <v>20178.585157499998</v>
      </c>
      <c r="AL189" s="9">
        <f t="shared" si="92"/>
        <v>132281.8360325</v>
      </c>
      <c r="AP189" s="12"/>
    </row>
    <row r="190" spans="1:42" x14ac:dyDescent="0.35">
      <c r="A190" s="71">
        <v>46191</v>
      </c>
      <c r="B190" s="72" t="s">
        <v>67</v>
      </c>
      <c r="C190" s="74">
        <v>1150.2857142867899</v>
      </c>
      <c r="D190" s="74">
        <v>41878.045649486201</v>
      </c>
      <c r="E190" s="62" t="s">
        <v>68</v>
      </c>
      <c r="F190" s="73" t="s">
        <v>208</v>
      </c>
      <c r="G190" s="76" t="s">
        <v>356</v>
      </c>
      <c r="H190" s="73" t="s">
        <v>212</v>
      </c>
      <c r="I190" s="62" t="s">
        <v>312</v>
      </c>
      <c r="J190" s="55"/>
      <c r="K190" s="18">
        <v>80</v>
      </c>
      <c r="L190" s="18">
        <v>80</v>
      </c>
      <c r="M190" s="20">
        <v>40</v>
      </c>
      <c r="N190" s="8">
        <f t="shared" si="85"/>
        <v>200</v>
      </c>
      <c r="O190" s="18">
        <v>80</v>
      </c>
      <c r="P190" s="18">
        <v>120</v>
      </c>
      <c r="Q190" s="18">
        <v>80</v>
      </c>
      <c r="R190" s="8">
        <f t="shared" si="84"/>
        <v>280</v>
      </c>
      <c r="S190" s="18">
        <f t="shared" si="100"/>
        <v>480</v>
      </c>
      <c r="T190" s="18">
        <f t="shared" si="93"/>
        <v>8</v>
      </c>
      <c r="U190" s="18">
        <f t="shared" si="94"/>
        <v>8</v>
      </c>
      <c r="V190" s="18">
        <f t="shared" si="95"/>
        <v>4</v>
      </c>
      <c r="W190" s="8">
        <f t="shared" si="86"/>
        <v>20</v>
      </c>
      <c r="X190" s="18">
        <f t="shared" si="96"/>
        <v>8</v>
      </c>
      <c r="Y190" s="18">
        <f t="shared" si="97"/>
        <v>12</v>
      </c>
      <c r="Z190" s="18">
        <f t="shared" si="98"/>
        <v>8</v>
      </c>
      <c r="AA190" s="8">
        <f t="shared" si="87"/>
        <v>28</v>
      </c>
      <c r="AB190" s="8">
        <v>39.270000000000003</v>
      </c>
      <c r="AC190" s="8">
        <v>52.462499999999999</v>
      </c>
      <c r="AD190" s="8">
        <v>72.64</v>
      </c>
      <c r="AE190" s="9">
        <f t="shared" si="88"/>
        <v>45359.7</v>
      </c>
      <c r="AF190" s="21">
        <v>6.5000000000000002E-2</v>
      </c>
      <c r="AG190" s="10">
        <f t="shared" si="99"/>
        <v>2948.3804999999998</v>
      </c>
      <c r="AH190" s="64">
        <f t="shared" si="89"/>
        <v>0</v>
      </c>
      <c r="AI190" s="9">
        <f t="shared" si="90"/>
        <v>42411.319499999998</v>
      </c>
      <c r="AJ190" s="5">
        <v>0.18</v>
      </c>
      <c r="AK190" s="11">
        <f t="shared" si="91"/>
        <v>7634.0375099999992</v>
      </c>
      <c r="AL190" s="9">
        <f t="shared" si="92"/>
        <v>50045.35701</v>
      </c>
      <c r="AP190" s="12"/>
    </row>
    <row r="191" spans="1:42" x14ac:dyDescent="0.35">
      <c r="A191" s="71">
        <v>46191</v>
      </c>
      <c r="B191" s="72" t="s">
        <v>67</v>
      </c>
      <c r="C191" s="74">
        <v>1150.9142857153699</v>
      </c>
      <c r="D191" s="74">
        <v>41852.929653680803</v>
      </c>
      <c r="E191" s="62" t="s">
        <v>68</v>
      </c>
      <c r="F191" s="73" t="s">
        <v>208</v>
      </c>
      <c r="G191" s="76" t="s">
        <v>356</v>
      </c>
      <c r="H191" s="73" t="s">
        <v>212</v>
      </c>
      <c r="I191" s="62" t="s">
        <v>313</v>
      </c>
      <c r="J191" s="55"/>
      <c r="K191" s="20">
        <v>40</v>
      </c>
      <c r="L191" s="20">
        <v>80</v>
      </c>
      <c r="M191" s="20">
        <v>120</v>
      </c>
      <c r="N191" s="8">
        <f t="shared" si="85"/>
        <v>240</v>
      </c>
      <c r="O191" s="18">
        <v>80</v>
      </c>
      <c r="P191" s="18">
        <v>80</v>
      </c>
      <c r="Q191" s="18">
        <v>80</v>
      </c>
      <c r="R191" s="8">
        <f t="shared" si="84"/>
        <v>240</v>
      </c>
      <c r="S191" s="18">
        <f t="shared" si="100"/>
        <v>480</v>
      </c>
      <c r="T191" s="18">
        <f t="shared" si="93"/>
        <v>4</v>
      </c>
      <c r="U191" s="18">
        <f t="shared" si="94"/>
        <v>8</v>
      </c>
      <c r="V191" s="18">
        <f t="shared" si="95"/>
        <v>12</v>
      </c>
      <c r="W191" s="8">
        <f t="shared" si="86"/>
        <v>24</v>
      </c>
      <c r="X191" s="18">
        <f t="shared" si="96"/>
        <v>8</v>
      </c>
      <c r="Y191" s="18">
        <f t="shared" si="97"/>
        <v>8</v>
      </c>
      <c r="Z191" s="18">
        <f t="shared" si="98"/>
        <v>8</v>
      </c>
      <c r="AA191" s="8">
        <f t="shared" si="87"/>
        <v>24</v>
      </c>
      <c r="AB191" s="8">
        <v>39.270000000000003</v>
      </c>
      <c r="AC191" s="8">
        <v>52.462499999999999</v>
      </c>
      <c r="AD191" s="8">
        <v>72.64</v>
      </c>
      <c r="AE191" s="9">
        <f t="shared" si="88"/>
        <v>47458.2</v>
      </c>
      <c r="AF191" s="21">
        <v>6.5000000000000002E-2</v>
      </c>
      <c r="AG191" s="10">
        <f t="shared" si="99"/>
        <v>3084.7829999999999</v>
      </c>
      <c r="AH191" s="64">
        <f t="shared" si="89"/>
        <v>0</v>
      </c>
      <c r="AI191" s="9">
        <f t="shared" si="90"/>
        <v>44373.416999999994</v>
      </c>
      <c r="AJ191" s="5">
        <v>0.18</v>
      </c>
      <c r="AK191" s="11">
        <f t="shared" si="91"/>
        <v>7987.2150599999986</v>
      </c>
      <c r="AL191" s="9">
        <f t="shared" si="92"/>
        <v>52360.632059999989</v>
      </c>
      <c r="AP191" s="12"/>
    </row>
    <row r="192" spans="1:42" x14ac:dyDescent="0.35">
      <c r="A192" s="71">
        <v>46191</v>
      </c>
      <c r="B192" s="72" t="s">
        <v>67</v>
      </c>
      <c r="C192" s="74">
        <v>1151.54285714395</v>
      </c>
      <c r="D192" s="74">
        <v>41827.813657875398</v>
      </c>
      <c r="E192" s="62" t="s">
        <v>68</v>
      </c>
      <c r="F192" s="73" t="s">
        <v>208</v>
      </c>
      <c r="G192" s="76" t="s">
        <v>328</v>
      </c>
      <c r="H192" s="73" t="s">
        <v>212</v>
      </c>
      <c r="I192" s="62" t="s">
        <v>314</v>
      </c>
      <c r="J192" s="55"/>
      <c r="K192" s="18">
        <v>40</v>
      </c>
      <c r="L192" s="18">
        <v>40</v>
      </c>
      <c r="M192" s="18">
        <v>40</v>
      </c>
      <c r="N192" s="8">
        <f t="shared" si="85"/>
        <v>120</v>
      </c>
      <c r="O192" s="20">
        <v>40</v>
      </c>
      <c r="P192" s="20">
        <v>40</v>
      </c>
      <c r="Q192" s="20">
        <v>40</v>
      </c>
      <c r="R192" s="8">
        <f t="shared" si="84"/>
        <v>120</v>
      </c>
      <c r="S192" s="18">
        <f t="shared" si="100"/>
        <v>240</v>
      </c>
      <c r="T192" s="18">
        <f t="shared" si="93"/>
        <v>4</v>
      </c>
      <c r="U192" s="18">
        <f t="shared" si="94"/>
        <v>4</v>
      </c>
      <c r="V192" s="18">
        <f t="shared" si="95"/>
        <v>4</v>
      </c>
      <c r="W192" s="8">
        <f t="shared" si="86"/>
        <v>12</v>
      </c>
      <c r="X192" s="18">
        <f t="shared" si="96"/>
        <v>4</v>
      </c>
      <c r="Y192" s="18">
        <f t="shared" si="97"/>
        <v>4</v>
      </c>
      <c r="Z192" s="18">
        <f t="shared" si="98"/>
        <v>4</v>
      </c>
      <c r="AA192" s="8">
        <f t="shared" si="87"/>
        <v>12</v>
      </c>
      <c r="AB192" s="8">
        <v>39.270000000000003</v>
      </c>
      <c r="AC192" s="8">
        <v>52.462499999999999</v>
      </c>
      <c r="AD192" s="8">
        <v>72.64</v>
      </c>
      <c r="AE192" s="9">
        <f t="shared" si="88"/>
        <v>23729.1</v>
      </c>
      <c r="AF192" s="21">
        <v>6.5000000000000002E-2</v>
      </c>
      <c r="AG192" s="10">
        <f t="shared" si="99"/>
        <v>1542.3915</v>
      </c>
      <c r="AH192" s="64">
        <f t="shared" si="89"/>
        <v>0</v>
      </c>
      <c r="AI192" s="9">
        <f t="shared" si="90"/>
        <v>22186.708499999997</v>
      </c>
      <c r="AJ192" s="5">
        <v>0.18</v>
      </c>
      <c r="AK192" s="11">
        <f t="shared" si="91"/>
        <v>3993.6075299999993</v>
      </c>
      <c r="AL192" s="9">
        <f t="shared" si="92"/>
        <v>26180.316029999994</v>
      </c>
      <c r="AP192" s="12"/>
    </row>
    <row r="193" spans="1:42" x14ac:dyDescent="0.35">
      <c r="A193" s="71">
        <v>46191</v>
      </c>
      <c r="B193" s="72" t="s">
        <v>67</v>
      </c>
      <c r="C193" s="74">
        <v>1152.17142857253</v>
      </c>
      <c r="D193" s="74">
        <v>41802.697662070001</v>
      </c>
      <c r="E193" s="62" t="s">
        <v>68</v>
      </c>
      <c r="F193" s="73" t="s">
        <v>208</v>
      </c>
      <c r="G193" s="76" t="s">
        <v>328</v>
      </c>
      <c r="H193" s="73" t="s">
        <v>212</v>
      </c>
      <c r="I193" s="62" t="s">
        <v>170</v>
      </c>
      <c r="J193" s="55"/>
      <c r="K193" s="18">
        <v>40</v>
      </c>
      <c r="L193" s="18">
        <v>40</v>
      </c>
      <c r="M193" s="18">
        <v>40</v>
      </c>
      <c r="N193" s="8">
        <f t="shared" si="85"/>
        <v>120</v>
      </c>
      <c r="O193" s="20">
        <v>40</v>
      </c>
      <c r="P193" s="20">
        <v>40</v>
      </c>
      <c r="Q193" s="20">
        <v>40</v>
      </c>
      <c r="R193" s="8">
        <f t="shared" si="84"/>
        <v>120</v>
      </c>
      <c r="S193" s="18">
        <f t="shared" si="100"/>
        <v>240</v>
      </c>
      <c r="T193" s="18">
        <f t="shared" si="93"/>
        <v>4</v>
      </c>
      <c r="U193" s="18">
        <f t="shared" si="94"/>
        <v>4</v>
      </c>
      <c r="V193" s="18">
        <f t="shared" si="95"/>
        <v>4</v>
      </c>
      <c r="W193" s="8">
        <f t="shared" si="86"/>
        <v>12</v>
      </c>
      <c r="X193" s="18">
        <f t="shared" si="96"/>
        <v>4</v>
      </c>
      <c r="Y193" s="18">
        <f t="shared" si="97"/>
        <v>4</v>
      </c>
      <c r="Z193" s="18">
        <f t="shared" si="98"/>
        <v>4</v>
      </c>
      <c r="AA193" s="8">
        <f t="shared" si="87"/>
        <v>12</v>
      </c>
      <c r="AB193" s="8">
        <v>39.270000000000003</v>
      </c>
      <c r="AC193" s="8">
        <v>52.462499999999999</v>
      </c>
      <c r="AD193" s="8">
        <v>72.64</v>
      </c>
      <c r="AE193" s="9">
        <f t="shared" si="88"/>
        <v>23729.1</v>
      </c>
      <c r="AF193" s="21">
        <v>6.5000000000000002E-2</v>
      </c>
      <c r="AG193" s="10">
        <f t="shared" si="99"/>
        <v>1542.3915</v>
      </c>
      <c r="AH193" s="64">
        <f t="shared" si="89"/>
        <v>0</v>
      </c>
      <c r="AI193" s="9">
        <f t="shared" si="90"/>
        <v>22186.708499999997</v>
      </c>
      <c r="AJ193" s="5">
        <v>0.18</v>
      </c>
      <c r="AK193" s="11">
        <f t="shared" si="91"/>
        <v>3993.6075299999993</v>
      </c>
      <c r="AL193" s="9">
        <f t="shared" si="92"/>
        <v>26180.316029999994</v>
      </c>
      <c r="AP193" s="12"/>
    </row>
    <row r="194" spans="1:42" x14ac:dyDescent="0.35">
      <c r="A194" s="71">
        <v>46191</v>
      </c>
      <c r="B194" s="72" t="s">
        <v>67</v>
      </c>
      <c r="C194" s="74">
        <v>1152.80000000111</v>
      </c>
      <c r="D194" s="74">
        <v>41777.581666264603</v>
      </c>
      <c r="E194" s="62" t="s">
        <v>68</v>
      </c>
      <c r="F194" s="73" t="s">
        <v>208</v>
      </c>
      <c r="G194" s="76" t="s">
        <v>328</v>
      </c>
      <c r="H194" s="73" t="s">
        <v>212</v>
      </c>
      <c r="I194" s="62" t="s">
        <v>315</v>
      </c>
      <c r="J194" s="55"/>
      <c r="K194" s="18">
        <v>40</v>
      </c>
      <c r="L194" s="18">
        <v>40</v>
      </c>
      <c r="M194" s="18">
        <v>40</v>
      </c>
      <c r="N194" s="8">
        <f t="shared" si="85"/>
        <v>120</v>
      </c>
      <c r="O194" s="20">
        <v>40</v>
      </c>
      <c r="P194" s="20">
        <v>40</v>
      </c>
      <c r="Q194" s="20">
        <v>40</v>
      </c>
      <c r="R194" s="8">
        <f t="shared" si="84"/>
        <v>120</v>
      </c>
      <c r="S194" s="18">
        <f t="shared" si="100"/>
        <v>240</v>
      </c>
      <c r="T194" s="18">
        <f t="shared" si="93"/>
        <v>4</v>
      </c>
      <c r="U194" s="18">
        <f t="shared" si="94"/>
        <v>4</v>
      </c>
      <c r="V194" s="18">
        <f t="shared" si="95"/>
        <v>4</v>
      </c>
      <c r="W194" s="8">
        <f t="shared" si="86"/>
        <v>12</v>
      </c>
      <c r="X194" s="18">
        <f t="shared" si="96"/>
        <v>4</v>
      </c>
      <c r="Y194" s="18">
        <f t="shared" si="97"/>
        <v>4</v>
      </c>
      <c r="Z194" s="18">
        <f t="shared" si="98"/>
        <v>4</v>
      </c>
      <c r="AA194" s="8">
        <f t="shared" si="87"/>
        <v>12</v>
      </c>
      <c r="AB194" s="8">
        <v>39.270000000000003</v>
      </c>
      <c r="AC194" s="8">
        <v>52.462499999999999</v>
      </c>
      <c r="AD194" s="8">
        <v>72.64</v>
      </c>
      <c r="AE194" s="9">
        <f t="shared" si="88"/>
        <v>23729.1</v>
      </c>
      <c r="AF194" s="21">
        <v>6.5000000000000002E-2</v>
      </c>
      <c r="AG194" s="10">
        <f t="shared" si="99"/>
        <v>1542.3915</v>
      </c>
      <c r="AH194" s="64">
        <f t="shared" si="89"/>
        <v>0</v>
      </c>
      <c r="AI194" s="9">
        <f t="shared" si="90"/>
        <v>22186.708499999997</v>
      </c>
      <c r="AJ194" s="5">
        <v>0.18</v>
      </c>
      <c r="AK194" s="11">
        <f t="shared" si="91"/>
        <v>3993.6075299999993</v>
      </c>
      <c r="AL194" s="9">
        <f t="shared" si="92"/>
        <v>26180.316029999994</v>
      </c>
      <c r="AP194" s="12"/>
    </row>
    <row r="195" spans="1:42" x14ac:dyDescent="0.35">
      <c r="A195" s="71">
        <v>46191</v>
      </c>
      <c r="B195" s="72" t="s">
        <v>67</v>
      </c>
      <c r="C195" s="74">
        <v>1153.42857142969</v>
      </c>
      <c r="D195" s="74">
        <v>41752.465670459198</v>
      </c>
      <c r="E195" s="62" t="s">
        <v>68</v>
      </c>
      <c r="F195" s="73" t="s">
        <v>208</v>
      </c>
      <c r="G195" s="76" t="s">
        <v>328</v>
      </c>
      <c r="H195" s="73" t="s">
        <v>212</v>
      </c>
      <c r="I195" s="62" t="s">
        <v>316</v>
      </c>
      <c r="J195" s="55"/>
      <c r="K195" s="18">
        <v>40</v>
      </c>
      <c r="L195" s="18">
        <v>40</v>
      </c>
      <c r="M195" s="18">
        <v>40</v>
      </c>
      <c r="N195" s="8">
        <f t="shared" si="85"/>
        <v>120</v>
      </c>
      <c r="O195" s="20">
        <v>40</v>
      </c>
      <c r="P195" s="20">
        <v>40</v>
      </c>
      <c r="Q195" s="20">
        <v>40</v>
      </c>
      <c r="R195" s="8">
        <f t="shared" ref="R195:R258" si="101">SUM(O195:Q195)</f>
        <v>120</v>
      </c>
      <c r="S195" s="18">
        <f t="shared" si="100"/>
        <v>240</v>
      </c>
      <c r="T195" s="18">
        <f t="shared" si="93"/>
        <v>4</v>
      </c>
      <c r="U195" s="18">
        <f t="shared" si="94"/>
        <v>4</v>
      </c>
      <c r="V195" s="18">
        <f t="shared" si="95"/>
        <v>4</v>
      </c>
      <c r="W195" s="8">
        <f t="shared" si="86"/>
        <v>12</v>
      </c>
      <c r="X195" s="18">
        <f t="shared" si="96"/>
        <v>4</v>
      </c>
      <c r="Y195" s="18">
        <f t="shared" si="97"/>
        <v>4</v>
      </c>
      <c r="Z195" s="18">
        <f t="shared" si="98"/>
        <v>4</v>
      </c>
      <c r="AA195" s="8">
        <f t="shared" si="87"/>
        <v>12</v>
      </c>
      <c r="AB195" s="8">
        <v>39.270000000000003</v>
      </c>
      <c r="AC195" s="8">
        <v>52.462499999999999</v>
      </c>
      <c r="AD195" s="8">
        <v>72.64</v>
      </c>
      <c r="AE195" s="9">
        <f t="shared" si="88"/>
        <v>23729.1</v>
      </c>
      <c r="AF195" s="21">
        <v>6.5000000000000002E-2</v>
      </c>
      <c r="AG195" s="10">
        <f t="shared" si="99"/>
        <v>1542.3915</v>
      </c>
      <c r="AH195" s="64">
        <f t="shared" si="89"/>
        <v>0</v>
      </c>
      <c r="AI195" s="9">
        <f t="shared" si="90"/>
        <v>22186.708499999997</v>
      </c>
      <c r="AJ195" s="5">
        <v>0.18</v>
      </c>
      <c r="AK195" s="11">
        <f t="shared" si="91"/>
        <v>3993.6075299999993</v>
      </c>
      <c r="AL195" s="9">
        <f t="shared" si="92"/>
        <v>26180.316029999994</v>
      </c>
      <c r="AP195" s="12"/>
    </row>
    <row r="196" spans="1:42" x14ac:dyDescent="0.35">
      <c r="A196" s="71">
        <v>46191</v>
      </c>
      <c r="B196" s="72" t="s">
        <v>67</v>
      </c>
      <c r="C196" s="74">
        <v>1154.05714285827</v>
      </c>
      <c r="D196" s="74">
        <v>41727.3496746538</v>
      </c>
      <c r="E196" s="62" t="s">
        <v>68</v>
      </c>
      <c r="F196" s="73" t="s">
        <v>208</v>
      </c>
      <c r="G196" s="76" t="s">
        <v>328</v>
      </c>
      <c r="H196" s="73" t="s">
        <v>212</v>
      </c>
      <c r="I196" s="62" t="s">
        <v>317</v>
      </c>
      <c r="J196" s="55"/>
      <c r="K196" s="18">
        <v>40</v>
      </c>
      <c r="L196" s="18">
        <v>40</v>
      </c>
      <c r="M196" s="18">
        <v>40</v>
      </c>
      <c r="N196" s="8">
        <f t="shared" ref="N196:N259" si="102">K196+L196+M196</f>
        <v>120</v>
      </c>
      <c r="O196" s="20">
        <v>40</v>
      </c>
      <c r="P196" s="20">
        <v>40</v>
      </c>
      <c r="Q196" s="20">
        <v>40</v>
      </c>
      <c r="R196" s="8">
        <f t="shared" si="101"/>
        <v>120</v>
      </c>
      <c r="S196" s="18">
        <f t="shared" si="100"/>
        <v>240</v>
      </c>
      <c r="T196" s="18">
        <f t="shared" si="93"/>
        <v>4</v>
      </c>
      <c r="U196" s="18">
        <f t="shared" si="94"/>
        <v>4</v>
      </c>
      <c r="V196" s="18">
        <f t="shared" si="95"/>
        <v>4</v>
      </c>
      <c r="W196" s="8">
        <f t="shared" si="86"/>
        <v>12</v>
      </c>
      <c r="X196" s="18">
        <f t="shared" si="96"/>
        <v>4</v>
      </c>
      <c r="Y196" s="18">
        <f t="shared" si="97"/>
        <v>4</v>
      </c>
      <c r="Z196" s="18">
        <f t="shared" si="98"/>
        <v>4</v>
      </c>
      <c r="AA196" s="8">
        <f t="shared" si="87"/>
        <v>12</v>
      </c>
      <c r="AB196" s="8">
        <v>39.270000000000003</v>
      </c>
      <c r="AC196" s="8">
        <v>52.462499999999999</v>
      </c>
      <c r="AD196" s="8">
        <v>72.64</v>
      </c>
      <c r="AE196" s="9">
        <f t="shared" si="88"/>
        <v>23729.1</v>
      </c>
      <c r="AF196" s="21">
        <v>6.5000000000000002E-2</v>
      </c>
      <c r="AG196" s="10">
        <f t="shared" si="99"/>
        <v>1542.3915</v>
      </c>
      <c r="AH196" s="64">
        <f t="shared" si="89"/>
        <v>0</v>
      </c>
      <c r="AI196" s="9">
        <f t="shared" si="90"/>
        <v>22186.708499999997</v>
      </c>
      <c r="AJ196" s="5">
        <v>0.18</v>
      </c>
      <c r="AK196" s="11">
        <f t="shared" si="91"/>
        <v>3993.6075299999993</v>
      </c>
      <c r="AL196" s="9">
        <f t="shared" si="92"/>
        <v>26180.316029999994</v>
      </c>
      <c r="AP196" s="12"/>
    </row>
    <row r="197" spans="1:42" x14ac:dyDescent="0.35">
      <c r="A197" s="71">
        <v>46191</v>
      </c>
      <c r="B197" s="72" t="s">
        <v>67</v>
      </c>
      <c r="C197" s="74">
        <v>1154.68571428685</v>
      </c>
      <c r="D197" s="74">
        <v>41702.233678848403</v>
      </c>
      <c r="E197" s="62" t="s">
        <v>68</v>
      </c>
      <c r="F197" s="73" t="s">
        <v>208</v>
      </c>
      <c r="G197" s="76" t="s">
        <v>328</v>
      </c>
      <c r="H197" s="73" t="s">
        <v>212</v>
      </c>
      <c r="I197" s="62" t="s">
        <v>318</v>
      </c>
      <c r="J197" s="55"/>
      <c r="K197" s="18">
        <v>40</v>
      </c>
      <c r="L197" s="18">
        <v>40</v>
      </c>
      <c r="M197" s="18">
        <v>40</v>
      </c>
      <c r="N197" s="8">
        <f t="shared" si="102"/>
        <v>120</v>
      </c>
      <c r="O197" s="20">
        <v>40</v>
      </c>
      <c r="P197" s="20">
        <v>40</v>
      </c>
      <c r="Q197" s="20">
        <v>40</v>
      </c>
      <c r="R197" s="8">
        <f t="shared" si="101"/>
        <v>120</v>
      </c>
      <c r="S197" s="18">
        <f t="shared" si="100"/>
        <v>240</v>
      </c>
      <c r="T197" s="18">
        <f t="shared" si="93"/>
        <v>4</v>
      </c>
      <c r="U197" s="18">
        <f t="shared" si="94"/>
        <v>4</v>
      </c>
      <c r="V197" s="18">
        <f t="shared" si="95"/>
        <v>4</v>
      </c>
      <c r="W197" s="8">
        <f t="shared" si="86"/>
        <v>12</v>
      </c>
      <c r="X197" s="18">
        <f t="shared" si="96"/>
        <v>4</v>
      </c>
      <c r="Y197" s="18">
        <f t="shared" si="97"/>
        <v>4</v>
      </c>
      <c r="Z197" s="18">
        <f t="shared" si="98"/>
        <v>4</v>
      </c>
      <c r="AA197" s="8">
        <f t="shared" si="87"/>
        <v>12</v>
      </c>
      <c r="AB197" s="8">
        <v>39.270000000000003</v>
      </c>
      <c r="AC197" s="8">
        <v>52.462499999999999</v>
      </c>
      <c r="AD197" s="8">
        <v>72.64</v>
      </c>
      <c r="AE197" s="9">
        <f t="shared" si="88"/>
        <v>23729.1</v>
      </c>
      <c r="AF197" s="21">
        <v>6.5000000000000002E-2</v>
      </c>
      <c r="AG197" s="10">
        <f t="shared" si="99"/>
        <v>1542.3915</v>
      </c>
      <c r="AH197" s="64">
        <f t="shared" si="89"/>
        <v>0</v>
      </c>
      <c r="AI197" s="9">
        <f t="shared" si="90"/>
        <v>22186.708499999997</v>
      </c>
      <c r="AJ197" s="5">
        <v>0.18</v>
      </c>
      <c r="AK197" s="11">
        <f t="shared" si="91"/>
        <v>3993.6075299999993</v>
      </c>
      <c r="AL197" s="9">
        <f t="shared" si="92"/>
        <v>26180.316029999994</v>
      </c>
      <c r="AP197" s="12"/>
    </row>
    <row r="198" spans="1:42" x14ac:dyDescent="0.35">
      <c r="A198" s="71">
        <v>46191</v>
      </c>
      <c r="B198" s="72" t="s">
        <v>67</v>
      </c>
      <c r="C198" s="74">
        <v>1155.3142857154301</v>
      </c>
      <c r="D198" s="74">
        <v>41677.117683042998</v>
      </c>
      <c r="E198" s="62" t="s">
        <v>68</v>
      </c>
      <c r="F198" s="73" t="s">
        <v>208</v>
      </c>
      <c r="G198" s="76" t="s">
        <v>328</v>
      </c>
      <c r="H198" s="73" t="s">
        <v>212</v>
      </c>
      <c r="I198" s="62" t="s">
        <v>319</v>
      </c>
      <c r="J198" s="55"/>
      <c r="K198" s="18">
        <v>40</v>
      </c>
      <c r="L198" s="18">
        <v>40</v>
      </c>
      <c r="M198" s="18">
        <v>40</v>
      </c>
      <c r="N198" s="8">
        <f t="shared" si="102"/>
        <v>120</v>
      </c>
      <c r="O198" s="20">
        <v>40</v>
      </c>
      <c r="P198" s="20">
        <v>40</v>
      </c>
      <c r="Q198" s="20">
        <v>40</v>
      </c>
      <c r="R198" s="8">
        <f t="shared" si="101"/>
        <v>120</v>
      </c>
      <c r="S198" s="18">
        <f t="shared" si="100"/>
        <v>240</v>
      </c>
      <c r="T198" s="18">
        <f t="shared" si="93"/>
        <v>4</v>
      </c>
      <c r="U198" s="18">
        <f t="shared" si="94"/>
        <v>4</v>
      </c>
      <c r="V198" s="18">
        <f t="shared" si="95"/>
        <v>4</v>
      </c>
      <c r="W198" s="8">
        <f t="shared" si="86"/>
        <v>12</v>
      </c>
      <c r="X198" s="18">
        <f t="shared" si="96"/>
        <v>4</v>
      </c>
      <c r="Y198" s="18">
        <f t="shared" si="97"/>
        <v>4</v>
      </c>
      <c r="Z198" s="18">
        <f t="shared" si="98"/>
        <v>4</v>
      </c>
      <c r="AA198" s="8">
        <f t="shared" si="87"/>
        <v>12</v>
      </c>
      <c r="AB198" s="8">
        <v>39.270000000000003</v>
      </c>
      <c r="AC198" s="8">
        <v>52.462499999999999</v>
      </c>
      <c r="AD198" s="8">
        <v>72.64</v>
      </c>
      <c r="AE198" s="9">
        <f t="shared" si="88"/>
        <v>23729.1</v>
      </c>
      <c r="AF198" s="21">
        <v>6.5000000000000002E-2</v>
      </c>
      <c r="AG198" s="10">
        <f t="shared" si="99"/>
        <v>1542.3915</v>
      </c>
      <c r="AH198" s="64">
        <f t="shared" si="89"/>
        <v>0</v>
      </c>
      <c r="AI198" s="9">
        <f t="shared" si="90"/>
        <v>22186.708499999997</v>
      </c>
      <c r="AJ198" s="5">
        <v>0.18</v>
      </c>
      <c r="AK198" s="11">
        <f t="shared" si="91"/>
        <v>3993.6075299999993</v>
      </c>
      <c r="AL198" s="9">
        <f t="shared" si="92"/>
        <v>26180.316029999994</v>
      </c>
      <c r="AP198" s="12"/>
    </row>
    <row r="199" spans="1:42" x14ac:dyDescent="0.35">
      <c r="A199" s="71">
        <v>46191</v>
      </c>
      <c r="B199" s="72" t="s">
        <v>67</v>
      </c>
      <c r="C199" s="74">
        <v>1155.9428571440101</v>
      </c>
      <c r="D199" s="74">
        <v>41652.0016872376</v>
      </c>
      <c r="E199" s="62" t="s">
        <v>68</v>
      </c>
      <c r="F199" s="73" t="s">
        <v>208</v>
      </c>
      <c r="G199" s="76" t="s">
        <v>328</v>
      </c>
      <c r="H199" s="73" t="s">
        <v>212</v>
      </c>
      <c r="I199" s="62" t="s">
        <v>320</v>
      </c>
      <c r="J199" s="55"/>
      <c r="K199" s="18">
        <v>40</v>
      </c>
      <c r="L199" s="18">
        <v>40</v>
      </c>
      <c r="M199" s="18">
        <v>40</v>
      </c>
      <c r="N199" s="8">
        <f t="shared" si="102"/>
        <v>120</v>
      </c>
      <c r="O199" s="20">
        <v>40</v>
      </c>
      <c r="P199" s="20">
        <v>40</v>
      </c>
      <c r="Q199" s="20">
        <v>40</v>
      </c>
      <c r="R199" s="8">
        <f t="shared" si="101"/>
        <v>120</v>
      </c>
      <c r="S199" s="18">
        <f t="shared" si="100"/>
        <v>240</v>
      </c>
      <c r="T199" s="18">
        <f t="shared" si="93"/>
        <v>4</v>
      </c>
      <c r="U199" s="18">
        <f t="shared" si="94"/>
        <v>4</v>
      </c>
      <c r="V199" s="18">
        <f t="shared" si="95"/>
        <v>4</v>
      </c>
      <c r="W199" s="8">
        <f t="shared" si="86"/>
        <v>12</v>
      </c>
      <c r="X199" s="18">
        <f t="shared" si="96"/>
        <v>4</v>
      </c>
      <c r="Y199" s="18">
        <f t="shared" si="97"/>
        <v>4</v>
      </c>
      <c r="Z199" s="18">
        <f t="shared" si="98"/>
        <v>4</v>
      </c>
      <c r="AA199" s="8">
        <f t="shared" si="87"/>
        <v>12</v>
      </c>
      <c r="AB199" s="8">
        <v>39.270000000000003</v>
      </c>
      <c r="AC199" s="8">
        <v>52.462499999999999</v>
      </c>
      <c r="AD199" s="8">
        <v>72.64</v>
      </c>
      <c r="AE199" s="9">
        <f t="shared" si="88"/>
        <v>23729.1</v>
      </c>
      <c r="AF199" s="21">
        <v>6.5000000000000002E-2</v>
      </c>
      <c r="AG199" s="10">
        <f t="shared" si="99"/>
        <v>1542.3915</v>
      </c>
      <c r="AH199" s="64">
        <f t="shared" si="89"/>
        <v>0</v>
      </c>
      <c r="AI199" s="9">
        <f t="shared" si="90"/>
        <v>22186.708499999997</v>
      </c>
      <c r="AJ199" s="5">
        <v>0.18</v>
      </c>
      <c r="AK199" s="11">
        <f t="shared" si="91"/>
        <v>3993.6075299999993</v>
      </c>
      <c r="AL199" s="9">
        <f t="shared" si="92"/>
        <v>26180.316029999994</v>
      </c>
      <c r="AP199" s="12"/>
    </row>
    <row r="200" spans="1:42" x14ac:dyDescent="0.35">
      <c r="A200" s="71">
        <v>46191</v>
      </c>
      <c r="B200" s="72" t="s">
        <v>67</v>
      </c>
      <c r="C200" s="74">
        <v>1156.5714285725901</v>
      </c>
      <c r="D200" s="74">
        <v>41626.885691432202</v>
      </c>
      <c r="E200" s="62" t="s">
        <v>68</v>
      </c>
      <c r="F200" s="73" t="s">
        <v>208</v>
      </c>
      <c r="G200" s="76" t="s">
        <v>328</v>
      </c>
      <c r="H200" s="73" t="s">
        <v>212</v>
      </c>
      <c r="I200" s="62" t="s">
        <v>321</v>
      </c>
      <c r="J200" s="55"/>
      <c r="K200" s="18">
        <v>40</v>
      </c>
      <c r="L200" s="18">
        <v>40</v>
      </c>
      <c r="M200" s="18">
        <v>40</v>
      </c>
      <c r="N200" s="8">
        <f t="shared" si="102"/>
        <v>120</v>
      </c>
      <c r="O200" s="20">
        <v>40</v>
      </c>
      <c r="P200" s="20">
        <v>40</v>
      </c>
      <c r="Q200" s="20">
        <v>40</v>
      </c>
      <c r="R200" s="8">
        <f t="shared" si="101"/>
        <v>120</v>
      </c>
      <c r="S200" s="18">
        <f t="shared" si="100"/>
        <v>240</v>
      </c>
      <c r="T200" s="18">
        <f t="shared" si="93"/>
        <v>4</v>
      </c>
      <c r="U200" s="18">
        <f t="shared" si="94"/>
        <v>4</v>
      </c>
      <c r="V200" s="18">
        <f t="shared" si="95"/>
        <v>4</v>
      </c>
      <c r="W200" s="8">
        <f t="shared" si="86"/>
        <v>12</v>
      </c>
      <c r="X200" s="18">
        <f t="shared" si="96"/>
        <v>4</v>
      </c>
      <c r="Y200" s="18">
        <f t="shared" si="97"/>
        <v>4</v>
      </c>
      <c r="Z200" s="18">
        <f t="shared" si="98"/>
        <v>4</v>
      </c>
      <c r="AA200" s="8">
        <f t="shared" si="87"/>
        <v>12</v>
      </c>
      <c r="AB200" s="8">
        <v>39.270000000000003</v>
      </c>
      <c r="AC200" s="8">
        <v>52.462499999999999</v>
      </c>
      <c r="AD200" s="8">
        <v>72.64</v>
      </c>
      <c r="AE200" s="9">
        <f t="shared" si="88"/>
        <v>23729.1</v>
      </c>
      <c r="AF200" s="21">
        <v>6.5000000000000002E-2</v>
      </c>
      <c r="AG200" s="10">
        <f t="shared" si="99"/>
        <v>1542.3915</v>
      </c>
      <c r="AH200" s="64">
        <f t="shared" si="89"/>
        <v>0</v>
      </c>
      <c r="AI200" s="9">
        <f t="shared" si="90"/>
        <v>22186.708499999997</v>
      </c>
      <c r="AJ200" s="5">
        <v>0.18</v>
      </c>
      <c r="AK200" s="11">
        <f t="shared" si="91"/>
        <v>3993.6075299999993</v>
      </c>
      <c r="AL200" s="9">
        <f t="shared" si="92"/>
        <v>26180.316029999994</v>
      </c>
      <c r="AP200" s="12"/>
    </row>
    <row r="201" spans="1:42" x14ac:dyDescent="0.35">
      <c r="A201" s="71">
        <v>46191</v>
      </c>
      <c r="B201" s="72" t="s">
        <v>67</v>
      </c>
      <c r="C201" s="74">
        <v>1157.2000000011701</v>
      </c>
      <c r="D201" s="74">
        <v>41601.769695626797</v>
      </c>
      <c r="E201" s="62" t="s">
        <v>68</v>
      </c>
      <c r="F201" s="73" t="s">
        <v>208</v>
      </c>
      <c r="G201" s="76" t="s">
        <v>328</v>
      </c>
      <c r="H201" s="73" t="s">
        <v>212</v>
      </c>
      <c r="I201" s="62" t="s">
        <v>322</v>
      </c>
      <c r="J201" s="55"/>
      <c r="K201" s="18">
        <v>40</v>
      </c>
      <c r="L201" s="18">
        <v>40</v>
      </c>
      <c r="M201" s="18">
        <v>40</v>
      </c>
      <c r="N201" s="8">
        <f t="shared" si="102"/>
        <v>120</v>
      </c>
      <c r="O201" s="20">
        <v>40</v>
      </c>
      <c r="P201" s="20">
        <v>40</v>
      </c>
      <c r="Q201" s="20">
        <v>40</v>
      </c>
      <c r="R201" s="8">
        <f t="shared" si="101"/>
        <v>120</v>
      </c>
      <c r="S201" s="18">
        <f t="shared" si="100"/>
        <v>240</v>
      </c>
      <c r="T201" s="18">
        <f t="shared" si="93"/>
        <v>4</v>
      </c>
      <c r="U201" s="18">
        <f t="shared" si="94"/>
        <v>4</v>
      </c>
      <c r="V201" s="18">
        <f t="shared" si="95"/>
        <v>4</v>
      </c>
      <c r="W201" s="8">
        <f t="shared" si="86"/>
        <v>12</v>
      </c>
      <c r="X201" s="18">
        <f t="shared" si="96"/>
        <v>4</v>
      </c>
      <c r="Y201" s="18">
        <f t="shared" si="97"/>
        <v>4</v>
      </c>
      <c r="Z201" s="18">
        <f t="shared" si="98"/>
        <v>4</v>
      </c>
      <c r="AA201" s="8">
        <f t="shared" si="87"/>
        <v>12</v>
      </c>
      <c r="AB201" s="8">
        <v>39.270000000000003</v>
      </c>
      <c r="AC201" s="8">
        <v>52.462499999999999</v>
      </c>
      <c r="AD201" s="8">
        <v>72.64</v>
      </c>
      <c r="AE201" s="9">
        <f t="shared" si="88"/>
        <v>23729.1</v>
      </c>
      <c r="AF201" s="21">
        <v>6.5000000000000002E-2</v>
      </c>
      <c r="AG201" s="10">
        <f t="shared" si="99"/>
        <v>1542.3915</v>
      </c>
      <c r="AH201" s="64">
        <f t="shared" si="89"/>
        <v>0</v>
      </c>
      <c r="AI201" s="9">
        <f t="shared" si="90"/>
        <v>22186.708499999997</v>
      </c>
      <c r="AJ201" s="5">
        <v>0.18</v>
      </c>
      <c r="AK201" s="11">
        <f t="shared" si="91"/>
        <v>3993.6075299999993</v>
      </c>
      <c r="AL201" s="9">
        <f t="shared" si="92"/>
        <v>26180.316029999994</v>
      </c>
      <c r="AP201" s="12"/>
    </row>
    <row r="202" spans="1:42" x14ac:dyDescent="0.35">
      <c r="A202" s="71">
        <v>46191</v>
      </c>
      <c r="B202" s="72" t="s">
        <v>67</v>
      </c>
      <c r="C202" s="74">
        <v>1157.8285714297499</v>
      </c>
      <c r="D202" s="74">
        <v>41576.6536998214</v>
      </c>
      <c r="E202" s="62" t="s">
        <v>68</v>
      </c>
      <c r="F202" s="73" t="s">
        <v>208</v>
      </c>
      <c r="G202" s="76" t="s">
        <v>328</v>
      </c>
      <c r="H202" s="73" t="s">
        <v>212</v>
      </c>
      <c r="I202" s="62" t="s">
        <v>323</v>
      </c>
      <c r="J202" s="55"/>
      <c r="K202" s="18">
        <v>40</v>
      </c>
      <c r="L202" s="18">
        <v>40</v>
      </c>
      <c r="M202" s="18">
        <v>40</v>
      </c>
      <c r="N202" s="8">
        <f t="shared" si="102"/>
        <v>120</v>
      </c>
      <c r="O202" s="20">
        <v>40</v>
      </c>
      <c r="P202" s="20">
        <v>40</v>
      </c>
      <c r="Q202" s="20">
        <v>40</v>
      </c>
      <c r="R202" s="8">
        <f t="shared" si="101"/>
        <v>120</v>
      </c>
      <c r="S202" s="18">
        <f t="shared" si="100"/>
        <v>240</v>
      </c>
      <c r="T202" s="18">
        <f t="shared" si="93"/>
        <v>4</v>
      </c>
      <c r="U202" s="18">
        <f t="shared" si="94"/>
        <v>4</v>
      </c>
      <c r="V202" s="18">
        <f t="shared" si="95"/>
        <v>4</v>
      </c>
      <c r="W202" s="8">
        <f t="shared" si="86"/>
        <v>12</v>
      </c>
      <c r="X202" s="18">
        <f t="shared" si="96"/>
        <v>4</v>
      </c>
      <c r="Y202" s="18">
        <f t="shared" si="97"/>
        <v>4</v>
      </c>
      <c r="Z202" s="18">
        <f t="shared" si="98"/>
        <v>4</v>
      </c>
      <c r="AA202" s="8">
        <f t="shared" si="87"/>
        <v>12</v>
      </c>
      <c r="AB202" s="8">
        <v>39.270000000000003</v>
      </c>
      <c r="AC202" s="8">
        <v>52.462499999999999</v>
      </c>
      <c r="AD202" s="8">
        <v>72.64</v>
      </c>
      <c r="AE202" s="9">
        <f t="shared" si="88"/>
        <v>23729.1</v>
      </c>
      <c r="AF202" s="21">
        <v>6.5000000000000002E-2</v>
      </c>
      <c r="AG202" s="10">
        <f t="shared" si="99"/>
        <v>1542.3915</v>
      </c>
      <c r="AH202" s="64">
        <f t="shared" si="89"/>
        <v>0</v>
      </c>
      <c r="AI202" s="9">
        <f t="shared" si="90"/>
        <v>22186.708499999997</v>
      </c>
      <c r="AJ202" s="5">
        <v>0.18</v>
      </c>
      <c r="AK202" s="11">
        <f t="shared" si="91"/>
        <v>3993.6075299999993</v>
      </c>
      <c r="AL202" s="9">
        <f t="shared" si="92"/>
        <v>26180.316029999994</v>
      </c>
      <c r="AP202" s="12"/>
    </row>
    <row r="203" spans="1:42" x14ac:dyDescent="0.35">
      <c r="A203" s="71">
        <v>46191</v>
      </c>
      <c r="B203" s="72" t="s">
        <v>67</v>
      </c>
      <c r="C203" s="74">
        <v>1158.4571428583299</v>
      </c>
      <c r="D203" s="74">
        <v>41551.537704016002</v>
      </c>
      <c r="E203" s="62" t="s">
        <v>68</v>
      </c>
      <c r="F203" s="73" t="s">
        <v>208</v>
      </c>
      <c r="G203" s="76" t="s">
        <v>328</v>
      </c>
      <c r="H203" s="73" t="s">
        <v>212</v>
      </c>
      <c r="I203" s="62" t="s">
        <v>324</v>
      </c>
      <c r="J203" s="55"/>
      <c r="K203" s="18">
        <v>40</v>
      </c>
      <c r="L203" s="18">
        <v>40</v>
      </c>
      <c r="M203" s="18">
        <v>40</v>
      </c>
      <c r="N203" s="8">
        <f t="shared" si="102"/>
        <v>120</v>
      </c>
      <c r="O203" s="20">
        <v>40</v>
      </c>
      <c r="P203" s="20">
        <v>40</v>
      </c>
      <c r="Q203" s="20">
        <v>40</v>
      </c>
      <c r="R203" s="8">
        <f t="shared" si="101"/>
        <v>120</v>
      </c>
      <c r="S203" s="18">
        <f t="shared" si="100"/>
        <v>240</v>
      </c>
      <c r="T203" s="18">
        <f t="shared" si="93"/>
        <v>4</v>
      </c>
      <c r="U203" s="18">
        <f t="shared" si="94"/>
        <v>4</v>
      </c>
      <c r="V203" s="18">
        <f t="shared" si="95"/>
        <v>4</v>
      </c>
      <c r="W203" s="8">
        <f t="shared" si="86"/>
        <v>12</v>
      </c>
      <c r="X203" s="18">
        <f t="shared" si="96"/>
        <v>4</v>
      </c>
      <c r="Y203" s="18">
        <f t="shared" si="97"/>
        <v>4</v>
      </c>
      <c r="Z203" s="18">
        <f t="shared" si="98"/>
        <v>4</v>
      </c>
      <c r="AA203" s="8">
        <f t="shared" si="87"/>
        <v>12</v>
      </c>
      <c r="AB203" s="8">
        <v>39.270000000000003</v>
      </c>
      <c r="AC203" s="8">
        <v>52.462499999999999</v>
      </c>
      <c r="AD203" s="8">
        <v>72.64</v>
      </c>
      <c r="AE203" s="9">
        <f t="shared" si="88"/>
        <v>23729.1</v>
      </c>
      <c r="AF203" s="21">
        <v>6.5000000000000002E-2</v>
      </c>
      <c r="AG203" s="10">
        <f t="shared" si="99"/>
        <v>1542.3915</v>
      </c>
      <c r="AH203" s="64">
        <f t="shared" si="89"/>
        <v>0</v>
      </c>
      <c r="AI203" s="9">
        <f t="shared" si="90"/>
        <v>22186.708499999997</v>
      </c>
      <c r="AJ203" s="5">
        <v>0.18</v>
      </c>
      <c r="AK203" s="11">
        <f t="shared" si="91"/>
        <v>3993.6075299999993</v>
      </c>
      <c r="AL203" s="9">
        <f t="shared" si="92"/>
        <v>26180.316029999994</v>
      </c>
      <c r="AP203" s="12"/>
    </row>
    <row r="204" spans="1:42" x14ac:dyDescent="0.35">
      <c r="A204" s="71">
        <v>46191</v>
      </c>
      <c r="B204" s="72" t="s">
        <v>67</v>
      </c>
      <c r="C204" s="74">
        <v>1159.0857142869099</v>
      </c>
      <c r="D204" s="74">
        <v>41526.421708210597</v>
      </c>
      <c r="E204" s="62" t="s">
        <v>68</v>
      </c>
      <c r="F204" s="73" t="s">
        <v>208</v>
      </c>
      <c r="G204" s="76" t="s">
        <v>328</v>
      </c>
      <c r="H204" s="73" t="s">
        <v>212</v>
      </c>
      <c r="I204" s="62" t="s">
        <v>325</v>
      </c>
      <c r="J204" s="55"/>
      <c r="K204" s="18">
        <v>40</v>
      </c>
      <c r="L204" s="18">
        <v>40</v>
      </c>
      <c r="M204" s="18">
        <v>40</v>
      </c>
      <c r="N204" s="8">
        <f t="shared" si="102"/>
        <v>120</v>
      </c>
      <c r="O204" s="20">
        <v>40</v>
      </c>
      <c r="P204" s="20">
        <v>40</v>
      </c>
      <c r="Q204" s="20">
        <v>40</v>
      </c>
      <c r="R204" s="8">
        <f t="shared" si="101"/>
        <v>120</v>
      </c>
      <c r="S204" s="18">
        <f t="shared" si="100"/>
        <v>240</v>
      </c>
      <c r="T204" s="18">
        <f t="shared" si="93"/>
        <v>4</v>
      </c>
      <c r="U204" s="18">
        <f t="shared" si="94"/>
        <v>4</v>
      </c>
      <c r="V204" s="18">
        <f t="shared" si="95"/>
        <v>4</v>
      </c>
      <c r="W204" s="8">
        <f t="shared" si="86"/>
        <v>12</v>
      </c>
      <c r="X204" s="18">
        <f t="shared" si="96"/>
        <v>4</v>
      </c>
      <c r="Y204" s="18">
        <f t="shared" si="97"/>
        <v>4</v>
      </c>
      <c r="Z204" s="18">
        <f t="shared" si="98"/>
        <v>4</v>
      </c>
      <c r="AA204" s="8">
        <f t="shared" si="87"/>
        <v>12</v>
      </c>
      <c r="AB204" s="8">
        <v>39.270000000000003</v>
      </c>
      <c r="AC204" s="8">
        <v>52.462499999999999</v>
      </c>
      <c r="AD204" s="8">
        <v>72.64</v>
      </c>
      <c r="AE204" s="9">
        <f t="shared" si="88"/>
        <v>23729.1</v>
      </c>
      <c r="AF204" s="21">
        <v>6.5000000000000002E-2</v>
      </c>
      <c r="AG204" s="10">
        <f t="shared" si="99"/>
        <v>1542.3915</v>
      </c>
      <c r="AH204" s="64">
        <f t="shared" si="89"/>
        <v>0</v>
      </c>
      <c r="AI204" s="9">
        <f t="shared" si="90"/>
        <v>22186.708499999997</v>
      </c>
      <c r="AJ204" s="5">
        <v>0.18</v>
      </c>
      <c r="AK204" s="11">
        <f t="shared" si="91"/>
        <v>3993.6075299999993</v>
      </c>
      <c r="AL204" s="9">
        <f t="shared" si="92"/>
        <v>26180.316029999994</v>
      </c>
      <c r="AP204" s="12"/>
    </row>
    <row r="205" spans="1:42" x14ac:dyDescent="0.35">
      <c r="A205" s="71">
        <v>46191</v>
      </c>
      <c r="B205" s="72" t="s">
        <v>67</v>
      </c>
      <c r="C205" s="74">
        <v>1159.71428571549</v>
      </c>
      <c r="D205" s="74">
        <v>41501.305712405199</v>
      </c>
      <c r="E205" s="62" t="s">
        <v>68</v>
      </c>
      <c r="F205" s="73" t="s">
        <v>208</v>
      </c>
      <c r="G205" s="76" t="s">
        <v>328</v>
      </c>
      <c r="H205" s="73" t="s">
        <v>212</v>
      </c>
      <c r="I205" s="62" t="s">
        <v>326</v>
      </c>
      <c r="J205" s="55"/>
      <c r="K205" s="18">
        <v>40</v>
      </c>
      <c r="L205" s="18">
        <v>40</v>
      </c>
      <c r="M205" s="18">
        <v>40</v>
      </c>
      <c r="N205" s="8">
        <f t="shared" si="102"/>
        <v>120</v>
      </c>
      <c r="O205" s="20">
        <v>40</v>
      </c>
      <c r="P205" s="20">
        <v>40</v>
      </c>
      <c r="Q205" s="20">
        <v>40</v>
      </c>
      <c r="R205" s="8">
        <f t="shared" si="101"/>
        <v>120</v>
      </c>
      <c r="S205" s="18">
        <f t="shared" si="100"/>
        <v>240</v>
      </c>
      <c r="T205" s="18">
        <f t="shared" si="93"/>
        <v>4</v>
      </c>
      <c r="U205" s="18">
        <f t="shared" si="94"/>
        <v>4</v>
      </c>
      <c r="V205" s="18">
        <f t="shared" si="95"/>
        <v>4</v>
      </c>
      <c r="W205" s="8">
        <f t="shared" si="86"/>
        <v>12</v>
      </c>
      <c r="X205" s="18">
        <f t="shared" si="96"/>
        <v>4</v>
      </c>
      <c r="Y205" s="18">
        <f t="shared" si="97"/>
        <v>4</v>
      </c>
      <c r="Z205" s="18">
        <f t="shared" si="98"/>
        <v>4</v>
      </c>
      <c r="AA205" s="8">
        <f t="shared" si="87"/>
        <v>12</v>
      </c>
      <c r="AB205" s="8">
        <v>39.270000000000003</v>
      </c>
      <c r="AC205" s="8">
        <v>52.462499999999999</v>
      </c>
      <c r="AD205" s="8">
        <v>72.64</v>
      </c>
      <c r="AE205" s="9">
        <f t="shared" si="88"/>
        <v>23729.1</v>
      </c>
      <c r="AF205" s="21">
        <v>6.5000000000000002E-2</v>
      </c>
      <c r="AG205" s="10">
        <f t="shared" si="99"/>
        <v>1542.3915</v>
      </c>
      <c r="AH205" s="64">
        <f t="shared" si="89"/>
        <v>0</v>
      </c>
      <c r="AI205" s="9">
        <f t="shared" si="90"/>
        <v>22186.708499999997</v>
      </c>
      <c r="AJ205" s="5">
        <v>0.18</v>
      </c>
      <c r="AK205" s="11">
        <f t="shared" si="91"/>
        <v>3993.6075299999993</v>
      </c>
      <c r="AL205" s="9">
        <f t="shared" si="92"/>
        <v>26180.316029999994</v>
      </c>
      <c r="AP205" s="12"/>
    </row>
    <row r="206" spans="1:42" x14ac:dyDescent="0.35">
      <c r="A206" s="71">
        <v>46191</v>
      </c>
      <c r="B206" s="72" t="s">
        <v>67</v>
      </c>
      <c r="C206" s="74">
        <v>1161</v>
      </c>
      <c r="D206" s="74">
        <v>41476.189716599802</v>
      </c>
      <c r="E206" s="62" t="s">
        <v>68</v>
      </c>
      <c r="F206" s="73" t="s">
        <v>208</v>
      </c>
      <c r="G206" s="76" t="s">
        <v>327</v>
      </c>
      <c r="H206" s="73" t="s">
        <v>212</v>
      </c>
      <c r="I206" s="62" t="s">
        <v>216</v>
      </c>
      <c r="J206" s="55"/>
      <c r="K206" s="18">
        <v>800</v>
      </c>
      <c r="L206" s="18">
        <v>1200</v>
      </c>
      <c r="M206" s="18">
        <v>2800</v>
      </c>
      <c r="N206" s="8">
        <f t="shared" si="102"/>
        <v>4800</v>
      </c>
      <c r="O206" s="18">
        <v>1800</v>
      </c>
      <c r="P206" s="18">
        <v>1200</v>
      </c>
      <c r="Q206" s="18">
        <v>3600</v>
      </c>
      <c r="R206" s="8">
        <f t="shared" si="101"/>
        <v>6600</v>
      </c>
      <c r="S206" s="18">
        <f t="shared" ref="S206:S212" si="103">J206+K206+L206+M206+O206+P206+Q206</f>
        <v>11400</v>
      </c>
      <c r="T206" s="18">
        <f t="shared" si="93"/>
        <v>80</v>
      </c>
      <c r="U206" s="18">
        <f t="shared" si="94"/>
        <v>120</v>
      </c>
      <c r="V206" s="18">
        <f t="shared" si="95"/>
        <v>280</v>
      </c>
      <c r="W206" s="8">
        <f t="shared" ref="W206:W266" si="104">N206/10</f>
        <v>480</v>
      </c>
      <c r="X206" s="18">
        <f t="shared" si="96"/>
        <v>180</v>
      </c>
      <c r="Y206" s="18">
        <f t="shared" si="97"/>
        <v>120</v>
      </c>
      <c r="Z206" s="18">
        <f t="shared" si="98"/>
        <v>360</v>
      </c>
      <c r="AA206" s="8">
        <f t="shared" ref="AA206:AA266" si="105">R206/10</f>
        <v>660</v>
      </c>
      <c r="AB206" s="8">
        <v>39.270000000000003</v>
      </c>
      <c r="AC206" s="8">
        <v>52.462499999999999</v>
      </c>
      <c r="AD206" s="8">
        <v>72.64</v>
      </c>
      <c r="AE206" s="9">
        <f t="shared" ref="AE206:AE266" si="106">(J206*AB206)+(N206*AC206)+(AD206*S206)</f>
        <v>1079916</v>
      </c>
      <c r="AF206" s="21">
        <v>0.1</v>
      </c>
      <c r="AG206" s="10">
        <f t="shared" si="99"/>
        <v>107991.6</v>
      </c>
      <c r="AH206" s="64">
        <f t="shared" ref="AH206:AH266" si="107">(AB206*J206)*$AH$1</f>
        <v>0</v>
      </c>
      <c r="AI206" s="9">
        <f t="shared" ref="AI206:AI266" si="108">AE206-AG206</f>
        <v>971924.4</v>
      </c>
      <c r="AJ206" s="5">
        <v>0.18</v>
      </c>
      <c r="AK206" s="11">
        <f t="shared" ref="AK206:AK266" si="109">AI206*AJ206</f>
        <v>174946.39199999999</v>
      </c>
      <c r="AL206" s="9">
        <f t="shared" ref="AL206:AL266" si="110">AI206+AK206</f>
        <v>1146870.7919999999</v>
      </c>
      <c r="AP206" s="12"/>
    </row>
    <row r="207" spans="1:42" x14ac:dyDescent="0.35">
      <c r="A207" s="71">
        <v>46192</v>
      </c>
      <c r="B207" s="72" t="s">
        <v>67</v>
      </c>
      <c r="C207" s="74">
        <v>1161.4971428573899</v>
      </c>
      <c r="D207" s="74">
        <v>41451.073720794397</v>
      </c>
      <c r="E207" s="62" t="s">
        <v>68</v>
      </c>
      <c r="F207" s="73" t="s">
        <v>69</v>
      </c>
      <c r="G207" s="76" t="s">
        <v>330</v>
      </c>
      <c r="H207" s="73" t="s">
        <v>90</v>
      </c>
      <c r="I207" s="62" t="s">
        <v>331</v>
      </c>
      <c r="J207" s="55"/>
      <c r="K207" s="18">
        <v>10</v>
      </c>
      <c r="L207" s="18">
        <v>10</v>
      </c>
      <c r="M207" s="18">
        <v>15</v>
      </c>
      <c r="N207" s="8">
        <f t="shared" si="102"/>
        <v>35</v>
      </c>
      <c r="O207" s="18">
        <v>0</v>
      </c>
      <c r="P207" s="18">
        <v>0</v>
      </c>
      <c r="Q207" s="18">
        <v>0</v>
      </c>
      <c r="R207" s="8">
        <f t="shared" si="101"/>
        <v>0</v>
      </c>
      <c r="S207" s="18">
        <f t="shared" si="103"/>
        <v>35</v>
      </c>
      <c r="T207" s="18">
        <f t="shared" si="93"/>
        <v>1</v>
      </c>
      <c r="U207" s="18">
        <f t="shared" si="94"/>
        <v>1</v>
      </c>
      <c r="V207" s="18">
        <f t="shared" si="95"/>
        <v>1.5</v>
      </c>
      <c r="W207" s="8">
        <f t="shared" si="104"/>
        <v>3.5</v>
      </c>
      <c r="X207" s="18">
        <f t="shared" si="96"/>
        <v>0</v>
      </c>
      <c r="Y207" s="18">
        <f t="shared" si="97"/>
        <v>0</v>
      </c>
      <c r="Z207" s="18">
        <f t="shared" si="98"/>
        <v>0</v>
      </c>
      <c r="AA207" s="8">
        <f t="shared" si="105"/>
        <v>0</v>
      </c>
      <c r="AB207" s="8">
        <v>39.270000000000003</v>
      </c>
      <c r="AC207" s="8">
        <v>52.462499999999999</v>
      </c>
      <c r="AD207" s="8">
        <v>72.64</v>
      </c>
      <c r="AE207" s="9">
        <f t="shared" si="106"/>
        <v>4378.5874999999996</v>
      </c>
      <c r="AF207" s="21">
        <v>0.1</v>
      </c>
      <c r="AG207" s="10">
        <f t="shared" si="99"/>
        <v>437.85874999999999</v>
      </c>
      <c r="AH207" s="64">
        <f t="shared" si="107"/>
        <v>0</v>
      </c>
      <c r="AI207" s="9">
        <f t="shared" si="108"/>
        <v>3940.7287499999998</v>
      </c>
      <c r="AJ207" s="5">
        <v>0.18</v>
      </c>
      <c r="AK207" s="11">
        <f t="shared" si="109"/>
        <v>709.33117499999992</v>
      </c>
      <c r="AL207" s="9">
        <f t="shared" si="110"/>
        <v>4650.0599249999996</v>
      </c>
      <c r="AP207" s="12"/>
    </row>
    <row r="208" spans="1:42" x14ac:dyDescent="0.35">
      <c r="A208" s="71">
        <v>46192</v>
      </c>
      <c r="B208" s="72" t="s">
        <v>67</v>
      </c>
      <c r="C208" s="74">
        <v>1162.25714285716</v>
      </c>
      <c r="D208" s="74">
        <v>41425.957724988999</v>
      </c>
      <c r="E208" s="62" t="s">
        <v>68</v>
      </c>
      <c r="F208" s="73" t="s">
        <v>69</v>
      </c>
      <c r="G208" s="76" t="s">
        <v>329</v>
      </c>
      <c r="H208" s="73" t="s">
        <v>90</v>
      </c>
      <c r="I208" s="62" t="s">
        <v>331</v>
      </c>
      <c r="J208" s="55"/>
      <c r="K208" s="20">
        <v>15</v>
      </c>
      <c r="L208" s="20">
        <v>0</v>
      </c>
      <c r="M208" s="20">
        <v>10</v>
      </c>
      <c r="N208" s="8">
        <f t="shared" si="102"/>
        <v>25</v>
      </c>
      <c r="O208" s="18">
        <v>0</v>
      </c>
      <c r="P208" s="18">
        <v>0</v>
      </c>
      <c r="Q208" s="20">
        <v>0</v>
      </c>
      <c r="R208" s="8">
        <f t="shared" si="101"/>
        <v>0</v>
      </c>
      <c r="S208" s="18">
        <f t="shared" si="103"/>
        <v>25</v>
      </c>
      <c r="T208" s="18">
        <f t="shared" si="93"/>
        <v>1.5</v>
      </c>
      <c r="U208" s="18">
        <f t="shared" si="94"/>
        <v>0</v>
      </c>
      <c r="V208" s="18">
        <f t="shared" si="95"/>
        <v>1</v>
      </c>
      <c r="W208" s="8">
        <f t="shared" si="104"/>
        <v>2.5</v>
      </c>
      <c r="X208" s="18">
        <f t="shared" si="96"/>
        <v>0</v>
      </c>
      <c r="Y208" s="18">
        <f t="shared" si="97"/>
        <v>0</v>
      </c>
      <c r="Z208" s="18">
        <f t="shared" si="98"/>
        <v>0</v>
      </c>
      <c r="AA208" s="8">
        <f t="shared" si="105"/>
        <v>0</v>
      </c>
      <c r="AB208" s="8">
        <v>39.270000000000003</v>
      </c>
      <c r="AC208" s="8">
        <v>52.462499999999999</v>
      </c>
      <c r="AD208" s="8">
        <v>72.64</v>
      </c>
      <c r="AE208" s="9">
        <f t="shared" si="106"/>
        <v>3127.5625</v>
      </c>
      <c r="AF208" s="21">
        <v>6.5000000000000002E-2</v>
      </c>
      <c r="AG208" s="10">
        <f t="shared" si="99"/>
        <v>203.2915625</v>
      </c>
      <c r="AH208" s="64">
        <f t="shared" si="107"/>
        <v>0</v>
      </c>
      <c r="AI208" s="9">
        <f t="shared" si="108"/>
        <v>2924.2709374999999</v>
      </c>
      <c r="AJ208" s="5">
        <v>0.18</v>
      </c>
      <c r="AK208" s="11">
        <f t="shared" si="109"/>
        <v>526.36876874999996</v>
      </c>
      <c r="AL208" s="9">
        <f t="shared" si="110"/>
        <v>3450.63970625</v>
      </c>
      <c r="AP208" s="12"/>
    </row>
    <row r="209" spans="1:42" x14ac:dyDescent="0.35">
      <c r="A209" s="71">
        <v>46192</v>
      </c>
      <c r="B209" s="72" t="s">
        <v>67</v>
      </c>
      <c r="C209" s="74">
        <v>1163.0171428569299</v>
      </c>
      <c r="D209" s="74">
        <v>41400.841729183601</v>
      </c>
      <c r="E209" s="62" t="s">
        <v>68</v>
      </c>
      <c r="F209" s="73" t="s">
        <v>298</v>
      </c>
      <c r="G209" s="76" t="s">
        <v>332</v>
      </c>
      <c r="H209" s="73" t="s">
        <v>104</v>
      </c>
      <c r="I209" s="62" t="s">
        <v>335</v>
      </c>
      <c r="J209" s="55">
        <v>12</v>
      </c>
      <c r="K209" s="20">
        <v>16</v>
      </c>
      <c r="L209" s="20">
        <v>46</v>
      </c>
      <c r="M209" s="20">
        <v>10</v>
      </c>
      <c r="N209" s="8">
        <f t="shared" si="102"/>
        <v>72</v>
      </c>
      <c r="O209" s="18">
        <v>80</v>
      </c>
      <c r="P209" s="18">
        <v>20</v>
      </c>
      <c r="Q209" s="18">
        <v>40</v>
      </c>
      <c r="R209" s="8">
        <f t="shared" si="101"/>
        <v>140</v>
      </c>
      <c r="S209" s="18">
        <f t="shared" si="103"/>
        <v>224</v>
      </c>
      <c r="T209" s="18">
        <f t="shared" si="93"/>
        <v>1.6</v>
      </c>
      <c r="U209" s="18">
        <f t="shared" si="94"/>
        <v>4.5999999999999996</v>
      </c>
      <c r="V209" s="18">
        <f t="shared" si="95"/>
        <v>1</v>
      </c>
      <c r="W209" s="8">
        <f t="shared" si="104"/>
        <v>7.2</v>
      </c>
      <c r="X209" s="18">
        <f t="shared" si="96"/>
        <v>8</v>
      </c>
      <c r="Y209" s="18">
        <f t="shared" si="97"/>
        <v>2</v>
      </c>
      <c r="Z209" s="18">
        <f t="shared" si="98"/>
        <v>4</v>
      </c>
      <c r="AA209" s="8">
        <f t="shared" si="105"/>
        <v>14</v>
      </c>
      <c r="AB209" s="8">
        <v>39.270000000000003</v>
      </c>
      <c r="AC209" s="8">
        <v>52.462499999999999</v>
      </c>
      <c r="AD209" s="8">
        <v>72.64</v>
      </c>
      <c r="AE209" s="9">
        <f t="shared" si="106"/>
        <v>20519.900000000001</v>
      </c>
      <c r="AF209" s="21">
        <v>6.5000000000000002E-2</v>
      </c>
      <c r="AG209" s="10">
        <f t="shared" si="99"/>
        <v>1333.7935000000002</v>
      </c>
      <c r="AH209" s="64">
        <f t="shared" si="107"/>
        <v>16.493400000000001</v>
      </c>
      <c r="AI209" s="9">
        <f t="shared" si="108"/>
        <v>19186.106500000002</v>
      </c>
      <c r="AJ209" s="5">
        <v>0.18</v>
      </c>
      <c r="AK209" s="11">
        <f t="shared" si="109"/>
        <v>3453.49917</v>
      </c>
      <c r="AL209" s="9">
        <f t="shared" si="110"/>
        <v>22639.605670000001</v>
      </c>
      <c r="AP209" s="12"/>
    </row>
    <row r="210" spans="1:42" x14ac:dyDescent="0.35">
      <c r="A210" s="71">
        <v>46192</v>
      </c>
      <c r="B210" s="72" t="s">
        <v>67</v>
      </c>
      <c r="C210" s="74">
        <v>1163.77714285669</v>
      </c>
      <c r="D210" s="74">
        <v>41375.725733378204</v>
      </c>
      <c r="E210" s="62" t="s">
        <v>68</v>
      </c>
      <c r="F210" s="73" t="s">
        <v>298</v>
      </c>
      <c r="G210" s="76" t="s">
        <v>333</v>
      </c>
      <c r="H210" s="73" t="s">
        <v>104</v>
      </c>
      <c r="I210" s="62" t="s">
        <v>335</v>
      </c>
      <c r="J210" s="55"/>
      <c r="K210" s="20">
        <v>20</v>
      </c>
      <c r="L210" s="20">
        <v>40</v>
      </c>
      <c r="M210" s="20">
        <v>20</v>
      </c>
      <c r="N210" s="8">
        <f t="shared" si="102"/>
        <v>80</v>
      </c>
      <c r="O210" s="18">
        <v>20</v>
      </c>
      <c r="P210" s="20">
        <v>20</v>
      </c>
      <c r="Q210" s="20">
        <v>20</v>
      </c>
      <c r="R210" s="8">
        <f t="shared" si="101"/>
        <v>60</v>
      </c>
      <c r="S210" s="18">
        <f t="shared" si="103"/>
        <v>140</v>
      </c>
      <c r="T210" s="18">
        <f t="shared" si="93"/>
        <v>2</v>
      </c>
      <c r="U210" s="18">
        <f t="shared" si="94"/>
        <v>4</v>
      </c>
      <c r="V210" s="18">
        <f t="shared" si="95"/>
        <v>2</v>
      </c>
      <c r="W210" s="8">
        <f t="shared" si="104"/>
        <v>8</v>
      </c>
      <c r="X210" s="18">
        <f t="shared" si="96"/>
        <v>2</v>
      </c>
      <c r="Y210" s="18">
        <f t="shared" si="97"/>
        <v>2</v>
      </c>
      <c r="Z210" s="18">
        <f t="shared" si="98"/>
        <v>2</v>
      </c>
      <c r="AA210" s="8">
        <f t="shared" si="105"/>
        <v>6</v>
      </c>
      <c r="AB210" s="8">
        <v>39.270000000000003</v>
      </c>
      <c r="AC210" s="8">
        <v>52.462499999999999</v>
      </c>
      <c r="AD210" s="8">
        <v>72.64</v>
      </c>
      <c r="AE210" s="9">
        <f t="shared" si="106"/>
        <v>14366.6</v>
      </c>
      <c r="AF210" s="21">
        <v>6.5000000000000002E-2</v>
      </c>
      <c r="AG210" s="10">
        <f t="shared" si="99"/>
        <v>933.82900000000006</v>
      </c>
      <c r="AH210" s="64">
        <f t="shared" si="107"/>
        <v>0</v>
      </c>
      <c r="AI210" s="9">
        <f t="shared" si="108"/>
        <v>13432.771000000001</v>
      </c>
      <c r="AJ210" s="5">
        <v>0.18</v>
      </c>
      <c r="AK210" s="11">
        <f t="shared" si="109"/>
        <v>2417.89878</v>
      </c>
      <c r="AL210" s="9">
        <f t="shared" si="110"/>
        <v>15850.66978</v>
      </c>
      <c r="AP210" s="12"/>
    </row>
    <row r="211" spans="1:42" x14ac:dyDescent="0.35">
      <c r="A211" s="71">
        <v>46192</v>
      </c>
      <c r="B211" s="72" t="s">
        <v>67</v>
      </c>
      <c r="C211" s="74">
        <v>1164.5371428564599</v>
      </c>
      <c r="D211" s="74">
        <v>41350.609737572799</v>
      </c>
      <c r="E211" s="62" t="s">
        <v>68</v>
      </c>
      <c r="F211" s="73" t="s">
        <v>298</v>
      </c>
      <c r="G211" s="76" t="s">
        <v>334</v>
      </c>
      <c r="H211" s="73" t="s">
        <v>104</v>
      </c>
      <c r="I211" s="62" t="s">
        <v>335</v>
      </c>
      <c r="J211" s="55"/>
      <c r="K211" s="20">
        <v>10</v>
      </c>
      <c r="L211" s="20">
        <v>0</v>
      </c>
      <c r="M211" s="20">
        <v>16</v>
      </c>
      <c r="N211" s="8">
        <f t="shared" si="102"/>
        <v>26</v>
      </c>
      <c r="O211" s="18">
        <v>16</v>
      </c>
      <c r="P211" s="18">
        <v>26</v>
      </c>
      <c r="Q211" s="18">
        <v>16</v>
      </c>
      <c r="R211" s="8">
        <f t="shared" si="101"/>
        <v>58</v>
      </c>
      <c r="S211" s="18">
        <f t="shared" si="103"/>
        <v>84</v>
      </c>
      <c r="T211" s="18">
        <f t="shared" si="93"/>
        <v>1</v>
      </c>
      <c r="U211" s="18">
        <f t="shared" si="94"/>
        <v>0</v>
      </c>
      <c r="V211" s="18">
        <f t="shared" si="95"/>
        <v>1.6</v>
      </c>
      <c r="W211" s="8">
        <f t="shared" si="104"/>
        <v>2.6</v>
      </c>
      <c r="X211" s="18">
        <f t="shared" si="96"/>
        <v>1.6</v>
      </c>
      <c r="Y211" s="18">
        <f t="shared" si="97"/>
        <v>2.6</v>
      </c>
      <c r="Z211" s="18">
        <f t="shared" si="98"/>
        <v>1.6</v>
      </c>
      <c r="AA211" s="8">
        <f t="shared" si="105"/>
        <v>5.8</v>
      </c>
      <c r="AB211" s="8">
        <v>39.270000000000003</v>
      </c>
      <c r="AC211" s="8">
        <v>52.462499999999999</v>
      </c>
      <c r="AD211" s="8">
        <v>72.64</v>
      </c>
      <c r="AE211" s="9">
        <f t="shared" si="106"/>
        <v>7465.7849999999999</v>
      </c>
      <c r="AF211" s="21">
        <v>6.5000000000000002E-2</v>
      </c>
      <c r="AG211" s="10">
        <f t="shared" si="99"/>
        <v>485.276025</v>
      </c>
      <c r="AH211" s="64">
        <f t="shared" si="107"/>
        <v>0</v>
      </c>
      <c r="AI211" s="9">
        <f t="shared" si="108"/>
        <v>6980.5089749999997</v>
      </c>
      <c r="AJ211" s="5">
        <v>0.18</v>
      </c>
      <c r="AK211" s="11">
        <f t="shared" si="109"/>
        <v>1256.4916154999999</v>
      </c>
      <c r="AL211" s="9">
        <f t="shared" si="110"/>
        <v>8237.0005904999998</v>
      </c>
      <c r="AP211" s="12"/>
    </row>
    <row r="212" spans="1:42" x14ac:dyDescent="0.35">
      <c r="A212" s="71">
        <v>46192</v>
      </c>
      <c r="B212" s="72" t="s">
        <v>67</v>
      </c>
      <c r="C212" s="74">
        <v>1165.29714285622</v>
      </c>
      <c r="D212" s="74">
        <v>41325.493741767401</v>
      </c>
      <c r="E212" s="62" t="s">
        <v>68</v>
      </c>
      <c r="F212" s="73" t="s">
        <v>298</v>
      </c>
      <c r="G212" s="76" t="s">
        <v>336</v>
      </c>
      <c r="H212" s="73" t="s">
        <v>89</v>
      </c>
      <c r="I212" s="62" t="s">
        <v>338</v>
      </c>
      <c r="J212" s="55"/>
      <c r="K212" s="18">
        <v>0</v>
      </c>
      <c r="L212" s="18">
        <v>0</v>
      </c>
      <c r="M212" s="20">
        <v>0</v>
      </c>
      <c r="N212" s="8">
        <f t="shared" si="102"/>
        <v>0</v>
      </c>
      <c r="O212" s="20">
        <v>400</v>
      </c>
      <c r="P212" s="20">
        <v>200</v>
      </c>
      <c r="Q212" s="20">
        <v>400</v>
      </c>
      <c r="R212" s="8">
        <f t="shared" si="101"/>
        <v>1000</v>
      </c>
      <c r="S212" s="18">
        <f t="shared" si="103"/>
        <v>1000</v>
      </c>
      <c r="T212" s="18">
        <f t="shared" si="93"/>
        <v>0</v>
      </c>
      <c r="U212" s="18">
        <f t="shared" si="94"/>
        <v>0</v>
      </c>
      <c r="V212" s="18">
        <f t="shared" si="95"/>
        <v>0</v>
      </c>
      <c r="W212" s="8">
        <f t="shared" si="104"/>
        <v>0</v>
      </c>
      <c r="X212" s="18">
        <f t="shared" si="96"/>
        <v>40</v>
      </c>
      <c r="Y212" s="18">
        <f t="shared" si="97"/>
        <v>20</v>
      </c>
      <c r="Z212" s="18">
        <f t="shared" si="98"/>
        <v>40</v>
      </c>
      <c r="AA212" s="8">
        <f t="shared" si="105"/>
        <v>100</v>
      </c>
      <c r="AB212" s="8">
        <v>39.270000000000003</v>
      </c>
      <c r="AC212" s="8">
        <v>52.462499999999999</v>
      </c>
      <c r="AD212" s="8">
        <v>72.64</v>
      </c>
      <c r="AE212" s="9">
        <f t="shared" si="106"/>
        <v>72640</v>
      </c>
      <c r="AF212" s="21">
        <v>6.5000000000000002E-2</v>
      </c>
      <c r="AG212" s="10">
        <f t="shared" si="99"/>
        <v>4721.6000000000004</v>
      </c>
      <c r="AH212" s="64">
        <f t="shared" si="107"/>
        <v>0</v>
      </c>
      <c r="AI212" s="9">
        <f t="shared" si="108"/>
        <v>67918.399999999994</v>
      </c>
      <c r="AJ212" s="5">
        <v>0.18</v>
      </c>
      <c r="AK212" s="11">
        <f t="shared" si="109"/>
        <v>12225.311999999998</v>
      </c>
      <c r="AL212" s="9">
        <f t="shared" si="110"/>
        <v>80143.712</v>
      </c>
      <c r="AP212" s="12"/>
    </row>
    <row r="213" spans="1:42" x14ac:dyDescent="0.35">
      <c r="A213" s="71">
        <v>46192</v>
      </c>
      <c r="B213" s="72" t="s">
        <v>67</v>
      </c>
      <c r="C213" s="74">
        <v>1166.0571428559899</v>
      </c>
      <c r="D213" s="74">
        <v>41300.377745962003</v>
      </c>
      <c r="E213" s="62" t="s">
        <v>68</v>
      </c>
      <c r="F213" s="73" t="s">
        <v>298</v>
      </c>
      <c r="G213" s="76" t="s">
        <v>337</v>
      </c>
      <c r="H213" s="73" t="s">
        <v>89</v>
      </c>
      <c r="I213" s="62" t="s">
        <v>338</v>
      </c>
      <c r="J213" s="55"/>
      <c r="K213" s="20">
        <v>0</v>
      </c>
      <c r="L213" s="18">
        <v>0</v>
      </c>
      <c r="M213" s="18">
        <v>0</v>
      </c>
      <c r="N213" s="8">
        <f t="shared" si="102"/>
        <v>0</v>
      </c>
      <c r="O213" s="20">
        <v>400</v>
      </c>
      <c r="P213" s="20">
        <v>200</v>
      </c>
      <c r="Q213" s="20">
        <v>400</v>
      </c>
      <c r="R213" s="8">
        <f t="shared" si="101"/>
        <v>1000</v>
      </c>
      <c r="S213" s="18">
        <f t="shared" ref="S213:S226" si="111">J213+K213+L213+M213+O213+P213+Q213</f>
        <v>1000</v>
      </c>
      <c r="T213" s="18">
        <f t="shared" si="93"/>
        <v>0</v>
      </c>
      <c r="U213" s="18">
        <f t="shared" si="94"/>
        <v>0</v>
      </c>
      <c r="V213" s="18">
        <f t="shared" si="95"/>
        <v>0</v>
      </c>
      <c r="W213" s="8">
        <f t="shared" si="104"/>
        <v>0</v>
      </c>
      <c r="X213" s="18">
        <f t="shared" si="96"/>
        <v>40</v>
      </c>
      <c r="Y213" s="18">
        <f t="shared" si="97"/>
        <v>20</v>
      </c>
      <c r="Z213" s="18">
        <f t="shared" si="98"/>
        <v>40</v>
      </c>
      <c r="AA213" s="8">
        <f t="shared" si="105"/>
        <v>100</v>
      </c>
      <c r="AB213" s="8">
        <v>39.270000000000003</v>
      </c>
      <c r="AC213" s="8">
        <v>52.462499999999999</v>
      </c>
      <c r="AD213" s="8">
        <v>72.64</v>
      </c>
      <c r="AE213" s="9">
        <f t="shared" si="106"/>
        <v>72640</v>
      </c>
      <c r="AF213" s="21">
        <v>6.5000000000000002E-2</v>
      </c>
      <c r="AG213" s="10">
        <f t="shared" si="99"/>
        <v>4721.6000000000004</v>
      </c>
      <c r="AH213" s="64">
        <f t="shared" si="107"/>
        <v>0</v>
      </c>
      <c r="AI213" s="9">
        <f t="shared" si="108"/>
        <v>67918.399999999994</v>
      </c>
      <c r="AJ213" s="5">
        <v>0.18</v>
      </c>
      <c r="AK213" s="11">
        <f t="shared" si="109"/>
        <v>12225.311999999998</v>
      </c>
      <c r="AL213" s="9">
        <f t="shared" si="110"/>
        <v>80143.712</v>
      </c>
      <c r="AP213" s="12"/>
    </row>
    <row r="214" spans="1:42" x14ac:dyDescent="0.35">
      <c r="A214" s="71">
        <v>46192</v>
      </c>
      <c r="B214" s="72" t="s">
        <v>67</v>
      </c>
      <c r="C214" s="74">
        <v>1166.8390476176201</v>
      </c>
      <c r="D214" s="74">
        <v>41275.261750156598</v>
      </c>
      <c r="E214" s="62" t="s">
        <v>68</v>
      </c>
      <c r="F214" s="73" t="s">
        <v>208</v>
      </c>
      <c r="G214" s="76" t="s">
        <v>328</v>
      </c>
      <c r="H214" s="73" t="s">
        <v>212</v>
      </c>
      <c r="I214" s="62" t="s">
        <v>339</v>
      </c>
      <c r="J214" s="55"/>
      <c r="K214" s="18">
        <v>40</v>
      </c>
      <c r="L214" s="18">
        <v>40</v>
      </c>
      <c r="M214" s="18">
        <v>40</v>
      </c>
      <c r="N214" s="8">
        <f t="shared" si="102"/>
        <v>120</v>
      </c>
      <c r="O214" s="20">
        <v>40</v>
      </c>
      <c r="P214" s="20">
        <v>40</v>
      </c>
      <c r="Q214" s="20">
        <v>40</v>
      </c>
      <c r="R214" s="8">
        <f t="shared" si="101"/>
        <v>120</v>
      </c>
      <c r="S214" s="18">
        <f t="shared" si="111"/>
        <v>240</v>
      </c>
      <c r="T214" s="18">
        <f t="shared" si="93"/>
        <v>4</v>
      </c>
      <c r="U214" s="18">
        <f t="shared" si="94"/>
        <v>4</v>
      </c>
      <c r="V214" s="18">
        <f t="shared" si="95"/>
        <v>4</v>
      </c>
      <c r="W214" s="8">
        <f t="shared" si="104"/>
        <v>12</v>
      </c>
      <c r="X214" s="18">
        <f t="shared" si="96"/>
        <v>4</v>
      </c>
      <c r="Y214" s="18">
        <f t="shared" si="97"/>
        <v>4</v>
      </c>
      <c r="Z214" s="18">
        <f t="shared" si="98"/>
        <v>4</v>
      </c>
      <c r="AA214" s="8">
        <f t="shared" si="105"/>
        <v>12</v>
      </c>
      <c r="AB214" s="8">
        <v>39.270000000000003</v>
      </c>
      <c r="AC214" s="8">
        <v>52.462499999999999</v>
      </c>
      <c r="AD214" s="8">
        <v>72.64</v>
      </c>
      <c r="AE214" s="9">
        <f t="shared" si="106"/>
        <v>23729.1</v>
      </c>
      <c r="AF214" s="21">
        <v>6.5000000000000002E-2</v>
      </c>
      <c r="AG214" s="10">
        <f t="shared" si="99"/>
        <v>1542.3915</v>
      </c>
      <c r="AH214" s="64">
        <f t="shared" si="107"/>
        <v>0</v>
      </c>
      <c r="AI214" s="9">
        <f t="shared" si="108"/>
        <v>22186.708499999997</v>
      </c>
      <c r="AJ214" s="5">
        <v>0.18</v>
      </c>
      <c r="AK214" s="11">
        <f t="shared" si="109"/>
        <v>3993.6075299999993</v>
      </c>
      <c r="AL214" s="9">
        <f t="shared" si="110"/>
        <v>26180.316029999994</v>
      </c>
      <c r="AP214" s="12"/>
    </row>
    <row r="215" spans="1:42" x14ac:dyDescent="0.35">
      <c r="A215" s="71">
        <v>46192</v>
      </c>
      <c r="B215" s="72" t="s">
        <v>67</v>
      </c>
      <c r="C215" s="74">
        <v>1167.6034285697599</v>
      </c>
      <c r="D215" s="74">
        <v>41250.145754351201</v>
      </c>
      <c r="E215" s="62" t="s">
        <v>68</v>
      </c>
      <c r="F215" s="73" t="s">
        <v>208</v>
      </c>
      <c r="G215" s="76" t="s">
        <v>328</v>
      </c>
      <c r="H215" s="73" t="s">
        <v>212</v>
      </c>
      <c r="I215" s="62" t="s">
        <v>340</v>
      </c>
      <c r="J215" s="55"/>
      <c r="K215" s="20">
        <v>40</v>
      </c>
      <c r="L215" s="20">
        <v>40</v>
      </c>
      <c r="M215" s="20">
        <v>80</v>
      </c>
      <c r="N215" s="8">
        <f t="shared" si="102"/>
        <v>160</v>
      </c>
      <c r="O215" s="18">
        <v>40</v>
      </c>
      <c r="P215" s="18">
        <v>40</v>
      </c>
      <c r="Q215" s="18">
        <v>40</v>
      </c>
      <c r="R215" s="8">
        <f t="shared" si="101"/>
        <v>120</v>
      </c>
      <c r="S215" s="18">
        <f t="shared" si="111"/>
        <v>280</v>
      </c>
      <c r="T215" s="18">
        <f t="shared" ref="T215:T261" si="112">K215/10</f>
        <v>4</v>
      </c>
      <c r="U215" s="18">
        <f t="shared" ref="U215:U261" si="113">L215/10</f>
        <v>4</v>
      </c>
      <c r="V215" s="18">
        <f t="shared" ref="V215:V261" si="114">M215/10</f>
        <v>8</v>
      </c>
      <c r="W215" s="8">
        <f t="shared" si="104"/>
        <v>16</v>
      </c>
      <c r="X215" s="18">
        <f t="shared" ref="X215:X261" si="115">O215/10</f>
        <v>4</v>
      </c>
      <c r="Y215" s="18">
        <f t="shared" ref="Y215:Y261" si="116">P215/10</f>
        <v>4</v>
      </c>
      <c r="Z215" s="18">
        <f t="shared" ref="Z215:Z261" si="117">Q215/10</f>
        <v>4</v>
      </c>
      <c r="AA215" s="8">
        <f t="shared" si="105"/>
        <v>12</v>
      </c>
      <c r="AB215" s="8">
        <v>39.270000000000003</v>
      </c>
      <c r="AC215" s="8">
        <v>52.462499999999999</v>
      </c>
      <c r="AD215" s="8">
        <v>72.64</v>
      </c>
      <c r="AE215" s="9">
        <f t="shared" si="106"/>
        <v>28733.200000000001</v>
      </c>
      <c r="AF215" s="21">
        <v>0.1</v>
      </c>
      <c r="AG215" s="10">
        <f t="shared" ref="AG215:AG261" si="118">AE215*AF215</f>
        <v>2873.32</v>
      </c>
      <c r="AH215" s="64">
        <f t="shared" si="107"/>
        <v>0</v>
      </c>
      <c r="AI215" s="9">
        <f t="shared" si="108"/>
        <v>25859.88</v>
      </c>
      <c r="AJ215" s="5">
        <v>0.18</v>
      </c>
      <c r="AK215" s="11">
        <f t="shared" si="109"/>
        <v>4654.7784000000001</v>
      </c>
      <c r="AL215" s="9">
        <f t="shared" si="110"/>
        <v>30514.6584</v>
      </c>
      <c r="AP215" s="12"/>
    </row>
    <row r="216" spans="1:42" x14ac:dyDescent="0.35">
      <c r="A216" s="71">
        <v>46192</v>
      </c>
      <c r="B216" s="72" t="s">
        <v>67</v>
      </c>
      <c r="C216" s="74">
        <v>1168.3678095219</v>
      </c>
      <c r="D216" s="74">
        <v>41225.029758545803</v>
      </c>
      <c r="E216" s="62" t="s">
        <v>68</v>
      </c>
      <c r="F216" s="73" t="s">
        <v>208</v>
      </c>
      <c r="G216" s="76" t="s">
        <v>328</v>
      </c>
      <c r="H216" s="73" t="s">
        <v>212</v>
      </c>
      <c r="I216" s="62" t="s">
        <v>341</v>
      </c>
      <c r="J216" s="55"/>
      <c r="K216" s="18">
        <v>40</v>
      </c>
      <c r="L216" s="18">
        <v>40</v>
      </c>
      <c r="M216" s="18">
        <v>80</v>
      </c>
      <c r="N216" s="8">
        <f t="shared" si="102"/>
        <v>160</v>
      </c>
      <c r="O216" s="20">
        <v>40</v>
      </c>
      <c r="P216" s="20">
        <v>40</v>
      </c>
      <c r="Q216" s="20">
        <v>40</v>
      </c>
      <c r="R216" s="8">
        <f t="shared" si="101"/>
        <v>120</v>
      </c>
      <c r="S216" s="18">
        <f t="shared" si="111"/>
        <v>280</v>
      </c>
      <c r="T216" s="18">
        <f t="shared" si="112"/>
        <v>4</v>
      </c>
      <c r="U216" s="18">
        <f t="shared" si="113"/>
        <v>4</v>
      </c>
      <c r="V216" s="18">
        <f t="shared" si="114"/>
        <v>8</v>
      </c>
      <c r="W216" s="8">
        <f t="shared" si="104"/>
        <v>16</v>
      </c>
      <c r="X216" s="18">
        <f t="shared" si="115"/>
        <v>4</v>
      </c>
      <c r="Y216" s="18">
        <f t="shared" si="116"/>
        <v>4</v>
      </c>
      <c r="Z216" s="18">
        <f t="shared" si="117"/>
        <v>4</v>
      </c>
      <c r="AA216" s="8">
        <f t="shared" si="105"/>
        <v>12</v>
      </c>
      <c r="AB216" s="8">
        <v>39.270000000000003</v>
      </c>
      <c r="AC216" s="8">
        <v>52.462499999999999</v>
      </c>
      <c r="AD216" s="8">
        <v>72.64</v>
      </c>
      <c r="AE216" s="9">
        <f t="shared" si="106"/>
        <v>28733.200000000001</v>
      </c>
      <c r="AF216" s="21">
        <v>6.5000000000000002E-2</v>
      </c>
      <c r="AG216" s="10">
        <f t="shared" si="118"/>
        <v>1867.6580000000001</v>
      </c>
      <c r="AH216" s="64">
        <f t="shared" si="107"/>
        <v>0</v>
      </c>
      <c r="AI216" s="9">
        <f t="shared" si="108"/>
        <v>26865.542000000001</v>
      </c>
      <c r="AJ216" s="5">
        <v>0.18</v>
      </c>
      <c r="AK216" s="11">
        <f t="shared" si="109"/>
        <v>4835.79756</v>
      </c>
      <c r="AL216" s="9">
        <f t="shared" si="110"/>
        <v>31701.33956</v>
      </c>
      <c r="AP216" s="12"/>
    </row>
    <row r="217" spans="1:42" x14ac:dyDescent="0.35">
      <c r="A217" s="71">
        <v>46192</v>
      </c>
      <c r="B217" s="72" t="s">
        <v>67</v>
      </c>
      <c r="C217" s="74">
        <v>1169.13219047404</v>
      </c>
      <c r="D217" s="74">
        <v>41199.913762740398</v>
      </c>
      <c r="E217" s="62" t="s">
        <v>68</v>
      </c>
      <c r="F217" s="73" t="s">
        <v>208</v>
      </c>
      <c r="G217" s="76" t="s">
        <v>328</v>
      </c>
      <c r="H217" s="73" t="s">
        <v>212</v>
      </c>
      <c r="I217" s="62" t="s">
        <v>342</v>
      </c>
      <c r="J217" s="55"/>
      <c r="K217" s="20">
        <v>80</v>
      </c>
      <c r="L217" s="20">
        <v>80</v>
      </c>
      <c r="M217" s="20">
        <v>80</v>
      </c>
      <c r="N217" s="8">
        <f t="shared" si="102"/>
        <v>240</v>
      </c>
      <c r="O217" s="18">
        <v>80</v>
      </c>
      <c r="P217" s="18">
        <v>80</v>
      </c>
      <c r="Q217" s="20">
        <v>80</v>
      </c>
      <c r="R217" s="8">
        <f t="shared" si="101"/>
        <v>240</v>
      </c>
      <c r="S217" s="18">
        <f t="shared" si="111"/>
        <v>480</v>
      </c>
      <c r="T217" s="18">
        <f t="shared" si="112"/>
        <v>8</v>
      </c>
      <c r="U217" s="18">
        <f t="shared" si="113"/>
        <v>8</v>
      </c>
      <c r="V217" s="18">
        <f t="shared" si="114"/>
        <v>8</v>
      </c>
      <c r="W217" s="8">
        <f t="shared" si="104"/>
        <v>24</v>
      </c>
      <c r="X217" s="18">
        <f t="shared" si="115"/>
        <v>8</v>
      </c>
      <c r="Y217" s="18">
        <f t="shared" si="116"/>
        <v>8</v>
      </c>
      <c r="Z217" s="18">
        <f t="shared" si="117"/>
        <v>8</v>
      </c>
      <c r="AA217" s="8">
        <f t="shared" si="105"/>
        <v>24</v>
      </c>
      <c r="AB217" s="8">
        <v>39.270000000000003</v>
      </c>
      <c r="AC217" s="8">
        <v>52.462499999999999</v>
      </c>
      <c r="AD217" s="8">
        <v>72.64</v>
      </c>
      <c r="AE217" s="9">
        <f t="shared" si="106"/>
        <v>47458.2</v>
      </c>
      <c r="AF217" s="21">
        <v>6.5000000000000002E-2</v>
      </c>
      <c r="AG217" s="10">
        <f t="shared" si="118"/>
        <v>3084.7829999999999</v>
      </c>
      <c r="AH217" s="64">
        <f t="shared" si="107"/>
        <v>0</v>
      </c>
      <c r="AI217" s="9">
        <f t="shared" si="108"/>
        <v>44373.416999999994</v>
      </c>
      <c r="AJ217" s="5">
        <v>0.18</v>
      </c>
      <c r="AK217" s="11">
        <f t="shared" si="109"/>
        <v>7987.2150599999986</v>
      </c>
      <c r="AL217" s="9">
        <f t="shared" si="110"/>
        <v>52360.632059999989</v>
      </c>
      <c r="AP217" s="12"/>
    </row>
    <row r="218" spans="1:42" x14ac:dyDescent="0.35">
      <c r="A218" s="71">
        <v>46192</v>
      </c>
      <c r="B218" s="72" t="s">
        <v>67</v>
      </c>
      <c r="C218" s="74">
        <v>1169.8965714261799</v>
      </c>
      <c r="D218" s="74">
        <v>41174.797766935</v>
      </c>
      <c r="E218" s="62" t="s">
        <v>68</v>
      </c>
      <c r="F218" s="73" t="s">
        <v>208</v>
      </c>
      <c r="G218" s="76" t="s">
        <v>328</v>
      </c>
      <c r="H218" s="73" t="s">
        <v>212</v>
      </c>
      <c r="I218" s="62" t="s">
        <v>343</v>
      </c>
      <c r="J218" s="55"/>
      <c r="K218" s="18">
        <v>40</v>
      </c>
      <c r="L218" s="18">
        <v>40</v>
      </c>
      <c r="M218" s="18">
        <v>80</v>
      </c>
      <c r="N218" s="8">
        <f t="shared" si="102"/>
        <v>160</v>
      </c>
      <c r="O218" s="18">
        <v>40</v>
      </c>
      <c r="P218" s="18">
        <v>40</v>
      </c>
      <c r="Q218" s="18">
        <v>40</v>
      </c>
      <c r="R218" s="8">
        <f t="shared" si="101"/>
        <v>120</v>
      </c>
      <c r="S218" s="18">
        <f t="shared" si="111"/>
        <v>280</v>
      </c>
      <c r="T218" s="18">
        <f t="shared" si="112"/>
        <v>4</v>
      </c>
      <c r="U218" s="18">
        <f t="shared" si="113"/>
        <v>4</v>
      </c>
      <c r="V218" s="18">
        <f t="shared" si="114"/>
        <v>8</v>
      </c>
      <c r="W218" s="8">
        <f t="shared" si="104"/>
        <v>16</v>
      </c>
      <c r="X218" s="18">
        <f t="shared" si="115"/>
        <v>4</v>
      </c>
      <c r="Y218" s="18">
        <f t="shared" si="116"/>
        <v>4</v>
      </c>
      <c r="Z218" s="18">
        <f t="shared" si="117"/>
        <v>4</v>
      </c>
      <c r="AA218" s="8">
        <f t="shared" si="105"/>
        <v>12</v>
      </c>
      <c r="AB218" s="8">
        <v>39.270000000000003</v>
      </c>
      <c r="AC218" s="8">
        <v>52.462499999999999</v>
      </c>
      <c r="AD218" s="8">
        <v>72.64</v>
      </c>
      <c r="AE218" s="9">
        <f t="shared" si="106"/>
        <v>28733.200000000001</v>
      </c>
      <c r="AF218" s="21">
        <v>6.5000000000000002E-2</v>
      </c>
      <c r="AG218" s="10">
        <f t="shared" si="118"/>
        <v>1867.6580000000001</v>
      </c>
      <c r="AH218" s="64">
        <f t="shared" si="107"/>
        <v>0</v>
      </c>
      <c r="AI218" s="9">
        <f t="shared" si="108"/>
        <v>26865.542000000001</v>
      </c>
      <c r="AJ218" s="5">
        <v>0.18</v>
      </c>
      <c r="AK218" s="11">
        <f t="shared" si="109"/>
        <v>4835.79756</v>
      </c>
      <c r="AL218" s="9">
        <f t="shared" si="110"/>
        <v>31701.33956</v>
      </c>
      <c r="AP218" s="12"/>
    </row>
    <row r="219" spans="1:42" x14ac:dyDescent="0.35">
      <c r="A219" s="71">
        <v>46192</v>
      </c>
      <c r="B219" s="72" t="s">
        <v>67</v>
      </c>
      <c r="C219" s="74">
        <v>1170.66095237831</v>
      </c>
      <c r="D219" s="74">
        <v>41149.681771129603</v>
      </c>
      <c r="E219" s="62" t="s">
        <v>68</v>
      </c>
      <c r="F219" s="73" t="s">
        <v>208</v>
      </c>
      <c r="G219" s="76" t="s">
        <v>328</v>
      </c>
      <c r="H219" s="73" t="s">
        <v>212</v>
      </c>
      <c r="I219" s="62" t="s">
        <v>344</v>
      </c>
      <c r="J219" s="55"/>
      <c r="K219" s="20">
        <v>40</v>
      </c>
      <c r="L219" s="20">
        <v>40</v>
      </c>
      <c r="M219" s="20">
        <v>80</v>
      </c>
      <c r="N219" s="8">
        <f t="shared" si="102"/>
        <v>160</v>
      </c>
      <c r="O219" s="18">
        <v>40</v>
      </c>
      <c r="P219" s="18">
        <v>40</v>
      </c>
      <c r="Q219" s="18">
        <v>40</v>
      </c>
      <c r="R219" s="8">
        <f t="shared" si="101"/>
        <v>120</v>
      </c>
      <c r="S219" s="18">
        <f t="shared" si="111"/>
        <v>280</v>
      </c>
      <c r="T219" s="18">
        <f t="shared" si="112"/>
        <v>4</v>
      </c>
      <c r="U219" s="18">
        <f t="shared" si="113"/>
        <v>4</v>
      </c>
      <c r="V219" s="18">
        <f t="shared" si="114"/>
        <v>8</v>
      </c>
      <c r="W219" s="8">
        <f t="shared" si="104"/>
        <v>16</v>
      </c>
      <c r="X219" s="18">
        <f t="shared" si="115"/>
        <v>4</v>
      </c>
      <c r="Y219" s="18">
        <f t="shared" si="116"/>
        <v>4</v>
      </c>
      <c r="Z219" s="18">
        <f t="shared" si="117"/>
        <v>4</v>
      </c>
      <c r="AA219" s="8">
        <f t="shared" si="105"/>
        <v>12</v>
      </c>
      <c r="AB219" s="8">
        <v>39.270000000000003</v>
      </c>
      <c r="AC219" s="8">
        <v>52.462499999999999</v>
      </c>
      <c r="AD219" s="8">
        <v>72.64</v>
      </c>
      <c r="AE219" s="9">
        <f t="shared" si="106"/>
        <v>28733.200000000001</v>
      </c>
      <c r="AF219" s="21">
        <v>6.5000000000000002E-2</v>
      </c>
      <c r="AG219" s="10">
        <f t="shared" si="118"/>
        <v>1867.6580000000001</v>
      </c>
      <c r="AH219" s="64">
        <f t="shared" si="107"/>
        <v>0</v>
      </c>
      <c r="AI219" s="9">
        <f t="shared" si="108"/>
        <v>26865.542000000001</v>
      </c>
      <c r="AJ219" s="5">
        <v>0.18</v>
      </c>
      <c r="AK219" s="11">
        <f t="shared" si="109"/>
        <v>4835.79756</v>
      </c>
      <c r="AL219" s="9">
        <f t="shared" si="110"/>
        <v>31701.33956</v>
      </c>
      <c r="AP219" s="12"/>
    </row>
    <row r="220" spans="1:42" x14ac:dyDescent="0.35">
      <c r="A220" s="71">
        <v>46192</v>
      </c>
      <c r="B220" s="72" t="s">
        <v>67</v>
      </c>
      <c r="C220" s="74">
        <v>1171.42533333045</v>
      </c>
      <c r="D220" s="74">
        <v>41124.565775324198</v>
      </c>
      <c r="E220" s="62" t="s">
        <v>68</v>
      </c>
      <c r="F220" s="73" t="s">
        <v>208</v>
      </c>
      <c r="G220" s="76" t="s">
        <v>328</v>
      </c>
      <c r="H220" s="73" t="s">
        <v>212</v>
      </c>
      <c r="I220" s="62" t="s">
        <v>345</v>
      </c>
      <c r="J220" s="55"/>
      <c r="K220" s="20">
        <v>80</v>
      </c>
      <c r="L220" s="20">
        <v>80</v>
      </c>
      <c r="M220" s="20">
        <v>80</v>
      </c>
      <c r="N220" s="8">
        <f t="shared" si="102"/>
        <v>240</v>
      </c>
      <c r="O220" s="18">
        <v>80</v>
      </c>
      <c r="P220" s="18">
        <v>80</v>
      </c>
      <c r="Q220" s="20">
        <v>80</v>
      </c>
      <c r="R220" s="8">
        <f t="shared" si="101"/>
        <v>240</v>
      </c>
      <c r="S220" s="18">
        <f t="shared" si="111"/>
        <v>480</v>
      </c>
      <c r="T220" s="18">
        <f t="shared" si="112"/>
        <v>8</v>
      </c>
      <c r="U220" s="18">
        <f t="shared" si="113"/>
        <v>8</v>
      </c>
      <c r="V220" s="18">
        <f t="shared" si="114"/>
        <v>8</v>
      </c>
      <c r="W220" s="8">
        <f t="shared" si="104"/>
        <v>24</v>
      </c>
      <c r="X220" s="18">
        <f t="shared" si="115"/>
        <v>8</v>
      </c>
      <c r="Y220" s="18">
        <f t="shared" si="116"/>
        <v>8</v>
      </c>
      <c r="Z220" s="18">
        <f t="shared" si="117"/>
        <v>8</v>
      </c>
      <c r="AA220" s="8">
        <f t="shared" si="105"/>
        <v>24</v>
      </c>
      <c r="AB220" s="8">
        <v>39.270000000000003</v>
      </c>
      <c r="AC220" s="8">
        <v>52.462499999999999</v>
      </c>
      <c r="AD220" s="8">
        <v>72.64</v>
      </c>
      <c r="AE220" s="9">
        <f t="shared" si="106"/>
        <v>47458.2</v>
      </c>
      <c r="AF220" s="21">
        <v>6.5000000000000002E-2</v>
      </c>
      <c r="AG220" s="10">
        <f t="shared" si="118"/>
        <v>3084.7829999999999</v>
      </c>
      <c r="AH220" s="64">
        <f t="shared" si="107"/>
        <v>0</v>
      </c>
      <c r="AI220" s="9">
        <f t="shared" si="108"/>
        <v>44373.416999999994</v>
      </c>
      <c r="AJ220" s="5">
        <v>0.18</v>
      </c>
      <c r="AK220" s="11">
        <f t="shared" si="109"/>
        <v>7987.2150599999986</v>
      </c>
      <c r="AL220" s="9">
        <f t="shared" si="110"/>
        <v>52360.632059999989</v>
      </c>
      <c r="AP220" s="12"/>
    </row>
    <row r="221" spans="1:42" x14ac:dyDescent="0.35">
      <c r="A221" s="71">
        <v>46192</v>
      </c>
      <c r="B221" s="72" t="s">
        <v>67</v>
      </c>
      <c r="C221" s="74">
        <v>1172.1897142825901</v>
      </c>
      <c r="D221" s="74">
        <v>41099.4497795188</v>
      </c>
      <c r="E221" s="62" t="s">
        <v>68</v>
      </c>
      <c r="F221" s="73" t="s">
        <v>208</v>
      </c>
      <c r="G221" s="76" t="s">
        <v>328</v>
      </c>
      <c r="H221" s="73" t="s">
        <v>212</v>
      </c>
      <c r="I221" s="62" t="s">
        <v>346</v>
      </c>
      <c r="J221" s="55"/>
      <c r="K221" s="20">
        <v>40</v>
      </c>
      <c r="L221" s="20">
        <v>40</v>
      </c>
      <c r="M221" s="20">
        <v>40</v>
      </c>
      <c r="N221" s="8">
        <f t="shared" si="102"/>
        <v>120</v>
      </c>
      <c r="O221" s="18">
        <v>40</v>
      </c>
      <c r="P221" s="18">
        <v>40</v>
      </c>
      <c r="Q221" s="18">
        <v>40</v>
      </c>
      <c r="R221" s="8">
        <f t="shared" si="101"/>
        <v>120</v>
      </c>
      <c r="S221" s="18">
        <f t="shared" si="111"/>
        <v>240</v>
      </c>
      <c r="T221" s="18">
        <f t="shared" si="112"/>
        <v>4</v>
      </c>
      <c r="U221" s="18">
        <f t="shared" si="113"/>
        <v>4</v>
      </c>
      <c r="V221" s="18">
        <f t="shared" si="114"/>
        <v>4</v>
      </c>
      <c r="W221" s="8">
        <f t="shared" si="104"/>
        <v>12</v>
      </c>
      <c r="X221" s="18">
        <f t="shared" si="115"/>
        <v>4</v>
      </c>
      <c r="Y221" s="18">
        <f t="shared" si="116"/>
        <v>4</v>
      </c>
      <c r="Z221" s="18">
        <f t="shared" si="117"/>
        <v>4</v>
      </c>
      <c r="AA221" s="8">
        <f t="shared" si="105"/>
        <v>12</v>
      </c>
      <c r="AB221" s="8">
        <v>39.270000000000003</v>
      </c>
      <c r="AC221" s="8">
        <v>52.462499999999999</v>
      </c>
      <c r="AD221" s="8">
        <v>72.64</v>
      </c>
      <c r="AE221" s="9">
        <f t="shared" si="106"/>
        <v>23729.1</v>
      </c>
      <c r="AF221" s="21">
        <v>6.5000000000000002E-2</v>
      </c>
      <c r="AG221" s="10">
        <f t="shared" si="118"/>
        <v>1542.3915</v>
      </c>
      <c r="AH221" s="64">
        <f t="shared" si="107"/>
        <v>0</v>
      </c>
      <c r="AI221" s="9">
        <f t="shared" si="108"/>
        <v>22186.708499999997</v>
      </c>
      <c r="AJ221" s="5">
        <v>0.18</v>
      </c>
      <c r="AK221" s="11">
        <f t="shared" si="109"/>
        <v>3993.6075299999993</v>
      </c>
      <c r="AL221" s="9">
        <f t="shared" si="110"/>
        <v>26180.316029999994</v>
      </c>
      <c r="AP221" s="12"/>
    </row>
    <row r="222" spans="1:42" x14ac:dyDescent="0.35">
      <c r="A222" s="71">
        <v>46192</v>
      </c>
      <c r="B222" s="72" t="s">
        <v>67</v>
      </c>
      <c r="C222" s="74">
        <v>1173.71847618687</v>
      </c>
      <c r="D222" s="74">
        <v>41049.217787907997</v>
      </c>
      <c r="E222" s="62" t="s">
        <v>68</v>
      </c>
      <c r="F222" s="73" t="s">
        <v>208</v>
      </c>
      <c r="G222" s="76" t="s">
        <v>328</v>
      </c>
      <c r="H222" s="73" t="s">
        <v>212</v>
      </c>
      <c r="I222" s="62" t="s">
        <v>347</v>
      </c>
      <c r="J222" s="55"/>
      <c r="K222" s="20">
        <v>40</v>
      </c>
      <c r="L222" s="20">
        <v>40</v>
      </c>
      <c r="M222" s="20">
        <v>80</v>
      </c>
      <c r="N222" s="8">
        <f t="shared" si="102"/>
        <v>160</v>
      </c>
      <c r="O222" s="18">
        <v>40</v>
      </c>
      <c r="P222" s="18">
        <v>40</v>
      </c>
      <c r="Q222" s="20">
        <v>40</v>
      </c>
      <c r="R222" s="8">
        <f t="shared" si="101"/>
        <v>120</v>
      </c>
      <c r="S222" s="18">
        <f t="shared" si="111"/>
        <v>280</v>
      </c>
      <c r="T222" s="18">
        <f t="shared" si="112"/>
        <v>4</v>
      </c>
      <c r="U222" s="18">
        <f t="shared" si="113"/>
        <v>4</v>
      </c>
      <c r="V222" s="18">
        <f t="shared" si="114"/>
        <v>8</v>
      </c>
      <c r="W222" s="8">
        <f t="shared" si="104"/>
        <v>16</v>
      </c>
      <c r="X222" s="18">
        <f t="shared" si="115"/>
        <v>4</v>
      </c>
      <c r="Y222" s="18">
        <f t="shared" si="116"/>
        <v>4</v>
      </c>
      <c r="Z222" s="18">
        <f t="shared" si="117"/>
        <v>4</v>
      </c>
      <c r="AA222" s="8">
        <f t="shared" si="105"/>
        <v>12</v>
      </c>
      <c r="AB222" s="8">
        <v>39.270000000000003</v>
      </c>
      <c r="AC222" s="8">
        <v>52.462499999999999</v>
      </c>
      <c r="AD222" s="8">
        <v>72.64</v>
      </c>
      <c r="AE222" s="9">
        <f t="shared" si="106"/>
        <v>28733.200000000001</v>
      </c>
      <c r="AF222" s="21">
        <v>6.5000000000000002E-2</v>
      </c>
      <c r="AG222" s="10">
        <f t="shared" si="118"/>
        <v>1867.6580000000001</v>
      </c>
      <c r="AH222" s="64">
        <f t="shared" si="107"/>
        <v>0</v>
      </c>
      <c r="AI222" s="9">
        <f t="shared" si="108"/>
        <v>26865.542000000001</v>
      </c>
      <c r="AJ222" s="5">
        <v>0.18</v>
      </c>
      <c r="AK222" s="11">
        <f t="shared" si="109"/>
        <v>4835.79756</v>
      </c>
      <c r="AL222" s="9">
        <f t="shared" si="110"/>
        <v>31701.33956</v>
      </c>
      <c r="AP222" s="12"/>
    </row>
    <row r="223" spans="1:42" x14ac:dyDescent="0.35">
      <c r="A223" s="71">
        <v>46192</v>
      </c>
      <c r="B223" s="72" t="s">
        <v>67</v>
      </c>
      <c r="C223" s="74">
        <v>1174.4828571390101</v>
      </c>
      <c r="D223" s="74">
        <v>41024.1017921026</v>
      </c>
      <c r="E223" s="62" t="s">
        <v>68</v>
      </c>
      <c r="F223" s="73" t="s">
        <v>208</v>
      </c>
      <c r="G223" s="76" t="s">
        <v>328</v>
      </c>
      <c r="H223" s="73" t="s">
        <v>212</v>
      </c>
      <c r="I223" s="62" t="s">
        <v>348</v>
      </c>
      <c r="J223" s="55"/>
      <c r="K223" s="18">
        <v>40</v>
      </c>
      <c r="L223" s="18">
        <v>40</v>
      </c>
      <c r="M223" s="18">
        <v>80</v>
      </c>
      <c r="N223" s="8">
        <f t="shared" si="102"/>
        <v>160</v>
      </c>
      <c r="O223" s="18">
        <v>40</v>
      </c>
      <c r="P223" s="18">
        <v>40</v>
      </c>
      <c r="Q223" s="18">
        <v>40</v>
      </c>
      <c r="R223" s="8">
        <f t="shared" si="101"/>
        <v>120</v>
      </c>
      <c r="S223" s="18">
        <f t="shared" si="111"/>
        <v>280</v>
      </c>
      <c r="T223" s="18">
        <f t="shared" si="112"/>
        <v>4</v>
      </c>
      <c r="U223" s="18">
        <f t="shared" si="113"/>
        <v>4</v>
      </c>
      <c r="V223" s="18">
        <f t="shared" si="114"/>
        <v>8</v>
      </c>
      <c r="W223" s="8">
        <f t="shared" si="104"/>
        <v>16</v>
      </c>
      <c r="X223" s="18">
        <f t="shared" si="115"/>
        <v>4</v>
      </c>
      <c r="Y223" s="18">
        <f t="shared" si="116"/>
        <v>4</v>
      </c>
      <c r="Z223" s="18">
        <f t="shared" si="117"/>
        <v>4</v>
      </c>
      <c r="AA223" s="8">
        <f t="shared" si="105"/>
        <v>12</v>
      </c>
      <c r="AB223" s="8">
        <v>39.270000000000003</v>
      </c>
      <c r="AC223" s="8">
        <v>52.462499999999999</v>
      </c>
      <c r="AD223" s="8">
        <v>72.64</v>
      </c>
      <c r="AE223" s="9">
        <f t="shared" si="106"/>
        <v>28733.200000000001</v>
      </c>
      <c r="AF223" s="21">
        <v>6.5000000000000002E-2</v>
      </c>
      <c r="AG223" s="10">
        <f t="shared" si="118"/>
        <v>1867.6580000000001</v>
      </c>
      <c r="AH223" s="64">
        <f t="shared" si="107"/>
        <v>0</v>
      </c>
      <c r="AI223" s="9">
        <f t="shared" si="108"/>
        <v>26865.542000000001</v>
      </c>
      <c r="AJ223" s="5">
        <v>0.18</v>
      </c>
      <c r="AK223" s="11">
        <f t="shared" si="109"/>
        <v>4835.79756</v>
      </c>
      <c r="AL223" s="9">
        <f t="shared" si="110"/>
        <v>31701.33956</v>
      </c>
      <c r="AP223" s="12"/>
    </row>
    <row r="224" spans="1:42" x14ac:dyDescent="0.35">
      <c r="A224" s="71">
        <v>46192</v>
      </c>
      <c r="B224" s="72" t="s">
        <v>67</v>
      </c>
      <c r="C224" s="74">
        <v>1175.2472380911499</v>
      </c>
      <c r="D224" s="74">
        <v>40998.985796297202</v>
      </c>
      <c r="E224" s="62" t="s">
        <v>68</v>
      </c>
      <c r="F224" s="73" t="s">
        <v>208</v>
      </c>
      <c r="G224" s="76" t="s">
        <v>328</v>
      </c>
      <c r="H224" s="73" t="s">
        <v>212</v>
      </c>
      <c r="I224" s="62" t="s">
        <v>349</v>
      </c>
      <c r="J224" s="55"/>
      <c r="K224" s="20">
        <v>40</v>
      </c>
      <c r="L224" s="20">
        <v>40</v>
      </c>
      <c r="M224" s="20">
        <v>80</v>
      </c>
      <c r="N224" s="8">
        <f t="shared" si="102"/>
        <v>160</v>
      </c>
      <c r="O224" s="18">
        <v>40</v>
      </c>
      <c r="P224" s="20">
        <v>40</v>
      </c>
      <c r="Q224" s="20">
        <v>40</v>
      </c>
      <c r="R224" s="8">
        <f t="shared" si="101"/>
        <v>120</v>
      </c>
      <c r="S224" s="18">
        <f t="shared" si="111"/>
        <v>280</v>
      </c>
      <c r="T224" s="18">
        <f t="shared" si="112"/>
        <v>4</v>
      </c>
      <c r="U224" s="18">
        <f t="shared" si="113"/>
        <v>4</v>
      </c>
      <c r="V224" s="18">
        <f t="shared" si="114"/>
        <v>8</v>
      </c>
      <c r="W224" s="8">
        <f t="shared" si="104"/>
        <v>16</v>
      </c>
      <c r="X224" s="18">
        <f t="shared" si="115"/>
        <v>4</v>
      </c>
      <c r="Y224" s="18">
        <f t="shared" si="116"/>
        <v>4</v>
      </c>
      <c r="Z224" s="18">
        <f t="shared" si="117"/>
        <v>4</v>
      </c>
      <c r="AA224" s="8">
        <f t="shared" si="105"/>
        <v>12</v>
      </c>
      <c r="AB224" s="8">
        <v>39.270000000000003</v>
      </c>
      <c r="AC224" s="8">
        <v>52.462499999999999</v>
      </c>
      <c r="AD224" s="8">
        <v>72.64</v>
      </c>
      <c r="AE224" s="9">
        <f t="shared" si="106"/>
        <v>28733.200000000001</v>
      </c>
      <c r="AF224" s="21">
        <v>6.5000000000000002E-2</v>
      </c>
      <c r="AG224" s="10">
        <f t="shared" si="118"/>
        <v>1867.6580000000001</v>
      </c>
      <c r="AH224" s="64">
        <f t="shared" si="107"/>
        <v>0</v>
      </c>
      <c r="AI224" s="9">
        <f t="shared" si="108"/>
        <v>26865.542000000001</v>
      </c>
      <c r="AJ224" s="5">
        <v>0.18</v>
      </c>
      <c r="AK224" s="11">
        <f t="shared" si="109"/>
        <v>4835.79756</v>
      </c>
      <c r="AL224" s="9">
        <f t="shared" si="110"/>
        <v>31701.33956</v>
      </c>
      <c r="AP224" s="12"/>
    </row>
    <row r="225" spans="1:42" x14ac:dyDescent="0.35">
      <c r="A225" s="71">
        <v>46192</v>
      </c>
      <c r="B225" s="72" t="s">
        <v>67</v>
      </c>
      <c r="C225" s="74">
        <v>1176.01161904329</v>
      </c>
      <c r="D225" s="74">
        <v>40973.869800491797</v>
      </c>
      <c r="E225" s="62" t="s">
        <v>68</v>
      </c>
      <c r="F225" s="73" t="s">
        <v>208</v>
      </c>
      <c r="G225" s="76" t="s">
        <v>328</v>
      </c>
      <c r="H225" s="73" t="s">
        <v>212</v>
      </c>
      <c r="I225" s="62" t="s">
        <v>311</v>
      </c>
      <c r="J225" s="55"/>
      <c r="K225" s="18">
        <v>40</v>
      </c>
      <c r="L225" s="20">
        <v>40</v>
      </c>
      <c r="M225" s="18">
        <v>80</v>
      </c>
      <c r="N225" s="8">
        <f t="shared" si="102"/>
        <v>160</v>
      </c>
      <c r="O225" s="18">
        <v>40</v>
      </c>
      <c r="P225" s="18">
        <v>40</v>
      </c>
      <c r="Q225" s="18">
        <v>40</v>
      </c>
      <c r="R225" s="8">
        <f t="shared" si="101"/>
        <v>120</v>
      </c>
      <c r="S225" s="18">
        <f t="shared" si="111"/>
        <v>280</v>
      </c>
      <c r="T225" s="18">
        <f t="shared" si="112"/>
        <v>4</v>
      </c>
      <c r="U225" s="18">
        <f t="shared" si="113"/>
        <v>4</v>
      </c>
      <c r="V225" s="18">
        <f t="shared" si="114"/>
        <v>8</v>
      </c>
      <c r="W225" s="8">
        <f t="shared" si="104"/>
        <v>16</v>
      </c>
      <c r="X225" s="18">
        <f t="shared" si="115"/>
        <v>4</v>
      </c>
      <c r="Y225" s="18">
        <f t="shared" si="116"/>
        <v>4</v>
      </c>
      <c r="Z225" s="18">
        <f t="shared" si="117"/>
        <v>4</v>
      </c>
      <c r="AA225" s="8">
        <f t="shared" si="105"/>
        <v>12</v>
      </c>
      <c r="AB225" s="8">
        <v>39.270000000000003</v>
      </c>
      <c r="AC225" s="8">
        <v>52.462499999999999</v>
      </c>
      <c r="AD225" s="8">
        <v>72.64</v>
      </c>
      <c r="AE225" s="9">
        <f t="shared" si="106"/>
        <v>28733.200000000001</v>
      </c>
      <c r="AF225" s="21">
        <v>0.14000000000000001</v>
      </c>
      <c r="AG225" s="10">
        <f t="shared" si="118"/>
        <v>4022.6480000000006</v>
      </c>
      <c r="AH225" s="64">
        <f t="shared" si="107"/>
        <v>0</v>
      </c>
      <c r="AI225" s="9">
        <f t="shared" si="108"/>
        <v>24710.552</v>
      </c>
      <c r="AJ225" s="5">
        <v>0.18</v>
      </c>
      <c r="AK225" s="11">
        <f t="shared" si="109"/>
        <v>4447.8993599999994</v>
      </c>
      <c r="AL225" s="9">
        <f t="shared" si="110"/>
        <v>29158.451359999999</v>
      </c>
      <c r="AP225" s="12"/>
    </row>
    <row r="226" spans="1:42" x14ac:dyDescent="0.35">
      <c r="A226" s="71">
        <v>46192</v>
      </c>
      <c r="B226" s="72" t="s">
        <v>67</v>
      </c>
      <c r="C226" s="74">
        <v>1176.7759999954201</v>
      </c>
      <c r="D226" s="74">
        <v>40948.753804686399</v>
      </c>
      <c r="E226" s="62" t="s">
        <v>68</v>
      </c>
      <c r="F226" s="73" t="s">
        <v>208</v>
      </c>
      <c r="G226" s="76" t="s">
        <v>328</v>
      </c>
      <c r="H226" s="73" t="s">
        <v>212</v>
      </c>
      <c r="I226" s="62" t="s">
        <v>350</v>
      </c>
      <c r="J226" s="55"/>
      <c r="K226" s="20">
        <v>40</v>
      </c>
      <c r="L226" s="20">
        <v>40</v>
      </c>
      <c r="M226" s="20">
        <v>80</v>
      </c>
      <c r="N226" s="8">
        <f t="shared" si="102"/>
        <v>160</v>
      </c>
      <c r="O226" s="20">
        <v>40</v>
      </c>
      <c r="P226" s="20">
        <v>40</v>
      </c>
      <c r="Q226" s="18">
        <v>40</v>
      </c>
      <c r="R226" s="8">
        <f t="shared" si="101"/>
        <v>120</v>
      </c>
      <c r="S226" s="18">
        <f t="shared" si="111"/>
        <v>280</v>
      </c>
      <c r="T226" s="18">
        <f t="shared" si="112"/>
        <v>4</v>
      </c>
      <c r="U226" s="18">
        <f t="shared" si="113"/>
        <v>4</v>
      </c>
      <c r="V226" s="18">
        <f t="shared" si="114"/>
        <v>8</v>
      </c>
      <c r="W226" s="8">
        <f t="shared" si="104"/>
        <v>16</v>
      </c>
      <c r="X226" s="18">
        <f t="shared" si="115"/>
        <v>4</v>
      </c>
      <c r="Y226" s="18">
        <f t="shared" si="116"/>
        <v>4</v>
      </c>
      <c r="Z226" s="18">
        <f t="shared" si="117"/>
        <v>4</v>
      </c>
      <c r="AA226" s="8">
        <f t="shared" si="105"/>
        <v>12</v>
      </c>
      <c r="AB226" s="8">
        <v>39.270000000000003</v>
      </c>
      <c r="AC226" s="8">
        <v>52.462499999999999</v>
      </c>
      <c r="AD226" s="8">
        <v>72.64</v>
      </c>
      <c r="AE226" s="9">
        <f t="shared" si="106"/>
        <v>28733.200000000001</v>
      </c>
      <c r="AF226" s="21">
        <v>0.14000000000000001</v>
      </c>
      <c r="AG226" s="10">
        <f t="shared" si="118"/>
        <v>4022.6480000000006</v>
      </c>
      <c r="AH226" s="64">
        <f t="shared" si="107"/>
        <v>0</v>
      </c>
      <c r="AI226" s="9">
        <f t="shared" si="108"/>
        <v>24710.552</v>
      </c>
      <c r="AJ226" s="5">
        <v>0.18</v>
      </c>
      <c r="AK226" s="11">
        <f t="shared" si="109"/>
        <v>4447.8993599999994</v>
      </c>
      <c r="AL226" s="9">
        <f t="shared" si="110"/>
        <v>29158.451359999999</v>
      </c>
      <c r="AP226" s="12"/>
    </row>
    <row r="227" spans="1:42" x14ac:dyDescent="0.35">
      <c r="A227" s="71">
        <v>46192</v>
      </c>
      <c r="B227" s="72" t="s">
        <v>67</v>
      </c>
      <c r="C227" s="74">
        <v>1176.7759999954201</v>
      </c>
      <c r="D227" s="74">
        <v>40948.753804686399</v>
      </c>
      <c r="E227" s="62" t="s">
        <v>68</v>
      </c>
      <c r="F227" s="73" t="s">
        <v>208</v>
      </c>
      <c r="G227" s="76" t="s">
        <v>351</v>
      </c>
      <c r="H227" s="73" t="s">
        <v>212</v>
      </c>
      <c r="I227" s="62" t="s">
        <v>338</v>
      </c>
      <c r="J227" s="55"/>
      <c r="K227" s="20">
        <v>80</v>
      </c>
      <c r="L227" s="20">
        <v>0</v>
      </c>
      <c r="M227" s="20">
        <v>200</v>
      </c>
      <c r="N227" s="8">
        <f t="shared" si="102"/>
        <v>280</v>
      </c>
      <c r="O227" s="18">
        <v>200</v>
      </c>
      <c r="P227" s="18">
        <v>0</v>
      </c>
      <c r="Q227" s="18">
        <v>400</v>
      </c>
      <c r="R227" s="8">
        <f t="shared" si="101"/>
        <v>600</v>
      </c>
      <c r="S227" s="18">
        <f t="shared" ref="S227:S290" si="119">J227+K227+L227+M227+O227+P227+Q227</f>
        <v>880</v>
      </c>
      <c r="T227" s="18">
        <f t="shared" si="112"/>
        <v>8</v>
      </c>
      <c r="U227" s="18">
        <f t="shared" si="113"/>
        <v>0</v>
      </c>
      <c r="V227" s="18">
        <f t="shared" si="114"/>
        <v>20</v>
      </c>
      <c r="W227" s="8">
        <f t="shared" si="104"/>
        <v>28</v>
      </c>
      <c r="X227" s="18">
        <f t="shared" si="115"/>
        <v>20</v>
      </c>
      <c r="Y227" s="18">
        <f t="shared" si="116"/>
        <v>0</v>
      </c>
      <c r="Z227" s="18">
        <f t="shared" si="117"/>
        <v>40</v>
      </c>
      <c r="AA227" s="8">
        <f t="shared" si="105"/>
        <v>60</v>
      </c>
      <c r="AB227" s="8">
        <v>39.270000000000003</v>
      </c>
      <c r="AC227" s="8">
        <v>52.462499999999999</v>
      </c>
      <c r="AD227" s="8">
        <v>72.64</v>
      </c>
      <c r="AE227" s="9">
        <f t="shared" si="106"/>
        <v>78612.7</v>
      </c>
      <c r="AF227" s="21">
        <v>6.5000000000000002E-2</v>
      </c>
      <c r="AG227" s="10">
        <f t="shared" si="118"/>
        <v>5109.8254999999999</v>
      </c>
      <c r="AH227" s="64">
        <f t="shared" si="107"/>
        <v>0</v>
      </c>
      <c r="AI227" s="9">
        <f t="shared" si="108"/>
        <v>73502.874499999991</v>
      </c>
      <c r="AJ227" s="5">
        <v>0.18</v>
      </c>
      <c r="AK227" s="11">
        <f t="shared" si="109"/>
        <v>13230.517409999999</v>
      </c>
      <c r="AL227" s="9">
        <f t="shared" si="110"/>
        <v>86733.391909999991</v>
      </c>
      <c r="AP227" s="12"/>
    </row>
    <row r="228" spans="1:42" x14ac:dyDescent="0.35">
      <c r="A228" s="71">
        <v>46192</v>
      </c>
      <c r="B228" s="72" t="s">
        <v>67</v>
      </c>
      <c r="C228" s="74">
        <v>1176.7759999954201</v>
      </c>
      <c r="D228" s="74">
        <v>40948.753804686399</v>
      </c>
      <c r="E228" s="62" t="s">
        <v>68</v>
      </c>
      <c r="F228" s="73" t="s">
        <v>208</v>
      </c>
      <c r="G228" s="76" t="s">
        <v>352</v>
      </c>
      <c r="H228" s="73" t="s">
        <v>212</v>
      </c>
      <c r="I228" s="62" t="s">
        <v>338</v>
      </c>
      <c r="J228" s="55"/>
      <c r="K228" s="20">
        <v>80</v>
      </c>
      <c r="L228" s="20">
        <v>80</v>
      </c>
      <c r="M228" s="20">
        <v>200</v>
      </c>
      <c r="N228" s="8">
        <f t="shared" si="102"/>
        <v>360</v>
      </c>
      <c r="O228" s="20">
        <v>120</v>
      </c>
      <c r="P228" s="18">
        <v>120</v>
      </c>
      <c r="Q228" s="20">
        <v>200</v>
      </c>
      <c r="R228" s="8">
        <f t="shared" si="101"/>
        <v>440</v>
      </c>
      <c r="S228" s="18">
        <f t="shared" si="119"/>
        <v>800</v>
      </c>
      <c r="T228" s="18">
        <f t="shared" si="112"/>
        <v>8</v>
      </c>
      <c r="U228" s="18">
        <f t="shared" si="113"/>
        <v>8</v>
      </c>
      <c r="V228" s="18">
        <f t="shared" si="114"/>
        <v>20</v>
      </c>
      <c r="W228" s="8">
        <f t="shared" si="104"/>
        <v>36</v>
      </c>
      <c r="X228" s="18">
        <f t="shared" si="115"/>
        <v>12</v>
      </c>
      <c r="Y228" s="18">
        <f t="shared" si="116"/>
        <v>12</v>
      </c>
      <c r="Z228" s="18">
        <f t="shared" si="117"/>
        <v>20</v>
      </c>
      <c r="AA228" s="8">
        <f t="shared" si="105"/>
        <v>44</v>
      </c>
      <c r="AB228" s="8">
        <v>39.270000000000003</v>
      </c>
      <c r="AC228" s="8">
        <v>52.462499999999999</v>
      </c>
      <c r="AD228" s="8">
        <v>72.64</v>
      </c>
      <c r="AE228" s="9">
        <f t="shared" si="106"/>
        <v>76998.5</v>
      </c>
      <c r="AF228" s="21">
        <v>6.5000000000000002E-2</v>
      </c>
      <c r="AG228" s="10">
        <f t="shared" si="118"/>
        <v>5004.9025000000001</v>
      </c>
      <c r="AH228" s="64">
        <f t="shared" si="107"/>
        <v>0</v>
      </c>
      <c r="AI228" s="9">
        <f t="shared" si="108"/>
        <v>71993.597500000003</v>
      </c>
      <c r="AJ228" s="5">
        <v>0.18</v>
      </c>
      <c r="AK228" s="11">
        <f t="shared" si="109"/>
        <v>12958.84755</v>
      </c>
      <c r="AL228" s="9">
        <f t="shared" si="110"/>
        <v>84952.445050000009</v>
      </c>
      <c r="AP228" s="12"/>
    </row>
    <row r="229" spans="1:42" x14ac:dyDescent="0.35">
      <c r="A229" s="71">
        <v>46193</v>
      </c>
      <c r="B229" s="72" t="s">
        <v>67</v>
      </c>
      <c r="C229" s="74">
        <v>1176.7759999954201</v>
      </c>
      <c r="D229" s="74">
        <v>40948.753804686399</v>
      </c>
      <c r="E229" s="62" t="s">
        <v>68</v>
      </c>
      <c r="F229" s="19" t="s">
        <v>69</v>
      </c>
      <c r="G229" s="19" t="s">
        <v>367</v>
      </c>
      <c r="H229" s="101" t="s">
        <v>89</v>
      </c>
      <c r="I229" s="7" t="s">
        <v>149</v>
      </c>
      <c r="J229" s="55">
        <v>40</v>
      </c>
      <c r="K229" s="20">
        <v>20</v>
      </c>
      <c r="L229" s="20">
        <v>10</v>
      </c>
      <c r="M229" s="20">
        <v>0</v>
      </c>
      <c r="N229" s="8">
        <f t="shared" si="102"/>
        <v>30</v>
      </c>
      <c r="O229" s="18">
        <v>20</v>
      </c>
      <c r="P229" s="18">
        <v>10</v>
      </c>
      <c r="Q229" s="18">
        <v>20</v>
      </c>
      <c r="R229" s="8">
        <f t="shared" si="101"/>
        <v>50</v>
      </c>
      <c r="S229" s="18">
        <f t="shared" si="119"/>
        <v>120</v>
      </c>
      <c r="T229" s="18">
        <f t="shared" si="112"/>
        <v>2</v>
      </c>
      <c r="U229" s="18">
        <f t="shared" si="113"/>
        <v>1</v>
      </c>
      <c r="V229" s="18">
        <f t="shared" si="114"/>
        <v>0</v>
      </c>
      <c r="W229" s="8">
        <f t="shared" si="104"/>
        <v>3</v>
      </c>
      <c r="X229" s="18">
        <f t="shared" si="115"/>
        <v>2</v>
      </c>
      <c r="Y229" s="18">
        <f t="shared" si="116"/>
        <v>1</v>
      </c>
      <c r="Z229" s="18">
        <f t="shared" si="117"/>
        <v>2</v>
      </c>
      <c r="AA229" s="8">
        <f t="shared" si="105"/>
        <v>5</v>
      </c>
      <c r="AB229" s="8">
        <v>39.270000000000003</v>
      </c>
      <c r="AC229" s="8">
        <v>52.462499999999999</v>
      </c>
      <c r="AD229" s="8">
        <v>72.64</v>
      </c>
      <c r="AE229" s="9">
        <f t="shared" si="106"/>
        <v>11861.474999999999</v>
      </c>
      <c r="AF229" s="21">
        <v>6.5000000000000002E-2</v>
      </c>
      <c r="AG229" s="10">
        <f t="shared" si="118"/>
        <v>770.99587499999996</v>
      </c>
      <c r="AH229" s="64">
        <f t="shared" si="107"/>
        <v>54.978000000000009</v>
      </c>
      <c r="AI229" s="9">
        <f t="shared" si="108"/>
        <v>11090.479124999998</v>
      </c>
      <c r="AJ229" s="5">
        <v>0.18</v>
      </c>
      <c r="AK229" s="11">
        <f t="shared" si="109"/>
        <v>1996.2862424999996</v>
      </c>
      <c r="AL229" s="9">
        <f t="shared" si="110"/>
        <v>13086.765367499998</v>
      </c>
      <c r="AP229" s="12"/>
    </row>
    <row r="230" spans="1:42" x14ac:dyDescent="0.35">
      <c r="A230" s="71">
        <v>46193</v>
      </c>
      <c r="B230" s="72" t="s">
        <v>67</v>
      </c>
      <c r="C230" s="74">
        <v>1176.7759999954201</v>
      </c>
      <c r="D230" s="74">
        <v>40948.753804686399</v>
      </c>
      <c r="E230" s="62" t="s">
        <v>68</v>
      </c>
      <c r="F230" s="19" t="s">
        <v>69</v>
      </c>
      <c r="G230" s="19" t="s">
        <v>150</v>
      </c>
      <c r="H230" s="101" t="s">
        <v>89</v>
      </c>
      <c r="I230" s="7" t="s">
        <v>149</v>
      </c>
      <c r="J230" s="55">
        <v>40</v>
      </c>
      <c r="K230" s="20">
        <v>20</v>
      </c>
      <c r="L230" s="20">
        <v>10</v>
      </c>
      <c r="M230" s="20">
        <v>0</v>
      </c>
      <c r="N230" s="8">
        <f t="shared" si="102"/>
        <v>30</v>
      </c>
      <c r="O230" s="18">
        <v>20</v>
      </c>
      <c r="P230" s="18">
        <v>20</v>
      </c>
      <c r="Q230" s="18">
        <v>40</v>
      </c>
      <c r="R230" s="8">
        <f t="shared" si="101"/>
        <v>80</v>
      </c>
      <c r="S230" s="18">
        <f t="shared" si="119"/>
        <v>150</v>
      </c>
      <c r="T230" s="18">
        <f t="shared" si="112"/>
        <v>2</v>
      </c>
      <c r="U230" s="18">
        <f t="shared" si="113"/>
        <v>1</v>
      </c>
      <c r="V230" s="18">
        <f t="shared" si="114"/>
        <v>0</v>
      </c>
      <c r="W230" s="8">
        <f t="shared" si="104"/>
        <v>3</v>
      </c>
      <c r="X230" s="18">
        <f t="shared" si="115"/>
        <v>2</v>
      </c>
      <c r="Y230" s="18">
        <f t="shared" si="116"/>
        <v>2</v>
      </c>
      <c r="Z230" s="18">
        <f t="shared" si="117"/>
        <v>4</v>
      </c>
      <c r="AA230" s="8">
        <f t="shared" si="105"/>
        <v>8</v>
      </c>
      <c r="AB230" s="8">
        <v>39.270000000000003</v>
      </c>
      <c r="AC230" s="8">
        <v>52.462499999999999</v>
      </c>
      <c r="AD230" s="8">
        <v>72.64</v>
      </c>
      <c r="AE230" s="9">
        <f t="shared" si="106"/>
        <v>14040.674999999999</v>
      </c>
      <c r="AF230" s="21">
        <v>0.1</v>
      </c>
      <c r="AG230" s="10">
        <f t="shared" si="118"/>
        <v>1404.0675000000001</v>
      </c>
      <c r="AH230" s="64">
        <f t="shared" si="107"/>
        <v>54.978000000000009</v>
      </c>
      <c r="AI230" s="9">
        <f t="shared" si="108"/>
        <v>12636.607499999998</v>
      </c>
      <c r="AJ230" s="5">
        <v>0.18</v>
      </c>
      <c r="AK230" s="11">
        <f t="shared" si="109"/>
        <v>2274.5893499999997</v>
      </c>
      <c r="AL230" s="9">
        <f t="shared" si="110"/>
        <v>14911.196849999998</v>
      </c>
      <c r="AP230" s="12"/>
    </row>
    <row r="231" spans="1:42" x14ac:dyDescent="0.35">
      <c r="A231" s="71">
        <v>46193</v>
      </c>
      <c r="B231" s="72" t="s">
        <v>67</v>
      </c>
      <c r="C231" s="74">
        <v>1176.7759999954201</v>
      </c>
      <c r="D231" s="74">
        <v>40948.753804686399</v>
      </c>
      <c r="E231" s="62" t="s">
        <v>68</v>
      </c>
      <c r="F231" s="19" t="s">
        <v>298</v>
      </c>
      <c r="G231" s="19" t="s">
        <v>368</v>
      </c>
      <c r="H231" s="101" t="s">
        <v>89</v>
      </c>
      <c r="I231" s="7" t="s">
        <v>149</v>
      </c>
      <c r="J231" s="55">
        <v>20</v>
      </c>
      <c r="K231" s="20">
        <v>20</v>
      </c>
      <c r="L231" s="20">
        <v>10</v>
      </c>
      <c r="M231" s="20">
        <v>0</v>
      </c>
      <c r="N231" s="8">
        <f t="shared" si="102"/>
        <v>30</v>
      </c>
      <c r="O231" s="18">
        <v>10</v>
      </c>
      <c r="P231" s="18">
        <v>15</v>
      </c>
      <c r="Q231" s="18">
        <v>20</v>
      </c>
      <c r="R231" s="8">
        <f t="shared" si="101"/>
        <v>45</v>
      </c>
      <c r="S231" s="18">
        <f t="shared" si="119"/>
        <v>95</v>
      </c>
      <c r="T231" s="18">
        <f t="shared" si="112"/>
        <v>2</v>
      </c>
      <c r="U231" s="18">
        <f t="shared" si="113"/>
        <v>1</v>
      </c>
      <c r="V231" s="18">
        <f t="shared" si="114"/>
        <v>0</v>
      </c>
      <c r="W231" s="8">
        <f t="shared" si="104"/>
        <v>3</v>
      </c>
      <c r="X231" s="18">
        <f t="shared" si="115"/>
        <v>1</v>
      </c>
      <c r="Y231" s="18">
        <f t="shared" si="116"/>
        <v>1.5</v>
      </c>
      <c r="Z231" s="18">
        <f t="shared" si="117"/>
        <v>2</v>
      </c>
      <c r="AA231" s="8">
        <f t="shared" si="105"/>
        <v>4.5</v>
      </c>
      <c r="AB231" s="8">
        <v>39.270000000000003</v>
      </c>
      <c r="AC231" s="8">
        <v>52.462499999999999</v>
      </c>
      <c r="AD231" s="8">
        <v>72.64</v>
      </c>
      <c r="AE231" s="9">
        <f t="shared" si="106"/>
        <v>9260.0750000000007</v>
      </c>
      <c r="AF231" s="21">
        <v>6.5000000000000002E-2</v>
      </c>
      <c r="AG231" s="10">
        <f t="shared" si="118"/>
        <v>601.90487500000006</v>
      </c>
      <c r="AH231" s="64">
        <f t="shared" si="107"/>
        <v>27.489000000000004</v>
      </c>
      <c r="AI231" s="9">
        <f t="shared" si="108"/>
        <v>8658.1701250000006</v>
      </c>
      <c r="AJ231" s="5">
        <v>0.18</v>
      </c>
      <c r="AK231" s="11">
        <f t="shared" si="109"/>
        <v>1558.4706225</v>
      </c>
      <c r="AL231" s="9">
        <f t="shared" si="110"/>
        <v>10216.640747500001</v>
      </c>
      <c r="AP231" s="12"/>
    </row>
    <row r="232" spans="1:42" x14ac:dyDescent="0.35">
      <c r="A232" s="71">
        <v>46193</v>
      </c>
      <c r="B232" s="72" t="s">
        <v>67</v>
      </c>
      <c r="C232" s="74">
        <v>1176.7759999954201</v>
      </c>
      <c r="D232" s="74">
        <v>40948.753804686399</v>
      </c>
      <c r="E232" s="62" t="s">
        <v>68</v>
      </c>
      <c r="F232" s="19" t="s">
        <v>69</v>
      </c>
      <c r="G232" s="19" t="s">
        <v>305</v>
      </c>
      <c r="H232" s="101" t="s">
        <v>89</v>
      </c>
      <c r="I232" s="7" t="s">
        <v>149</v>
      </c>
      <c r="J232" s="55">
        <v>40</v>
      </c>
      <c r="K232" s="18">
        <v>0</v>
      </c>
      <c r="L232" s="20">
        <v>10</v>
      </c>
      <c r="M232" s="20">
        <v>0</v>
      </c>
      <c r="N232" s="8">
        <f t="shared" si="102"/>
        <v>10</v>
      </c>
      <c r="O232" s="20">
        <v>10</v>
      </c>
      <c r="P232" s="20">
        <v>15</v>
      </c>
      <c r="Q232" s="18">
        <v>20</v>
      </c>
      <c r="R232" s="8">
        <f t="shared" si="101"/>
        <v>45</v>
      </c>
      <c r="S232" s="18">
        <f t="shared" si="119"/>
        <v>95</v>
      </c>
      <c r="T232" s="18">
        <f t="shared" si="112"/>
        <v>0</v>
      </c>
      <c r="U232" s="18">
        <f t="shared" si="113"/>
        <v>1</v>
      </c>
      <c r="V232" s="18">
        <f t="shared" si="114"/>
        <v>0</v>
      </c>
      <c r="W232" s="8">
        <f t="shared" si="104"/>
        <v>1</v>
      </c>
      <c r="X232" s="18">
        <f t="shared" si="115"/>
        <v>1</v>
      </c>
      <c r="Y232" s="18">
        <f t="shared" si="116"/>
        <v>1.5</v>
      </c>
      <c r="Z232" s="18">
        <f t="shared" si="117"/>
        <v>2</v>
      </c>
      <c r="AA232" s="8">
        <f t="shared" si="105"/>
        <v>4.5</v>
      </c>
      <c r="AB232" s="8">
        <v>39.270000000000003</v>
      </c>
      <c r="AC232" s="8">
        <v>52.462499999999999</v>
      </c>
      <c r="AD232" s="8">
        <v>72.64</v>
      </c>
      <c r="AE232" s="9">
        <f t="shared" si="106"/>
        <v>8996.2250000000004</v>
      </c>
      <c r="AF232" s="21">
        <v>0.1</v>
      </c>
      <c r="AG232" s="10">
        <f t="shared" si="118"/>
        <v>899.62250000000006</v>
      </c>
      <c r="AH232" s="64">
        <f t="shared" si="107"/>
        <v>54.978000000000009</v>
      </c>
      <c r="AI232" s="9">
        <f t="shared" si="108"/>
        <v>8096.6025</v>
      </c>
      <c r="AJ232" s="5">
        <v>0.18</v>
      </c>
      <c r="AK232" s="11">
        <f t="shared" si="109"/>
        <v>1457.3884499999999</v>
      </c>
      <c r="AL232" s="9">
        <f t="shared" si="110"/>
        <v>9553.9909499999994</v>
      </c>
      <c r="AP232" s="12"/>
    </row>
    <row r="233" spans="1:42" x14ac:dyDescent="0.35">
      <c r="A233" s="71">
        <v>46193</v>
      </c>
      <c r="B233" s="72" t="s">
        <v>67</v>
      </c>
      <c r="C233" s="74">
        <v>1176.7759999954201</v>
      </c>
      <c r="D233" s="74">
        <v>40948.753804686399</v>
      </c>
      <c r="E233" s="62" t="s">
        <v>68</v>
      </c>
      <c r="F233" s="19" t="s">
        <v>69</v>
      </c>
      <c r="G233" s="19" t="s">
        <v>369</v>
      </c>
      <c r="H233" s="101" t="s">
        <v>89</v>
      </c>
      <c r="I233" s="7" t="s">
        <v>149</v>
      </c>
      <c r="J233" s="55">
        <v>40</v>
      </c>
      <c r="K233" s="18">
        <v>0</v>
      </c>
      <c r="L233" s="18">
        <v>10</v>
      </c>
      <c r="M233" s="20">
        <v>0</v>
      </c>
      <c r="N233" s="8">
        <f t="shared" si="102"/>
        <v>10</v>
      </c>
      <c r="O233" s="18">
        <v>10</v>
      </c>
      <c r="P233" s="18">
        <v>10</v>
      </c>
      <c r="Q233" s="18">
        <v>20</v>
      </c>
      <c r="R233" s="8">
        <f t="shared" si="101"/>
        <v>40</v>
      </c>
      <c r="S233" s="18">
        <f t="shared" si="119"/>
        <v>90</v>
      </c>
      <c r="T233" s="18">
        <f t="shared" si="112"/>
        <v>0</v>
      </c>
      <c r="U233" s="18">
        <f t="shared" si="113"/>
        <v>1</v>
      </c>
      <c r="V233" s="18">
        <f t="shared" si="114"/>
        <v>0</v>
      </c>
      <c r="W233" s="8">
        <f t="shared" si="104"/>
        <v>1</v>
      </c>
      <c r="X233" s="18">
        <f t="shared" si="115"/>
        <v>1</v>
      </c>
      <c r="Y233" s="18">
        <f t="shared" si="116"/>
        <v>1</v>
      </c>
      <c r="Z233" s="18">
        <f t="shared" si="117"/>
        <v>2</v>
      </c>
      <c r="AA233" s="8">
        <f t="shared" si="105"/>
        <v>4</v>
      </c>
      <c r="AB233" s="8">
        <v>39.270000000000003</v>
      </c>
      <c r="AC233" s="8">
        <v>52.462499999999999</v>
      </c>
      <c r="AD233" s="8">
        <v>72.64</v>
      </c>
      <c r="AE233" s="9">
        <f t="shared" si="106"/>
        <v>8633.0250000000015</v>
      </c>
      <c r="AF233" s="21">
        <v>6.5000000000000002E-2</v>
      </c>
      <c r="AG233" s="10">
        <f t="shared" si="118"/>
        <v>561.14662500000009</v>
      </c>
      <c r="AH233" s="64">
        <f t="shared" si="107"/>
        <v>54.978000000000009</v>
      </c>
      <c r="AI233" s="9">
        <f t="shared" si="108"/>
        <v>8071.8783750000011</v>
      </c>
      <c r="AJ233" s="5">
        <v>0.18</v>
      </c>
      <c r="AK233" s="11">
        <f t="shared" si="109"/>
        <v>1452.9381075000001</v>
      </c>
      <c r="AL233" s="9">
        <f t="shared" si="110"/>
        <v>9524.8164825000022</v>
      </c>
      <c r="AP233" s="12"/>
    </row>
    <row r="234" spans="1:42" x14ac:dyDescent="0.35">
      <c r="A234" s="71">
        <v>46193</v>
      </c>
      <c r="B234" s="72" t="s">
        <v>67</v>
      </c>
      <c r="C234" s="74">
        <v>1176.7759999954201</v>
      </c>
      <c r="D234" s="74">
        <v>40948.753804686399</v>
      </c>
      <c r="E234" s="62" t="s">
        <v>68</v>
      </c>
      <c r="F234" s="19" t="s">
        <v>69</v>
      </c>
      <c r="G234" s="19" t="s">
        <v>370</v>
      </c>
      <c r="H234" s="101" t="s">
        <v>89</v>
      </c>
      <c r="I234" s="7" t="s">
        <v>149</v>
      </c>
      <c r="J234" s="55">
        <v>20</v>
      </c>
      <c r="K234" s="18">
        <v>0</v>
      </c>
      <c r="L234" s="20">
        <v>10</v>
      </c>
      <c r="M234" s="20">
        <v>0</v>
      </c>
      <c r="N234" s="8">
        <f t="shared" si="102"/>
        <v>10</v>
      </c>
      <c r="O234" s="18">
        <v>10</v>
      </c>
      <c r="P234" s="18">
        <v>10</v>
      </c>
      <c r="Q234" s="18">
        <v>30</v>
      </c>
      <c r="R234" s="8">
        <f t="shared" si="101"/>
        <v>50</v>
      </c>
      <c r="S234" s="18">
        <f t="shared" si="119"/>
        <v>80</v>
      </c>
      <c r="T234" s="18">
        <f t="shared" si="112"/>
        <v>0</v>
      </c>
      <c r="U234" s="18">
        <f t="shared" si="113"/>
        <v>1</v>
      </c>
      <c r="V234" s="18">
        <f t="shared" si="114"/>
        <v>0</v>
      </c>
      <c r="W234" s="8">
        <f t="shared" si="104"/>
        <v>1</v>
      </c>
      <c r="X234" s="18">
        <f t="shared" si="115"/>
        <v>1</v>
      </c>
      <c r="Y234" s="18">
        <f t="shared" si="116"/>
        <v>1</v>
      </c>
      <c r="Z234" s="18">
        <f t="shared" si="117"/>
        <v>3</v>
      </c>
      <c r="AA234" s="8">
        <f t="shared" si="105"/>
        <v>5</v>
      </c>
      <c r="AB234" s="8">
        <v>39.270000000000003</v>
      </c>
      <c r="AC234" s="8">
        <v>52.462499999999999</v>
      </c>
      <c r="AD234" s="8">
        <v>72.64</v>
      </c>
      <c r="AE234" s="9">
        <f t="shared" si="106"/>
        <v>7121.2250000000004</v>
      </c>
      <c r="AF234" s="21">
        <v>6.5000000000000002E-2</v>
      </c>
      <c r="AG234" s="10">
        <f t="shared" si="118"/>
        <v>462.87962500000003</v>
      </c>
      <c r="AH234" s="64">
        <f t="shared" si="107"/>
        <v>27.489000000000004</v>
      </c>
      <c r="AI234" s="9">
        <f t="shared" si="108"/>
        <v>6658.3453750000008</v>
      </c>
      <c r="AJ234" s="5">
        <v>0.18</v>
      </c>
      <c r="AK234" s="11">
        <f t="shared" si="109"/>
        <v>1198.5021675</v>
      </c>
      <c r="AL234" s="9">
        <f t="shared" si="110"/>
        <v>7856.8475425000006</v>
      </c>
      <c r="AP234" s="12"/>
    </row>
    <row r="235" spans="1:42" x14ac:dyDescent="0.35">
      <c r="A235" s="71">
        <v>46193</v>
      </c>
      <c r="B235" s="72" t="s">
        <v>67</v>
      </c>
      <c r="C235" s="74">
        <v>1176.7759999954201</v>
      </c>
      <c r="D235" s="74">
        <v>40948.753804686399</v>
      </c>
      <c r="E235" s="62" t="s">
        <v>68</v>
      </c>
      <c r="F235" s="19" t="s">
        <v>69</v>
      </c>
      <c r="G235" s="19" t="s">
        <v>371</v>
      </c>
      <c r="H235" s="101" t="s">
        <v>90</v>
      </c>
      <c r="I235" s="7" t="s">
        <v>316</v>
      </c>
      <c r="J235" s="55">
        <v>4</v>
      </c>
      <c r="K235" s="20">
        <v>6</v>
      </c>
      <c r="L235" s="20">
        <v>6</v>
      </c>
      <c r="M235" s="20">
        <v>6</v>
      </c>
      <c r="N235" s="8">
        <f t="shared" si="102"/>
        <v>18</v>
      </c>
      <c r="O235" s="18">
        <v>40</v>
      </c>
      <c r="P235" s="18">
        <v>20</v>
      </c>
      <c r="Q235" s="20">
        <v>20</v>
      </c>
      <c r="R235" s="8">
        <f t="shared" si="101"/>
        <v>80</v>
      </c>
      <c r="S235" s="18">
        <f t="shared" si="119"/>
        <v>102</v>
      </c>
      <c r="T235" s="18">
        <f t="shared" si="112"/>
        <v>0.6</v>
      </c>
      <c r="U235" s="18">
        <f t="shared" si="113"/>
        <v>0.6</v>
      </c>
      <c r="V235" s="18">
        <f t="shared" si="114"/>
        <v>0.6</v>
      </c>
      <c r="W235" s="8">
        <f t="shared" si="104"/>
        <v>1.8</v>
      </c>
      <c r="X235" s="18">
        <f t="shared" si="115"/>
        <v>4</v>
      </c>
      <c r="Y235" s="18">
        <f t="shared" si="116"/>
        <v>2</v>
      </c>
      <c r="Z235" s="18">
        <f t="shared" si="117"/>
        <v>2</v>
      </c>
      <c r="AA235" s="8">
        <f t="shared" si="105"/>
        <v>8</v>
      </c>
      <c r="AB235" s="8">
        <v>39.270000000000003</v>
      </c>
      <c r="AC235" s="8">
        <v>52.462499999999999</v>
      </c>
      <c r="AD235" s="8">
        <v>72.64</v>
      </c>
      <c r="AE235" s="9">
        <f t="shared" si="106"/>
        <v>8510.6849999999995</v>
      </c>
      <c r="AF235" s="21">
        <v>0.1</v>
      </c>
      <c r="AG235" s="10">
        <f t="shared" si="118"/>
        <v>851.06849999999997</v>
      </c>
      <c r="AH235" s="64">
        <f t="shared" si="107"/>
        <v>5.4978000000000007</v>
      </c>
      <c r="AI235" s="9">
        <f t="shared" si="108"/>
        <v>7659.6164999999992</v>
      </c>
      <c r="AJ235" s="5">
        <v>0.18</v>
      </c>
      <c r="AK235" s="11">
        <f t="shared" si="109"/>
        <v>1378.7309699999998</v>
      </c>
      <c r="AL235" s="9">
        <f t="shared" si="110"/>
        <v>9038.3474699999988</v>
      </c>
      <c r="AP235" s="12"/>
    </row>
    <row r="236" spans="1:42" x14ac:dyDescent="0.35">
      <c r="A236" s="71">
        <v>46193</v>
      </c>
      <c r="B236" s="72" t="s">
        <v>67</v>
      </c>
      <c r="C236" s="74">
        <v>1176.7759999954201</v>
      </c>
      <c r="D236" s="74">
        <v>40948.753804686399</v>
      </c>
      <c r="E236" s="62" t="s">
        <v>68</v>
      </c>
      <c r="F236" s="19" t="s">
        <v>69</v>
      </c>
      <c r="G236" s="19" t="s">
        <v>372</v>
      </c>
      <c r="H236" s="101" t="s">
        <v>90</v>
      </c>
      <c r="I236" s="7" t="s">
        <v>316</v>
      </c>
      <c r="J236" s="55">
        <v>4</v>
      </c>
      <c r="K236" s="20">
        <v>0</v>
      </c>
      <c r="L236" s="20">
        <v>0</v>
      </c>
      <c r="M236" s="20">
        <v>0</v>
      </c>
      <c r="N236" s="8">
        <f t="shared" si="102"/>
        <v>0</v>
      </c>
      <c r="O236" s="18">
        <v>40</v>
      </c>
      <c r="P236" s="18">
        <v>15</v>
      </c>
      <c r="Q236" s="20">
        <v>30</v>
      </c>
      <c r="R236" s="8">
        <f t="shared" si="101"/>
        <v>85</v>
      </c>
      <c r="S236" s="18">
        <f t="shared" si="119"/>
        <v>89</v>
      </c>
      <c r="T236" s="18">
        <f t="shared" si="112"/>
        <v>0</v>
      </c>
      <c r="U236" s="18">
        <f t="shared" si="113"/>
        <v>0</v>
      </c>
      <c r="V236" s="18">
        <f t="shared" si="114"/>
        <v>0</v>
      </c>
      <c r="W236" s="8">
        <f t="shared" si="104"/>
        <v>0</v>
      </c>
      <c r="X236" s="18">
        <f t="shared" si="115"/>
        <v>4</v>
      </c>
      <c r="Y236" s="18">
        <f t="shared" si="116"/>
        <v>1.5</v>
      </c>
      <c r="Z236" s="18">
        <f t="shared" si="117"/>
        <v>3</v>
      </c>
      <c r="AA236" s="8">
        <f t="shared" si="105"/>
        <v>8.5</v>
      </c>
      <c r="AB236" s="8">
        <v>39.270000000000003</v>
      </c>
      <c r="AC236" s="8">
        <v>52.462499999999999</v>
      </c>
      <c r="AD236" s="8">
        <v>72.64</v>
      </c>
      <c r="AE236" s="9">
        <f t="shared" si="106"/>
        <v>6622.04</v>
      </c>
      <c r="AF236" s="21">
        <v>6.5000000000000002E-2</v>
      </c>
      <c r="AG236" s="10">
        <f t="shared" si="118"/>
        <v>430.43260000000004</v>
      </c>
      <c r="AH236" s="64">
        <f t="shared" si="107"/>
        <v>5.4978000000000007</v>
      </c>
      <c r="AI236" s="9">
        <f t="shared" si="108"/>
        <v>6191.6073999999999</v>
      </c>
      <c r="AJ236" s="5">
        <v>0.18</v>
      </c>
      <c r="AK236" s="11">
        <f t="shared" si="109"/>
        <v>1114.4893319999999</v>
      </c>
      <c r="AL236" s="9">
        <f t="shared" si="110"/>
        <v>7306.096732</v>
      </c>
      <c r="AP236" s="12"/>
    </row>
    <row r="237" spans="1:42" x14ac:dyDescent="0.35">
      <c r="A237" s="71">
        <v>46193</v>
      </c>
      <c r="B237" s="72" t="s">
        <v>67</v>
      </c>
      <c r="C237" s="74">
        <v>1176.7759999954201</v>
      </c>
      <c r="D237" s="74">
        <v>40948.753804686399</v>
      </c>
      <c r="E237" s="62" t="s">
        <v>68</v>
      </c>
      <c r="F237" s="19" t="s">
        <v>69</v>
      </c>
      <c r="G237" s="19" t="s">
        <v>373</v>
      </c>
      <c r="H237" s="101" t="s">
        <v>90</v>
      </c>
      <c r="I237" s="7" t="s">
        <v>316</v>
      </c>
      <c r="J237" s="55">
        <v>4</v>
      </c>
      <c r="K237" s="20">
        <v>0</v>
      </c>
      <c r="L237" s="20">
        <v>0</v>
      </c>
      <c r="M237" s="20">
        <v>0</v>
      </c>
      <c r="N237" s="8">
        <f t="shared" si="102"/>
        <v>0</v>
      </c>
      <c r="O237" s="18">
        <v>20</v>
      </c>
      <c r="P237" s="18">
        <v>10</v>
      </c>
      <c r="Q237" s="20">
        <v>30</v>
      </c>
      <c r="R237" s="8">
        <f t="shared" si="101"/>
        <v>60</v>
      </c>
      <c r="S237" s="18">
        <f t="shared" si="119"/>
        <v>64</v>
      </c>
      <c r="T237" s="18">
        <f t="shared" si="112"/>
        <v>0</v>
      </c>
      <c r="U237" s="18">
        <f t="shared" si="113"/>
        <v>0</v>
      </c>
      <c r="V237" s="18">
        <f t="shared" si="114"/>
        <v>0</v>
      </c>
      <c r="W237" s="8">
        <f t="shared" si="104"/>
        <v>0</v>
      </c>
      <c r="X237" s="18">
        <f t="shared" si="115"/>
        <v>2</v>
      </c>
      <c r="Y237" s="18">
        <f t="shared" si="116"/>
        <v>1</v>
      </c>
      <c r="Z237" s="18">
        <f t="shared" si="117"/>
        <v>3</v>
      </c>
      <c r="AA237" s="8">
        <f t="shared" si="105"/>
        <v>6</v>
      </c>
      <c r="AB237" s="8">
        <v>39.270000000000003</v>
      </c>
      <c r="AC237" s="8">
        <v>52.462499999999999</v>
      </c>
      <c r="AD237" s="8">
        <v>72.64</v>
      </c>
      <c r="AE237" s="9">
        <f t="shared" si="106"/>
        <v>4806.04</v>
      </c>
      <c r="AF237" s="21">
        <v>6.5000000000000002E-2</v>
      </c>
      <c r="AG237" s="10">
        <f t="shared" si="118"/>
        <v>312.39260000000002</v>
      </c>
      <c r="AH237" s="64">
        <f t="shared" si="107"/>
        <v>5.4978000000000007</v>
      </c>
      <c r="AI237" s="9">
        <f t="shared" si="108"/>
        <v>4493.6473999999998</v>
      </c>
      <c r="AJ237" s="5">
        <v>0.18</v>
      </c>
      <c r="AK237" s="11">
        <f t="shared" si="109"/>
        <v>808.8565319999999</v>
      </c>
      <c r="AL237" s="9">
        <f t="shared" si="110"/>
        <v>5302.5039319999996</v>
      </c>
      <c r="AP237" s="12"/>
    </row>
    <row r="238" spans="1:42" x14ac:dyDescent="0.35">
      <c r="A238" s="71">
        <v>46193</v>
      </c>
      <c r="B238" s="72" t="s">
        <v>67</v>
      </c>
      <c r="C238" s="74">
        <v>1176.7759999954201</v>
      </c>
      <c r="D238" s="74">
        <v>40948.753804686399</v>
      </c>
      <c r="E238" s="62" t="s">
        <v>68</v>
      </c>
      <c r="F238" s="19" t="s">
        <v>69</v>
      </c>
      <c r="G238" s="19" t="s">
        <v>374</v>
      </c>
      <c r="H238" s="101" t="s">
        <v>90</v>
      </c>
      <c r="I238" s="7" t="s">
        <v>316</v>
      </c>
      <c r="J238" s="55">
        <v>0</v>
      </c>
      <c r="K238" s="18">
        <v>0</v>
      </c>
      <c r="L238" s="18">
        <v>0</v>
      </c>
      <c r="M238" s="18">
        <v>0</v>
      </c>
      <c r="N238" s="8">
        <f t="shared" si="102"/>
        <v>0</v>
      </c>
      <c r="O238" s="18">
        <v>15</v>
      </c>
      <c r="P238" s="18">
        <v>5</v>
      </c>
      <c r="Q238" s="18">
        <v>35</v>
      </c>
      <c r="R238" s="8">
        <f t="shared" si="101"/>
        <v>55</v>
      </c>
      <c r="S238" s="18">
        <f t="shared" si="119"/>
        <v>55</v>
      </c>
      <c r="T238" s="18">
        <f t="shared" si="112"/>
        <v>0</v>
      </c>
      <c r="U238" s="18">
        <f t="shared" si="113"/>
        <v>0</v>
      </c>
      <c r="V238" s="18">
        <f t="shared" si="114"/>
        <v>0</v>
      </c>
      <c r="W238" s="8">
        <f t="shared" si="104"/>
        <v>0</v>
      </c>
      <c r="X238" s="18">
        <f t="shared" si="115"/>
        <v>1.5</v>
      </c>
      <c r="Y238" s="18">
        <f t="shared" si="116"/>
        <v>0.5</v>
      </c>
      <c r="Z238" s="18">
        <f t="shared" si="117"/>
        <v>3.5</v>
      </c>
      <c r="AA238" s="8">
        <f t="shared" si="105"/>
        <v>5.5</v>
      </c>
      <c r="AB238" s="8">
        <v>39.270000000000003</v>
      </c>
      <c r="AC238" s="8">
        <v>52.462499999999999</v>
      </c>
      <c r="AD238" s="8">
        <v>72.64</v>
      </c>
      <c r="AE238" s="9">
        <f t="shared" si="106"/>
        <v>3995.2</v>
      </c>
      <c r="AF238" s="21">
        <v>6.5000000000000002E-2</v>
      </c>
      <c r="AG238" s="10">
        <f t="shared" si="118"/>
        <v>259.68799999999999</v>
      </c>
      <c r="AH238" s="64">
        <f t="shared" si="107"/>
        <v>0</v>
      </c>
      <c r="AI238" s="9">
        <f t="shared" si="108"/>
        <v>3735.5119999999997</v>
      </c>
      <c r="AJ238" s="5">
        <v>0.18</v>
      </c>
      <c r="AK238" s="11">
        <f t="shared" si="109"/>
        <v>672.39215999999988</v>
      </c>
      <c r="AL238" s="9">
        <f t="shared" si="110"/>
        <v>4407.90416</v>
      </c>
      <c r="AP238" s="12"/>
    </row>
    <row r="239" spans="1:42" x14ac:dyDescent="0.35">
      <c r="A239" s="71">
        <v>46193</v>
      </c>
      <c r="B239" s="72" t="s">
        <v>67</v>
      </c>
      <c r="C239" s="74">
        <v>1176.7759999954201</v>
      </c>
      <c r="D239" s="74">
        <v>40948.753804686399</v>
      </c>
      <c r="E239" s="62" t="s">
        <v>68</v>
      </c>
      <c r="F239" s="19" t="s">
        <v>69</v>
      </c>
      <c r="G239" s="19" t="s">
        <v>131</v>
      </c>
      <c r="H239" s="101" t="s">
        <v>104</v>
      </c>
      <c r="I239" s="7" t="s">
        <v>376</v>
      </c>
      <c r="J239" s="55">
        <v>40</v>
      </c>
      <c r="K239" s="18">
        <v>10</v>
      </c>
      <c r="L239" s="18">
        <v>5</v>
      </c>
      <c r="M239" s="18">
        <v>10</v>
      </c>
      <c r="N239" s="8">
        <f t="shared" si="102"/>
        <v>25</v>
      </c>
      <c r="O239" s="18">
        <v>40</v>
      </c>
      <c r="P239" s="18">
        <v>40</v>
      </c>
      <c r="Q239" s="20">
        <v>40</v>
      </c>
      <c r="R239" s="8">
        <f t="shared" si="101"/>
        <v>120</v>
      </c>
      <c r="S239" s="18">
        <f t="shared" si="119"/>
        <v>185</v>
      </c>
      <c r="T239" s="18">
        <f t="shared" si="112"/>
        <v>1</v>
      </c>
      <c r="U239" s="18">
        <f t="shared" si="113"/>
        <v>0.5</v>
      </c>
      <c r="V239" s="18">
        <f t="shared" si="114"/>
        <v>1</v>
      </c>
      <c r="W239" s="8">
        <f t="shared" si="104"/>
        <v>2.5</v>
      </c>
      <c r="X239" s="18">
        <f t="shared" si="115"/>
        <v>4</v>
      </c>
      <c r="Y239" s="18">
        <f t="shared" si="116"/>
        <v>4</v>
      </c>
      <c r="Z239" s="18">
        <f t="shared" si="117"/>
        <v>4</v>
      </c>
      <c r="AA239" s="8">
        <f t="shared" si="105"/>
        <v>12</v>
      </c>
      <c r="AB239" s="8">
        <v>39.270000000000003</v>
      </c>
      <c r="AC239" s="8">
        <v>52.462499999999999</v>
      </c>
      <c r="AD239" s="8">
        <v>72.64</v>
      </c>
      <c r="AE239" s="9">
        <f t="shared" si="106"/>
        <v>16320.762500000001</v>
      </c>
      <c r="AF239" s="21">
        <v>6.5000000000000002E-2</v>
      </c>
      <c r="AG239" s="10">
        <f t="shared" si="118"/>
        <v>1060.8495625</v>
      </c>
      <c r="AH239" s="64">
        <f t="shared" si="107"/>
        <v>54.978000000000009</v>
      </c>
      <c r="AI239" s="9">
        <f t="shared" si="108"/>
        <v>15259.912937500001</v>
      </c>
      <c r="AJ239" s="5">
        <v>0.18</v>
      </c>
      <c r="AK239" s="11">
        <f t="shared" si="109"/>
        <v>2746.78432875</v>
      </c>
      <c r="AL239" s="9">
        <f t="shared" si="110"/>
        <v>18006.697266250001</v>
      </c>
      <c r="AP239" s="12"/>
    </row>
    <row r="240" spans="1:42" x14ac:dyDescent="0.35">
      <c r="A240" s="71">
        <v>46193</v>
      </c>
      <c r="B240" s="72" t="s">
        <v>67</v>
      </c>
      <c r="C240" s="74">
        <v>1176.7759999954201</v>
      </c>
      <c r="D240" s="74">
        <v>40948.753804686399</v>
      </c>
      <c r="E240" s="62" t="s">
        <v>68</v>
      </c>
      <c r="F240" s="19" t="s">
        <v>69</v>
      </c>
      <c r="G240" s="19" t="s">
        <v>375</v>
      </c>
      <c r="H240" s="101" t="s">
        <v>104</v>
      </c>
      <c r="I240" s="7" t="s">
        <v>376</v>
      </c>
      <c r="J240" s="55">
        <v>40</v>
      </c>
      <c r="K240" s="20">
        <v>5</v>
      </c>
      <c r="L240" s="20">
        <v>5</v>
      </c>
      <c r="M240" s="20">
        <v>5</v>
      </c>
      <c r="N240" s="8">
        <f t="shared" si="102"/>
        <v>15</v>
      </c>
      <c r="O240" s="18">
        <v>40</v>
      </c>
      <c r="P240" s="18">
        <v>40</v>
      </c>
      <c r="Q240" s="18">
        <v>40</v>
      </c>
      <c r="R240" s="8">
        <f t="shared" si="101"/>
        <v>120</v>
      </c>
      <c r="S240" s="18">
        <f t="shared" si="119"/>
        <v>175</v>
      </c>
      <c r="T240" s="18">
        <f t="shared" si="112"/>
        <v>0.5</v>
      </c>
      <c r="U240" s="18">
        <f t="shared" si="113"/>
        <v>0.5</v>
      </c>
      <c r="V240" s="18">
        <f t="shared" si="114"/>
        <v>0.5</v>
      </c>
      <c r="W240" s="8">
        <f t="shared" si="104"/>
        <v>1.5</v>
      </c>
      <c r="X240" s="18">
        <f t="shared" si="115"/>
        <v>4</v>
      </c>
      <c r="Y240" s="18">
        <f t="shared" si="116"/>
        <v>4</v>
      </c>
      <c r="Z240" s="18">
        <f t="shared" si="117"/>
        <v>4</v>
      </c>
      <c r="AA240" s="8">
        <f t="shared" si="105"/>
        <v>12</v>
      </c>
      <c r="AB240" s="8">
        <v>39.270000000000003</v>
      </c>
      <c r="AC240" s="8">
        <v>52.462499999999999</v>
      </c>
      <c r="AD240" s="8">
        <v>72.64</v>
      </c>
      <c r="AE240" s="9">
        <f t="shared" si="106"/>
        <v>15069.737499999999</v>
      </c>
      <c r="AF240" s="21">
        <v>6.5000000000000002E-2</v>
      </c>
      <c r="AG240" s="10">
        <f t="shared" si="118"/>
        <v>979.5329375</v>
      </c>
      <c r="AH240" s="64">
        <f t="shared" si="107"/>
        <v>54.978000000000009</v>
      </c>
      <c r="AI240" s="9">
        <f t="shared" si="108"/>
        <v>14090.204562499999</v>
      </c>
      <c r="AJ240" s="5">
        <v>0.18</v>
      </c>
      <c r="AK240" s="11">
        <f t="shared" si="109"/>
        <v>2536.2368212499996</v>
      </c>
      <c r="AL240" s="9">
        <f t="shared" si="110"/>
        <v>16626.44138375</v>
      </c>
      <c r="AP240" s="12"/>
    </row>
    <row r="241" spans="1:42" x14ac:dyDescent="0.35">
      <c r="A241" s="71">
        <v>46193</v>
      </c>
      <c r="B241" s="72" t="s">
        <v>67</v>
      </c>
      <c r="C241" s="74">
        <v>1176.7759999954201</v>
      </c>
      <c r="D241" s="74">
        <v>40948.753804686399</v>
      </c>
      <c r="E241" s="62" t="s">
        <v>68</v>
      </c>
      <c r="F241" s="19" t="s">
        <v>69</v>
      </c>
      <c r="G241" s="19" t="s">
        <v>377</v>
      </c>
      <c r="H241" s="101" t="s">
        <v>79</v>
      </c>
      <c r="I241" s="7" t="s">
        <v>247</v>
      </c>
      <c r="J241" s="55">
        <v>0</v>
      </c>
      <c r="K241" s="18">
        <v>10</v>
      </c>
      <c r="L241" s="20">
        <v>10</v>
      </c>
      <c r="M241" s="18">
        <v>20</v>
      </c>
      <c r="N241" s="8">
        <f t="shared" si="102"/>
        <v>40</v>
      </c>
      <c r="O241" s="18">
        <v>10</v>
      </c>
      <c r="P241" s="18">
        <v>5</v>
      </c>
      <c r="Q241" s="18">
        <v>10</v>
      </c>
      <c r="R241" s="8">
        <f t="shared" si="101"/>
        <v>25</v>
      </c>
      <c r="S241" s="18">
        <f t="shared" si="119"/>
        <v>65</v>
      </c>
      <c r="T241" s="18">
        <f t="shared" si="112"/>
        <v>1</v>
      </c>
      <c r="U241" s="18">
        <f t="shared" si="113"/>
        <v>1</v>
      </c>
      <c r="V241" s="18">
        <f t="shared" si="114"/>
        <v>2</v>
      </c>
      <c r="W241" s="8">
        <f t="shared" si="104"/>
        <v>4</v>
      </c>
      <c r="X241" s="18">
        <f t="shared" si="115"/>
        <v>1</v>
      </c>
      <c r="Y241" s="18">
        <f t="shared" si="116"/>
        <v>0.5</v>
      </c>
      <c r="Z241" s="18">
        <f t="shared" si="117"/>
        <v>1</v>
      </c>
      <c r="AA241" s="8">
        <f t="shared" si="105"/>
        <v>2.5</v>
      </c>
      <c r="AB241" s="8">
        <v>39.270000000000003</v>
      </c>
      <c r="AC241" s="8">
        <v>52.462499999999999</v>
      </c>
      <c r="AD241" s="8">
        <v>72.64</v>
      </c>
      <c r="AE241" s="9">
        <f t="shared" si="106"/>
        <v>6820.1</v>
      </c>
      <c r="AF241" s="21">
        <v>6.5000000000000002E-2</v>
      </c>
      <c r="AG241" s="10">
        <f t="shared" si="118"/>
        <v>443.30650000000003</v>
      </c>
      <c r="AH241" s="64">
        <f t="shared" si="107"/>
        <v>0</v>
      </c>
      <c r="AI241" s="9">
        <f t="shared" si="108"/>
        <v>6376.7935000000007</v>
      </c>
      <c r="AJ241" s="5">
        <v>0.18</v>
      </c>
      <c r="AK241" s="11">
        <f t="shared" si="109"/>
        <v>1147.8228300000001</v>
      </c>
      <c r="AL241" s="9">
        <f t="shared" si="110"/>
        <v>7524.6163300000007</v>
      </c>
      <c r="AP241" s="12"/>
    </row>
    <row r="242" spans="1:42" x14ac:dyDescent="0.35">
      <c r="A242" s="71">
        <v>46193</v>
      </c>
      <c r="B242" s="72" t="s">
        <v>67</v>
      </c>
      <c r="C242" s="74">
        <v>1176.7759999954201</v>
      </c>
      <c r="D242" s="74">
        <v>40948.753804686399</v>
      </c>
      <c r="E242" s="62" t="s">
        <v>68</v>
      </c>
      <c r="F242" s="19" t="s">
        <v>69</v>
      </c>
      <c r="G242" s="19" t="s">
        <v>378</v>
      </c>
      <c r="H242" s="101" t="s">
        <v>79</v>
      </c>
      <c r="I242" s="7" t="s">
        <v>247</v>
      </c>
      <c r="J242" s="55">
        <v>0</v>
      </c>
      <c r="K242" s="18">
        <v>10</v>
      </c>
      <c r="L242" s="18">
        <v>20</v>
      </c>
      <c r="M242" s="18">
        <v>20</v>
      </c>
      <c r="N242" s="8">
        <f t="shared" si="102"/>
        <v>50</v>
      </c>
      <c r="O242" s="18">
        <v>5</v>
      </c>
      <c r="P242" s="18">
        <v>5</v>
      </c>
      <c r="Q242" s="18">
        <v>5</v>
      </c>
      <c r="R242" s="8">
        <f t="shared" si="101"/>
        <v>15</v>
      </c>
      <c r="S242" s="18">
        <f t="shared" si="119"/>
        <v>65</v>
      </c>
      <c r="T242" s="18">
        <f t="shared" si="112"/>
        <v>1</v>
      </c>
      <c r="U242" s="18">
        <f t="shared" si="113"/>
        <v>2</v>
      </c>
      <c r="V242" s="18">
        <f t="shared" si="114"/>
        <v>2</v>
      </c>
      <c r="W242" s="8">
        <f t="shared" si="104"/>
        <v>5</v>
      </c>
      <c r="X242" s="18">
        <f t="shared" si="115"/>
        <v>0.5</v>
      </c>
      <c r="Y242" s="18">
        <f t="shared" si="116"/>
        <v>0.5</v>
      </c>
      <c r="Z242" s="18">
        <f t="shared" si="117"/>
        <v>0.5</v>
      </c>
      <c r="AA242" s="8">
        <f t="shared" si="105"/>
        <v>1.5</v>
      </c>
      <c r="AB242" s="8">
        <v>39.270000000000003</v>
      </c>
      <c r="AC242" s="8">
        <v>52.462499999999999</v>
      </c>
      <c r="AD242" s="8">
        <v>72.64</v>
      </c>
      <c r="AE242" s="9">
        <f t="shared" si="106"/>
        <v>7344.7250000000004</v>
      </c>
      <c r="AF242" s="21">
        <v>0.14000000000000001</v>
      </c>
      <c r="AG242" s="10">
        <f t="shared" si="118"/>
        <v>1028.2615000000001</v>
      </c>
      <c r="AH242" s="64">
        <f t="shared" si="107"/>
        <v>0</v>
      </c>
      <c r="AI242" s="9">
        <f t="shared" si="108"/>
        <v>6316.4634999999998</v>
      </c>
      <c r="AJ242" s="5">
        <v>0.18</v>
      </c>
      <c r="AK242" s="11">
        <f t="shared" si="109"/>
        <v>1136.96343</v>
      </c>
      <c r="AL242" s="9">
        <f t="shared" si="110"/>
        <v>7453.4269299999996</v>
      </c>
      <c r="AP242" s="12"/>
    </row>
    <row r="243" spans="1:42" x14ac:dyDescent="0.35">
      <c r="A243" s="71">
        <v>46193</v>
      </c>
      <c r="B243" s="72" t="s">
        <v>67</v>
      </c>
      <c r="C243" s="74">
        <v>1176.7759999954201</v>
      </c>
      <c r="D243" s="74">
        <v>40948.753804686399</v>
      </c>
      <c r="E243" s="62" t="s">
        <v>68</v>
      </c>
      <c r="F243" s="19" t="s">
        <v>69</v>
      </c>
      <c r="G243" s="19" t="s">
        <v>379</v>
      </c>
      <c r="H243" s="101" t="s">
        <v>79</v>
      </c>
      <c r="I243" s="7" t="s">
        <v>247</v>
      </c>
      <c r="J243" s="55">
        <v>0</v>
      </c>
      <c r="K243" s="18">
        <v>10</v>
      </c>
      <c r="L243" s="18">
        <v>5</v>
      </c>
      <c r="M243" s="18">
        <v>10</v>
      </c>
      <c r="N243" s="8">
        <f t="shared" si="102"/>
        <v>25</v>
      </c>
      <c r="O243" s="20">
        <v>5</v>
      </c>
      <c r="P243" s="20">
        <v>5</v>
      </c>
      <c r="Q243" s="20">
        <v>8</v>
      </c>
      <c r="R243" s="8">
        <f t="shared" si="101"/>
        <v>18</v>
      </c>
      <c r="S243" s="18">
        <f t="shared" si="119"/>
        <v>43</v>
      </c>
      <c r="T243" s="18">
        <f t="shared" si="112"/>
        <v>1</v>
      </c>
      <c r="U243" s="18">
        <f t="shared" si="113"/>
        <v>0.5</v>
      </c>
      <c r="V243" s="18">
        <f t="shared" si="114"/>
        <v>1</v>
      </c>
      <c r="W243" s="8">
        <f t="shared" si="104"/>
        <v>2.5</v>
      </c>
      <c r="X243" s="18">
        <f t="shared" si="115"/>
        <v>0.5</v>
      </c>
      <c r="Y243" s="18">
        <f t="shared" si="116"/>
        <v>0.5</v>
      </c>
      <c r="Z243" s="18">
        <f t="shared" si="117"/>
        <v>0.8</v>
      </c>
      <c r="AA243" s="8">
        <f t="shared" si="105"/>
        <v>1.8</v>
      </c>
      <c r="AB243" s="8">
        <v>39.270000000000003</v>
      </c>
      <c r="AC243" s="8">
        <v>52.462499999999999</v>
      </c>
      <c r="AD243" s="8">
        <v>72.64</v>
      </c>
      <c r="AE243" s="9">
        <f t="shared" si="106"/>
        <v>4435.0825000000004</v>
      </c>
      <c r="AF243" s="21">
        <v>6.5000000000000002E-2</v>
      </c>
      <c r="AG243" s="10">
        <f t="shared" si="118"/>
        <v>288.28036250000002</v>
      </c>
      <c r="AH243" s="64">
        <f t="shared" si="107"/>
        <v>0</v>
      </c>
      <c r="AI243" s="9">
        <f t="shared" si="108"/>
        <v>4146.8021375000008</v>
      </c>
      <c r="AJ243" s="5">
        <v>0.18</v>
      </c>
      <c r="AK243" s="11">
        <f t="shared" si="109"/>
        <v>746.42438475000006</v>
      </c>
      <c r="AL243" s="9">
        <f t="shared" si="110"/>
        <v>4893.2265222500009</v>
      </c>
      <c r="AP243" s="12"/>
    </row>
    <row r="244" spans="1:42" x14ac:dyDescent="0.35">
      <c r="A244" s="71">
        <v>46193</v>
      </c>
      <c r="B244" s="72" t="s">
        <v>67</v>
      </c>
      <c r="C244" s="74">
        <v>1176.7759999954201</v>
      </c>
      <c r="D244" s="74">
        <v>40948.753804686399</v>
      </c>
      <c r="E244" s="62" t="s">
        <v>68</v>
      </c>
      <c r="F244" s="19" t="s">
        <v>69</v>
      </c>
      <c r="G244" s="19" t="s">
        <v>380</v>
      </c>
      <c r="H244" s="101" t="s">
        <v>79</v>
      </c>
      <c r="I244" s="7" t="s">
        <v>247</v>
      </c>
      <c r="J244" s="55">
        <v>0</v>
      </c>
      <c r="K244" s="18">
        <v>10</v>
      </c>
      <c r="L244" s="20">
        <v>5</v>
      </c>
      <c r="M244" s="20">
        <v>10</v>
      </c>
      <c r="N244" s="8">
        <f t="shared" si="102"/>
        <v>25</v>
      </c>
      <c r="O244" s="18">
        <v>5</v>
      </c>
      <c r="P244" s="18">
        <v>3</v>
      </c>
      <c r="Q244" s="20">
        <v>0</v>
      </c>
      <c r="R244" s="8">
        <f t="shared" si="101"/>
        <v>8</v>
      </c>
      <c r="S244" s="18">
        <f t="shared" si="119"/>
        <v>33</v>
      </c>
      <c r="T244" s="18">
        <f t="shared" si="112"/>
        <v>1</v>
      </c>
      <c r="U244" s="18">
        <f t="shared" si="113"/>
        <v>0.5</v>
      </c>
      <c r="V244" s="18">
        <f t="shared" si="114"/>
        <v>1</v>
      </c>
      <c r="W244" s="8">
        <f t="shared" si="104"/>
        <v>2.5</v>
      </c>
      <c r="X244" s="18">
        <f t="shared" si="115"/>
        <v>0.5</v>
      </c>
      <c r="Y244" s="18">
        <f t="shared" si="116"/>
        <v>0.3</v>
      </c>
      <c r="Z244" s="18">
        <f t="shared" si="117"/>
        <v>0</v>
      </c>
      <c r="AA244" s="8">
        <f t="shared" si="105"/>
        <v>0.8</v>
      </c>
      <c r="AB244" s="8">
        <v>39.270000000000003</v>
      </c>
      <c r="AC244" s="8">
        <v>52.462499999999999</v>
      </c>
      <c r="AD244" s="8">
        <v>72.64</v>
      </c>
      <c r="AE244" s="9">
        <f t="shared" si="106"/>
        <v>3708.6824999999999</v>
      </c>
      <c r="AF244" s="21">
        <v>6.5000000000000002E-2</v>
      </c>
      <c r="AG244" s="10">
        <f t="shared" si="118"/>
        <v>241.06436249999999</v>
      </c>
      <c r="AH244" s="64">
        <f t="shared" si="107"/>
        <v>0</v>
      </c>
      <c r="AI244" s="9">
        <f t="shared" si="108"/>
        <v>3467.6181375000001</v>
      </c>
      <c r="AJ244" s="5">
        <v>0.18</v>
      </c>
      <c r="AK244" s="11">
        <f t="shared" si="109"/>
        <v>624.17126474999998</v>
      </c>
      <c r="AL244" s="9">
        <f t="shared" si="110"/>
        <v>4091.78940225</v>
      </c>
      <c r="AP244" s="12"/>
    </row>
    <row r="245" spans="1:42" x14ac:dyDescent="0.35">
      <c r="A245" s="71">
        <v>46193</v>
      </c>
      <c r="B245" s="72" t="s">
        <v>67</v>
      </c>
      <c r="C245" s="74">
        <v>1176.7759999954201</v>
      </c>
      <c r="D245" s="74">
        <v>40948.753804686399</v>
      </c>
      <c r="E245" s="62" t="s">
        <v>68</v>
      </c>
      <c r="F245" s="19" t="s">
        <v>69</v>
      </c>
      <c r="G245" s="19" t="s">
        <v>381</v>
      </c>
      <c r="H245" s="101" t="s">
        <v>79</v>
      </c>
      <c r="I245" s="7" t="s">
        <v>247</v>
      </c>
      <c r="J245" s="55">
        <v>0</v>
      </c>
      <c r="K245" s="18">
        <v>14</v>
      </c>
      <c r="L245" s="18">
        <v>17</v>
      </c>
      <c r="M245" s="18">
        <v>15</v>
      </c>
      <c r="N245" s="8">
        <f t="shared" si="102"/>
        <v>46</v>
      </c>
      <c r="O245" s="18">
        <v>2</v>
      </c>
      <c r="P245" s="18">
        <v>5</v>
      </c>
      <c r="Q245" s="18">
        <v>0</v>
      </c>
      <c r="R245" s="8">
        <f t="shared" si="101"/>
        <v>7</v>
      </c>
      <c r="S245" s="18">
        <f t="shared" si="119"/>
        <v>53</v>
      </c>
      <c r="T245" s="18">
        <f t="shared" si="112"/>
        <v>1.4</v>
      </c>
      <c r="U245" s="18">
        <f t="shared" si="113"/>
        <v>1.7</v>
      </c>
      <c r="V245" s="18">
        <f t="shared" si="114"/>
        <v>1.5</v>
      </c>
      <c r="W245" s="8">
        <f t="shared" si="104"/>
        <v>4.5999999999999996</v>
      </c>
      <c r="X245" s="18">
        <f t="shared" si="115"/>
        <v>0.2</v>
      </c>
      <c r="Y245" s="18">
        <f t="shared" si="116"/>
        <v>0.5</v>
      </c>
      <c r="Z245" s="18">
        <f t="shared" si="117"/>
        <v>0</v>
      </c>
      <c r="AA245" s="8">
        <f t="shared" si="105"/>
        <v>0.7</v>
      </c>
      <c r="AB245" s="8">
        <v>39.270000000000003</v>
      </c>
      <c r="AC245" s="8">
        <v>52.462499999999999</v>
      </c>
      <c r="AD245" s="8">
        <v>72.64</v>
      </c>
      <c r="AE245" s="9">
        <f t="shared" si="106"/>
        <v>6263.1949999999997</v>
      </c>
      <c r="AF245" s="21">
        <v>6.5000000000000002E-2</v>
      </c>
      <c r="AG245" s="10">
        <f t="shared" si="118"/>
        <v>407.10767499999997</v>
      </c>
      <c r="AH245" s="64">
        <f t="shared" si="107"/>
        <v>0</v>
      </c>
      <c r="AI245" s="9">
        <f t="shared" si="108"/>
        <v>5856.0873249999995</v>
      </c>
      <c r="AJ245" s="5">
        <v>0.18</v>
      </c>
      <c r="AK245" s="11">
        <f t="shared" si="109"/>
        <v>1054.0957185</v>
      </c>
      <c r="AL245" s="9">
        <f t="shared" si="110"/>
        <v>6910.1830434999993</v>
      </c>
      <c r="AP245" s="12"/>
    </row>
    <row r="246" spans="1:42" x14ac:dyDescent="0.35">
      <c r="A246" s="71">
        <v>46193</v>
      </c>
      <c r="B246" s="72" t="s">
        <v>67</v>
      </c>
      <c r="C246" s="74">
        <v>1176.7759999954201</v>
      </c>
      <c r="D246" s="74">
        <v>40948.753804686399</v>
      </c>
      <c r="E246" s="62" t="s">
        <v>68</v>
      </c>
      <c r="F246" s="19" t="s">
        <v>69</v>
      </c>
      <c r="G246" s="19" t="s">
        <v>383</v>
      </c>
      <c r="H246" s="101" t="s">
        <v>382</v>
      </c>
      <c r="I246" s="6" t="s">
        <v>387</v>
      </c>
      <c r="J246" s="55">
        <v>110</v>
      </c>
      <c r="K246" s="20">
        <v>8</v>
      </c>
      <c r="L246" s="18">
        <v>5</v>
      </c>
      <c r="M246" s="18">
        <v>6</v>
      </c>
      <c r="N246" s="8">
        <f t="shared" si="102"/>
        <v>19</v>
      </c>
      <c r="O246" s="20">
        <v>20</v>
      </c>
      <c r="P246" s="20">
        <v>10</v>
      </c>
      <c r="Q246" s="20">
        <v>10</v>
      </c>
      <c r="R246" s="8">
        <f t="shared" si="101"/>
        <v>40</v>
      </c>
      <c r="S246" s="18">
        <f t="shared" si="119"/>
        <v>169</v>
      </c>
      <c r="T246" s="18">
        <f t="shared" si="112"/>
        <v>0.8</v>
      </c>
      <c r="U246" s="18">
        <f t="shared" si="113"/>
        <v>0.5</v>
      </c>
      <c r="V246" s="18">
        <f t="shared" si="114"/>
        <v>0.6</v>
      </c>
      <c r="W246" s="8">
        <f t="shared" si="104"/>
        <v>1.9</v>
      </c>
      <c r="X246" s="18">
        <f t="shared" si="115"/>
        <v>2</v>
      </c>
      <c r="Y246" s="18">
        <f t="shared" si="116"/>
        <v>1</v>
      </c>
      <c r="Z246" s="18">
        <f t="shared" si="117"/>
        <v>1</v>
      </c>
      <c r="AA246" s="8">
        <f t="shared" si="105"/>
        <v>4</v>
      </c>
      <c r="AB246" s="8">
        <v>39.270000000000003</v>
      </c>
      <c r="AC246" s="8">
        <v>52.462499999999999</v>
      </c>
      <c r="AD246" s="8">
        <v>72.64</v>
      </c>
      <c r="AE246" s="9">
        <f t="shared" si="106"/>
        <v>17592.647499999999</v>
      </c>
      <c r="AF246" s="21">
        <v>6.5000000000000002E-2</v>
      </c>
      <c r="AG246" s="10">
        <f t="shared" si="118"/>
        <v>1143.5220875</v>
      </c>
      <c r="AH246" s="64">
        <f t="shared" si="107"/>
        <v>151.18950000000004</v>
      </c>
      <c r="AI246" s="9">
        <f t="shared" si="108"/>
        <v>16449.125412499998</v>
      </c>
      <c r="AJ246" s="5">
        <v>0.18</v>
      </c>
      <c r="AK246" s="11">
        <f t="shared" si="109"/>
        <v>2960.8425742499994</v>
      </c>
      <c r="AL246" s="9">
        <f t="shared" si="110"/>
        <v>19409.967986749998</v>
      </c>
      <c r="AP246" s="12"/>
    </row>
    <row r="247" spans="1:42" x14ac:dyDescent="0.35">
      <c r="A247" s="71">
        <v>46193</v>
      </c>
      <c r="B247" s="72" t="s">
        <v>67</v>
      </c>
      <c r="C247" s="74">
        <v>1176.7759999954201</v>
      </c>
      <c r="D247" s="74">
        <v>40948.753804686399</v>
      </c>
      <c r="E247" s="62" t="s">
        <v>68</v>
      </c>
      <c r="F247" s="19" t="s">
        <v>69</v>
      </c>
      <c r="G247" s="19" t="s">
        <v>384</v>
      </c>
      <c r="H247" s="101" t="s">
        <v>382</v>
      </c>
      <c r="I247" s="6" t="s">
        <v>387</v>
      </c>
      <c r="J247" s="55">
        <v>60</v>
      </c>
      <c r="K247" s="20">
        <v>8</v>
      </c>
      <c r="L247" s="18">
        <v>10</v>
      </c>
      <c r="M247" s="18">
        <v>6</v>
      </c>
      <c r="N247" s="8">
        <f t="shared" si="102"/>
        <v>24</v>
      </c>
      <c r="O247" s="18">
        <v>20</v>
      </c>
      <c r="P247" s="18">
        <v>10</v>
      </c>
      <c r="Q247" s="18">
        <v>10</v>
      </c>
      <c r="R247" s="8">
        <f t="shared" si="101"/>
        <v>40</v>
      </c>
      <c r="S247" s="18">
        <f t="shared" si="119"/>
        <v>124</v>
      </c>
      <c r="T247" s="18">
        <f t="shared" si="112"/>
        <v>0.8</v>
      </c>
      <c r="U247" s="18">
        <f t="shared" si="113"/>
        <v>1</v>
      </c>
      <c r="V247" s="18">
        <f t="shared" si="114"/>
        <v>0.6</v>
      </c>
      <c r="W247" s="8">
        <f t="shared" si="104"/>
        <v>2.4</v>
      </c>
      <c r="X247" s="18">
        <f t="shared" si="115"/>
        <v>2</v>
      </c>
      <c r="Y247" s="18">
        <f t="shared" si="116"/>
        <v>1</v>
      </c>
      <c r="Z247" s="18">
        <f t="shared" si="117"/>
        <v>1</v>
      </c>
      <c r="AA247" s="8">
        <f t="shared" si="105"/>
        <v>4</v>
      </c>
      <c r="AB247" s="8">
        <v>39.270000000000003</v>
      </c>
      <c r="AC247" s="8">
        <v>52.462499999999999</v>
      </c>
      <c r="AD247" s="8">
        <v>72.64</v>
      </c>
      <c r="AE247" s="9">
        <f t="shared" si="106"/>
        <v>12622.66</v>
      </c>
      <c r="AF247" s="21">
        <v>6.5000000000000002E-2</v>
      </c>
      <c r="AG247" s="10">
        <f t="shared" si="118"/>
        <v>820.47289999999998</v>
      </c>
      <c r="AH247" s="64">
        <f t="shared" si="107"/>
        <v>82.467000000000013</v>
      </c>
      <c r="AI247" s="9">
        <f t="shared" si="108"/>
        <v>11802.187099999999</v>
      </c>
      <c r="AJ247" s="5">
        <v>0.18</v>
      </c>
      <c r="AK247" s="11">
        <f t="shared" si="109"/>
        <v>2124.3936779999999</v>
      </c>
      <c r="AL247" s="9">
        <f t="shared" si="110"/>
        <v>13926.580778</v>
      </c>
      <c r="AP247" s="12"/>
    </row>
    <row r="248" spans="1:42" x14ac:dyDescent="0.35">
      <c r="A248" s="71">
        <v>46193</v>
      </c>
      <c r="B248" s="72" t="s">
        <v>67</v>
      </c>
      <c r="C248" s="74">
        <v>1176.7759999954201</v>
      </c>
      <c r="D248" s="74">
        <v>40948.753804686399</v>
      </c>
      <c r="E248" s="62" t="s">
        <v>68</v>
      </c>
      <c r="F248" s="19" t="s">
        <v>69</v>
      </c>
      <c r="G248" s="19" t="s">
        <v>385</v>
      </c>
      <c r="H248" s="101" t="s">
        <v>382</v>
      </c>
      <c r="I248" s="6" t="s">
        <v>387</v>
      </c>
      <c r="J248" s="55">
        <v>22</v>
      </c>
      <c r="K248" s="18">
        <v>8</v>
      </c>
      <c r="L248" s="18">
        <v>7</v>
      </c>
      <c r="M248" s="18">
        <v>0</v>
      </c>
      <c r="N248" s="8">
        <f t="shared" si="102"/>
        <v>15</v>
      </c>
      <c r="O248" s="20">
        <v>20</v>
      </c>
      <c r="P248" s="20">
        <v>10</v>
      </c>
      <c r="Q248" s="20">
        <v>10</v>
      </c>
      <c r="R248" s="8">
        <f t="shared" si="101"/>
        <v>40</v>
      </c>
      <c r="S248" s="18">
        <f t="shared" si="119"/>
        <v>77</v>
      </c>
      <c r="T248" s="18">
        <f t="shared" si="112"/>
        <v>0.8</v>
      </c>
      <c r="U248" s="18">
        <f t="shared" si="113"/>
        <v>0.7</v>
      </c>
      <c r="V248" s="18">
        <f t="shared" si="114"/>
        <v>0</v>
      </c>
      <c r="W248" s="8">
        <f t="shared" si="104"/>
        <v>1.5</v>
      </c>
      <c r="X248" s="18">
        <f t="shared" si="115"/>
        <v>2</v>
      </c>
      <c r="Y248" s="18">
        <f t="shared" si="116"/>
        <v>1</v>
      </c>
      <c r="Z248" s="18">
        <f t="shared" si="117"/>
        <v>1</v>
      </c>
      <c r="AA248" s="8">
        <f t="shared" si="105"/>
        <v>4</v>
      </c>
      <c r="AB248" s="8">
        <v>39.270000000000003</v>
      </c>
      <c r="AC248" s="8">
        <v>52.462499999999999</v>
      </c>
      <c r="AD248" s="8">
        <v>72.64</v>
      </c>
      <c r="AE248" s="9">
        <f t="shared" si="106"/>
        <v>7244.1574999999993</v>
      </c>
      <c r="AF248" s="21">
        <v>6.5000000000000002E-2</v>
      </c>
      <c r="AG248" s="10">
        <f t="shared" si="118"/>
        <v>470.87023749999997</v>
      </c>
      <c r="AH248" s="64">
        <f t="shared" si="107"/>
        <v>30.237900000000003</v>
      </c>
      <c r="AI248" s="9">
        <f t="shared" si="108"/>
        <v>6773.2872624999991</v>
      </c>
      <c r="AJ248" s="5">
        <v>0.18</v>
      </c>
      <c r="AK248" s="11">
        <f t="shared" si="109"/>
        <v>1219.1917072499998</v>
      </c>
      <c r="AL248" s="9">
        <f t="shared" si="110"/>
        <v>7992.4789697499991</v>
      </c>
      <c r="AP248" s="12"/>
    </row>
    <row r="249" spans="1:42" x14ac:dyDescent="0.35">
      <c r="A249" s="71">
        <v>46193</v>
      </c>
      <c r="B249" s="72" t="s">
        <v>67</v>
      </c>
      <c r="C249" s="74">
        <v>1176.7759999954201</v>
      </c>
      <c r="D249" s="74">
        <v>40948.753804686399</v>
      </c>
      <c r="E249" s="62" t="s">
        <v>68</v>
      </c>
      <c r="F249" s="19" t="s">
        <v>69</v>
      </c>
      <c r="G249" s="19" t="s">
        <v>386</v>
      </c>
      <c r="H249" s="101" t="s">
        <v>382</v>
      </c>
      <c r="I249" s="6" t="s">
        <v>387</v>
      </c>
      <c r="J249" s="55">
        <v>20</v>
      </c>
      <c r="K249" s="18">
        <v>8</v>
      </c>
      <c r="L249" s="18">
        <v>10</v>
      </c>
      <c r="M249" s="18">
        <v>0</v>
      </c>
      <c r="N249" s="8">
        <f t="shared" si="102"/>
        <v>18</v>
      </c>
      <c r="O249" s="20">
        <v>6</v>
      </c>
      <c r="P249" s="20">
        <v>6</v>
      </c>
      <c r="Q249" s="20">
        <v>7</v>
      </c>
      <c r="R249" s="8">
        <f t="shared" si="101"/>
        <v>19</v>
      </c>
      <c r="S249" s="18">
        <f t="shared" si="119"/>
        <v>57</v>
      </c>
      <c r="T249" s="18">
        <f t="shared" si="112"/>
        <v>0.8</v>
      </c>
      <c r="U249" s="18">
        <f t="shared" si="113"/>
        <v>1</v>
      </c>
      <c r="V249" s="18">
        <f t="shared" si="114"/>
        <v>0</v>
      </c>
      <c r="W249" s="8">
        <f t="shared" si="104"/>
        <v>1.8</v>
      </c>
      <c r="X249" s="18">
        <f t="shared" si="115"/>
        <v>0.6</v>
      </c>
      <c r="Y249" s="18">
        <f t="shared" si="116"/>
        <v>0.6</v>
      </c>
      <c r="Z249" s="18">
        <f t="shared" si="117"/>
        <v>0.7</v>
      </c>
      <c r="AA249" s="8">
        <f t="shared" si="105"/>
        <v>1.9</v>
      </c>
      <c r="AB249" s="8">
        <v>39.270000000000003</v>
      </c>
      <c r="AC249" s="8">
        <v>52.462499999999999</v>
      </c>
      <c r="AD249" s="8">
        <v>72.64</v>
      </c>
      <c r="AE249" s="9">
        <f t="shared" si="106"/>
        <v>5870.2049999999999</v>
      </c>
      <c r="AF249" s="21">
        <v>6.5000000000000002E-2</v>
      </c>
      <c r="AG249" s="10">
        <f t="shared" si="118"/>
        <v>381.56332500000002</v>
      </c>
      <c r="AH249" s="64">
        <f t="shared" si="107"/>
        <v>27.489000000000004</v>
      </c>
      <c r="AI249" s="9">
        <f t="shared" si="108"/>
        <v>5488.6416749999999</v>
      </c>
      <c r="AJ249" s="5">
        <v>0.18</v>
      </c>
      <c r="AK249" s="11">
        <f t="shared" si="109"/>
        <v>987.95550149999997</v>
      </c>
      <c r="AL249" s="9">
        <f t="shared" si="110"/>
        <v>6476.5971764999995</v>
      </c>
      <c r="AP249" s="12"/>
    </row>
    <row r="250" spans="1:42" x14ac:dyDescent="0.35">
      <c r="A250" s="71">
        <v>46193</v>
      </c>
      <c r="B250" s="72" t="s">
        <v>67</v>
      </c>
      <c r="C250" s="74">
        <v>1176.7759999954201</v>
      </c>
      <c r="D250" s="74">
        <v>40948.753804686399</v>
      </c>
      <c r="E250" s="62" t="s">
        <v>68</v>
      </c>
      <c r="F250" s="19" t="s">
        <v>208</v>
      </c>
      <c r="G250" s="19" t="s">
        <v>388</v>
      </c>
      <c r="H250" s="101" t="s">
        <v>212</v>
      </c>
      <c r="I250" s="6"/>
      <c r="J250" s="55"/>
      <c r="K250" s="18">
        <v>314</v>
      </c>
      <c r="L250" s="18">
        <v>353</v>
      </c>
      <c r="M250" s="18">
        <v>388</v>
      </c>
      <c r="N250" s="8">
        <f t="shared" si="102"/>
        <v>1055</v>
      </c>
      <c r="O250" s="18">
        <v>350</v>
      </c>
      <c r="P250" s="18">
        <v>311</v>
      </c>
      <c r="Q250" s="18">
        <v>396</v>
      </c>
      <c r="R250" s="8">
        <f t="shared" si="101"/>
        <v>1057</v>
      </c>
      <c r="S250" s="18">
        <f t="shared" si="119"/>
        <v>2112</v>
      </c>
      <c r="T250" s="18">
        <f t="shared" si="112"/>
        <v>31.4</v>
      </c>
      <c r="U250" s="18">
        <f t="shared" si="113"/>
        <v>35.299999999999997</v>
      </c>
      <c r="V250" s="18">
        <f t="shared" si="114"/>
        <v>38.799999999999997</v>
      </c>
      <c r="W250" s="8">
        <f t="shared" si="104"/>
        <v>105.5</v>
      </c>
      <c r="X250" s="18">
        <f t="shared" si="115"/>
        <v>35</v>
      </c>
      <c r="Y250" s="18">
        <f t="shared" si="116"/>
        <v>31.1</v>
      </c>
      <c r="Z250" s="18">
        <f t="shared" si="117"/>
        <v>39.6</v>
      </c>
      <c r="AA250" s="8">
        <f t="shared" si="105"/>
        <v>105.7</v>
      </c>
      <c r="AB250" s="8">
        <v>39.270000000000003</v>
      </c>
      <c r="AC250" s="8">
        <v>52.462499999999999</v>
      </c>
      <c r="AD250" s="8">
        <v>72.64</v>
      </c>
      <c r="AE250" s="9">
        <f t="shared" si="106"/>
        <v>208763.61749999999</v>
      </c>
      <c r="AF250" s="21">
        <v>6.5000000000000002E-2</v>
      </c>
      <c r="AG250" s="10">
        <f t="shared" si="118"/>
        <v>13569.635137499999</v>
      </c>
      <c r="AH250" s="64">
        <f t="shared" si="107"/>
        <v>0</v>
      </c>
      <c r="AI250" s="9">
        <f t="shared" si="108"/>
        <v>195193.98236249998</v>
      </c>
      <c r="AJ250" s="5">
        <v>0.18</v>
      </c>
      <c r="AK250" s="11">
        <f t="shared" si="109"/>
        <v>35134.916825249995</v>
      </c>
      <c r="AL250" s="9">
        <f t="shared" si="110"/>
        <v>230328.89918774998</v>
      </c>
      <c r="AP250" s="12"/>
    </row>
    <row r="251" spans="1:42" x14ac:dyDescent="0.35">
      <c r="A251" s="71">
        <v>46193</v>
      </c>
      <c r="B251" s="72" t="s">
        <v>67</v>
      </c>
      <c r="C251" s="74">
        <v>1176.7759999954201</v>
      </c>
      <c r="D251" s="74">
        <v>40948.753804686399</v>
      </c>
      <c r="E251" s="62" t="s">
        <v>68</v>
      </c>
      <c r="F251" s="19" t="s">
        <v>208</v>
      </c>
      <c r="G251" s="19" t="s">
        <v>389</v>
      </c>
      <c r="H251" s="101" t="s">
        <v>212</v>
      </c>
      <c r="I251" s="6"/>
      <c r="J251" s="55">
        <v>40</v>
      </c>
      <c r="K251" s="18">
        <v>40</v>
      </c>
      <c r="L251" s="18">
        <v>0</v>
      </c>
      <c r="M251" s="18">
        <v>120</v>
      </c>
      <c r="N251" s="8">
        <f t="shared" si="102"/>
        <v>160</v>
      </c>
      <c r="O251" s="18">
        <v>200</v>
      </c>
      <c r="P251" s="18">
        <v>0</v>
      </c>
      <c r="Q251" s="18">
        <v>200</v>
      </c>
      <c r="R251" s="8">
        <f t="shared" si="101"/>
        <v>400</v>
      </c>
      <c r="S251" s="18">
        <f t="shared" si="119"/>
        <v>600</v>
      </c>
      <c r="T251" s="18">
        <f t="shared" si="112"/>
        <v>4</v>
      </c>
      <c r="U251" s="18">
        <f t="shared" si="113"/>
        <v>0</v>
      </c>
      <c r="V251" s="18">
        <f t="shared" si="114"/>
        <v>12</v>
      </c>
      <c r="W251" s="8">
        <f t="shared" si="104"/>
        <v>16</v>
      </c>
      <c r="X251" s="18">
        <f t="shared" si="115"/>
        <v>20</v>
      </c>
      <c r="Y251" s="18">
        <f t="shared" si="116"/>
        <v>0</v>
      </c>
      <c r="Z251" s="18">
        <f t="shared" si="117"/>
        <v>20</v>
      </c>
      <c r="AA251" s="8">
        <f t="shared" si="105"/>
        <v>40</v>
      </c>
      <c r="AB251" s="8">
        <v>39.270000000000003</v>
      </c>
      <c r="AC251" s="8">
        <v>52.462499999999999</v>
      </c>
      <c r="AD251" s="8">
        <v>72.64</v>
      </c>
      <c r="AE251" s="9">
        <f t="shared" si="106"/>
        <v>53548.800000000003</v>
      </c>
      <c r="AF251" s="21">
        <v>6.5000000000000002E-2</v>
      </c>
      <c r="AG251" s="10">
        <f t="shared" si="118"/>
        <v>3480.6720000000005</v>
      </c>
      <c r="AH251" s="64">
        <f t="shared" si="107"/>
        <v>54.978000000000009</v>
      </c>
      <c r="AI251" s="9">
        <f t="shared" si="108"/>
        <v>50068.128000000004</v>
      </c>
      <c r="AJ251" s="5">
        <v>0.18</v>
      </c>
      <c r="AK251" s="11">
        <f t="shared" si="109"/>
        <v>9012.2630399999998</v>
      </c>
      <c r="AL251" s="9">
        <f t="shared" si="110"/>
        <v>59080.391040000002</v>
      </c>
      <c r="AP251" s="12"/>
    </row>
    <row r="252" spans="1:42" x14ac:dyDescent="0.35">
      <c r="A252" s="71">
        <v>46195</v>
      </c>
      <c r="B252" s="72" t="s">
        <v>67</v>
      </c>
      <c r="C252" s="74">
        <v>1176.7759999954201</v>
      </c>
      <c r="D252" s="74">
        <v>40948.753804686399</v>
      </c>
      <c r="E252" s="62" t="s">
        <v>68</v>
      </c>
      <c r="F252" s="19" t="s">
        <v>69</v>
      </c>
      <c r="G252" s="19" t="s">
        <v>391</v>
      </c>
      <c r="H252" s="101" t="s">
        <v>90</v>
      </c>
      <c r="I252" s="6" t="s">
        <v>315</v>
      </c>
      <c r="J252" s="55"/>
      <c r="K252" s="18">
        <v>15</v>
      </c>
      <c r="L252" s="18">
        <v>10</v>
      </c>
      <c r="M252" s="18">
        <v>15</v>
      </c>
      <c r="N252" s="8">
        <f t="shared" si="102"/>
        <v>40</v>
      </c>
      <c r="O252" s="20"/>
      <c r="P252" s="20"/>
      <c r="Q252" s="20"/>
      <c r="R252" s="8">
        <f t="shared" si="101"/>
        <v>0</v>
      </c>
      <c r="S252" s="18">
        <f t="shared" si="119"/>
        <v>40</v>
      </c>
      <c r="T252" s="18">
        <f t="shared" si="112"/>
        <v>1.5</v>
      </c>
      <c r="U252" s="18">
        <f t="shared" si="113"/>
        <v>1</v>
      </c>
      <c r="V252" s="18">
        <f t="shared" si="114"/>
        <v>1.5</v>
      </c>
      <c r="W252" s="8">
        <f t="shared" si="104"/>
        <v>4</v>
      </c>
      <c r="X252" s="18">
        <f t="shared" si="115"/>
        <v>0</v>
      </c>
      <c r="Y252" s="18">
        <f t="shared" si="116"/>
        <v>0</v>
      </c>
      <c r="Z252" s="18">
        <f t="shared" si="117"/>
        <v>0</v>
      </c>
      <c r="AA252" s="8">
        <f t="shared" si="105"/>
        <v>0</v>
      </c>
      <c r="AB252" s="8">
        <v>39.270000000000003</v>
      </c>
      <c r="AC252" s="8">
        <v>52.462499999999999</v>
      </c>
      <c r="AD252" s="8">
        <v>72.64</v>
      </c>
      <c r="AE252" s="9">
        <f t="shared" si="106"/>
        <v>5004.1000000000004</v>
      </c>
      <c r="AF252" s="21">
        <v>6.5000000000000002E-2</v>
      </c>
      <c r="AG252" s="10">
        <f t="shared" si="118"/>
        <v>325.26650000000001</v>
      </c>
      <c r="AH252" s="64">
        <f t="shared" si="107"/>
        <v>0</v>
      </c>
      <c r="AI252" s="9">
        <f t="shared" si="108"/>
        <v>4678.8335000000006</v>
      </c>
      <c r="AJ252" s="5">
        <v>0.18</v>
      </c>
      <c r="AK252" s="11">
        <f t="shared" si="109"/>
        <v>842.19003000000009</v>
      </c>
      <c r="AL252" s="9">
        <f t="shared" si="110"/>
        <v>5521.0235300000004</v>
      </c>
      <c r="AP252" s="12"/>
    </row>
    <row r="253" spans="1:42" x14ac:dyDescent="0.35">
      <c r="A253" s="71">
        <v>46195</v>
      </c>
      <c r="B253" s="72" t="s">
        <v>67</v>
      </c>
      <c r="C253" s="74">
        <v>1176.7759999954201</v>
      </c>
      <c r="D253" s="74">
        <v>40948.753804686399</v>
      </c>
      <c r="E253" s="62" t="s">
        <v>68</v>
      </c>
      <c r="F253" s="19" t="s">
        <v>69</v>
      </c>
      <c r="G253" s="19" t="s">
        <v>183</v>
      </c>
      <c r="H253" s="101" t="s">
        <v>90</v>
      </c>
      <c r="I253" s="6" t="s">
        <v>315</v>
      </c>
      <c r="J253" s="55"/>
      <c r="K253" s="18"/>
      <c r="L253" s="18"/>
      <c r="M253" s="18">
        <v>12</v>
      </c>
      <c r="N253" s="8">
        <f t="shared" si="102"/>
        <v>12</v>
      </c>
      <c r="O253" s="18">
        <v>6</v>
      </c>
      <c r="P253" s="18"/>
      <c r="Q253" s="18">
        <v>6</v>
      </c>
      <c r="R253" s="8">
        <f t="shared" si="101"/>
        <v>12</v>
      </c>
      <c r="S253" s="18">
        <f t="shared" si="119"/>
        <v>24</v>
      </c>
      <c r="T253" s="18">
        <f t="shared" si="112"/>
        <v>0</v>
      </c>
      <c r="U253" s="18">
        <f t="shared" si="113"/>
        <v>0</v>
      </c>
      <c r="V253" s="18">
        <f t="shared" si="114"/>
        <v>1.2</v>
      </c>
      <c r="W253" s="8">
        <f t="shared" si="104"/>
        <v>1.2</v>
      </c>
      <c r="X253" s="18">
        <f t="shared" si="115"/>
        <v>0.6</v>
      </c>
      <c r="Y253" s="18">
        <f t="shared" si="116"/>
        <v>0</v>
      </c>
      <c r="Z253" s="18">
        <f t="shared" si="117"/>
        <v>0.6</v>
      </c>
      <c r="AA253" s="8">
        <f t="shared" si="105"/>
        <v>1.2</v>
      </c>
      <c r="AB253" s="8">
        <v>39.270000000000003</v>
      </c>
      <c r="AC253" s="8">
        <v>52.462499999999999</v>
      </c>
      <c r="AD253" s="8">
        <v>72.64</v>
      </c>
      <c r="AE253" s="9">
        <f t="shared" si="106"/>
        <v>2372.91</v>
      </c>
      <c r="AF253" s="21">
        <v>6.5000000000000002E-2</v>
      </c>
      <c r="AG253" s="10">
        <f t="shared" si="118"/>
        <v>154.23915</v>
      </c>
      <c r="AH253" s="64">
        <f t="shared" si="107"/>
        <v>0</v>
      </c>
      <c r="AI253" s="9">
        <f t="shared" si="108"/>
        <v>2218.67085</v>
      </c>
      <c r="AJ253" s="5">
        <v>0.18</v>
      </c>
      <c r="AK253" s="11">
        <f t="shared" si="109"/>
        <v>399.36075299999999</v>
      </c>
      <c r="AL253" s="9">
        <f t="shared" si="110"/>
        <v>2618.0316029999999</v>
      </c>
      <c r="AP253" s="12"/>
    </row>
    <row r="254" spans="1:42" x14ac:dyDescent="0.35">
      <c r="A254" s="71">
        <v>46195</v>
      </c>
      <c r="B254" s="72" t="s">
        <v>67</v>
      </c>
      <c r="C254" s="74">
        <v>1176.7759999954201</v>
      </c>
      <c r="D254" s="74">
        <v>40948.753804686399</v>
      </c>
      <c r="E254" s="62" t="s">
        <v>68</v>
      </c>
      <c r="F254" s="19" t="s">
        <v>208</v>
      </c>
      <c r="G254" s="19" t="s">
        <v>141</v>
      </c>
      <c r="H254" s="101" t="s">
        <v>212</v>
      </c>
      <c r="I254" s="6" t="s">
        <v>390</v>
      </c>
      <c r="J254" s="55"/>
      <c r="K254" s="18">
        <v>120</v>
      </c>
      <c r="L254" s="18">
        <v>120</v>
      </c>
      <c r="M254" s="18">
        <v>120</v>
      </c>
      <c r="N254" s="8">
        <f t="shared" si="102"/>
        <v>360</v>
      </c>
      <c r="O254" s="18">
        <v>120</v>
      </c>
      <c r="P254" s="18">
        <v>80</v>
      </c>
      <c r="Q254" s="18">
        <v>80</v>
      </c>
      <c r="R254" s="8">
        <f t="shared" si="101"/>
        <v>280</v>
      </c>
      <c r="S254" s="18">
        <f t="shared" si="119"/>
        <v>640</v>
      </c>
      <c r="T254" s="18">
        <f t="shared" si="112"/>
        <v>12</v>
      </c>
      <c r="U254" s="18">
        <f t="shared" si="113"/>
        <v>12</v>
      </c>
      <c r="V254" s="18">
        <f t="shared" si="114"/>
        <v>12</v>
      </c>
      <c r="W254" s="8">
        <f t="shared" si="104"/>
        <v>36</v>
      </c>
      <c r="X254" s="18">
        <f t="shared" si="115"/>
        <v>12</v>
      </c>
      <c r="Y254" s="18">
        <f t="shared" si="116"/>
        <v>8</v>
      </c>
      <c r="Z254" s="18">
        <f t="shared" si="117"/>
        <v>8</v>
      </c>
      <c r="AA254" s="8">
        <f t="shared" si="105"/>
        <v>28</v>
      </c>
      <c r="AB254" s="8">
        <v>39.270000000000003</v>
      </c>
      <c r="AC254" s="8">
        <v>52.462499999999999</v>
      </c>
      <c r="AD254" s="8">
        <v>72.64</v>
      </c>
      <c r="AE254" s="9">
        <f t="shared" si="106"/>
        <v>65376.1</v>
      </c>
      <c r="AF254" s="21">
        <v>6.5000000000000002E-2</v>
      </c>
      <c r="AG254" s="10">
        <f t="shared" si="118"/>
        <v>4249.4465</v>
      </c>
      <c r="AH254" s="64">
        <f t="shared" si="107"/>
        <v>0</v>
      </c>
      <c r="AI254" s="9">
        <f t="shared" si="108"/>
        <v>61126.6535</v>
      </c>
      <c r="AJ254" s="5">
        <v>0.18</v>
      </c>
      <c r="AK254" s="11">
        <f t="shared" si="109"/>
        <v>11002.797629999999</v>
      </c>
      <c r="AL254" s="9">
        <f t="shared" si="110"/>
        <v>72129.451130000001</v>
      </c>
      <c r="AP254" s="12"/>
    </row>
    <row r="255" spans="1:42" x14ac:dyDescent="0.35">
      <c r="A255" s="71">
        <v>46195</v>
      </c>
      <c r="B255" s="72" t="s">
        <v>67</v>
      </c>
      <c r="C255" s="74">
        <v>1176.7759999954201</v>
      </c>
      <c r="D255" s="74">
        <v>40948.753804686399</v>
      </c>
      <c r="E255" s="62" t="s">
        <v>68</v>
      </c>
      <c r="F255" s="19" t="s">
        <v>69</v>
      </c>
      <c r="G255" s="19" t="s">
        <v>128</v>
      </c>
      <c r="H255" s="19" t="s">
        <v>104</v>
      </c>
      <c r="I255" s="6" t="s">
        <v>392</v>
      </c>
      <c r="J255" s="55">
        <v>40</v>
      </c>
      <c r="K255" s="18"/>
      <c r="L255" s="18"/>
      <c r="M255" s="18"/>
      <c r="N255" s="8">
        <f t="shared" si="102"/>
        <v>0</v>
      </c>
      <c r="O255" s="20"/>
      <c r="P255" s="18"/>
      <c r="Q255" s="18"/>
      <c r="R255" s="8">
        <f t="shared" si="101"/>
        <v>0</v>
      </c>
      <c r="S255" s="18">
        <f t="shared" si="119"/>
        <v>40</v>
      </c>
      <c r="T255" s="18">
        <f t="shared" si="112"/>
        <v>0</v>
      </c>
      <c r="U255" s="18">
        <f t="shared" si="113"/>
        <v>0</v>
      </c>
      <c r="V255" s="18">
        <f t="shared" si="114"/>
        <v>0</v>
      </c>
      <c r="W255" s="8">
        <f t="shared" si="104"/>
        <v>0</v>
      </c>
      <c r="X255" s="18">
        <f t="shared" si="115"/>
        <v>0</v>
      </c>
      <c r="Y255" s="18">
        <f t="shared" si="116"/>
        <v>0</v>
      </c>
      <c r="Z255" s="18">
        <f t="shared" si="117"/>
        <v>0</v>
      </c>
      <c r="AA255" s="8">
        <f t="shared" si="105"/>
        <v>0</v>
      </c>
      <c r="AB255" s="8">
        <v>39.270000000000003</v>
      </c>
      <c r="AC255" s="8">
        <v>52.462499999999999</v>
      </c>
      <c r="AD255" s="8">
        <v>72.64</v>
      </c>
      <c r="AE255" s="9">
        <f t="shared" si="106"/>
        <v>4476.3999999999996</v>
      </c>
      <c r="AF255" s="21">
        <v>6.5000000000000002E-2</v>
      </c>
      <c r="AG255" s="10">
        <f t="shared" si="118"/>
        <v>290.96600000000001</v>
      </c>
      <c r="AH255" s="64">
        <f t="shared" si="107"/>
        <v>54.978000000000009</v>
      </c>
      <c r="AI255" s="9">
        <f t="shared" si="108"/>
        <v>4185.4339999999993</v>
      </c>
      <c r="AJ255" s="5">
        <v>0.18</v>
      </c>
      <c r="AK255" s="11">
        <f t="shared" si="109"/>
        <v>753.37811999999985</v>
      </c>
      <c r="AL255" s="9">
        <f t="shared" si="110"/>
        <v>4938.8121199999987</v>
      </c>
      <c r="AP255" s="12"/>
    </row>
    <row r="256" spans="1:42" x14ac:dyDescent="0.35">
      <c r="A256" s="71">
        <v>46195</v>
      </c>
      <c r="B256" s="72" t="s">
        <v>67</v>
      </c>
      <c r="C256" s="74">
        <v>1176.7759999954201</v>
      </c>
      <c r="D256" s="74">
        <v>40948.753804686399</v>
      </c>
      <c r="E256" s="62" t="s">
        <v>68</v>
      </c>
      <c r="F256" s="19" t="s">
        <v>69</v>
      </c>
      <c r="G256" s="19" t="s">
        <v>393</v>
      </c>
      <c r="H256" s="19" t="s">
        <v>104</v>
      </c>
      <c r="I256" s="6" t="s">
        <v>392</v>
      </c>
      <c r="J256" s="55"/>
      <c r="K256" s="18">
        <v>15</v>
      </c>
      <c r="L256" s="18">
        <v>10</v>
      </c>
      <c r="M256" s="18">
        <v>15</v>
      </c>
      <c r="N256" s="8">
        <f t="shared" si="102"/>
        <v>40</v>
      </c>
      <c r="O256" s="18">
        <v>15</v>
      </c>
      <c r="P256" s="18">
        <v>10</v>
      </c>
      <c r="Q256" s="18">
        <v>15</v>
      </c>
      <c r="R256" s="8">
        <f t="shared" si="101"/>
        <v>40</v>
      </c>
      <c r="S256" s="18">
        <f t="shared" si="119"/>
        <v>80</v>
      </c>
      <c r="T256" s="18">
        <f t="shared" si="112"/>
        <v>1.5</v>
      </c>
      <c r="U256" s="18">
        <f t="shared" si="113"/>
        <v>1</v>
      </c>
      <c r="V256" s="18">
        <f t="shared" si="114"/>
        <v>1.5</v>
      </c>
      <c r="W256" s="8">
        <f t="shared" si="104"/>
        <v>4</v>
      </c>
      <c r="X256" s="18">
        <f t="shared" si="115"/>
        <v>1.5</v>
      </c>
      <c r="Y256" s="18">
        <f t="shared" si="116"/>
        <v>1</v>
      </c>
      <c r="Z256" s="18">
        <f t="shared" si="117"/>
        <v>1.5</v>
      </c>
      <c r="AA256" s="8">
        <f t="shared" si="105"/>
        <v>4</v>
      </c>
      <c r="AB256" s="8">
        <v>39.270000000000003</v>
      </c>
      <c r="AC256" s="8">
        <v>52.462499999999999</v>
      </c>
      <c r="AD256" s="8">
        <v>72.64</v>
      </c>
      <c r="AE256" s="9">
        <f t="shared" si="106"/>
        <v>7909.7</v>
      </c>
      <c r="AF256" s="21">
        <v>6.5000000000000002E-2</v>
      </c>
      <c r="AG256" s="10">
        <f t="shared" si="118"/>
        <v>514.13049999999998</v>
      </c>
      <c r="AH256" s="64">
        <f t="shared" si="107"/>
        <v>0</v>
      </c>
      <c r="AI256" s="9">
        <f t="shared" si="108"/>
        <v>7395.5694999999996</v>
      </c>
      <c r="AJ256" s="5">
        <v>0.18</v>
      </c>
      <c r="AK256" s="11">
        <f t="shared" si="109"/>
        <v>1331.2025099999998</v>
      </c>
      <c r="AL256" s="9">
        <f t="shared" si="110"/>
        <v>8726.7720099999988</v>
      </c>
      <c r="AP256" s="12"/>
    </row>
    <row r="257" spans="1:42" x14ac:dyDescent="0.35">
      <c r="A257" s="71">
        <v>46195</v>
      </c>
      <c r="B257" s="72" t="s">
        <v>67</v>
      </c>
      <c r="C257" s="74">
        <v>1176.7759999954201</v>
      </c>
      <c r="D257" s="74">
        <v>40948.753804686399</v>
      </c>
      <c r="E257" s="62" t="s">
        <v>68</v>
      </c>
      <c r="F257" s="19" t="s">
        <v>69</v>
      </c>
      <c r="G257" s="19" t="s">
        <v>394</v>
      </c>
      <c r="H257" s="19" t="s">
        <v>104</v>
      </c>
      <c r="I257" s="6" t="s">
        <v>392</v>
      </c>
      <c r="J257" s="55"/>
      <c r="K257" s="18"/>
      <c r="L257" s="18"/>
      <c r="M257" s="18"/>
      <c r="N257" s="8">
        <f t="shared" si="102"/>
        <v>0</v>
      </c>
      <c r="O257" s="18">
        <v>40</v>
      </c>
      <c r="P257" s="18">
        <v>40</v>
      </c>
      <c r="Q257" s="18">
        <v>40</v>
      </c>
      <c r="R257" s="8">
        <f t="shared" si="101"/>
        <v>120</v>
      </c>
      <c r="S257" s="18">
        <f t="shared" si="119"/>
        <v>120</v>
      </c>
      <c r="T257" s="18">
        <f t="shared" si="112"/>
        <v>0</v>
      </c>
      <c r="U257" s="18">
        <f t="shared" si="113"/>
        <v>0</v>
      </c>
      <c r="V257" s="18">
        <f t="shared" si="114"/>
        <v>0</v>
      </c>
      <c r="W257" s="8">
        <f t="shared" si="104"/>
        <v>0</v>
      </c>
      <c r="X257" s="18">
        <f t="shared" si="115"/>
        <v>4</v>
      </c>
      <c r="Y257" s="18">
        <f t="shared" si="116"/>
        <v>4</v>
      </c>
      <c r="Z257" s="18">
        <f t="shared" si="117"/>
        <v>4</v>
      </c>
      <c r="AA257" s="8">
        <f t="shared" si="105"/>
        <v>12</v>
      </c>
      <c r="AB257" s="8">
        <v>39.270000000000003</v>
      </c>
      <c r="AC257" s="8">
        <v>52.462499999999999</v>
      </c>
      <c r="AD257" s="8">
        <v>72.64</v>
      </c>
      <c r="AE257" s="9">
        <f t="shared" si="106"/>
        <v>8716.7999999999993</v>
      </c>
      <c r="AF257" s="21">
        <v>6.5000000000000002E-2</v>
      </c>
      <c r="AG257" s="10">
        <f t="shared" si="118"/>
        <v>566.59199999999998</v>
      </c>
      <c r="AH257" s="64">
        <f t="shared" si="107"/>
        <v>0</v>
      </c>
      <c r="AI257" s="9">
        <f t="shared" si="108"/>
        <v>8150.2079999999996</v>
      </c>
      <c r="AJ257" s="5">
        <v>0.18</v>
      </c>
      <c r="AK257" s="11">
        <f t="shared" si="109"/>
        <v>1467.0374399999998</v>
      </c>
      <c r="AL257" s="9">
        <f t="shared" si="110"/>
        <v>9617.2454399999988</v>
      </c>
      <c r="AP257" s="12"/>
    </row>
    <row r="258" spans="1:42" x14ac:dyDescent="0.35">
      <c r="A258" s="71">
        <v>46195</v>
      </c>
      <c r="B258" s="72" t="s">
        <v>67</v>
      </c>
      <c r="C258" s="74">
        <v>1176.7759999954201</v>
      </c>
      <c r="D258" s="74">
        <v>40948.753804686399</v>
      </c>
      <c r="E258" s="62" t="s">
        <v>68</v>
      </c>
      <c r="F258" s="19" t="s">
        <v>69</v>
      </c>
      <c r="G258" s="19" t="s">
        <v>395</v>
      </c>
      <c r="H258" s="19" t="s">
        <v>104</v>
      </c>
      <c r="I258" s="6" t="s">
        <v>392</v>
      </c>
      <c r="J258" s="55"/>
      <c r="K258" s="18">
        <v>20</v>
      </c>
      <c r="L258" s="20">
        <v>20</v>
      </c>
      <c r="M258" s="18">
        <v>20</v>
      </c>
      <c r="N258" s="8">
        <f t="shared" si="102"/>
        <v>60</v>
      </c>
      <c r="O258" s="18"/>
      <c r="P258" s="18"/>
      <c r="Q258" s="18"/>
      <c r="R258" s="8">
        <f t="shared" si="101"/>
        <v>0</v>
      </c>
      <c r="S258" s="18">
        <f t="shared" si="119"/>
        <v>60</v>
      </c>
      <c r="T258" s="18">
        <f t="shared" si="112"/>
        <v>2</v>
      </c>
      <c r="U258" s="18">
        <f t="shared" si="113"/>
        <v>2</v>
      </c>
      <c r="V258" s="18">
        <f t="shared" si="114"/>
        <v>2</v>
      </c>
      <c r="W258" s="8">
        <f t="shared" si="104"/>
        <v>6</v>
      </c>
      <c r="X258" s="18">
        <f t="shared" si="115"/>
        <v>0</v>
      </c>
      <c r="Y258" s="18">
        <f t="shared" si="116"/>
        <v>0</v>
      </c>
      <c r="Z258" s="18">
        <f t="shared" si="117"/>
        <v>0</v>
      </c>
      <c r="AA258" s="8">
        <f t="shared" si="105"/>
        <v>0</v>
      </c>
      <c r="AB258" s="8">
        <v>39.270000000000003</v>
      </c>
      <c r="AC258" s="8">
        <v>52.462499999999999</v>
      </c>
      <c r="AD258" s="8">
        <v>72.64</v>
      </c>
      <c r="AE258" s="9">
        <f t="shared" si="106"/>
        <v>7506.15</v>
      </c>
      <c r="AF258" s="21">
        <v>6.5000000000000002E-2</v>
      </c>
      <c r="AG258" s="10">
        <f t="shared" si="118"/>
        <v>487.89974999999998</v>
      </c>
      <c r="AH258" s="64">
        <f t="shared" si="107"/>
        <v>0</v>
      </c>
      <c r="AI258" s="9">
        <f t="shared" si="108"/>
        <v>7018.2502500000001</v>
      </c>
      <c r="AJ258" s="5">
        <v>0.18</v>
      </c>
      <c r="AK258" s="11">
        <f t="shared" si="109"/>
        <v>1263.2850449999999</v>
      </c>
      <c r="AL258" s="9">
        <f t="shared" si="110"/>
        <v>8281.5352949999997</v>
      </c>
      <c r="AP258" s="12"/>
    </row>
    <row r="259" spans="1:42" x14ac:dyDescent="0.35">
      <c r="A259" s="71">
        <v>46195</v>
      </c>
      <c r="B259" s="72" t="s">
        <v>67</v>
      </c>
      <c r="C259" s="74">
        <v>1176.7759999954201</v>
      </c>
      <c r="D259" s="74">
        <v>40948.753804686399</v>
      </c>
      <c r="E259" s="62" t="s">
        <v>68</v>
      </c>
      <c r="F259" s="19" t="s">
        <v>69</v>
      </c>
      <c r="G259" s="19" t="s">
        <v>396</v>
      </c>
      <c r="H259" s="19" t="s">
        <v>104</v>
      </c>
      <c r="I259" s="6" t="s">
        <v>392</v>
      </c>
      <c r="J259" s="55"/>
      <c r="K259" s="20">
        <v>15</v>
      </c>
      <c r="L259" s="20">
        <v>10</v>
      </c>
      <c r="M259" s="20">
        <v>15</v>
      </c>
      <c r="N259" s="8">
        <f t="shared" si="102"/>
        <v>40</v>
      </c>
      <c r="O259" s="20">
        <v>15</v>
      </c>
      <c r="P259" s="20">
        <v>10</v>
      </c>
      <c r="Q259" s="18">
        <v>15</v>
      </c>
      <c r="R259" s="8">
        <f t="shared" ref="R259:R322" si="120">SUM(O259:Q259)</f>
        <v>40</v>
      </c>
      <c r="S259" s="18">
        <f t="shared" si="119"/>
        <v>80</v>
      </c>
      <c r="T259" s="18">
        <f t="shared" si="112"/>
        <v>1.5</v>
      </c>
      <c r="U259" s="18">
        <f t="shared" si="113"/>
        <v>1</v>
      </c>
      <c r="V259" s="18">
        <f t="shared" si="114"/>
        <v>1.5</v>
      </c>
      <c r="W259" s="8">
        <f t="shared" si="104"/>
        <v>4</v>
      </c>
      <c r="X259" s="18">
        <f t="shared" si="115"/>
        <v>1.5</v>
      </c>
      <c r="Y259" s="18">
        <f t="shared" si="116"/>
        <v>1</v>
      </c>
      <c r="Z259" s="18">
        <f t="shared" si="117"/>
        <v>1.5</v>
      </c>
      <c r="AA259" s="8">
        <f t="shared" si="105"/>
        <v>4</v>
      </c>
      <c r="AB259" s="8">
        <v>39.270000000000003</v>
      </c>
      <c r="AC259" s="8">
        <v>52.462499999999999</v>
      </c>
      <c r="AD259" s="8">
        <v>72.64</v>
      </c>
      <c r="AE259" s="9">
        <f t="shared" si="106"/>
        <v>7909.7</v>
      </c>
      <c r="AF259" s="21">
        <v>6.5000000000000002E-2</v>
      </c>
      <c r="AG259" s="10">
        <f t="shared" si="118"/>
        <v>514.13049999999998</v>
      </c>
      <c r="AH259" s="64">
        <f t="shared" si="107"/>
        <v>0</v>
      </c>
      <c r="AI259" s="9">
        <f t="shared" si="108"/>
        <v>7395.5694999999996</v>
      </c>
      <c r="AJ259" s="5">
        <v>0.18</v>
      </c>
      <c r="AK259" s="11">
        <f t="shared" si="109"/>
        <v>1331.2025099999998</v>
      </c>
      <c r="AL259" s="9">
        <f t="shared" si="110"/>
        <v>8726.7720099999988</v>
      </c>
      <c r="AP259" s="12"/>
    </row>
    <row r="260" spans="1:42" x14ac:dyDescent="0.35">
      <c r="A260" s="71">
        <v>46195</v>
      </c>
      <c r="B260" s="72" t="s">
        <v>67</v>
      </c>
      <c r="C260" s="74">
        <v>1176.7759999954201</v>
      </c>
      <c r="D260" s="74">
        <v>40948.753804686399</v>
      </c>
      <c r="E260" s="62" t="s">
        <v>68</v>
      </c>
      <c r="F260" s="19" t="s">
        <v>69</v>
      </c>
      <c r="G260" s="19" t="s">
        <v>397</v>
      </c>
      <c r="H260" s="19" t="s">
        <v>104</v>
      </c>
      <c r="I260" s="6" t="s">
        <v>392</v>
      </c>
      <c r="J260" s="55"/>
      <c r="K260" s="20"/>
      <c r="L260" s="20"/>
      <c r="M260" s="20"/>
      <c r="N260" s="8">
        <f t="shared" ref="N260:N323" si="121">K260+L260+M260</f>
        <v>0</v>
      </c>
      <c r="O260" s="18"/>
      <c r="P260" s="20">
        <v>20</v>
      </c>
      <c r="Q260" s="20">
        <v>20</v>
      </c>
      <c r="R260" s="8">
        <f t="shared" si="120"/>
        <v>40</v>
      </c>
      <c r="S260" s="18">
        <f t="shared" si="119"/>
        <v>40</v>
      </c>
      <c r="T260" s="18">
        <f t="shared" si="112"/>
        <v>0</v>
      </c>
      <c r="U260" s="18">
        <f t="shared" si="113"/>
        <v>0</v>
      </c>
      <c r="V260" s="18">
        <f t="shared" si="114"/>
        <v>0</v>
      </c>
      <c r="W260" s="8">
        <f t="shared" si="104"/>
        <v>0</v>
      </c>
      <c r="X260" s="18">
        <f t="shared" si="115"/>
        <v>0</v>
      </c>
      <c r="Y260" s="18">
        <f t="shared" si="116"/>
        <v>2</v>
      </c>
      <c r="Z260" s="18">
        <f t="shared" si="117"/>
        <v>2</v>
      </c>
      <c r="AA260" s="8">
        <f t="shared" si="105"/>
        <v>4</v>
      </c>
      <c r="AB260" s="8">
        <v>39.270000000000003</v>
      </c>
      <c r="AC260" s="8">
        <v>52.462499999999999</v>
      </c>
      <c r="AD260" s="8">
        <v>72.64</v>
      </c>
      <c r="AE260" s="9">
        <f t="shared" si="106"/>
        <v>2905.6</v>
      </c>
      <c r="AF260" s="21">
        <v>6.5000000000000002E-2</v>
      </c>
      <c r="AG260" s="10">
        <f t="shared" si="118"/>
        <v>188.864</v>
      </c>
      <c r="AH260" s="64">
        <f t="shared" si="107"/>
        <v>0</v>
      </c>
      <c r="AI260" s="9">
        <f t="shared" si="108"/>
        <v>2716.7359999999999</v>
      </c>
      <c r="AJ260" s="5">
        <v>0.18</v>
      </c>
      <c r="AK260" s="11">
        <f t="shared" si="109"/>
        <v>489.01247999999998</v>
      </c>
      <c r="AL260" s="9">
        <f t="shared" si="110"/>
        <v>3205.7484799999997</v>
      </c>
      <c r="AP260" s="12"/>
    </row>
    <row r="261" spans="1:42" x14ac:dyDescent="0.35">
      <c r="A261" s="71">
        <v>46195</v>
      </c>
      <c r="B261" s="72" t="s">
        <v>67</v>
      </c>
      <c r="C261" s="74">
        <v>1176.7759999954201</v>
      </c>
      <c r="D261" s="74">
        <v>40948.753804686399</v>
      </c>
      <c r="E261" s="62" t="s">
        <v>68</v>
      </c>
      <c r="F261" s="19" t="s">
        <v>69</v>
      </c>
      <c r="G261" s="19" t="s">
        <v>398</v>
      </c>
      <c r="H261" s="19" t="s">
        <v>104</v>
      </c>
      <c r="I261" s="6" t="s">
        <v>392</v>
      </c>
      <c r="J261" s="55"/>
      <c r="K261" s="18"/>
      <c r="L261" s="20"/>
      <c r="M261" s="20"/>
      <c r="N261" s="8">
        <f t="shared" si="121"/>
        <v>0</v>
      </c>
      <c r="O261" s="20">
        <v>20</v>
      </c>
      <c r="P261" s="20"/>
      <c r="Q261" s="20"/>
      <c r="R261" s="8">
        <f t="shared" si="120"/>
        <v>20</v>
      </c>
      <c r="S261" s="18">
        <f t="shared" si="119"/>
        <v>20</v>
      </c>
      <c r="T261" s="18">
        <f t="shared" si="112"/>
        <v>0</v>
      </c>
      <c r="U261" s="18">
        <f t="shared" si="113"/>
        <v>0</v>
      </c>
      <c r="V261" s="18">
        <f t="shared" si="114"/>
        <v>0</v>
      </c>
      <c r="W261" s="8">
        <f t="shared" si="104"/>
        <v>0</v>
      </c>
      <c r="X261" s="18">
        <f t="shared" si="115"/>
        <v>2</v>
      </c>
      <c r="Y261" s="18">
        <f t="shared" si="116"/>
        <v>0</v>
      </c>
      <c r="Z261" s="18">
        <f t="shared" si="117"/>
        <v>0</v>
      </c>
      <c r="AA261" s="8">
        <f t="shared" si="105"/>
        <v>2</v>
      </c>
      <c r="AB261" s="8">
        <v>39.270000000000003</v>
      </c>
      <c r="AC261" s="8">
        <v>52.462499999999999</v>
      </c>
      <c r="AD261" s="8">
        <v>72.64</v>
      </c>
      <c r="AE261" s="9">
        <f t="shared" si="106"/>
        <v>1452.8</v>
      </c>
      <c r="AF261" s="21">
        <v>6.5000000000000002E-2</v>
      </c>
      <c r="AG261" s="10">
        <f t="shared" si="118"/>
        <v>94.432000000000002</v>
      </c>
      <c r="AH261" s="64">
        <f t="shared" si="107"/>
        <v>0</v>
      </c>
      <c r="AI261" s="9">
        <f t="shared" si="108"/>
        <v>1358.3679999999999</v>
      </c>
      <c r="AJ261" s="5">
        <v>0.18</v>
      </c>
      <c r="AK261" s="11">
        <f t="shared" si="109"/>
        <v>244.50623999999999</v>
      </c>
      <c r="AL261" s="9">
        <f t="shared" si="110"/>
        <v>1602.8742399999999</v>
      </c>
      <c r="AP261" s="12"/>
    </row>
    <row r="262" spans="1:42" x14ac:dyDescent="0.35">
      <c r="A262" s="71">
        <v>46195</v>
      </c>
      <c r="B262" s="72" t="s">
        <v>67</v>
      </c>
      <c r="C262" s="74">
        <v>1176.7759999954201</v>
      </c>
      <c r="D262" s="74">
        <v>40948.753804686399</v>
      </c>
      <c r="E262" s="62" t="s">
        <v>68</v>
      </c>
      <c r="F262" s="19" t="s">
        <v>69</v>
      </c>
      <c r="G262" s="19" t="s">
        <v>399</v>
      </c>
      <c r="H262" s="19" t="s">
        <v>104</v>
      </c>
      <c r="I262" s="6" t="s">
        <v>392</v>
      </c>
      <c r="J262" s="55"/>
      <c r="K262" s="20"/>
      <c r="L262" s="20"/>
      <c r="M262" s="20"/>
      <c r="N262" s="8">
        <f t="shared" si="121"/>
        <v>0</v>
      </c>
      <c r="O262" s="18">
        <v>20</v>
      </c>
      <c r="P262" s="18">
        <v>20</v>
      </c>
      <c r="Q262" s="18"/>
      <c r="R262" s="8">
        <f t="shared" si="120"/>
        <v>40</v>
      </c>
      <c r="S262" s="18">
        <f t="shared" si="119"/>
        <v>40</v>
      </c>
      <c r="T262" s="18">
        <f t="shared" ref="T262:T317" si="122">K262/10</f>
        <v>0</v>
      </c>
      <c r="U262" s="18">
        <f t="shared" ref="U262:U317" si="123">L262/10</f>
        <v>0</v>
      </c>
      <c r="V262" s="18">
        <f t="shared" ref="V262:V317" si="124">M262/10</f>
        <v>0</v>
      </c>
      <c r="W262" s="8">
        <f t="shared" si="104"/>
        <v>0</v>
      </c>
      <c r="X262" s="18">
        <f t="shared" ref="X262:X317" si="125">O262/10</f>
        <v>2</v>
      </c>
      <c r="Y262" s="18">
        <f t="shared" ref="Y262:Y317" si="126">P262/10</f>
        <v>2</v>
      </c>
      <c r="Z262" s="18">
        <f t="shared" ref="Z262:Z317" si="127">Q262/10</f>
        <v>0</v>
      </c>
      <c r="AA262" s="8">
        <f t="shared" si="105"/>
        <v>4</v>
      </c>
      <c r="AB262" s="8">
        <v>39.270000000000003</v>
      </c>
      <c r="AC262" s="8">
        <v>52.462499999999999</v>
      </c>
      <c r="AD262" s="8">
        <v>72.64</v>
      </c>
      <c r="AE262" s="9">
        <f t="shared" si="106"/>
        <v>2905.6</v>
      </c>
      <c r="AF262" s="21">
        <v>6.5000000000000002E-2</v>
      </c>
      <c r="AG262" s="10">
        <f t="shared" ref="AG262:AG317" si="128">AE262*AF262</f>
        <v>188.864</v>
      </c>
      <c r="AH262" s="64">
        <f t="shared" si="107"/>
        <v>0</v>
      </c>
      <c r="AI262" s="9">
        <f t="shared" si="108"/>
        <v>2716.7359999999999</v>
      </c>
      <c r="AJ262" s="5">
        <v>0.18</v>
      </c>
      <c r="AK262" s="11">
        <f t="shared" si="109"/>
        <v>489.01247999999998</v>
      </c>
      <c r="AL262" s="9">
        <f t="shared" si="110"/>
        <v>3205.7484799999997</v>
      </c>
      <c r="AP262" s="12"/>
    </row>
    <row r="263" spans="1:42" x14ac:dyDescent="0.35">
      <c r="A263" s="71">
        <v>46195</v>
      </c>
      <c r="B263" s="72" t="s">
        <v>67</v>
      </c>
      <c r="C263" s="74">
        <v>1176.7759999954201</v>
      </c>
      <c r="D263" s="74">
        <v>40948.753804686399</v>
      </c>
      <c r="E263" s="62" t="s">
        <v>68</v>
      </c>
      <c r="F263" s="19" t="s">
        <v>69</v>
      </c>
      <c r="G263" s="19" t="s">
        <v>400</v>
      </c>
      <c r="H263" s="19" t="s">
        <v>79</v>
      </c>
      <c r="I263" s="6" t="s">
        <v>160</v>
      </c>
      <c r="J263" s="55"/>
      <c r="K263" s="18">
        <v>10</v>
      </c>
      <c r="L263" s="18">
        <v>10</v>
      </c>
      <c r="M263" s="18">
        <v>20</v>
      </c>
      <c r="N263" s="8">
        <f t="shared" si="121"/>
        <v>40</v>
      </c>
      <c r="O263" s="18"/>
      <c r="P263" s="18"/>
      <c r="Q263" s="18"/>
      <c r="R263" s="8">
        <f t="shared" si="120"/>
        <v>0</v>
      </c>
      <c r="S263" s="18">
        <f t="shared" si="119"/>
        <v>40</v>
      </c>
      <c r="T263" s="18">
        <f t="shared" si="122"/>
        <v>1</v>
      </c>
      <c r="U263" s="18">
        <f t="shared" si="123"/>
        <v>1</v>
      </c>
      <c r="V263" s="18">
        <f t="shared" si="124"/>
        <v>2</v>
      </c>
      <c r="W263" s="8">
        <f t="shared" si="104"/>
        <v>4</v>
      </c>
      <c r="X263" s="18">
        <f t="shared" si="125"/>
        <v>0</v>
      </c>
      <c r="Y263" s="18">
        <f t="shared" si="126"/>
        <v>0</v>
      </c>
      <c r="Z263" s="18">
        <f t="shared" si="127"/>
        <v>0</v>
      </c>
      <c r="AA263" s="8">
        <f t="shared" si="105"/>
        <v>0</v>
      </c>
      <c r="AB263" s="8">
        <v>39.270000000000003</v>
      </c>
      <c r="AC263" s="8">
        <v>52.462499999999999</v>
      </c>
      <c r="AD263" s="8">
        <v>72.64</v>
      </c>
      <c r="AE263" s="9">
        <f t="shared" si="106"/>
        <v>5004.1000000000004</v>
      </c>
      <c r="AF263" s="21">
        <v>6.5000000000000002E-2</v>
      </c>
      <c r="AG263" s="10">
        <f t="shared" si="128"/>
        <v>325.26650000000001</v>
      </c>
      <c r="AH263" s="64">
        <f t="shared" si="107"/>
        <v>0</v>
      </c>
      <c r="AI263" s="9">
        <f t="shared" si="108"/>
        <v>4678.8335000000006</v>
      </c>
      <c r="AJ263" s="5">
        <v>0.18</v>
      </c>
      <c r="AK263" s="11">
        <f t="shared" si="109"/>
        <v>842.19003000000009</v>
      </c>
      <c r="AL263" s="9">
        <f t="shared" si="110"/>
        <v>5521.0235300000004</v>
      </c>
      <c r="AP263" s="12"/>
    </row>
    <row r="264" spans="1:42" x14ac:dyDescent="0.35">
      <c r="A264" s="71">
        <v>46195</v>
      </c>
      <c r="B264" s="72" t="s">
        <v>67</v>
      </c>
      <c r="C264" s="74">
        <v>1176.7759999954201</v>
      </c>
      <c r="D264" s="74">
        <v>40948.753804686399</v>
      </c>
      <c r="E264" s="62" t="s">
        <v>68</v>
      </c>
      <c r="F264" s="19" t="s">
        <v>69</v>
      </c>
      <c r="G264" s="19" t="s">
        <v>401</v>
      </c>
      <c r="H264" s="19" t="s">
        <v>79</v>
      </c>
      <c r="I264" s="6" t="s">
        <v>160</v>
      </c>
      <c r="J264" s="55">
        <v>40</v>
      </c>
      <c r="K264" s="20">
        <v>10</v>
      </c>
      <c r="L264" s="20">
        <v>10</v>
      </c>
      <c r="M264" s="20"/>
      <c r="N264" s="8">
        <f t="shared" si="121"/>
        <v>20</v>
      </c>
      <c r="O264" s="18"/>
      <c r="P264" s="20"/>
      <c r="Q264" s="18"/>
      <c r="R264" s="8">
        <f t="shared" si="120"/>
        <v>0</v>
      </c>
      <c r="S264" s="18">
        <f t="shared" si="119"/>
        <v>60</v>
      </c>
      <c r="T264" s="18">
        <f t="shared" si="122"/>
        <v>1</v>
      </c>
      <c r="U264" s="18">
        <f t="shared" si="123"/>
        <v>1</v>
      </c>
      <c r="V264" s="18">
        <f t="shared" si="124"/>
        <v>0</v>
      </c>
      <c r="W264" s="8">
        <f t="shared" si="104"/>
        <v>2</v>
      </c>
      <c r="X264" s="18">
        <f t="shared" si="125"/>
        <v>0</v>
      </c>
      <c r="Y264" s="18">
        <f t="shared" si="126"/>
        <v>0</v>
      </c>
      <c r="Z264" s="18">
        <f t="shared" si="127"/>
        <v>0</v>
      </c>
      <c r="AA264" s="8">
        <f t="shared" si="105"/>
        <v>0</v>
      </c>
      <c r="AB264" s="8">
        <v>39.270000000000003</v>
      </c>
      <c r="AC264" s="8">
        <v>52.462499999999999</v>
      </c>
      <c r="AD264" s="8">
        <v>72.64</v>
      </c>
      <c r="AE264" s="9">
        <f t="shared" si="106"/>
        <v>6978.45</v>
      </c>
      <c r="AF264" s="21">
        <v>6.5000000000000002E-2</v>
      </c>
      <c r="AG264" s="10">
        <f t="shared" si="128"/>
        <v>453.59924999999998</v>
      </c>
      <c r="AH264" s="64">
        <f t="shared" si="107"/>
        <v>54.978000000000009</v>
      </c>
      <c r="AI264" s="9">
        <f t="shared" si="108"/>
        <v>6524.8507499999996</v>
      </c>
      <c r="AJ264" s="5">
        <v>0.18</v>
      </c>
      <c r="AK264" s="11">
        <f t="shared" si="109"/>
        <v>1174.473135</v>
      </c>
      <c r="AL264" s="9">
        <f t="shared" si="110"/>
        <v>7699.3238849999998</v>
      </c>
      <c r="AP264" s="12"/>
    </row>
    <row r="265" spans="1:42" x14ac:dyDescent="0.35">
      <c r="A265" s="71">
        <v>46195</v>
      </c>
      <c r="B265" s="72" t="s">
        <v>67</v>
      </c>
      <c r="C265" s="74">
        <v>1176.7759999954201</v>
      </c>
      <c r="D265" s="74">
        <v>40948.753804686399</v>
      </c>
      <c r="E265" s="62" t="s">
        <v>68</v>
      </c>
      <c r="F265" s="19" t="s">
        <v>69</v>
      </c>
      <c r="G265" s="19" t="s">
        <v>402</v>
      </c>
      <c r="H265" s="19" t="s">
        <v>79</v>
      </c>
      <c r="I265" s="6" t="s">
        <v>160</v>
      </c>
      <c r="J265" s="55"/>
      <c r="K265" s="18"/>
      <c r="L265" s="20"/>
      <c r="M265" s="18"/>
      <c r="N265" s="8">
        <f t="shared" si="121"/>
        <v>0</v>
      </c>
      <c r="O265" s="20">
        <v>13</v>
      </c>
      <c r="P265" s="20">
        <v>13</v>
      </c>
      <c r="Q265" s="20">
        <v>14</v>
      </c>
      <c r="R265" s="8">
        <f t="shared" si="120"/>
        <v>40</v>
      </c>
      <c r="S265" s="18">
        <f t="shared" si="119"/>
        <v>40</v>
      </c>
      <c r="T265" s="18">
        <f t="shared" si="122"/>
        <v>0</v>
      </c>
      <c r="U265" s="18">
        <f t="shared" si="123"/>
        <v>0</v>
      </c>
      <c r="V265" s="18">
        <f t="shared" si="124"/>
        <v>0</v>
      </c>
      <c r="W265" s="8">
        <f t="shared" si="104"/>
        <v>0</v>
      </c>
      <c r="X265" s="18">
        <f t="shared" si="125"/>
        <v>1.3</v>
      </c>
      <c r="Y265" s="18">
        <f t="shared" si="126"/>
        <v>1.3</v>
      </c>
      <c r="Z265" s="18">
        <f t="shared" si="127"/>
        <v>1.4</v>
      </c>
      <c r="AA265" s="8">
        <f t="shared" si="105"/>
        <v>4</v>
      </c>
      <c r="AB265" s="8">
        <v>39.270000000000003</v>
      </c>
      <c r="AC265" s="8">
        <v>52.462499999999999</v>
      </c>
      <c r="AD265" s="8">
        <v>72.64</v>
      </c>
      <c r="AE265" s="9">
        <f t="shared" si="106"/>
        <v>2905.6</v>
      </c>
      <c r="AF265" s="21">
        <v>6.5000000000000002E-2</v>
      </c>
      <c r="AG265" s="10">
        <f t="shared" si="128"/>
        <v>188.864</v>
      </c>
      <c r="AH265" s="64">
        <f t="shared" si="107"/>
        <v>0</v>
      </c>
      <c r="AI265" s="9">
        <f t="shared" si="108"/>
        <v>2716.7359999999999</v>
      </c>
      <c r="AJ265" s="5">
        <v>0.18</v>
      </c>
      <c r="AK265" s="11">
        <f t="shared" si="109"/>
        <v>489.01247999999998</v>
      </c>
      <c r="AL265" s="9">
        <f t="shared" si="110"/>
        <v>3205.7484799999997</v>
      </c>
      <c r="AP265" s="12"/>
    </row>
    <row r="266" spans="1:42" x14ac:dyDescent="0.35">
      <c r="A266" s="71">
        <v>46195</v>
      </c>
      <c r="B266" s="72" t="s">
        <v>67</v>
      </c>
      <c r="C266" s="74">
        <v>1176.7759999954201</v>
      </c>
      <c r="D266" s="74">
        <v>40948.753804686399</v>
      </c>
      <c r="E266" s="62" t="s">
        <v>68</v>
      </c>
      <c r="F266" s="19" t="s">
        <v>69</v>
      </c>
      <c r="G266" s="19" t="s">
        <v>163</v>
      </c>
      <c r="H266" s="19" t="s">
        <v>79</v>
      </c>
      <c r="I266" s="6" t="s">
        <v>160</v>
      </c>
      <c r="J266" s="55">
        <v>20</v>
      </c>
      <c r="K266" s="18"/>
      <c r="L266" s="18"/>
      <c r="M266" s="20"/>
      <c r="N266" s="8">
        <f t="shared" si="121"/>
        <v>0</v>
      </c>
      <c r="O266" s="20"/>
      <c r="P266" s="20"/>
      <c r="Q266" s="20"/>
      <c r="R266" s="8">
        <f t="shared" si="120"/>
        <v>0</v>
      </c>
      <c r="S266" s="18">
        <f t="shared" si="119"/>
        <v>20</v>
      </c>
      <c r="T266" s="18">
        <f t="shared" si="122"/>
        <v>0</v>
      </c>
      <c r="U266" s="18">
        <f t="shared" si="123"/>
        <v>0</v>
      </c>
      <c r="V266" s="18">
        <f t="shared" si="124"/>
        <v>0</v>
      </c>
      <c r="W266" s="8">
        <f t="shared" si="104"/>
        <v>0</v>
      </c>
      <c r="X266" s="18">
        <f t="shared" si="125"/>
        <v>0</v>
      </c>
      <c r="Y266" s="18">
        <f t="shared" si="126"/>
        <v>0</v>
      </c>
      <c r="Z266" s="18">
        <f t="shared" si="127"/>
        <v>0</v>
      </c>
      <c r="AA266" s="8">
        <f t="shared" si="105"/>
        <v>0</v>
      </c>
      <c r="AB266" s="8">
        <v>39.270000000000003</v>
      </c>
      <c r="AC266" s="8">
        <v>52.462499999999999</v>
      </c>
      <c r="AD266" s="8">
        <v>72.64</v>
      </c>
      <c r="AE266" s="9">
        <f t="shared" si="106"/>
        <v>2238.1999999999998</v>
      </c>
      <c r="AF266" s="21">
        <v>6.5000000000000002E-2</v>
      </c>
      <c r="AG266" s="10">
        <f t="shared" si="128"/>
        <v>145.483</v>
      </c>
      <c r="AH266" s="64">
        <f t="shared" si="107"/>
        <v>27.489000000000004</v>
      </c>
      <c r="AI266" s="9">
        <f t="shared" si="108"/>
        <v>2092.7169999999996</v>
      </c>
      <c r="AJ266" s="5">
        <v>0.18</v>
      </c>
      <c r="AK266" s="11">
        <f t="shared" si="109"/>
        <v>376.68905999999993</v>
      </c>
      <c r="AL266" s="9">
        <f t="shared" si="110"/>
        <v>2469.4060599999993</v>
      </c>
      <c r="AP266" s="12"/>
    </row>
    <row r="267" spans="1:42" x14ac:dyDescent="0.35">
      <c r="A267" s="71">
        <v>46195</v>
      </c>
      <c r="B267" s="72" t="s">
        <v>67</v>
      </c>
      <c r="C267" s="74">
        <v>1176.7759999954201</v>
      </c>
      <c r="D267" s="74">
        <v>40948.753804686399</v>
      </c>
      <c r="E267" s="62" t="s">
        <v>68</v>
      </c>
      <c r="F267" s="19" t="s">
        <v>69</v>
      </c>
      <c r="G267" s="19" t="s">
        <v>404</v>
      </c>
      <c r="H267" s="19" t="s">
        <v>403</v>
      </c>
      <c r="I267" s="6" t="s">
        <v>405</v>
      </c>
      <c r="J267" s="55"/>
      <c r="K267" s="20">
        <v>12</v>
      </c>
      <c r="L267" s="18">
        <v>18</v>
      </c>
      <c r="M267" s="18">
        <v>18</v>
      </c>
      <c r="N267" s="8">
        <f t="shared" si="121"/>
        <v>48</v>
      </c>
      <c r="O267" s="20">
        <v>15</v>
      </c>
      <c r="P267" s="20">
        <v>15</v>
      </c>
      <c r="Q267" s="20">
        <v>15</v>
      </c>
      <c r="R267" s="8">
        <f t="shared" si="120"/>
        <v>45</v>
      </c>
      <c r="S267" s="18">
        <f t="shared" si="119"/>
        <v>93</v>
      </c>
      <c r="T267" s="18">
        <f t="shared" si="122"/>
        <v>1.2</v>
      </c>
      <c r="U267" s="18">
        <f t="shared" si="123"/>
        <v>1.8</v>
      </c>
      <c r="V267" s="18">
        <f t="shared" si="124"/>
        <v>1.8</v>
      </c>
      <c r="W267" s="8">
        <f t="shared" ref="W267:W330" si="129">N267/10</f>
        <v>4.8</v>
      </c>
      <c r="X267" s="18">
        <f t="shared" si="125"/>
        <v>1.5</v>
      </c>
      <c r="Y267" s="18">
        <f t="shared" si="126"/>
        <v>1.5</v>
      </c>
      <c r="Z267" s="18">
        <f t="shared" si="127"/>
        <v>1.5</v>
      </c>
      <c r="AA267" s="8">
        <f t="shared" ref="AA267:AA330" si="130">R267/10</f>
        <v>4.5</v>
      </c>
      <c r="AB267" s="8">
        <v>39.270000000000003</v>
      </c>
      <c r="AC267" s="8">
        <v>52.462499999999999</v>
      </c>
      <c r="AD267" s="8">
        <v>72.64</v>
      </c>
      <c r="AE267" s="9">
        <f t="shared" ref="AE267:AE330" si="131">(J267*AB267)+(N267*AC267)+(AD267*S267)</f>
        <v>9273.7200000000012</v>
      </c>
      <c r="AF267" s="21">
        <v>6.5000000000000002E-2</v>
      </c>
      <c r="AG267" s="10">
        <f t="shared" si="128"/>
        <v>602.79180000000008</v>
      </c>
      <c r="AH267" s="64">
        <f t="shared" ref="AH267:AH330" si="132">(AB267*J267)*$AH$1</f>
        <v>0</v>
      </c>
      <c r="AI267" s="9">
        <f t="shared" ref="AI267:AI330" si="133">AE267-AG267</f>
        <v>8670.9282000000003</v>
      </c>
      <c r="AJ267" s="5">
        <v>0.18</v>
      </c>
      <c r="AK267" s="11">
        <f t="shared" ref="AK267:AK330" si="134">AI267*AJ267</f>
        <v>1560.7670760000001</v>
      </c>
      <c r="AL267" s="9">
        <f t="shared" ref="AL267:AL330" si="135">AI267+AK267</f>
        <v>10231.695276</v>
      </c>
      <c r="AP267" s="12"/>
    </row>
    <row r="268" spans="1:42" x14ac:dyDescent="0.35">
      <c r="A268" s="71">
        <v>46195</v>
      </c>
      <c r="B268" s="72" t="s">
        <v>67</v>
      </c>
      <c r="C268" s="74">
        <v>1176.7759999954201</v>
      </c>
      <c r="D268" s="74">
        <v>40948.753804686399</v>
      </c>
      <c r="E268" s="62" t="s">
        <v>68</v>
      </c>
      <c r="F268" s="19" t="s">
        <v>69</v>
      </c>
      <c r="G268" s="19" t="s">
        <v>406</v>
      </c>
      <c r="H268" s="19" t="s">
        <v>403</v>
      </c>
      <c r="I268" s="6" t="s">
        <v>405</v>
      </c>
      <c r="J268" s="55"/>
      <c r="K268" s="18">
        <v>20</v>
      </c>
      <c r="L268" s="18">
        <v>20</v>
      </c>
      <c r="M268" s="20"/>
      <c r="N268" s="8">
        <f t="shared" si="121"/>
        <v>40</v>
      </c>
      <c r="O268" s="20"/>
      <c r="P268" s="20"/>
      <c r="Q268" s="20"/>
      <c r="R268" s="8">
        <f t="shared" si="120"/>
        <v>0</v>
      </c>
      <c r="S268" s="18">
        <f t="shared" si="119"/>
        <v>40</v>
      </c>
      <c r="T268" s="18">
        <f t="shared" si="122"/>
        <v>2</v>
      </c>
      <c r="U268" s="18">
        <f t="shared" si="123"/>
        <v>2</v>
      </c>
      <c r="V268" s="18">
        <f t="shared" si="124"/>
        <v>0</v>
      </c>
      <c r="W268" s="8">
        <f t="shared" si="129"/>
        <v>4</v>
      </c>
      <c r="X268" s="18">
        <f t="shared" si="125"/>
        <v>0</v>
      </c>
      <c r="Y268" s="18">
        <f t="shared" si="126"/>
        <v>0</v>
      </c>
      <c r="Z268" s="18">
        <f t="shared" si="127"/>
        <v>0</v>
      </c>
      <c r="AA268" s="8">
        <f t="shared" si="130"/>
        <v>0</v>
      </c>
      <c r="AB268" s="8">
        <v>39.270000000000003</v>
      </c>
      <c r="AC268" s="8">
        <v>52.462499999999999</v>
      </c>
      <c r="AD268" s="8">
        <v>72.64</v>
      </c>
      <c r="AE268" s="9">
        <f t="shared" si="131"/>
        <v>5004.1000000000004</v>
      </c>
      <c r="AF268" s="21">
        <v>6.5000000000000002E-2</v>
      </c>
      <c r="AG268" s="10">
        <f t="shared" si="128"/>
        <v>325.26650000000001</v>
      </c>
      <c r="AH268" s="64">
        <f t="shared" si="132"/>
        <v>0</v>
      </c>
      <c r="AI268" s="9">
        <f t="shared" si="133"/>
        <v>4678.8335000000006</v>
      </c>
      <c r="AJ268" s="5">
        <v>0.18</v>
      </c>
      <c r="AK268" s="11">
        <f t="shared" si="134"/>
        <v>842.19003000000009</v>
      </c>
      <c r="AL268" s="9">
        <f t="shared" si="135"/>
        <v>5521.0235300000004</v>
      </c>
      <c r="AP268" s="12"/>
    </row>
    <row r="269" spans="1:42" x14ac:dyDescent="0.35">
      <c r="A269" s="71">
        <v>46195</v>
      </c>
      <c r="B269" s="72" t="s">
        <v>67</v>
      </c>
      <c r="C269" s="74">
        <v>1176.7759999954201</v>
      </c>
      <c r="D269" s="74">
        <v>40948.753804686399</v>
      </c>
      <c r="E269" s="62" t="s">
        <v>68</v>
      </c>
      <c r="F269" s="19" t="s">
        <v>69</v>
      </c>
      <c r="G269" s="19" t="s">
        <v>407</v>
      </c>
      <c r="H269" s="19" t="s">
        <v>403</v>
      </c>
      <c r="I269" s="6" t="s">
        <v>408</v>
      </c>
      <c r="J269" s="55"/>
      <c r="K269" s="20"/>
      <c r="L269" s="20"/>
      <c r="M269" s="20"/>
      <c r="N269" s="8">
        <f t="shared" si="121"/>
        <v>0</v>
      </c>
      <c r="O269" s="18">
        <v>10</v>
      </c>
      <c r="P269" s="18">
        <v>15</v>
      </c>
      <c r="Q269" s="18">
        <v>15</v>
      </c>
      <c r="R269" s="8">
        <f t="shared" si="120"/>
        <v>40</v>
      </c>
      <c r="S269" s="18">
        <f t="shared" si="119"/>
        <v>40</v>
      </c>
      <c r="T269" s="18">
        <f t="shared" si="122"/>
        <v>0</v>
      </c>
      <c r="U269" s="18">
        <f t="shared" si="123"/>
        <v>0</v>
      </c>
      <c r="V269" s="18">
        <f t="shared" si="124"/>
        <v>0</v>
      </c>
      <c r="W269" s="8">
        <f t="shared" si="129"/>
        <v>0</v>
      </c>
      <c r="X269" s="18">
        <f t="shared" si="125"/>
        <v>1</v>
      </c>
      <c r="Y269" s="18">
        <f t="shared" si="126"/>
        <v>1.5</v>
      </c>
      <c r="Z269" s="18">
        <f t="shared" si="127"/>
        <v>1.5</v>
      </c>
      <c r="AA269" s="8">
        <f t="shared" si="130"/>
        <v>4</v>
      </c>
      <c r="AB269" s="8">
        <v>39.270000000000003</v>
      </c>
      <c r="AC269" s="8">
        <v>52.462499999999999</v>
      </c>
      <c r="AD269" s="8">
        <v>72.64</v>
      </c>
      <c r="AE269" s="9">
        <f t="shared" si="131"/>
        <v>2905.6</v>
      </c>
      <c r="AF269" s="21">
        <v>6.5000000000000002E-2</v>
      </c>
      <c r="AG269" s="10">
        <f t="shared" si="128"/>
        <v>188.864</v>
      </c>
      <c r="AH269" s="64">
        <f t="shared" si="132"/>
        <v>0</v>
      </c>
      <c r="AI269" s="9">
        <f t="shared" si="133"/>
        <v>2716.7359999999999</v>
      </c>
      <c r="AJ269" s="5">
        <v>0.18</v>
      </c>
      <c r="AK269" s="11">
        <f t="shared" si="134"/>
        <v>489.01247999999998</v>
      </c>
      <c r="AL269" s="9">
        <f t="shared" si="135"/>
        <v>3205.7484799999997</v>
      </c>
      <c r="AP269" s="12"/>
    </row>
    <row r="270" spans="1:42" x14ac:dyDescent="0.35">
      <c r="A270" s="71">
        <v>46195</v>
      </c>
      <c r="B270" s="72" t="s">
        <v>67</v>
      </c>
      <c r="C270" s="74">
        <v>1176.7759999954201</v>
      </c>
      <c r="D270" s="74">
        <v>40948.753804686399</v>
      </c>
      <c r="E270" s="62" t="s">
        <v>68</v>
      </c>
      <c r="F270" s="19" t="s">
        <v>69</v>
      </c>
      <c r="G270" s="19" t="s">
        <v>409</v>
      </c>
      <c r="H270" s="19" t="s">
        <v>403</v>
      </c>
      <c r="I270" s="6" t="s">
        <v>408</v>
      </c>
      <c r="J270" s="55"/>
      <c r="K270" s="20">
        <v>6</v>
      </c>
      <c r="L270" s="20">
        <v>6</v>
      </c>
      <c r="M270" s="20">
        <v>6</v>
      </c>
      <c r="N270" s="8">
        <f t="shared" si="121"/>
        <v>18</v>
      </c>
      <c r="O270" s="18"/>
      <c r="P270" s="18"/>
      <c r="Q270" s="18"/>
      <c r="R270" s="8">
        <f t="shared" si="120"/>
        <v>0</v>
      </c>
      <c r="S270" s="18">
        <f t="shared" si="119"/>
        <v>18</v>
      </c>
      <c r="T270" s="18">
        <f t="shared" si="122"/>
        <v>0.6</v>
      </c>
      <c r="U270" s="18">
        <f t="shared" si="123"/>
        <v>0.6</v>
      </c>
      <c r="V270" s="18">
        <f t="shared" si="124"/>
        <v>0.6</v>
      </c>
      <c r="W270" s="8">
        <f t="shared" si="129"/>
        <v>1.8</v>
      </c>
      <c r="X270" s="18">
        <f t="shared" si="125"/>
        <v>0</v>
      </c>
      <c r="Y270" s="18">
        <f t="shared" si="126"/>
        <v>0</v>
      </c>
      <c r="Z270" s="18">
        <f t="shared" si="127"/>
        <v>0</v>
      </c>
      <c r="AA270" s="8">
        <f t="shared" si="130"/>
        <v>0</v>
      </c>
      <c r="AB270" s="8">
        <v>39.270000000000003</v>
      </c>
      <c r="AC270" s="8">
        <v>52.462499999999999</v>
      </c>
      <c r="AD270" s="8">
        <v>72.64</v>
      </c>
      <c r="AE270" s="9">
        <f t="shared" si="131"/>
        <v>2251.8449999999998</v>
      </c>
      <c r="AF270" s="21">
        <v>6.5000000000000002E-2</v>
      </c>
      <c r="AG270" s="10">
        <f t="shared" si="128"/>
        <v>146.36992499999999</v>
      </c>
      <c r="AH270" s="64">
        <f t="shared" si="132"/>
        <v>0</v>
      </c>
      <c r="AI270" s="9">
        <f t="shared" si="133"/>
        <v>2105.4750749999998</v>
      </c>
      <c r="AJ270" s="5">
        <v>0.18</v>
      </c>
      <c r="AK270" s="11">
        <f t="shared" si="134"/>
        <v>378.98551349999997</v>
      </c>
      <c r="AL270" s="9">
        <f t="shared" si="135"/>
        <v>2484.4605884999996</v>
      </c>
      <c r="AP270" s="12"/>
    </row>
    <row r="271" spans="1:42" x14ac:dyDescent="0.35">
      <c r="A271" s="71">
        <v>46195</v>
      </c>
      <c r="B271" s="72" t="s">
        <v>67</v>
      </c>
      <c r="C271" s="74">
        <v>1176.7759999954201</v>
      </c>
      <c r="D271" s="74">
        <v>40948.753804686399</v>
      </c>
      <c r="E271" s="62" t="s">
        <v>68</v>
      </c>
      <c r="F271" s="19" t="s">
        <v>69</v>
      </c>
      <c r="G271" s="19" t="s">
        <v>410</v>
      </c>
      <c r="H271" s="19" t="s">
        <v>403</v>
      </c>
      <c r="I271" s="6" t="s">
        <v>411</v>
      </c>
      <c r="J271" s="55"/>
      <c r="K271" s="20">
        <v>80</v>
      </c>
      <c r="L271" s="20">
        <v>80</v>
      </c>
      <c r="M271" s="18">
        <v>80</v>
      </c>
      <c r="N271" s="8">
        <f t="shared" si="121"/>
        <v>240</v>
      </c>
      <c r="O271" s="18">
        <v>80</v>
      </c>
      <c r="P271" s="18">
        <v>80</v>
      </c>
      <c r="Q271" s="20">
        <v>80</v>
      </c>
      <c r="R271" s="8">
        <f t="shared" si="120"/>
        <v>240</v>
      </c>
      <c r="S271" s="18">
        <f t="shared" si="119"/>
        <v>480</v>
      </c>
      <c r="T271" s="18">
        <f t="shared" si="122"/>
        <v>8</v>
      </c>
      <c r="U271" s="18">
        <f t="shared" si="123"/>
        <v>8</v>
      </c>
      <c r="V271" s="18">
        <f t="shared" si="124"/>
        <v>8</v>
      </c>
      <c r="W271" s="8">
        <f t="shared" si="129"/>
        <v>24</v>
      </c>
      <c r="X271" s="18">
        <f t="shared" si="125"/>
        <v>8</v>
      </c>
      <c r="Y271" s="18">
        <f t="shared" si="126"/>
        <v>8</v>
      </c>
      <c r="Z271" s="18">
        <f t="shared" si="127"/>
        <v>8</v>
      </c>
      <c r="AA271" s="8">
        <f t="shared" si="130"/>
        <v>24</v>
      </c>
      <c r="AB271" s="8">
        <v>39.270000000000003</v>
      </c>
      <c r="AC271" s="8">
        <v>52.462499999999999</v>
      </c>
      <c r="AD271" s="8">
        <v>72.64</v>
      </c>
      <c r="AE271" s="9">
        <f t="shared" si="131"/>
        <v>47458.2</v>
      </c>
      <c r="AF271" s="21">
        <v>6.5000000000000002E-2</v>
      </c>
      <c r="AG271" s="10">
        <f t="shared" si="128"/>
        <v>3084.7829999999999</v>
      </c>
      <c r="AH271" s="64">
        <f t="shared" si="132"/>
        <v>0</v>
      </c>
      <c r="AI271" s="9">
        <f t="shared" si="133"/>
        <v>44373.416999999994</v>
      </c>
      <c r="AJ271" s="5">
        <v>0.18</v>
      </c>
      <c r="AK271" s="11">
        <f t="shared" si="134"/>
        <v>7987.2150599999986</v>
      </c>
      <c r="AL271" s="9">
        <f t="shared" si="135"/>
        <v>52360.632059999989</v>
      </c>
      <c r="AP271" s="12"/>
    </row>
    <row r="272" spans="1:42" x14ac:dyDescent="0.35">
      <c r="A272" s="71">
        <v>46195</v>
      </c>
      <c r="B272" s="72" t="s">
        <v>67</v>
      </c>
      <c r="C272" s="74">
        <v>1176.7759999954201</v>
      </c>
      <c r="D272" s="74">
        <v>40948.753804686399</v>
      </c>
      <c r="E272" s="62" t="s">
        <v>68</v>
      </c>
      <c r="F272" s="19" t="s">
        <v>69</v>
      </c>
      <c r="G272" s="19" t="s">
        <v>412</v>
      </c>
      <c r="H272" s="19" t="s">
        <v>403</v>
      </c>
      <c r="I272" s="6" t="s">
        <v>408</v>
      </c>
      <c r="J272" s="55"/>
      <c r="K272" s="18"/>
      <c r="L272" s="18"/>
      <c r="M272" s="18"/>
      <c r="N272" s="8">
        <f t="shared" si="121"/>
        <v>0</v>
      </c>
      <c r="O272" s="18">
        <v>10</v>
      </c>
      <c r="P272" s="18">
        <v>10</v>
      </c>
      <c r="Q272" s="18"/>
      <c r="R272" s="8">
        <f t="shared" si="120"/>
        <v>20</v>
      </c>
      <c r="S272" s="18">
        <f t="shared" si="119"/>
        <v>20</v>
      </c>
      <c r="T272" s="18">
        <f t="shared" si="122"/>
        <v>0</v>
      </c>
      <c r="U272" s="18">
        <f t="shared" si="123"/>
        <v>0</v>
      </c>
      <c r="V272" s="18">
        <f t="shared" si="124"/>
        <v>0</v>
      </c>
      <c r="W272" s="8">
        <f t="shared" si="129"/>
        <v>0</v>
      </c>
      <c r="X272" s="18">
        <f t="shared" si="125"/>
        <v>1</v>
      </c>
      <c r="Y272" s="18">
        <f t="shared" si="126"/>
        <v>1</v>
      </c>
      <c r="Z272" s="18">
        <f t="shared" si="127"/>
        <v>0</v>
      </c>
      <c r="AA272" s="8">
        <f t="shared" si="130"/>
        <v>2</v>
      </c>
      <c r="AB272" s="8">
        <v>39.270000000000003</v>
      </c>
      <c r="AC272" s="8">
        <v>52.462499999999999</v>
      </c>
      <c r="AD272" s="8">
        <v>72.64</v>
      </c>
      <c r="AE272" s="9">
        <f t="shared" si="131"/>
        <v>1452.8</v>
      </c>
      <c r="AF272" s="21">
        <v>6.5000000000000002E-2</v>
      </c>
      <c r="AG272" s="10">
        <f t="shared" si="128"/>
        <v>94.432000000000002</v>
      </c>
      <c r="AH272" s="64">
        <f t="shared" si="132"/>
        <v>0</v>
      </c>
      <c r="AI272" s="9">
        <f t="shared" si="133"/>
        <v>1358.3679999999999</v>
      </c>
      <c r="AJ272" s="5">
        <v>0.18</v>
      </c>
      <c r="AK272" s="11">
        <f t="shared" si="134"/>
        <v>244.50623999999999</v>
      </c>
      <c r="AL272" s="9">
        <f t="shared" si="135"/>
        <v>1602.8742399999999</v>
      </c>
      <c r="AP272" s="12"/>
    </row>
    <row r="273" spans="1:42" x14ac:dyDescent="0.35">
      <c r="A273" s="71">
        <v>46195</v>
      </c>
      <c r="B273" s="72" t="s">
        <v>67</v>
      </c>
      <c r="C273" s="74">
        <v>1176.7759999954201</v>
      </c>
      <c r="D273" s="74">
        <v>40948.753804686399</v>
      </c>
      <c r="E273" s="62" t="s">
        <v>68</v>
      </c>
      <c r="F273" s="19" t="s">
        <v>69</v>
      </c>
      <c r="G273" s="19" t="s">
        <v>274</v>
      </c>
      <c r="H273" s="19" t="s">
        <v>99</v>
      </c>
      <c r="I273" s="6" t="s">
        <v>413</v>
      </c>
      <c r="J273" s="55">
        <v>10</v>
      </c>
      <c r="K273" s="20"/>
      <c r="L273" s="20">
        <v>6</v>
      </c>
      <c r="M273" s="20"/>
      <c r="N273" s="8">
        <f t="shared" si="121"/>
        <v>6</v>
      </c>
      <c r="O273" s="18"/>
      <c r="P273" s="18"/>
      <c r="Q273" s="18"/>
      <c r="R273" s="8">
        <f t="shared" si="120"/>
        <v>0</v>
      </c>
      <c r="S273" s="18">
        <f t="shared" si="119"/>
        <v>16</v>
      </c>
      <c r="T273" s="18">
        <f t="shared" si="122"/>
        <v>0</v>
      </c>
      <c r="U273" s="18">
        <f t="shared" si="123"/>
        <v>0.6</v>
      </c>
      <c r="V273" s="18">
        <f t="shared" si="124"/>
        <v>0</v>
      </c>
      <c r="W273" s="8">
        <f t="shared" si="129"/>
        <v>0.6</v>
      </c>
      <c r="X273" s="18">
        <f t="shared" si="125"/>
        <v>0</v>
      </c>
      <c r="Y273" s="18">
        <f t="shared" si="126"/>
        <v>0</v>
      </c>
      <c r="Z273" s="18">
        <f t="shared" si="127"/>
        <v>0</v>
      </c>
      <c r="AA273" s="8">
        <f t="shared" si="130"/>
        <v>0</v>
      </c>
      <c r="AB273" s="8">
        <v>39.270000000000003</v>
      </c>
      <c r="AC273" s="8">
        <v>52.462499999999999</v>
      </c>
      <c r="AD273" s="8">
        <v>72.64</v>
      </c>
      <c r="AE273" s="9">
        <f t="shared" si="131"/>
        <v>1869.7150000000001</v>
      </c>
      <c r="AF273" s="21">
        <v>6.5000000000000002E-2</v>
      </c>
      <c r="AG273" s="10">
        <f t="shared" si="128"/>
        <v>121.53147500000001</v>
      </c>
      <c r="AH273" s="64">
        <f t="shared" si="132"/>
        <v>13.744500000000002</v>
      </c>
      <c r="AI273" s="9">
        <f t="shared" si="133"/>
        <v>1748.1835250000001</v>
      </c>
      <c r="AJ273" s="5">
        <v>0.18</v>
      </c>
      <c r="AK273" s="11">
        <f t="shared" si="134"/>
        <v>314.67303450000003</v>
      </c>
      <c r="AL273" s="9">
        <f t="shared" si="135"/>
        <v>2062.8565595</v>
      </c>
      <c r="AP273" s="12"/>
    </row>
    <row r="274" spans="1:42" x14ac:dyDescent="0.35">
      <c r="A274" s="71">
        <v>46195</v>
      </c>
      <c r="B274" s="72" t="s">
        <v>67</v>
      </c>
      <c r="C274" s="74">
        <v>1176.7759999954201</v>
      </c>
      <c r="D274" s="74">
        <v>40948.753804686399</v>
      </c>
      <c r="E274" s="62" t="s">
        <v>68</v>
      </c>
      <c r="F274" s="19" t="s">
        <v>69</v>
      </c>
      <c r="G274" s="19" t="s">
        <v>183</v>
      </c>
      <c r="H274" s="19" t="s">
        <v>89</v>
      </c>
      <c r="I274" s="6" t="s">
        <v>414</v>
      </c>
      <c r="J274" s="55">
        <v>10</v>
      </c>
      <c r="K274" s="18"/>
      <c r="L274" s="18"/>
      <c r="M274" s="18"/>
      <c r="N274" s="8">
        <f t="shared" si="121"/>
        <v>0</v>
      </c>
      <c r="O274" s="18"/>
      <c r="P274" s="18"/>
      <c r="Q274" s="18"/>
      <c r="R274" s="8">
        <f t="shared" si="120"/>
        <v>0</v>
      </c>
      <c r="S274" s="18">
        <f t="shared" si="119"/>
        <v>10</v>
      </c>
      <c r="T274" s="18">
        <f t="shared" si="122"/>
        <v>0</v>
      </c>
      <c r="U274" s="18">
        <f t="shared" si="123"/>
        <v>0</v>
      </c>
      <c r="V274" s="18">
        <f t="shared" si="124"/>
        <v>0</v>
      </c>
      <c r="W274" s="8">
        <f t="shared" si="129"/>
        <v>0</v>
      </c>
      <c r="X274" s="18">
        <f t="shared" si="125"/>
        <v>0</v>
      </c>
      <c r="Y274" s="18">
        <f t="shared" si="126"/>
        <v>0</v>
      </c>
      <c r="Z274" s="18">
        <f t="shared" si="127"/>
        <v>0</v>
      </c>
      <c r="AA274" s="8">
        <f t="shared" si="130"/>
        <v>0</v>
      </c>
      <c r="AB274" s="8">
        <v>39.270000000000003</v>
      </c>
      <c r="AC274" s="8">
        <v>52.462499999999999</v>
      </c>
      <c r="AD274" s="8">
        <v>72.64</v>
      </c>
      <c r="AE274" s="9">
        <f t="shared" si="131"/>
        <v>1119.0999999999999</v>
      </c>
      <c r="AF274" s="21">
        <v>6.5000000000000002E-2</v>
      </c>
      <c r="AG274" s="10">
        <f t="shared" si="128"/>
        <v>72.741500000000002</v>
      </c>
      <c r="AH274" s="64">
        <f t="shared" si="132"/>
        <v>13.744500000000002</v>
      </c>
      <c r="AI274" s="9">
        <f t="shared" si="133"/>
        <v>1046.3584999999998</v>
      </c>
      <c r="AJ274" s="5">
        <v>0.18</v>
      </c>
      <c r="AK274" s="11">
        <f t="shared" si="134"/>
        <v>188.34452999999996</v>
      </c>
      <c r="AL274" s="9">
        <f t="shared" si="135"/>
        <v>1234.7030299999997</v>
      </c>
      <c r="AP274" s="12"/>
    </row>
    <row r="275" spans="1:42" x14ac:dyDescent="0.35">
      <c r="A275" s="71">
        <v>46195</v>
      </c>
      <c r="B275" s="72" t="s">
        <v>67</v>
      </c>
      <c r="C275" s="74">
        <v>1176.7759999954201</v>
      </c>
      <c r="D275" s="74">
        <v>40948.753804686399</v>
      </c>
      <c r="E275" s="62" t="s">
        <v>68</v>
      </c>
      <c r="F275" s="19" t="s">
        <v>69</v>
      </c>
      <c r="G275" s="19" t="s">
        <v>415</v>
      </c>
      <c r="H275" s="19" t="s">
        <v>89</v>
      </c>
      <c r="I275" s="6" t="s">
        <v>414</v>
      </c>
      <c r="J275" s="55">
        <v>10</v>
      </c>
      <c r="K275" s="18"/>
      <c r="L275" s="18"/>
      <c r="M275" s="18"/>
      <c r="N275" s="8">
        <f t="shared" si="121"/>
        <v>0</v>
      </c>
      <c r="O275" s="20"/>
      <c r="P275" s="20"/>
      <c r="Q275" s="20"/>
      <c r="R275" s="8">
        <f t="shared" si="120"/>
        <v>0</v>
      </c>
      <c r="S275" s="18">
        <f t="shared" si="119"/>
        <v>10</v>
      </c>
      <c r="T275" s="18">
        <f t="shared" si="122"/>
        <v>0</v>
      </c>
      <c r="U275" s="18">
        <f t="shared" si="123"/>
        <v>0</v>
      </c>
      <c r="V275" s="18">
        <f t="shared" si="124"/>
        <v>0</v>
      </c>
      <c r="W275" s="8">
        <f t="shared" si="129"/>
        <v>0</v>
      </c>
      <c r="X275" s="18">
        <f t="shared" si="125"/>
        <v>0</v>
      </c>
      <c r="Y275" s="18">
        <f t="shared" si="126"/>
        <v>0</v>
      </c>
      <c r="Z275" s="18">
        <f t="shared" si="127"/>
        <v>0</v>
      </c>
      <c r="AA275" s="8">
        <f t="shared" si="130"/>
        <v>0</v>
      </c>
      <c r="AB275" s="8">
        <v>39.270000000000003</v>
      </c>
      <c r="AC275" s="8">
        <v>52.462499999999999</v>
      </c>
      <c r="AD275" s="8">
        <v>72.64</v>
      </c>
      <c r="AE275" s="9">
        <f t="shared" si="131"/>
        <v>1119.0999999999999</v>
      </c>
      <c r="AF275" s="21">
        <v>6.5000000000000002E-2</v>
      </c>
      <c r="AG275" s="10">
        <f t="shared" si="128"/>
        <v>72.741500000000002</v>
      </c>
      <c r="AH275" s="64">
        <f t="shared" si="132"/>
        <v>13.744500000000002</v>
      </c>
      <c r="AI275" s="9">
        <f t="shared" si="133"/>
        <v>1046.3584999999998</v>
      </c>
      <c r="AJ275" s="5">
        <v>0.18</v>
      </c>
      <c r="AK275" s="11">
        <f t="shared" si="134"/>
        <v>188.34452999999996</v>
      </c>
      <c r="AL275" s="9">
        <f t="shared" si="135"/>
        <v>1234.7030299999997</v>
      </c>
      <c r="AP275" s="12"/>
    </row>
    <row r="276" spans="1:42" x14ac:dyDescent="0.35">
      <c r="A276" s="71">
        <v>46195</v>
      </c>
      <c r="B276" s="72" t="s">
        <v>67</v>
      </c>
      <c r="C276" s="74">
        <v>1176.7759999954201</v>
      </c>
      <c r="D276" s="74">
        <v>40948.753804686399</v>
      </c>
      <c r="E276" s="62" t="s">
        <v>68</v>
      </c>
      <c r="F276" s="19" t="s">
        <v>69</v>
      </c>
      <c r="G276" s="19" t="s">
        <v>158</v>
      </c>
      <c r="H276" s="19" t="s">
        <v>89</v>
      </c>
      <c r="I276" s="6" t="s">
        <v>414</v>
      </c>
      <c r="J276" s="55"/>
      <c r="K276" s="18"/>
      <c r="L276" s="20"/>
      <c r="M276" s="18"/>
      <c r="N276" s="8">
        <f t="shared" si="121"/>
        <v>0</v>
      </c>
      <c r="O276" s="20">
        <v>15</v>
      </c>
      <c r="P276" s="20">
        <v>10</v>
      </c>
      <c r="Q276" s="20">
        <v>15</v>
      </c>
      <c r="R276" s="8">
        <f t="shared" si="120"/>
        <v>40</v>
      </c>
      <c r="S276" s="18">
        <f t="shared" si="119"/>
        <v>40</v>
      </c>
      <c r="T276" s="18">
        <f t="shared" si="122"/>
        <v>0</v>
      </c>
      <c r="U276" s="18">
        <f t="shared" si="123"/>
        <v>0</v>
      </c>
      <c r="V276" s="18">
        <f t="shared" si="124"/>
        <v>0</v>
      </c>
      <c r="W276" s="8">
        <f t="shared" si="129"/>
        <v>0</v>
      </c>
      <c r="X276" s="18">
        <f t="shared" si="125"/>
        <v>1.5</v>
      </c>
      <c r="Y276" s="18">
        <f t="shared" si="126"/>
        <v>1</v>
      </c>
      <c r="Z276" s="18">
        <f t="shared" si="127"/>
        <v>1.5</v>
      </c>
      <c r="AA276" s="8">
        <f t="shared" si="130"/>
        <v>4</v>
      </c>
      <c r="AB276" s="8">
        <v>39.270000000000003</v>
      </c>
      <c r="AC276" s="8">
        <v>52.462499999999999</v>
      </c>
      <c r="AD276" s="8">
        <v>72.64</v>
      </c>
      <c r="AE276" s="9">
        <f t="shared" si="131"/>
        <v>2905.6</v>
      </c>
      <c r="AF276" s="21">
        <v>6.5000000000000002E-2</v>
      </c>
      <c r="AG276" s="10">
        <f t="shared" si="128"/>
        <v>188.864</v>
      </c>
      <c r="AH276" s="64">
        <f t="shared" si="132"/>
        <v>0</v>
      </c>
      <c r="AI276" s="9">
        <f t="shared" si="133"/>
        <v>2716.7359999999999</v>
      </c>
      <c r="AJ276" s="5">
        <v>0.18</v>
      </c>
      <c r="AK276" s="11">
        <f t="shared" si="134"/>
        <v>489.01247999999998</v>
      </c>
      <c r="AL276" s="9">
        <f t="shared" si="135"/>
        <v>3205.7484799999997</v>
      </c>
      <c r="AP276" s="12"/>
    </row>
    <row r="277" spans="1:42" x14ac:dyDescent="0.35">
      <c r="A277" s="71">
        <v>46195</v>
      </c>
      <c r="B277" s="72" t="s">
        <v>67</v>
      </c>
      <c r="C277" s="74">
        <v>1176.7759999954201</v>
      </c>
      <c r="D277" s="74">
        <v>40948.753804686399</v>
      </c>
      <c r="E277" s="62" t="s">
        <v>68</v>
      </c>
      <c r="F277" s="19" t="s">
        <v>69</v>
      </c>
      <c r="G277" s="19" t="s">
        <v>416</v>
      </c>
      <c r="H277" s="19" t="s">
        <v>89</v>
      </c>
      <c r="I277" s="6" t="s">
        <v>417</v>
      </c>
      <c r="J277" s="55">
        <v>10</v>
      </c>
      <c r="K277" s="18"/>
      <c r="L277" s="18"/>
      <c r="M277" s="18"/>
      <c r="N277" s="8">
        <f t="shared" si="121"/>
        <v>0</v>
      </c>
      <c r="O277" s="20"/>
      <c r="P277" s="20"/>
      <c r="Q277" s="20"/>
      <c r="R277" s="8">
        <f t="shared" si="120"/>
        <v>0</v>
      </c>
      <c r="S277" s="18">
        <f t="shared" si="119"/>
        <v>10</v>
      </c>
      <c r="T277" s="18">
        <f t="shared" si="122"/>
        <v>0</v>
      </c>
      <c r="U277" s="18">
        <f t="shared" si="123"/>
        <v>0</v>
      </c>
      <c r="V277" s="18">
        <f t="shared" si="124"/>
        <v>0</v>
      </c>
      <c r="W277" s="8">
        <f t="shared" si="129"/>
        <v>0</v>
      </c>
      <c r="X277" s="18">
        <f t="shared" si="125"/>
        <v>0</v>
      </c>
      <c r="Y277" s="18">
        <f t="shared" si="126"/>
        <v>0</v>
      </c>
      <c r="Z277" s="18">
        <f t="shared" si="127"/>
        <v>0</v>
      </c>
      <c r="AA277" s="8">
        <f t="shared" si="130"/>
        <v>0</v>
      </c>
      <c r="AB277" s="8">
        <v>39.270000000000003</v>
      </c>
      <c r="AC277" s="8">
        <v>52.462499999999999</v>
      </c>
      <c r="AD277" s="8">
        <v>72.64</v>
      </c>
      <c r="AE277" s="9">
        <f t="shared" si="131"/>
        <v>1119.0999999999999</v>
      </c>
      <c r="AF277" s="21">
        <v>6.5000000000000002E-2</v>
      </c>
      <c r="AG277" s="10">
        <f t="shared" si="128"/>
        <v>72.741500000000002</v>
      </c>
      <c r="AH277" s="64">
        <f t="shared" si="132"/>
        <v>13.744500000000002</v>
      </c>
      <c r="AI277" s="9">
        <f t="shared" si="133"/>
        <v>1046.3584999999998</v>
      </c>
      <c r="AJ277" s="5">
        <v>0.18</v>
      </c>
      <c r="AK277" s="11">
        <f t="shared" si="134"/>
        <v>188.34452999999996</v>
      </c>
      <c r="AL277" s="9">
        <f t="shared" si="135"/>
        <v>1234.7030299999997</v>
      </c>
      <c r="AP277" s="12"/>
    </row>
    <row r="278" spans="1:42" x14ac:dyDescent="0.35">
      <c r="A278" s="71">
        <v>46195</v>
      </c>
      <c r="B278" s="72" t="s">
        <v>67</v>
      </c>
      <c r="C278" s="74">
        <v>1176.7759999954201</v>
      </c>
      <c r="D278" s="74">
        <v>40948.753804686399</v>
      </c>
      <c r="E278" s="62" t="s">
        <v>68</v>
      </c>
      <c r="F278" s="19" t="s">
        <v>69</v>
      </c>
      <c r="G278" s="19" t="s">
        <v>418</v>
      </c>
      <c r="H278" s="19" t="s">
        <v>89</v>
      </c>
      <c r="I278" s="6" t="s">
        <v>414</v>
      </c>
      <c r="J278" s="55">
        <v>10</v>
      </c>
      <c r="K278" s="18"/>
      <c r="L278" s="18"/>
      <c r="M278" s="18"/>
      <c r="N278" s="8">
        <f t="shared" si="121"/>
        <v>0</v>
      </c>
      <c r="O278" s="18"/>
      <c r="P278" s="18"/>
      <c r="Q278" s="18"/>
      <c r="R278" s="8">
        <f t="shared" si="120"/>
        <v>0</v>
      </c>
      <c r="S278" s="18">
        <f t="shared" si="119"/>
        <v>10</v>
      </c>
      <c r="T278" s="18">
        <f t="shared" si="122"/>
        <v>0</v>
      </c>
      <c r="U278" s="18">
        <f t="shared" si="123"/>
        <v>0</v>
      </c>
      <c r="V278" s="18">
        <f t="shared" si="124"/>
        <v>0</v>
      </c>
      <c r="W278" s="8">
        <f t="shared" si="129"/>
        <v>0</v>
      </c>
      <c r="X278" s="18">
        <f t="shared" si="125"/>
        <v>0</v>
      </c>
      <c r="Y278" s="18">
        <f t="shared" si="126"/>
        <v>0</v>
      </c>
      <c r="Z278" s="18">
        <f t="shared" si="127"/>
        <v>0</v>
      </c>
      <c r="AA278" s="8">
        <f t="shared" si="130"/>
        <v>0</v>
      </c>
      <c r="AB278" s="8">
        <v>39.270000000000003</v>
      </c>
      <c r="AC278" s="8">
        <v>52.462499999999999</v>
      </c>
      <c r="AD278" s="8">
        <v>72.64</v>
      </c>
      <c r="AE278" s="9">
        <f t="shared" si="131"/>
        <v>1119.0999999999999</v>
      </c>
      <c r="AF278" s="21">
        <v>6.5000000000000002E-2</v>
      </c>
      <c r="AG278" s="10">
        <f t="shared" si="128"/>
        <v>72.741500000000002</v>
      </c>
      <c r="AH278" s="64">
        <f t="shared" si="132"/>
        <v>13.744500000000002</v>
      </c>
      <c r="AI278" s="9">
        <f t="shared" si="133"/>
        <v>1046.3584999999998</v>
      </c>
      <c r="AJ278" s="5">
        <v>0.18</v>
      </c>
      <c r="AK278" s="11">
        <f t="shared" si="134"/>
        <v>188.34452999999996</v>
      </c>
      <c r="AL278" s="9">
        <f t="shared" si="135"/>
        <v>1234.7030299999997</v>
      </c>
      <c r="AP278" s="12"/>
    </row>
    <row r="279" spans="1:42" x14ac:dyDescent="0.35">
      <c r="A279" s="71">
        <v>46195</v>
      </c>
      <c r="B279" s="72" t="s">
        <v>67</v>
      </c>
      <c r="C279" s="74">
        <v>1176.7759999954201</v>
      </c>
      <c r="D279" s="74">
        <v>40948.753804686399</v>
      </c>
      <c r="E279" s="62" t="s">
        <v>68</v>
      </c>
      <c r="F279" s="19" t="s">
        <v>69</v>
      </c>
      <c r="G279" s="19" t="s">
        <v>141</v>
      </c>
      <c r="H279" s="19" t="s">
        <v>89</v>
      </c>
      <c r="I279" s="6" t="s">
        <v>149</v>
      </c>
      <c r="J279" s="55"/>
      <c r="K279" s="20"/>
      <c r="L279" s="20"/>
      <c r="M279" s="20">
        <v>80</v>
      </c>
      <c r="N279" s="8">
        <f t="shared" si="121"/>
        <v>80</v>
      </c>
      <c r="O279" s="18"/>
      <c r="P279" s="20"/>
      <c r="Q279" s="18"/>
      <c r="R279" s="8">
        <f t="shared" si="120"/>
        <v>0</v>
      </c>
      <c r="S279" s="18">
        <f t="shared" si="119"/>
        <v>80</v>
      </c>
      <c r="T279" s="18">
        <f t="shared" si="122"/>
        <v>0</v>
      </c>
      <c r="U279" s="18">
        <f t="shared" si="123"/>
        <v>0</v>
      </c>
      <c r="V279" s="18">
        <f t="shared" si="124"/>
        <v>8</v>
      </c>
      <c r="W279" s="8">
        <f t="shared" si="129"/>
        <v>8</v>
      </c>
      <c r="X279" s="18">
        <f t="shared" si="125"/>
        <v>0</v>
      </c>
      <c r="Y279" s="18">
        <f t="shared" si="126"/>
        <v>0</v>
      </c>
      <c r="Z279" s="18">
        <f t="shared" si="127"/>
        <v>0</v>
      </c>
      <c r="AA279" s="8">
        <f t="shared" si="130"/>
        <v>0</v>
      </c>
      <c r="AB279" s="8">
        <v>39.270000000000003</v>
      </c>
      <c r="AC279" s="8">
        <v>52.462499999999999</v>
      </c>
      <c r="AD279" s="8">
        <v>72.64</v>
      </c>
      <c r="AE279" s="9">
        <f t="shared" si="131"/>
        <v>10008.200000000001</v>
      </c>
      <c r="AF279" s="21">
        <v>6.5000000000000002E-2</v>
      </c>
      <c r="AG279" s="10">
        <f t="shared" si="128"/>
        <v>650.53300000000002</v>
      </c>
      <c r="AH279" s="64">
        <f t="shared" si="132"/>
        <v>0</v>
      </c>
      <c r="AI279" s="9">
        <f t="shared" si="133"/>
        <v>9357.6670000000013</v>
      </c>
      <c r="AJ279" s="5">
        <v>0.18</v>
      </c>
      <c r="AK279" s="11">
        <f t="shared" si="134"/>
        <v>1684.3800600000002</v>
      </c>
      <c r="AL279" s="9">
        <f t="shared" si="135"/>
        <v>11042.047060000001</v>
      </c>
      <c r="AP279" s="12"/>
    </row>
    <row r="280" spans="1:42" x14ac:dyDescent="0.35">
      <c r="A280" s="71">
        <v>46195</v>
      </c>
      <c r="B280" s="72" t="s">
        <v>67</v>
      </c>
      <c r="C280" s="74">
        <v>1176.7759999954201</v>
      </c>
      <c r="D280" s="74">
        <v>40948.753804686399</v>
      </c>
      <c r="E280" s="62" t="s">
        <v>68</v>
      </c>
      <c r="F280" s="19" t="s">
        <v>69</v>
      </c>
      <c r="G280" s="19" t="s">
        <v>419</v>
      </c>
      <c r="H280" s="19" t="s">
        <v>89</v>
      </c>
      <c r="I280" s="6" t="s">
        <v>420</v>
      </c>
      <c r="J280" s="55">
        <v>80</v>
      </c>
      <c r="K280" s="18">
        <v>40</v>
      </c>
      <c r="L280" s="18">
        <v>40</v>
      </c>
      <c r="M280" s="18">
        <v>0</v>
      </c>
      <c r="N280" s="8">
        <f t="shared" si="121"/>
        <v>80</v>
      </c>
      <c r="O280" s="18">
        <v>40</v>
      </c>
      <c r="P280" s="18">
        <v>40</v>
      </c>
      <c r="Q280" s="18">
        <v>40</v>
      </c>
      <c r="R280" s="8">
        <f t="shared" si="120"/>
        <v>120</v>
      </c>
      <c r="S280" s="18">
        <f t="shared" si="119"/>
        <v>280</v>
      </c>
      <c r="T280" s="18">
        <f t="shared" si="122"/>
        <v>4</v>
      </c>
      <c r="U280" s="18">
        <f t="shared" si="123"/>
        <v>4</v>
      </c>
      <c r="V280" s="18">
        <f t="shared" si="124"/>
        <v>0</v>
      </c>
      <c r="W280" s="8">
        <f t="shared" si="129"/>
        <v>8</v>
      </c>
      <c r="X280" s="18">
        <f t="shared" si="125"/>
        <v>4</v>
      </c>
      <c r="Y280" s="18">
        <f t="shared" si="126"/>
        <v>4</v>
      </c>
      <c r="Z280" s="18">
        <f t="shared" si="127"/>
        <v>4</v>
      </c>
      <c r="AA280" s="8">
        <f t="shared" si="130"/>
        <v>12</v>
      </c>
      <c r="AB280" s="8">
        <v>39.270000000000003</v>
      </c>
      <c r="AC280" s="8">
        <v>52.462499999999999</v>
      </c>
      <c r="AD280" s="8">
        <v>72.64</v>
      </c>
      <c r="AE280" s="9">
        <f t="shared" si="131"/>
        <v>27677.800000000003</v>
      </c>
      <c r="AF280" s="21">
        <v>6.5000000000000002E-2</v>
      </c>
      <c r="AG280" s="10">
        <f t="shared" si="128"/>
        <v>1799.0570000000002</v>
      </c>
      <c r="AH280" s="64">
        <f t="shared" si="132"/>
        <v>109.95600000000002</v>
      </c>
      <c r="AI280" s="9">
        <f t="shared" si="133"/>
        <v>25878.743000000002</v>
      </c>
      <c r="AJ280" s="5">
        <v>0.18</v>
      </c>
      <c r="AK280" s="11">
        <f t="shared" si="134"/>
        <v>4658.1737400000002</v>
      </c>
      <c r="AL280" s="9">
        <f t="shared" si="135"/>
        <v>30536.916740000001</v>
      </c>
      <c r="AP280" s="12"/>
    </row>
    <row r="281" spans="1:42" x14ac:dyDescent="0.35">
      <c r="A281" s="71">
        <v>46196</v>
      </c>
      <c r="B281" s="72" t="s">
        <v>67</v>
      </c>
      <c r="C281" s="74">
        <v>1176.7759999954201</v>
      </c>
      <c r="D281" s="74">
        <v>40948.753804686399</v>
      </c>
      <c r="E281" s="62" t="s">
        <v>68</v>
      </c>
      <c r="F281" s="19" t="s">
        <v>69</v>
      </c>
      <c r="G281" s="19" t="s">
        <v>421</v>
      </c>
      <c r="H281" s="19" t="s">
        <v>90</v>
      </c>
      <c r="I281" s="6" t="s">
        <v>422</v>
      </c>
      <c r="J281" s="55">
        <v>20</v>
      </c>
      <c r="K281" s="20"/>
      <c r="L281" s="20"/>
      <c r="M281" s="20"/>
      <c r="N281" s="8">
        <f t="shared" si="121"/>
        <v>0</v>
      </c>
      <c r="O281" s="18"/>
      <c r="P281" s="18"/>
      <c r="Q281" s="18"/>
      <c r="R281" s="8">
        <f t="shared" si="120"/>
        <v>0</v>
      </c>
      <c r="S281" s="18">
        <f t="shared" si="119"/>
        <v>20</v>
      </c>
      <c r="T281" s="18">
        <f t="shared" si="122"/>
        <v>0</v>
      </c>
      <c r="U281" s="18">
        <f t="shared" si="123"/>
        <v>0</v>
      </c>
      <c r="V281" s="18">
        <f t="shared" si="124"/>
        <v>0</v>
      </c>
      <c r="W281" s="8">
        <f t="shared" si="129"/>
        <v>0</v>
      </c>
      <c r="X281" s="18">
        <f t="shared" si="125"/>
        <v>0</v>
      </c>
      <c r="Y281" s="18">
        <f t="shared" si="126"/>
        <v>0</v>
      </c>
      <c r="Z281" s="18">
        <f t="shared" si="127"/>
        <v>0</v>
      </c>
      <c r="AA281" s="8">
        <f t="shared" si="130"/>
        <v>0</v>
      </c>
      <c r="AB281" s="8">
        <v>39.270000000000003</v>
      </c>
      <c r="AC281" s="8">
        <v>52.462499999999999</v>
      </c>
      <c r="AD281" s="8">
        <v>72.64</v>
      </c>
      <c r="AE281" s="9">
        <f t="shared" si="131"/>
        <v>2238.1999999999998</v>
      </c>
      <c r="AF281" s="21">
        <v>6.5000000000000002E-2</v>
      </c>
      <c r="AG281" s="10">
        <f t="shared" si="128"/>
        <v>145.483</v>
      </c>
      <c r="AH281" s="64">
        <f t="shared" si="132"/>
        <v>27.489000000000004</v>
      </c>
      <c r="AI281" s="9">
        <f t="shared" si="133"/>
        <v>2092.7169999999996</v>
      </c>
      <c r="AJ281" s="5">
        <v>0.18</v>
      </c>
      <c r="AK281" s="11">
        <f t="shared" si="134"/>
        <v>376.68905999999993</v>
      </c>
      <c r="AL281" s="9">
        <f t="shared" si="135"/>
        <v>2469.4060599999993</v>
      </c>
      <c r="AP281" s="12"/>
    </row>
    <row r="282" spans="1:42" x14ac:dyDescent="0.35">
      <c r="A282" s="71">
        <v>46196</v>
      </c>
      <c r="B282" s="72" t="s">
        <v>67</v>
      </c>
      <c r="C282" s="74">
        <v>1176.7759999954201</v>
      </c>
      <c r="D282" s="74">
        <v>40948.753804686399</v>
      </c>
      <c r="E282" s="62" t="s">
        <v>68</v>
      </c>
      <c r="F282" s="19" t="s">
        <v>69</v>
      </c>
      <c r="G282" s="19" t="s">
        <v>423</v>
      </c>
      <c r="H282" s="19" t="s">
        <v>90</v>
      </c>
      <c r="I282" s="6" t="s">
        <v>424</v>
      </c>
      <c r="J282" s="55"/>
      <c r="K282" s="18">
        <v>20</v>
      </c>
      <c r="L282" s="18">
        <v>20</v>
      </c>
      <c r="M282" s="18">
        <v>20</v>
      </c>
      <c r="N282" s="8">
        <f t="shared" si="121"/>
        <v>60</v>
      </c>
      <c r="O282" s="20"/>
      <c r="P282" s="20"/>
      <c r="Q282" s="20"/>
      <c r="R282" s="8">
        <f t="shared" si="120"/>
        <v>0</v>
      </c>
      <c r="S282" s="18">
        <f t="shared" si="119"/>
        <v>60</v>
      </c>
      <c r="T282" s="18">
        <f t="shared" si="122"/>
        <v>2</v>
      </c>
      <c r="U282" s="18">
        <f t="shared" si="123"/>
        <v>2</v>
      </c>
      <c r="V282" s="18">
        <f t="shared" si="124"/>
        <v>2</v>
      </c>
      <c r="W282" s="8">
        <f t="shared" si="129"/>
        <v>6</v>
      </c>
      <c r="X282" s="18">
        <f t="shared" si="125"/>
        <v>0</v>
      </c>
      <c r="Y282" s="18">
        <f t="shared" si="126"/>
        <v>0</v>
      </c>
      <c r="Z282" s="18">
        <f t="shared" si="127"/>
        <v>0</v>
      </c>
      <c r="AA282" s="8">
        <f t="shared" si="130"/>
        <v>0</v>
      </c>
      <c r="AB282" s="8">
        <v>39.270000000000003</v>
      </c>
      <c r="AC282" s="8">
        <v>52.462499999999999</v>
      </c>
      <c r="AD282" s="8">
        <v>72.64</v>
      </c>
      <c r="AE282" s="9">
        <f t="shared" si="131"/>
        <v>7506.15</v>
      </c>
      <c r="AF282" s="21">
        <v>6.5000000000000002E-2</v>
      </c>
      <c r="AG282" s="10">
        <f t="shared" si="128"/>
        <v>487.89974999999998</v>
      </c>
      <c r="AH282" s="64">
        <f t="shared" si="132"/>
        <v>0</v>
      </c>
      <c r="AI282" s="9">
        <f t="shared" si="133"/>
        <v>7018.2502500000001</v>
      </c>
      <c r="AJ282" s="5">
        <v>0.18</v>
      </c>
      <c r="AK282" s="11">
        <f t="shared" si="134"/>
        <v>1263.2850449999999</v>
      </c>
      <c r="AL282" s="9">
        <f t="shared" si="135"/>
        <v>8281.5352949999997</v>
      </c>
      <c r="AP282" s="12"/>
    </row>
    <row r="283" spans="1:42" x14ac:dyDescent="0.35">
      <c r="A283" s="71">
        <v>46196</v>
      </c>
      <c r="B283" s="72" t="s">
        <v>67</v>
      </c>
      <c r="C283" s="74">
        <v>1176.7759999954201</v>
      </c>
      <c r="D283" s="74">
        <v>40948.753804686399</v>
      </c>
      <c r="E283" s="62" t="s">
        <v>68</v>
      </c>
      <c r="F283" s="19" t="s">
        <v>69</v>
      </c>
      <c r="G283" s="19" t="s">
        <v>425</v>
      </c>
      <c r="H283" s="19" t="s">
        <v>90</v>
      </c>
      <c r="I283" s="6" t="s">
        <v>170</v>
      </c>
      <c r="J283" s="55"/>
      <c r="K283" s="18">
        <v>80</v>
      </c>
      <c r="L283" s="20">
        <v>40</v>
      </c>
      <c r="M283" s="20">
        <v>80</v>
      </c>
      <c r="N283" s="8">
        <f t="shared" si="121"/>
        <v>200</v>
      </c>
      <c r="O283" s="18">
        <v>40</v>
      </c>
      <c r="P283" s="18">
        <v>40</v>
      </c>
      <c r="Q283" s="18">
        <v>80</v>
      </c>
      <c r="R283" s="8">
        <f t="shared" si="120"/>
        <v>160</v>
      </c>
      <c r="S283" s="18">
        <f t="shared" si="119"/>
        <v>360</v>
      </c>
      <c r="T283" s="18">
        <f t="shared" si="122"/>
        <v>8</v>
      </c>
      <c r="U283" s="18">
        <f t="shared" si="123"/>
        <v>4</v>
      </c>
      <c r="V283" s="18">
        <f t="shared" si="124"/>
        <v>8</v>
      </c>
      <c r="W283" s="8">
        <f t="shared" si="129"/>
        <v>20</v>
      </c>
      <c r="X283" s="18">
        <f t="shared" si="125"/>
        <v>4</v>
      </c>
      <c r="Y283" s="18">
        <f t="shared" si="126"/>
        <v>4</v>
      </c>
      <c r="Z283" s="18">
        <f t="shared" si="127"/>
        <v>8</v>
      </c>
      <c r="AA283" s="8">
        <f t="shared" si="130"/>
        <v>16</v>
      </c>
      <c r="AB283" s="8">
        <v>39.270000000000003</v>
      </c>
      <c r="AC283" s="8">
        <v>52.462499999999999</v>
      </c>
      <c r="AD283" s="8">
        <v>72.64</v>
      </c>
      <c r="AE283" s="9">
        <f t="shared" si="131"/>
        <v>36642.9</v>
      </c>
      <c r="AF283" s="21">
        <v>6.5000000000000002E-2</v>
      </c>
      <c r="AG283" s="10">
        <f t="shared" si="128"/>
        <v>2381.7885000000001</v>
      </c>
      <c r="AH283" s="64">
        <f t="shared" si="132"/>
        <v>0</v>
      </c>
      <c r="AI283" s="9">
        <f t="shared" si="133"/>
        <v>34261.111499999999</v>
      </c>
      <c r="AJ283" s="5">
        <v>0.18</v>
      </c>
      <c r="AK283" s="11">
        <f t="shared" si="134"/>
        <v>6167.0000700000001</v>
      </c>
      <c r="AL283" s="9">
        <f t="shared" si="135"/>
        <v>40428.111570000001</v>
      </c>
      <c r="AP283" s="12"/>
    </row>
    <row r="284" spans="1:42" x14ac:dyDescent="0.35">
      <c r="A284" s="71">
        <v>46196</v>
      </c>
      <c r="B284" s="72" t="s">
        <v>67</v>
      </c>
      <c r="C284" s="74">
        <v>1176.7759999954201</v>
      </c>
      <c r="D284" s="74">
        <v>40948.753804686399</v>
      </c>
      <c r="E284" s="62" t="s">
        <v>68</v>
      </c>
      <c r="F284" s="19" t="s">
        <v>69</v>
      </c>
      <c r="G284" s="19" t="s">
        <v>426</v>
      </c>
      <c r="H284" s="19" t="s">
        <v>403</v>
      </c>
      <c r="I284" s="6" t="s">
        <v>427</v>
      </c>
      <c r="J284" s="55"/>
      <c r="K284" s="18"/>
      <c r="L284" s="18"/>
      <c r="M284" s="18"/>
      <c r="N284" s="8">
        <f t="shared" si="121"/>
        <v>0</v>
      </c>
      <c r="O284" s="18">
        <v>40</v>
      </c>
      <c r="P284" s="18">
        <v>40</v>
      </c>
      <c r="Q284" s="18">
        <v>40</v>
      </c>
      <c r="R284" s="8">
        <f t="shared" si="120"/>
        <v>120</v>
      </c>
      <c r="S284" s="18">
        <f t="shared" si="119"/>
        <v>120</v>
      </c>
      <c r="T284" s="18">
        <f t="shared" si="122"/>
        <v>0</v>
      </c>
      <c r="U284" s="18">
        <f t="shared" si="123"/>
        <v>0</v>
      </c>
      <c r="V284" s="18">
        <f t="shared" si="124"/>
        <v>0</v>
      </c>
      <c r="W284" s="8">
        <f t="shared" si="129"/>
        <v>0</v>
      </c>
      <c r="X284" s="18">
        <f t="shared" si="125"/>
        <v>4</v>
      </c>
      <c r="Y284" s="18">
        <f t="shared" si="126"/>
        <v>4</v>
      </c>
      <c r="Z284" s="18">
        <f t="shared" si="127"/>
        <v>4</v>
      </c>
      <c r="AA284" s="8">
        <f t="shared" si="130"/>
        <v>12</v>
      </c>
      <c r="AB284" s="8">
        <v>39.270000000000003</v>
      </c>
      <c r="AC284" s="8">
        <v>52.462499999999999</v>
      </c>
      <c r="AD284" s="8">
        <v>72.64</v>
      </c>
      <c r="AE284" s="9">
        <f t="shared" si="131"/>
        <v>8716.7999999999993</v>
      </c>
      <c r="AF284" s="21">
        <v>6.5000000000000002E-2</v>
      </c>
      <c r="AG284" s="10">
        <f t="shared" si="128"/>
        <v>566.59199999999998</v>
      </c>
      <c r="AH284" s="64">
        <f t="shared" si="132"/>
        <v>0</v>
      </c>
      <c r="AI284" s="9">
        <f t="shared" si="133"/>
        <v>8150.2079999999996</v>
      </c>
      <c r="AJ284" s="5">
        <v>0.18</v>
      </c>
      <c r="AK284" s="11">
        <f t="shared" si="134"/>
        <v>1467.0374399999998</v>
      </c>
      <c r="AL284" s="9">
        <f t="shared" si="135"/>
        <v>9617.2454399999988</v>
      </c>
      <c r="AP284" s="12"/>
    </row>
    <row r="285" spans="1:42" x14ac:dyDescent="0.35">
      <c r="A285" s="71">
        <v>46196</v>
      </c>
      <c r="B285" s="72" t="s">
        <v>67</v>
      </c>
      <c r="C285" s="74">
        <v>1176.7759999954201</v>
      </c>
      <c r="D285" s="74">
        <v>40948.753804686399</v>
      </c>
      <c r="E285" s="62" t="s">
        <v>68</v>
      </c>
      <c r="F285" s="19" t="s">
        <v>69</v>
      </c>
      <c r="G285" s="19" t="s">
        <v>428</v>
      </c>
      <c r="H285" s="19" t="s">
        <v>403</v>
      </c>
      <c r="I285" s="6" t="s">
        <v>427</v>
      </c>
      <c r="J285" s="55">
        <v>40</v>
      </c>
      <c r="K285" s="18">
        <v>14</v>
      </c>
      <c r="L285" s="20">
        <v>14</v>
      </c>
      <c r="M285" s="18">
        <v>12</v>
      </c>
      <c r="N285" s="8">
        <f t="shared" si="121"/>
        <v>40</v>
      </c>
      <c r="O285" s="18"/>
      <c r="P285" s="20"/>
      <c r="Q285" s="18"/>
      <c r="R285" s="8">
        <f t="shared" si="120"/>
        <v>0</v>
      </c>
      <c r="S285" s="18">
        <f t="shared" si="119"/>
        <v>80</v>
      </c>
      <c r="T285" s="18">
        <f t="shared" si="122"/>
        <v>1.4</v>
      </c>
      <c r="U285" s="18">
        <f t="shared" si="123"/>
        <v>1.4</v>
      </c>
      <c r="V285" s="18">
        <f t="shared" si="124"/>
        <v>1.2</v>
      </c>
      <c r="W285" s="8">
        <f t="shared" si="129"/>
        <v>4</v>
      </c>
      <c r="X285" s="18">
        <f t="shared" si="125"/>
        <v>0</v>
      </c>
      <c r="Y285" s="18">
        <f t="shared" si="126"/>
        <v>0</v>
      </c>
      <c r="Z285" s="18">
        <f t="shared" si="127"/>
        <v>0</v>
      </c>
      <c r="AA285" s="8">
        <f t="shared" si="130"/>
        <v>0</v>
      </c>
      <c r="AB285" s="8">
        <v>39.270000000000003</v>
      </c>
      <c r="AC285" s="8">
        <v>52.462499999999999</v>
      </c>
      <c r="AD285" s="8">
        <v>72.64</v>
      </c>
      <c r="AE285" s="9">
        <f t="shared" si="131"/>
        <v>9480.5</v>
      </c>
      <c r="AF285" s="21">
        <v>6.5000000000000002E-2</v>
      </c>
      <c r="AG285" s="10">
        <f t="shared" si="128"/>
        <v>616.23250000000007</v>
      </c>
      <c r="AH285" s="64">
        <f t="shared" si="132"/>
        <v>54.978000000000009</v>
      </c>
      <c r="AI285" s="9">
        <f t="shared" si="133"/>
        <v>8864.2674999999999</v>
      </c>
      <c r="AJ285" s="5">
        <v>0.18</v>
      </c>
      <c r="AK285" s="11">
        <f t="shared" si="134"/>
        <v>1595.5681499999998</v>
      </c>
      <c r="AL285" s="9">
        <f t="shared" si="135"/>
        <v>10459.835649999999</v>
      </c>
      <c r="AP285" s="12"/>
    </row>
    <row r="286" spans="1:42" x14ac:dyDescent="0.35">
      <c r="A286" s="71">
        <v>46196</v>
      </c>
      <c r="B286" s="72" t="s">
        <v>67</v>
      </c>
      <c r="C286" s="74">
        <v>1176.7759999954201</v>
      </c>
      <c r="D286" s="74">
        <v>40948.753804686399</v>
      </c>
      <c r="E286" s="62" t="s">
        <v>68</v>
      </c>
      <c r="F286" s="19" t="s">
        <v>69</v>
      </c>
      <c r="G286" s="19" t="s">
        <v>429</v>
      </c>
      <c r="H286" s="19" t="s">
        <v>403</v>
      </c>
      <c r="I286" s="6" t="s">
        <v>427</v>
      </c>
      <c r="J286" s="55"/>
      <c r="K286" s="18"/>
      <c r="L286" s="18"/>
      <c r="M286" s="18"/>
      <c r="N286" s="8">
        <f t="shared" si="121"/>
        <v>0</v>
      </c>
      <c r="O286" s="18">
        <v>14</v>
      </c>
      <c r="P286" s="18">
        <v>14</v>
      </c>
      <c r="Q286" s="18">
        <v>12</v>
      </c>
      <c r="R286" s="8">
        <f t="shared" si="120"/>
        <v>40</v>
      </c>
      <c r="S286" s="18">
        <f t="shared" si="119"/>
        <v>40</v>
      </c>
      <c r="T286" s="18">
        <f t="shared" si="122"/>
        <v>0</v>
      </c>
      <c r="U286" s="18">
        <f t="shared" si="123"/>
        <v>0</v>
      </c>
      <c r="V286" s="18">
        <f t="shared" si="124"/>
        <v>0</v>
      </c>
      <c r="W286" s="8">
        <f t="shared" si="129"/>
        <v>0</v>
      </c>
      <c r="X286" s="18">
        <f t="shared" si="125"/>
        <v>1.4</v>
      </c>
      <c r="Y286" s="18">
        <f t="shared" si="126"/>
        <v>1.4</v>
      </c>
      <c r="Z286" s="18">
        <f t="shared" si="127"/>
        <v>1.2</v>
      </c>
      <c r="AA286" s="8">
        <f t="shared" si="130"/>
        <v>4</v>
      </c>
      <c r="AB286" s="8">
        <v>39.270000000000003</v>
      </c>
      <c r="AC286" s="8">
        <v>52.462499999999999</v>
      </c>
      <c r="AD286" s="8">
        <v>72.64</v>
      </c>
      <c r="AE286" s="9">
        <f t="shared" si="131"/>
        <v>2905.6</v>
      </c>
      <c r="AF286" s="21">
        <v>6.5000000000000002E-2</v>
      </c>
      <c r="AG286" s="10">
        <f t="shared" si="128"/>
        <v>188.864</v>
      </c>
      <c r="AH286" s="64">
        <f t="shared" si="132"/>
        <v>0</v>
      </c>
      <c r="AI286" s="9">
        <f t="shared" si="133"/>
        <v>2716.7359999999999</v>
      </c>
      <c r="AJ286" s="5">
        <v>0.18</v>
      </c>
      <c r="AK286" s="11">
        <f t="shared" si="134"/>
        <v>489.01247999999998</v>
      </c>
      <c r="AL286" s="9">
        <f t="shared" si="135"/>
        <v>3205.7484799999997</v>
      </c>
      <c r="AP286" s="12"/>
    </row>
    <row r="287" spans="1:42" x14ac:dyDescent="0.35">
      <c r="A287" s="71">
        <v>46196</v>
      </c>
      <c r="B287" s="72" t="s">
        <v>67</v>
      </c>
      <c r="C287" s="74">
        <v>1176.7759999954201</v>
      </c>
      <c r="D287" s="74">
        <v>40948.753804686399</v>
      </c>
      <c r="E287" s="62" t="s">
        <v>68</v>
      </c>
      <c r="F287" s="19" t="s">
        <v>69</v>
      </c>
      <c r="G287" s="19" t="s">
        <v>430</v>
      </c>
      <c r="H287" s="19" t="s">
        <v>403</v>
      </c>
      <c r="I287" s="6" t="s">
        <v>427</v>
      </c>
      <c r="J287" s="55" t="s">
        <v>50</v>
      </c>
      <c r="K287" s="18"/>
      <c r="L287" s="20"/>
      <c r="M287" s="18"/>
      <c r="N287" s="8">
        <f t="shared" si="121"/>
        <v>0</v>
      </c>
      <c r="O287" s="18">
        <v>14</v>
      </c>
      <c r="P287" s="18">
        <v>14</v>
      </c>
      <c r="Q287" s="18">
        <v>12</v>
      </c>
      <c r="R287" s="8">
        <f t="shared" si="120"/>
        <v>40</v>
      </c>
      <c r="S287" s="18" t="e">
        <f t="shared" si="119"/>
        <v>#VALUE!</v>
      </c>
      <c r="T287" s="18">
        <f t="shared" si="122"/>
        <v>0</v>
      </c>
      <c r="U287" s="18">
        <f t="shared" si="123"/>
        <v>0</v>
      </c>
      <c r="V287" s="18">
        <f t="shared" si="124"/>
        <v>0</v>
      </c>
      <c r="W287" s="8">
        <f t="shared" si="129"/>
        <v>0</v>
      </c>
      <c r="X287" s="18">
        <f t="shared" si="125"/>
        <v>1.4</v>
      </c>
      <c r="Y287" s="18">
        <f t="shared" si="126"/>
        <v>1.4</v>
      </c>
      <c r="Z287" s="18">
        <f t="shared" si="127"/>
        <v>1.2</v>
      </c>
      <c r="AA287" s="8">
        <f t="shared" si="130"/>
        <v>4</v>
      </c>
      <c r="AB287" s="8">
        <v>39.270000000000003</v>
      </c>
      <c r="AC287" s="8">
        <v>52.462499999999999</v>
      </c>
      <c r="AD287" s="8">
        <v>72.64</v>
      </c>
      <c r="AE287" s="9" t="e">
        <f t="shared" si="131"/>
        <v>#VALUE!</v>
      </c>
      <c r="AF287" s="21">
        <v>6.5000000000000002E-2</v>
      </c>
      <c r="AG287" s="10" t="e">
        <f t="shared" si="128"/>
        <v>#VALUE!</v>
      </c>
      <c r="AH287" s="64" t="e">
        <f t="shared" si="132"/>
        <v>#VALUE!</v>
      </c>
      <c r="AI287" s="9" t="e">
        <f t="shared" si="133"/>
        <v>#VALUE!</v>
      </c>
      <c r="AJ287" s="5">
        <v>0.18</v>
      </c>
      <c r="AK287" s="11" t="e">
        <f t="shared" si="134"/>
        <v>#VALUE!</v>
      </c>
      <c r="AL287" s="9" t="e">
        <f t="shared" si="135"/>
        <v>#VALUE!</v>
      </c>
      <c r="AP287" s="12"/>
    </row>
    <row r="288" spans="1:42" x14ac:dyDescent="0.35">
      <c r="A288" s="71">
        <v>46196</v>
      </c>
      <c r="B288" s="72" t="s">
        <v>67</v>
      </c>
      <c r="C288" s="74">
        <v>1176.7759999954201</v>
      </c>
      <c r="D288" s="74">
        <v>40948.753804686399</v>
      </c>
      <c r="E288" s="62" t="s">
        <v>68</v>
      </c>
      <c r="F288" s="19" t="s">
        <v>69</v>
      </c>
      <c r="G288" s="19" t="s">
        <v>432</v>
      </c>
      <c r="H288" s="19" t="s">
        <v>99</v>
      </c>
      <c r="I288" s="6" t="s">
        <v>431</v>
      </c>
      <c r="J288" s="55">
        <v>10</v>
      </c>
      <c r="K288" s="18"/>
      <c r="L288" s="18"/>
      <c r="M288" s="18"/>
      <c r="N288" s="8">
        <f t="shared" si="121"/>
        <v>0</v>
      </c>
      <c r="O288" s="18"/>
      <c r="P288" s="20"/>
      <c r="Q288" s="18"/>
      <c r="R288" s="8">
        <f t="shared" si="120"/>
        <v>0</v>
      </c>
      <c r="S288" s="18">
        <f t="shared" si="119"/>
        <v>10</v>
      </c>
      <c r="T288" s="18">
        <f t="shared" si="122"/>
        <v>0</v>
      </c>
      <c r="U288" s="18">
        <f t="shared" si="123"/>
        <v>0</v>
      </c>
      <c r="V288" s="18">
        <f t="shared" si="124"/>
        <v>0</v>
      </c>
      <c r="W288" s="8">
        <f t="shared" si="129"/>
        <v>0</v>
      </c>
      <c r="X288" s="18">
        <f t="shared" si="125"/>
        <v>0</v>
      </c>
      <c r="Y288" s="18">
        <f t="shared" si="126"/>
        <v>0</v>
      </c>
      <c r="Z288" s="18">
        <f t="shared" si="127"/>
        <v>0</v>
      </c>
      <c r="AA288" s="8">
        <f t="shared" si="130"/>
        <v>0</v>
      </c>
      <c r="AB288" s="8">
        <v>39.270000000000003</v>
      </c>
      <c r="AC288" s="8">
        <v>52.462499999999999</v>
      </c>
      <c r="AD288" s="8">
        <v>72.64</v>
      </c>
      <c r="AE288" s="9">
        <f t="shared" si="131"/>
        <v>1119.0999999999999</v>
      </c>
      <c r="AF288" s="21">
        <v>6.5000000000000002E-2</v>
      </c>
      <c r="AG288" s="10">
        <f t="shared" si="128"/>
        <v>72.741500000000002</v>
      </c>
      <c r="AH288" s="64">
        <f t="shared" si="132"/>
        <v>13.744500000000002</v>
      </c>
      <c r="AI288" s="9">
        <f t="shared" si="133"/>
        <v>1046.3584999999998</v>
      </c>
      <c r="AJ288" s="5">
        <v>0.18</v>
      </c>
      <c r="AK288" s="11">
        <f t="shared" si="134"/>
        <v>188.34452999999996</v>
      </c>
      <c r="AL288" s="9">
        <f t="shared" si="135"/>
        <v>1234.7030299999997</v>
      </c>
      <c r="AP288" s="12"/>
    </row>
    <row r="289" spans="1:42" x14ac:dyDescent="0.35">
      <c r="A289" s="71">
        <v>46196</v>
      </c>
      <c r="B289" s="72" t="s">
        <v>67</v>
      </c>
      <c r="C289" s="74">
        <v>1176.7759999954201</v>
      </c>
      <c r="D289" s="74">
        <v>40948.753804686399</v>
      </c>
      <c r="E289" s="62" t="s">
        <v>68</v>
      </c>
      <c r="F289" s="19" t="s">
        <v>69</v>
      </c>
      <c r="G289" s="19" t="s">
        <v>433</v>
      </c>
      <c r="H289" s="19" t="s">
        <v>99</v>
      </c>
      <c r="I289" s="6" t="s">
        <v>431</v>
      </c>
      <c r="J289" s="55">
        <v>10</v>
      </c>
      <c r="K289" s="18"/>
      <c r="L289" s="18"/>
      <c r="M289" s="18"/>
      <c r="N289" s="8">
        <f t="shared" si="121"/>
        <v>0</v>
      </c>
      <c r="O289" s="18"/>
      <c r="P289" s="18"/>
      <c r="Q289" s="18"/>
      <c r="R289" s="8">
        <f t="shared" si="120"/>
        <v>0</v>
      </c>
      <c r="S289" s="18">
        <f t="shared" si="119"/>
        <v>10</v>
      </c>
      <c r="T289" s="18">
        <f t="shared" si="122"/>
        <v>0</v>
      </c>
      <c r="U289" s="18">
        <f t="shared" si="123"/>
        <v>0</v>
      </c>
      <c r="V289" s="18">
        <f t="shared" si="124"/>
        <v>0</v>
      </c>
      <c r="W289" s="8">
        <f t="shared" si="129"/>
        <v>0</v>
      </c>
      <c r="X289" s="18">
        <f t="shared" si="125"/>
        <v>0</v>
      </c>
      <c r="Y289" s="18">
        <f t="shared" si="126"/>
        <v>0</v>
      </c>
      <c r="Z289" s="18">
        <f t="shared" si="127"/>
        <v>0</v>
      </c>
      <c r="AA289" s="8">
        <f t="shared" si="130"/>
        <v>0</v>
      </c>
      <c r="AB289" s="8">
        <v>39.270000000000003</v>
      </c>
      <c r="AC289" s="8">
        <v>52.462499999999999</v>
      </c>
      <c r="AD289" s="8">
        <v>72.64</v>
      </c>
      <c r="AE289" s="9">
        <f t="shared" si="131"/>
        <v>1119.0999999999999</v>
      </c>
      <c r="AF289" s="21">
        <v>6.5000000000000002E-2</v>
      </c>
      <c r="AG289" s="10">
        <f t="shared" si="128"/>
        <v>72.741500000000002</v>
      </c>
      <c r="AH289" s="64">
        <f t="shared" si="132"/>
        <v>13.744500000000002</v>
      </c>
      <c r="AI289" s="9">
        <f t="shared" si="133"/>
        <v>1046.3584999999998</v>
      </c>
      <c r="AJ289" s="5">
        <v>0.18</v>
      </c>
      <c r="AK289" s="11">
        <f t="shared" si="134"/>
        <v>188.34452999999996</v>
      </c>
      <c r="AL289" s="9">
        <f t="shared" si="135"/>
        <v>1234.7030299999997</v>
      </c>
      <c r="AP289" s="12"/>
    </row>
    <row r="290" spans="1:42" x14ac:dyDescent="0.35">
      <c r="A290" s="71">
        <v>46196</v>
      </c>
      <c r="B290" s="72" t="s">
        <v>67</v>
      </c>
      <c r="C290" s="74">
        <v>1176.7759999954201</v>
      </c>
      <c r="D290" s="74">
        <v>40948.753804686399</v>
      </c>
      <c r="E290" s="62" t="s">
        <v>68</v>
      </c>
      <c r="F290" s="19" t="s">
        <v>69</v>
      </c>
      <c r="G290" s="19" t="s">
        <v>434</v>
      </c>
      <c r="H290" s="19" t="s">
        <v>99</v>
      </c>
      <c r="I290" s="6" t="s">
        <v>431</v>
      </c>
      <c r="J290" s="55">
        <v>10</v>
      </c>
      <c r="K290" s="18"/>
      <c r="L290" s="18"/>
      <c r="M290" s="18"/>
      <c r="N290" s="8">
        <f t="shared" si="121"/>
        <v>0</v>
      </c>
      <c r="O290" s="18"/>
      <c r="P290" s="18"/>
      <c r="Q290" s="18"/>
      <c r="R290" s="8">
        <f t="shared" si="120"/>
        <v>0</v>
      </c>
      <c r="S290" s="18">
        <f t="shared" si="119"/>
        <v>10</v>
      </c>
      <c r="T290" s="18">
        <f t="shared" si="122"/>
        <v>0</v>
      </c>
      <c r="U290" s="18">
        <f t="shared" si="123"/>
        <v>0</v>
      </c>
      <c r="V290" s="18">
        <f t="shared" si="124"/>
        <v>0</v>
      </c>
      <c r="W290" s="8">
        <f t="shared" si="129"/>
        <v>0</v>
      </c>
      <c r="X290" s="18">
        <f t="shared" si="125"/>
        <v>0</v>
      </c>
      <c r="Y290" s="18">
        <f t="shared" si="126"/>
        <v>0</v>
      </c>
      <c r="Z290" s="18">
        <f t="shared" si="127"/>
        <v>0</v>
      </c>
      <c r="AA290" s="8">
        <f t="shared" si="130"/>
        <v>0</v>
      </c>
      <c r="AB290" s="8">
        <v>39.270000000000003</v>
      </c>
      <c r="AC290" s="8">
        <v>52.462499999999999</v>
      </c>
      <c r="AD290" s="8">
        <v>72.64</v>
      </c>
      <c r="AE290" s="9">
        <f t="shared" si="131"/>
        <v>1119.0999999999999</v>
      </c>
      <c r="AF290" s="21">
        <v>6.5000000000000002E-2</v>
      </c>
      <c r="AG290" s="10">
        <f t="shared" si="128"/>
        <v>72.741500000000002</v>
      </c>
      <c r="AH290" s="64">
        <f t="shared" si="132"/>
        <v>13.744500000000002</v>
      </c>
      <c r="AI290" s="9">
        <f t="shared" si="133"/>
        <v>1046.3584999999998</v>
      </c>
      <c r="AJ290" s="5">
        <v>0.18</v>
      </c>
      <c r="AK290" s="11">
        <f t="shared" si="134"/>
        <v>188.34452999999996</v>
      </c>
      <c r="AL290" s="9">
        <f t="shared" si="135"/>
        <v>1234.7030299999997</v>
      </c>
      <c r="AP290" s="12"/>
    </row>
    <row r="291" spans="1:42" x14ac:dyDescent="0.35">
      <c r="A291" s="71">
        <v>46196</v>
      </c>
      <c r="B291" s="72" t="s">
        <v>67</v>
      </c>
      <c r="C291" s="74">
        <v>1176.7759999954201</v>
      </c>
      <c r="D291" s="74">
        <v>40948.753804686399</v>
      </c>
      <c r="E291" s="62" t="s">
        <v>68</v>
      </c>
      <c r="F291" s="19" t="s">
        <v>69</v>
      </c>
      <c r="G291" s="19" t="s">
        <v>435</v>
      </c>
      <c r="H291" s="19" t="s">
        <v>99</v>
      </c>
      <c r="I291" s="6" t="s">
        <v>431</v>
      </c>
      <c r="J291" s="55">
        <v>10</v>
      </c>
      <c r="K291" s="18"/>
      <c r="L291" s="18"/>
      <c r="M291" s="18"/>
      <c r="N291" s="8">
        <f t="shared" si="121"/>
        <v>0</v>
      </c>
      <c r="O291" s="18"/>
      <c r="P291" s="18"/>
      <c r="Q291" s="18"/>
      <c r="R291" s="8">
        <f t="shared" si="120"/>
        <v>0</v>
      </c>
      <c r="S291" s="18">
        <f t="shared" ref="S291:S354" si="136">J291+K291+L291+M291+O291+P291+Q291</f>
        <v>10</v>
      </c>
      <c r="T291" s="18">
        <f t="shared" si="122"/>
        <v>0</v>
      </c>
      <c r="U291" s="18">
        <f t="shared" si="123"/>
        <v>0</v>
      </c>
      <c r="V291" s="18">
        <f t="shared" si="124"/>
        <v>0</v>
      </c>
      <c r="W291" s="8">
        <f t="shared" si="129"/>
        <v>0</v>
      </c>
      <c r="X291" s="18">
        <f t="shared" si="125"/>
        <v>0</v>
      </c>
      <c r="Y291" s="18">
        <f t="shared" si="126"/>
        <v>0</v>
      </c>
      <c r="Z291" s="18">
        <f t="shared" si="127"/>
        <v>0</v>
      </c>
      <c r="AA291" s="8">
        <f t="shared" si="130"/>
        <v>0</v>
      </c>
      <c r="AB291" s="8">
        <v>39.270000000000003</v>
      </c>
      <c r="AC291" s="8">
        <v>52.462499999999999</v>
      </c>
      <c r="AD291" s="8">
        <v>72.64</v>
      </c>
      <c r="AE291" s="9">
        <f t="shared" si="131"/>
        <v>1119.0999999999999</v>
      </c>
      <c r="AF291" s="21">
        <v>6.5000000000000002E-2</v>
      </c>
      <c r="AG291" s="10">
        <f t="shared" si="128"/>
        <v>72.741500000000002</v>
      </c>
      <c r="AH291" s="64">
        <f t="shared" si="132"/>
        <v>13.744500000000002</v>
      </c>
      <c r="AI291" s="9">
        <f t="shared" si="133"/>
        <v>1046.3584999999998</v>
      </c>
      <c r="AJ291" s="5">
        <v>0.18</v>
      </c>
      <c r="AK291" s="11">
        <f t="shared" si="134"/>
        <v>188.34452999999996</v>
      </c>
      <c r="AL291" s="9">
        <f t="shared" si="135"/>
        <v>1234.7030299999997</v>
      </c>
      <c r="AP291" s="12"/>
    </row>
    <row r="292" spans="1:42" x14ac:dyDescent="0.35">
      <c r="A292" s="71">
        <v>46196</v>
      </c>
      <c r="B292" s="72" t="s">
        <v>67</v>
      </c>
      <c r="C292" s="74">
        <v>1176.7759999954201</v>
      </c>
      <c r="D292" s="74">
        <v>40948.753804686399</v>
      </c>
      <c r="E292" s="62" t="s">
        <v>68</v>
      </c>
      <c r="F292" s="19" t="s">
        <v>69</v>
      </c>
      <c r="G292" s="19" t="s">
        <v>436</v>
      </c>
      <c r="H292" s="19" t="s">
        <v>99</v>
      </c>
      <c r="I292" s="6" t="s">
        <v>431</v>
      </c>
      <c r="J292" s="55"/>
      <c r="K292" s="18">
        <v>10</v>
      </c>
      <c r="L292" s="18">
        <v>10</v>
      </c>
      <c r="M292" s="18"/>
      <c r="N292" s="8">
        <f t="shared" si="121"/>
        <v>20</v>
      </c>
      <c r="O292" s="18">
        <v>10</v>
      </c>
      <c r="P292" s="18">
        <v>10</v>
      </c>
      <c r="Q292" s="18"/>
      <c r="R292" s="8">
        <f t="shared" si="120"/>
        <v>20</v>
      </c>
      <c r="S292" s="18">
        <f t="shared" si="136"/>
        <v>40</v>
      </c>
      <c r="T292" s="18">
        <f t="shared" si="122"/>
        <v>1</v>
      </c>
      <c r="U292" s="18">
        <f t="shared" si="123"/>
        <v>1</v>
      </c>
      <c r="V292" s="18">
        <f t="shared" si="124"/>
        <v>0</v>
      </c>
      <c r="W292" s="8">
        <f t="shared" si="129"/>
        <v>2</v>
      </c>
      <c r="X292" s="18">
        <f t="shared" si="125"/>
        <v>1</v>
      </c>
      <c r="Y292" s="18">
        <f t="shared" si="126"/>
        <v>1</v>
      </c>
      <c r="Z292" s="18">
        <f t="shared" si="127"/>
        <v>0</v>
      </c>
      <c r="AA292" s="8">
        <f t="shared" si="130"/>
        <v>2</v>
      </c>
      <c r="AB292" s="8">
        <v>39.270000000000003</v>
      </c>
      <c r="AC292" s="8">
        <v>52.462499999999999</v>
      </c>
      <c r="AD292" s="8">
        <v>72.64</v>
      </c>
      <c r="AE292" s="9">
        <f t="shared" si="131"/>
        <v>3954.85</v>
      </c>
      <c r="AF292" s="21">
        <v>6.5000000000000002E-2</v>
      </c>
      <c r="AG292" s="10">
        <f t="shared" si="128"/>
        <v>257.06524999999999</v>
      </c>
      <c r="AH292" s="64">
        <f t="shared" si="132"/>
        <v>0</v>
      </c>
      <c r="AI292" s="9">
        <f t="shared" si="133"/>
        <v>3697.7847499999998</v>
      </c>
      <c r="AJ292" s="5">
        <v>0.18</v>
      </c>
      <c r="AK292" s="11">
        <f t="shared" si="134"/>
        <v>665.60125499999992</v>
      </c>
      <c r="AL292" s="9">
        <f t="shared" si="135"/>
        <v>4363.3860049999994</v>
      </c>
      <c r="AP292" s="12"/>
    </row>
    <row r="293" spans="1:42" x14ac:dyDescent="0.35">
      <c r="A293" s="71">
        <v>46196</v>
      </c>
      <c r="B293" s="72" t="s">
        <v>67</v>
      </c>
      <c r="C293" s="74">
        <v>1176.7759999954201</v>
      </c>
      <c r="D293" s="74">
        <v>40948.753804686399</v>
      </c>
      <c r="E293" s="62" t="s">
        <v>68</v>
      </c>
      <c r="F293" s="19" t="s">
        <v>69</v>
      </c>
      <c r="G293" s="19" t="s">
        <v>437</v>
      </c>
      <c r="H293" s="19" t="s">
        <v>99</v>
      </c>
      <c r="I293" s="6" t="s">
        <v>431</v>
      </c>
      <c r="J293" s="55"/>
      <c r="K293" s="20"/>
      <c r="L293" s="20"/>
      <c r="M293" s="20"/>
      <c r="N293" s="8">
        <f t="shared" si="121"/>
        <v>0</v>
      </c>
      <c r="O293" s="18">
        <v>5</v>
      </c>
      <c r="P293" s="18">
        <v>5</v>
      </c>
      <c r="Q293" s="18">
        <v>10</v>
      </c>
      <c r="R293" s="8">
        <f t="shared" si="120"/>
        <v>20</v>
      </c>
      <c r="S293" s="18">
        <f t="shared" si="136"/>
        <v>20</v>
      </c>
      <c r="T293" s="18">
        <f t="shared" si="122"/>
        <v>0</v>
      </c>
      <c r="U293" s="18">
        <f t="shared" si="123"/>
        <v>0</v>
      </c>
      <c r="V293" s="18">
        <f t="shared" si="124"/>
        <v>0</v>
      </c>
      <c r="W293" s="8">
        <f t="shared" si="129"/>
        <v>0</v>
      </c>
      <c r="X293" s="18">
        <f t="shared" si="125"/>
        <v>0.5</v>
      </c>
      <c r="Y293" s="18">
        <f t="shared" si="126"/>
        <v>0.5</v>
      </c>
      <c r="Z293" s="18">
        <f t="shared" si="127"/>
        <v>1</v>
      </c>
      <c r="AA293" s="8">
        <f t="shared" si="130"/>
        <v>2</v>
      </c>
      <c r="AB293" s="8">
        <v>39.270000000000003</v>
      </c>
      <c r="AC293" s="8">
        <v>52.462499999999999</v>
      </c>
      <c r="AD293" s="8">
        <v>72.64</v>
      </c>
      <c r="AE293" s="9">
        <f t="shared" si="131"/>
        <v>1452.8</v>
      </c>
      <c r="AF293" s="21">
        <v>6.5000000000000002E-2</v>
      </c>
      <c r="AG293" s="10">
        <f t="shared" si="128"/>
        <v>94.432000000000002</v>
      </c>
      <c r="AH293" s="64">
        <f t="shared" si="132"/>
        <v>0</v>
      </c>
      <c r="AI293" s="9">
        <f t="shared" si="133"/>
        <v>1358.3679999999999</v>
      </c>
      <c r="AJ293" s="5">
        <v>0.18</v>
      </c>
      <c r="AK293" s="11">
        <f t="shared" si="134"/>
        <v>244.50623999999999</v>
      </c>
      <c r="AL293" s="9">
        <f t="shared" si="135"/>
        <v>1602.8742399999999</v>
      </c>
      <c r="AP293" s="12"/>
    </row>
    <row r="294" spans="1:42" x14ac:dyDescent="0.35">
      <c r="A294" s="71">
        <v>46196</v>
      </c>
      <c r="B294" s="72" t="s">
        <v>67</v>
      </c>
      <c r="C294" s="74">
        <v>1176.7759999954201</v>
      </c>
      <c r="D294" s="74">
        <v>40948.753804686399</v>
      </c>
      <c r="E294" s="62" t="s">
        <v>68</v>
      </c>
      <c r="F294" s="19" t="s">
        <v>69</v>
      </c>
      <c r="G294" s="19" t="s">
        <v>141</v>
      </c>
      <c r="H294" s="19" t="s">
        <v>99</v>
      </c>
      <c r="I294" s="6" t="s">
        <v>431</v>
      </c>
      <c r="J294" s="55"/>
      <c r="K294" s="20">
        <v>15</v>
      </c>
      <c r="L294" s="20">
        <v>15</v>
      </c>
      <c r="M294" s="20">
        <v>10</v>
      </c>
      <c r="N294" s="8">
        <f t="shared" si="121"/>
        <v>40</v>
      </c>
      <c r="O294" s="18">
        <v>15</v>
      </c>
      <c r="P294" s="18">
        <v>15</v>
      </c>
      <c r="Q294" s="18">
        <v>10</v>
      </c>
      <c r="R294" s="8">
        <f t="shared" si="120"/>
        <v>40</v>
      </c>
      <c r="S294" s="18">
        <f t="shared" si="136"/>
        <v>80</v>
      </c>
      <c r="T294" s="18">
        <f t="shared" si="122"/>
        <v>1.5</v>
      </c>
      <c r="U294" s="18">
        <f t="shared" si="123"/>
        <v>1.5</v>
      </c>
      <c r="V294" s="18">
        <f t="shared" si="124"/>
        <v>1</v>
      </c>
      <c r="W294" s="8">
        <f t="shared" si="129"/>
        <v>4</v>
      </c>
      <c r="X294" s="18">
        <f t="shared" si="125"/>
        <v>1.5</v>
      </c>
      <c r="Y294" s="18">
        <f t="shared" si="126"/>
        <v>1.5</v>
      </c>
      <c r="Z294" s="18">
        <f t="shared" si="127"/>
        <v>1</v>
      </c>
      <c r="AA294" s="8">
        <f t="shared" si="130"/>
        <v>4</v>
      </c>
      <c r="AB294" s="8">
        <v>39.270000000000003</v>
      </c>
      <c r="AC294" s="8">
        <v>52.462499999999999</v>
      </c>
      <c r="AD294" s="8">
        <v>72.64</v>
      </c>
      <c r="AE294" s="9">
        <f t="shared" si="131"/>
        <v>7909.7</v>
      </c>
      <c r="AF294" s="21">
        <v>6.5000000000000002E-2</v>
      </c>
      <c r="AG294" s="10">
        <f t="shared" si="128"/>
        <v>514.13049999999998</v>
      </c>
      <c r="AH294" s="64">
        <f t="shared" si="132"/>
        <v>0</v>
      </c>
      <c r="AI294" s="9">
        <f t="shared" si="133"/>
        <v>7395.5694999999996</v>
      </c>
      <c r="AJ294" s="5">
        <v>0.18</v>
      </c>
      <c r="AK294" s="11">
        <f t="shared" si="134"/>
        <v>1331.2025099999998</v>
      </c>
      <c r="AL294" s="9">
        <f t="shared" si="135"/>
        <v>8726.7720099999988</v>
      </c>
      <c r="AP294" s="12"/>
    </row>
    <row r="295" spans="1:42" x14ac:dyDescent="0.35">
      <c r="A295" s="71">
        <v>46196</v>
      </c>
      <c r="B295" s="72" t="s">
        <v>67</v>
      </c>
      <c r="C295" s="74">
        <v>1176.7759999954201</v>
      </c>
      <c r="D295" s="74">
        <v>40948.753804686399</v>
      </c>
      <c r="E295" s="62" t="s">
        <v>68</v>
      </c>
      <c r="F295" s="19" t="s">
        <v>69</v>
      </c>
      <c r="G295" s="19" t="s">
        <v>438</v>
      </c>
      <c r="H295" s="19" t="s">
        <v>99</v>
      </c>
      <c r="I295" s="6" t="s">
        <v>431</v>
      </c>
      <c r="J295" s="55">
        <v>80</v>
      </c>
      <c r="K295" s="20">
        <v>80</v>
      </c>
      <c r="L295" s="20">
        <v>40</v>
      </c>
      <c r="M295" s="20"/>
      <c r="N295" s="8">
        <f t="shared" si="121"/>
        <v>120</v>
      </c>
      <c r="O295" s="18">
        <v>40</v>
      </c>
      <c r="P295" s="18">
        <v>20</v>
      </c>
      <c r="Q295" s="18">
        <v>60</v>
      </c>
      <c r="R295" s="8">
        <f t="shared" si="120"/>
        <v>120</v>
      </c>
      <c r="S295" s="18">
        <f t="shared" si="136"/>
        <v>320</v>
      </c>
      <c r="T295" s="18">
        <f t="shared" si="122"/>
        <v>8</v>
      </c>
      <c r="U295" s="18">
        <f t="shared" si="123"/>
        <v>4</v>
      </c>
      <c r="V295" s="18">
        <f t="shared" si="124"/>
        <v>0</v>
      </c>
      <c r="W295" s="8">
        <f t="shared" si="129"/>
        <v>12</v>
      </c>
      <c r="X295" s="18">
        <f t="shared" si="125"/>
        <v>4</v>
      </c>
      <c r="Y295" s="18">
        <f t="shared" si="126"/>
        <v>2</v>
      </c>
      <c r="Z295" s="18">
        <f t="shared" si="127"/>
        <v>6</v>
      </c>
      <c r="AA295" s="8">
        <f t="shared" si="130"/>
        <v>12</v>
      </c>
      <c r="AB295" s="8">
        <v>39.270000000000003</v>
      </c>
      <c r="AC295" s="8">
        <v>52.462499999999999</v>
      </c>
      <c r="AD295" s="8">
        <v>72.64</v>
      </c>
      <c r="AE295" s="9">
        <f t="shared" si="131"/>
        <v>32681.9</v>
      </c>
      <c r="AF295" s="21">
        <v>6.5000000000000002E-2</v>
      </c>
      <c r="AG295" s="10">
        <f t="shared" si="128"/>
        <v>2124.3235</v>
      </c>
      <c r="AH295" s="64">
        <f t="shared" si="132"/>
        <v>109.95600000000002</v>
      </c>
      <c r="AI295" s="9">
        <f t="shared" si="133"/>
        <v>30557.576500000003</v>
      </c>
      <c r="AJ295" s="5">
        <v>0.18</v>
      </c>
      <c r="AK295" s="11">
        <f t="shared" si="134"/>
        <v>5500.3637699999999</v>
      </c>
      <c r="AL295" s="9">
        <f t="shared" si="135"/>
        <v>36057.940270000006</v>
      </c>
      <c r="AP295" s="12"/>
    </row>
    <row r="296" spans="1:42" x14ac:dyDescent="0.35">
      <c r="A296" s="71">
        <v>46196</v>
      </c>
      <c r="B296" s="72" t="s">
        <v>67</v>
      </c>
      <c r="C296" s="74">
        <v>1176.7759999954201</v>
      </c>
      <c r="D296" s="74">
        <v>40948.753804686399</v>
      </c>
      <c r="E296" s="62" t="s">
        <v>68</v>
      </c>
      <c r="F296" s="19" t="s">
        <v>69</v>
      </c>
      <c r="G296" s="19" t="s">
        <v>439</v>
      </c>
      <c r="H296" s="19" t="s">
        <v>79</v>
      </c>
      <c r="I296" s="6" t="s">
        <v>278</v>
      </c>
      <c r="J296" s="55"/>
      <c r="K296" s="18"/>
      <c r="L296" s="18"/>
      <c r="M296" s="18"/>
      <c r="N296" s="8">
        <f t="shared" si="121"/>
        <v>0</v>
      </c>
      <c r="O296" s="20">
        <v>13</v>
      </c>
      <c r="P296" s="20">
        <v>13</v>
      </c>
      <c r="Q296" s="20">
        <v>14</v>
      </c>
      <c r="R296" s="8">
        <f t="shared" si="120"/>
        <v>40</v>
      </c>
      <c r="S296" s="18">
        <f t="shared" si="136"/>
        <v>40</v>
      </c>
      <c r="T296" s="18">
        <f t="shared" si="122"/>
        <v>0</v>
      </c>
      <c r="U296" s="18">
        <f t="shared" si="123"/>
        <v>0</v>
      </c>
      <c r="V296" s="18">
        <f t="shared" si="124"/>
        <v>0</v>
      </c>
      <c r="W296" s="8">
        <f t="shared" si="129"/>
        <v>0</v>
      </c>
      <c r="X296" s="18">
        <f t="shared" si="125"/>
        <v>1.3</v>
      </c>
      <c r="Y296" s="18">
        <f t="shared" si="126"/>
        <v>1.3</v>
      </c>
      <c r="Z296" s="18">
        <f t="shared" si="127"/>
        <v>1.4</v>
      </c>
      <c r="AA296" s="8">
        <f t="shared" si="130"/>
        <v>4</v>
      </c>
      <c r="AB296" s="8">
        <v>39.270000000000003</v>
      </c>
      <c r="AC296" s="8">
        <v>52.462499999999999</v>
      </c>
      <c r="AD296" s="8">
        <v>72.64</v>
      </c>
      <c r="AE296" s="9">
        <f t="shared" si="131"/>
        <v>2905.6</v>
      </c>
      <c r="AF296" s="21">
        <v>6.5000000000000002E-2</v>
      </c>
      <c r="AG296" s="10">
        <f t="shared" si="128"/>
        <v>188.864</v>
      </c>
      <c r="AH296" s="64">
        <f t="shared" si="132"/>
        <v>0</v>
      </c>
      <c r="AI296" s="9">
        <f t="shared" si="133"/>
        <v>2716.7359999999999</v>
      </c>
      <c r="AJ296" s="5">
        <v>0.18</v>
      </c>
      <c r="AK296" s="11">
        <f t="shared" si="134"/>
        <v>489.01247999999998</v>
      </c>
      <c r="AL296" s="9">
        <f t="shared" si="135"/>
        <v>3205.7484799999997</v>
      </c>
      <c r="AP296" s="12"/>
    </row>
    <row r="297" spans="1:42" x14ac:dyDescent="0.35">
      <c r="A297" s="71">
        <v>46196</v>
      </c>
      <c r="B297" s="72" t="s">
        <v>67</v>
      </c>
      <c r="C297" s="74">
        <v>1176.7759999954201</v>
      </c>
      <c r="D297" s="74">
        <v>40948.753804686399</v>
      </c>
      <c r="E297" s="62" t="s">
        <v>68</v>
      </c>
      <c r="F297" s="19" t="s">
        <v>69</v>
      </c>
      <c r="G297" s="19" t="s">
        <v>440</v>
      </c>
      <c r="H297" s="19" t="s">
        <v>79</v>
      </c>
      <c r="I297" s="6" t="s">
        <v>441</v>
      </c>
      <c r="J297" s="55"/>
      <c r="K297" s="18">
        <v>120</v>
      </c>
      <c r="L297" s="18">
        <v>120</v>
      </c>
      <c r="M297" s="18">
        <v>80</v>
      </c>
      <c r="N297" s="8">
        <f t="shared" si="121"/>
        <v>320</v>
      </c>
      <c r="O297" s="18">
        <v>120</v>
      </c>
      <c r="P297" s="18">
        <v>120</v>
      </c>
      <c r="Q297" s="18">
        <v>80</v>
      </c>
      <c r="R297" s="8">
        <f t="shared" si="120"/>
        <v>320</v>
      </c>
      <c r="S297" s="18">
        <f t="shared" si="136"/>
        <v>640</v>
      </c>
      <c r="T297" s="18">
        <f t="shared" si="122"/>
        <v>12</v>
      </c>
      <c r="U297" s="18">
        <f t="shared" si="123"/>
        <v>12</v>
      </c>
      <c r="V297" s="18">
        <f t="shared" si="124"/>
        <v>8</v>
      </c>
      <c r="W297" s="8">
        <f t="shared" si="129"/>
        <v>32</v>
      </c>
      <c r="X297" s="18">
        <f t="shared" si="125"/>
        <v>12</v>
      </c>
      <c r="Y297" s="18">
        <f t="shared" si="126"/>
        <v>12</v>
      </c>
      <c r="Z297" s="18">
        <f t="shared" si="127"/>
        <v>8</v>
      </c>
      <c r="AA297" s="8">
        <f t="shared" si="130"/>
        <v>32</v>
      </c>
      <c r="AB297" s="8">
        <v>39.270000000000003</v>
      </c>
      <c r="AC297" s="8">
        <v>52.462499999999999</v>
      </c>
      <c r="AD297" s="8">
        <v>72.64</v>
      </c>
      <c r="AE297" s="9">
        <f t="shared" si="131"/>
        <v>63277.599999999999</v>
      </c>
      <c r="AF297" s="21">
        <v>6.5000000000000002E-2</v>
      </c>
      <c r="AG297" s="10">
        <f t="shared" si="128"/>
        <v>4113.0439999999999</v>
      </c>
      <c r="AH297" s="64">
        <f t="shared" si="132"/>
        <v>0</v>
      </c>
      <c r="AI297" s="9">
        <f t="shared" si="133"/>
        <v>59164.555999999997</v>
      </c>
      <c r="AJ297" s="5">
        <v>0.18</v>
      </c>
      <c r="AK297" s="11">
        <f t="shared" si="134"/>
        <v>10649.620079999999</v>
      </c>
      <c r="AL297" s="9">
        <f t="shared" si="135"/>
        <v>69814.17607999999</v>
      </c>
      <c r="AP297" s="12"/>
    </row>
    <row r="298" spans="1:42" x14ac:dyDescent="0.35">
      <c r="A298" s="71">
        <v>46196</v>
      </c>
      <c r="B298" s="72" t="s">
        <v>67</v>
      </c>
      <c r="C298" s="74">
        <v>1176.7759999954201</v>
      </c>
      <c r="D298" s="74">
        <v>40948.753804686399</v>
      </c>
      <c r="E298" s="62" t="s">
        <v>68</v>
      </c>
      <c r="F298" s="19" t="s">
        <v>69</v>
      </c>
      <c r="G298" s="19" t="s">
        <v>442</v>
      </c>
      <c r="H298" s="19" t="s">
        <v>201</v>
      </c>
      <c r="I298" s="6" t="s">
        <v>294</v>
      </c>
      <c r="J298" s="55"/>
      <c r="K298" s="18"/>
      <c r="L298" s="20"/>
      <c r="M298" s="18"/>
      <c r="N298" s="8">
        <f t="shared" si="121"/>
        <v>0</v>
      </c>
      <c r="O298" s="18"/>
      <c r="P298" s="18"/>
      <c r="Q298" s="18">
        <v>40</v>
      </c>
      <c r="R298" s="8">
        <f t="shared" si="120"/>
        <v>40</v>
      </c>
      <c r="S298" s="18">
        <f t="shared" si="136"/>
        <v>40</v>
      </c>
      <c r="T298" s="18">
        <f t="shared" si="122"/>
        <v>0</v>
      </c>
      <c r="U298" s="18">
        <f t="shared" si="123"/>
        <v>0</v>
      </c>
      <c r="V298" s="18">
        <f t="shared" si="124"/>
        <v>0</v>
      </c>
      <c r="W298" s="8">
        <f t="shared" si="129"/>
        <v>0</v>
      </c>
      <c r="X298" s="18">
        <f t="shared" si="125"/>
        <v>0</v>
      </c>
      <c r="Y298" s="18">
        <f t="shared" si="126"/>
        <v>0</v>
      </c>
      <c r="Z298" s="18">
        <f t="shared" si="127"/>
        <v>4</v>
      </c>
      <c r="AA298" s="8">
        <f t="shared" si="130"/>
        <v>4</v>
      </c>
      <c r="AB298" s="8">
        <v>39.270000000000003</v>
      </c>
      <c r="AC298" s="8">
        <v>52.462499999999999</v>
      </c>
      <c r="AD298" s="8">
        <v>72.64</v>
      </c>
      <c r="AE298" s="9">
        <f t="shared" si="131"/>
        <v>2905.6</v>
      </c>
      <c r="AF298" s="21">
        <v>6.5000000000000002E-2</v>
      </c>
      <c r="AG298" s="10">
        <f t="shared" si="128"/>
        <v>188.864</v>
      </c>
      <c r="AH298" s="64">
        <f t="shared" si="132"/>
        <v>0</v>
      </c>
      <c r="AI298" s="9">
        <f t="shared" si="133"/>
        <v>2716.7359999999999</v>
      </c>
      <c r="AJ298" s="5">
        <v>0.18</v>
      </c>
      <c r="AK298" s="11">
        <f t="shared" si="134"/>
        <v>489.01247999999998</v>
      </c>
      <c r="AL298" s="9">
        <f t="shared" si="135"/>
        <v>3205.7484799999997</v>
      </c>
      <c r="AP298" s="12"/>
    </row>
    <row r="299" spans="1:42" x14ac:dyDescent="0.35">
      <c r="A299" s="71">
        <v>46196</v>
      </c>
      <c r="B299" s="72" t="s">
        <v>67</v>
      </c>
      <c r="C299" s="74">
        <v>1176.7759999954201</v>
      </c>
      <c r="D299" s="74">
        <v>40948.753804686399</v>
      </c>
      <c r="E299" s="62" t="s">
        <v>68</v>
      </c>
      <c r="F299" s="19" t="s">
        <v>69</v>
      </c>
      <c r="G299" s="19" t="s">
        <v>203</v>
      </c>
      <c r="H299" s="19" t="s">
        <v>201</v>
      </c>
      <c r="I299" s="6" t="s">
        <v>443</v>
      </c>
      <c r="J299" s="55"/>
      <c r="K299" s="20"/>
      <c r="L299" s="20"/>
      <c r="M299" s="20"/>
      <c r="N299" s="8">
        <f t="shared" si="121"/>
        <v>0</v>
      </c>
      <c r="O299" s="18"/>
      <c r="P299" s="18">
        <v>24</v>
      </c>
      <c r="Q299" s="18"/>
      <c r="R299" s="8">
        <f t="shared" si="120"/>
        <v>24</v>
      </c>
      <c r="S299" s="18">
        <f t="shared" si="136"/>
        <v>24</v>
      </c>
      <c r="T299" s="18">
        <f t="shared" si="122"/>
        <v>0</v>
      </c>
      <c r="U299" s="18">
        <f t="shared" si="123"/>
        <v>0</v>
      </c>
      <c r="V299" s="18">
        <f t="shared" si="124"/>
        <v>0</v>
      </c>
      <c r="W299" s="8">
        <f t="shared" si="129"/>
        <v>0</v>
      </c>
      <c r="X299" s="18">
        <f t="shared" si="125"/>
        <v>0</v>
      </c>
      <c r="Y299" s="18">
        <f t="shared" si="126"/>
        <v>2.4</v>
      </c>
      <c r="Z299" s="18">
        <f t="shared" si="127"/>
        <v>0</v>
      </c>
      <c r="AA299" s="8">
        <f t="shared" si="130"/>
        <v>2.4</v>
      </c>
      <c r="AB299" s="8">
        <v>39.270000000000003</v>
      </c>
      <c r="AC299" s="8">
        <v>52.462499999999999</v>
      </c>
      <c r="AD299" s="8">
        <v>72.64</v>
      </c>
      <c r="AE299" s="9">
        <f t="shared" si="131"/>
        <v>1743.3600000000001</v>
      </c>
      <c r="AF299" s="21">
        <v>6.5000000000000002E-2</v>
      </c>
      <c r="AG299" s="10">
        <f t="shared" si="128"/>
        <v>113.31840000000001</v>
      </c>
      <c r="AH299" s="64">
        <f t="shared" si="132"/>
        <v>0</v>
      </c>
      <c r="AI299" s="9">
        <f t="shared" si="133"/>
        <v>1630.0416</v>
      </c>
      <c r="AJ299" s="5">
        <v>0.18</v>
      </c>
      <c r="AK299" s="11">
        <f t="shared" si="134"/>
        <v>293.407488</v>
      </c>
      <c r="AL299" s="9">
        <f t="shared" si="135"/>
        <v>1923.4490880000001</v>
      </c>
      <c r="AP299" s="12"/>
    </row>
    <row r="300" spans="1:42" x14ac:dyDescent="0.35">
      <c r="A300" s="71">
        <v>46197</v>
      </c>
      <c r="B300" s="72" t="s">
        <v>67</v>
      </c>
      <c r="C300" s="74">
        <v>1176.7759999954201</v>
      </c>
      <c r="D300" s="74">
        <v>40948.753804686399</v>
      </c>
      <c r="E300" s="62" t="s">
        <v>68</v>
      </c>
      <c r="F300" s="19" t="s">
        <v>69</v>
      </c>
      <c r="G300" s="19" t="s">
        <v>444</v>
      </c>
      <c r="H300" s="19" t="s">
        <v>446</v>
      </c>
      <c r="I300" s="6" t="s">
        <v>445</v>
      </c>
      <c r="J300" s="55">
        <v>40</v>
      </c>
      <c r="K300" s="20"/>
      <c r="L300" s="20"/>
      <c r="M300" s="20"/>
      <c r="N300" s="8">
        <f t="shared" si="121"/>
        <v>0</v>
      </c>
      <c r="O300" s="18"/>
      <c r="P300" s="18"/>
      <c r="Q300" s="18">
        <v>6</v>
      </c>
      <c r="R300" s="8">
        <f t="shared" si="120"/>
        <v>6</v>
      </c>
      <c r="S300" s="18">
        <f t="shared" si="136"/>
        <v>46</v>
      </c>
      <c r="T300" s="18">
        <f t="shared" si="122"/>
        <v>0</v>
      </c>
      <c r="U300" s="18">
        <f t="shared" si="123"/>
        <v>0</v>
      </c>
      <c r="V300" s="18">
        <f t="shared" si="124"/>
        <v>0</v>
      </c>
      <c r="W300" s="8">
        <f t="shared" si="129"/>
        <v>0</v>
      </c>
      <c r="X300" s="18">
        <f t="shared" si="125"/>
        <v>0</v>
      </c>
      <c r="Y300" s="18">
        <f t="shared" si="126"/>
        <v>0</v>
      </c>
      <c r="Z300" s="18">
        <f t="shared" si="127"/>
        <v>0.6</v>
      </c>
      <c r="AA300" s="8">
        <f t="shared" si="130"/>
        <v>0.6</v>
      </c>
      <c r="AB300" s="8">
        <v>39.270000000000003</v>
      </c>
      <c r="AC300" s="8">
        <v>52.462499999999999</v>
      </c>
      <c r="AD300" s="8">
        <v>72.64</v>
      </c>
      <c r="AE300" s="9">
        <f t="shared" si="131"/>
        <v>4912.24</v>
      </c>
      <c r="AF300" s="21">
        <v>6.5000000000000002E-2</v>
      </c>
      <c r="AG300" s="10">
        <f t="shared" si="128"/>
        <v>319.29559999999998</v>
      </c>
      <c r="AH300" s="64">
        <f t="shared" si="132"/>
        <v>54.978000000000009</v>
      </c>
      <c r="AI300" s="9">
        <f t="shared" si="133"/>
        <v>4592.9443999999994</v>
      </c>
      <c r="AJ300" s="5">
        <v>0.18</v>
      </c>
      <c r="AK300" s="11">
        <f t="shared" si="134"/>
        <v>826.72999199999981</v>
      </c>
      <c r="AL300" s="9">
        <f t="shared" si="135"/>
        <v>5419.674391999999</v>
      </c>
      <c r="AP300" s="12"/>
    </row>
    <row r="301" spans="1:42" x14ac:dyDescent="0.35">
      <c r="A301" s="71">
        <v>46197</v>
      </c>
      <c r="B301" s="72" t="s">
        <v>67</v>
      </c>
      <c r="C301" s="74">
        <v>1176.7759999954201</v>
      </c>
      <c r="D301" s="74">
        <v>40948.753804686399</v>
      </c>
      <c r="E301" s="62" t="s">
        <v>68</v>
      </c>
      <c r="F301" s="19" t="s">
        <v>69</v>
      </c>
      <c r="G301" s="19" t="s">
        <v>447</v>
      </c>
      <c r="H301" s="19" t="s">
        <v>446</v>
      </c>
      <c r="I301" s="6" t="s">
        <v>445</v>
      </c>
      <c r="J301" s="55">
        <v>12</v>
      </c>
      <c r="K301" s="18"/>
      <c r="L301" s="18"/>
      <c r="M301" s="18"/>
      <c r="N301" s="8">
        <f t="shared" si="121"/>
        <v>0</v>
      </c>
      <c r="O301" s="20">
        <v>20</v>
      </c>
      <c r="P301" s="20">
        <v>5</v>
      </c>
      <c r="Q301" s="20">
        <v>15</v>
      </c>
      <c r="R301" s="8">
        <f t="shared" si="120"/>
        <v>40</v>
      </c>
      <c r="S301" s="18">
        <f t="shared" si="136"/>
        <v>52</v>
      </c>
      <c r="T301" s="18">
        <f t="shared" si="122"/>
        <v>0</v>
      </c>
      <c r="U301" s="18">
        <f t="shared" si="123"/>
        <v>0</v>
      </c>
      <c r="V301" s="18">
        <f t="shared" si="124"/>
        <v>0</v>
      </c>
      <c r="W301" s="8">
        <f t="shared" si="129"/>
        <v>0</v>
      </c>
      <c r="X301" s="18">
        <f t="shared" si="125"/>
        <v>2</v>
      </c>
      <c r="Y301" s="18">
        <f t="shared" si="126"/>
        <v>0.5</v>
      </c>
      <c r="Z301" s="18">
        <f t="shared" si="127"/>
        <v>1.5</v>
      </c>
      <c r="AA301" s="8">
        <f t="shared" si="130"/>
        <v>4</v>
      </c>
      <c r="AB301" s="8">
        <v>39.270000000000003</v>
      </c>
      <c r="AC301" s="8">
        <v>52.462499999999999</v>
      </c>
      <c r="AD301" s="8">
        <v>72.64</v>
      </c>
      <c r="AE301" s="9">
        <f t="shared" si="131"/>
        <v>4248.5200000000004</v>
      </c>
      <c r="AF301" s="21">
        <v>6.5000000000000002E-2</v>
      </c>
      <c r="AG301" s="10">
        <f t="shared" si="128"/>
        <v>276.15380000000005</v>
      </c>
      <c r="AH301" s="64">
        <f t="shared" si="132"/>
        <v>16.493400000000001</v>
      </c>
      <c r="AI301" s="9">
        <f t="shared" si="133"/>
        <v>3972.3662000000004</v>
      </c>
      <c r="AJ301" s="5">
        <v>0.18</v>
      </c>
      <c r="AK301" s="11">
        <f t="shared" si="134"/>
        <v>715.02591600000005</v>
      </c>
      <c r="AL301" s="9">
        <f t="shared" si="135"/>
        <v>4687.3921160000009</v>
      </c>
      <c r="AP301" s="12"/>
    </row>
    <row r="302" spans="1:42" x14ac:dyDescent="0.35">
      <c r="A302" s="71">
        <v>46197</v>
      </c>
      <c r="B302" s="72" t="s">
        <v>67</v>
      </c>
      <c r="C302" s="74">
        <v>1176.7759999954201</v>
      </c>
      <c r="D302" s="74">
        <v>40948.753804686399</v>
      </c>
      <c r="E302" s="62" t="s">
        <v>68</v>
      </c>
      <c r="F302" s="19" t="s">
        <v>69</v>
      </c>
      <c r="G302" s="19" t="s">
        <v>448</v>
      </c>
      <c r="H302" s="19" t="s">
        <v>446</v>
      </c>
      <c r="I302" s="6" t="s">
        <v>445</v>
      </c>
      <c r="J302" s="55">
        <v>20</v>
      </c>
      <c r="K302" s="18"/>
      <c r="L302" s="18"/>
      <c r="M302" s="18"/>
      <c r="N302" s="8">
        <f t="shared" si="121"/>
        <v>0</v>
      </c>
      <c r="O302" s="18">
        <v>10</v>
      </c>
      <c r="P302" s="18">
        <v>5</v>
      </c>
      <c r="Q302" s="18">
        <v>5</v>
      </c>
      <c r="R302" s="8">
        <f t="shared" si="120"/>
        <v>20</v>
      </c>
      <c r="S302" s="18">
        <f t="shared" si="136"/>
        <v>40</v>
      </c>
      <c r="T302" s="18">
        <f t="shared" si="122"/>
        <v>0</v>
      </c>
      <c r="U302" s="18">
        <f t="shared" si="123"/>
        <v>0</v>
      </c>
      <c r="V302" s="18">
        <f t="shared" si="124"/>
        <v>0</v>
      </c>
      <c r="W302" s="8">
        <f t="shared" si="129"/>
        <v>0</v>
      </c>
      <c r="X302" s="18">
        <f t="shared" si="125"/>
        <v>1</v>
      </c>
      <c r="Y302" s="18">
        <f t="shared" si="126"/>
        <v>0.5</v>
      </c>
      <c r="Z302" s="18">
        <f t="shared" si="127"/>
        <v>0.5</v>
      </c>
      <c r="AA302" s="8">
        <f t="shared" si="130"/>
        <v>2</v>
      </c>
      <c r="AB302" s="8">
        <v>39.270000000000003</v>
      </c>
      <c r="AC302" s="8">
        <v>52.462499999999999</v>
      </c>
      <c r="AD302" s="8">
        <v>72.64</v>
      </c>
      <c r="AE302" s="9">
        <f t="shared" si="131"/>
        <v>3691</v>
      </c>
      <c r="AF302" s="21">
        <v>6.5000000000000002E-2</v>
      </c>
      <c r="AG302" s="10">
        <f t="shared" si="128"/>
        <v>239.91500000000002</v>
      </c>
      <c r="AH302" s="64">
        <f t="shared" si="132"/>
        <v>27.489000000000004</v>
      </c>
      <c r="AI302" s="9">
        <f t="shared" si="133"/>
        <v>3451.085</v>
      </c>
      <c r="AJ302" s="5">
        <v>0.18</v>
      </c>
      <c r="AK302" s="11">
        <f t="shared" si="134"/>
        <v>621.19529999999997</v>
      </c>
      <c r="AL302" s="9">
        <f t="shared" si="135"/>
        <v>4072.2802999999999</v>
      </c>
      <c r="AP302" s="12"/>
    </row>
    <row r="303" spans="1:42" x14ac:dyDescent="0.35">
      <c r="A303" s="71">
        <v>46197</v>
      </c>
      <c r="B303" s="72" t="s">
        <v>67</v>
      </c>
      <c r="C303" s="74">
        <v>1176.7759999954201</v>
      </c>
      <c r="D303" s="74">
        <v>40948.753804686399</v>
      </c>
      <c r="E303" s="62" t="s">
        <v>68</v>
      </c>
      <c r="F303" s="19" t="s">
        <v>69</v>
      </c>
      <c r="G303" s="19" t="s">
        <v>126</v>
      </c>
      <c r="H303" s="19" t="s">
        <v>79</v>
      </c>
      <c r="I303" s="6" t="s">
        <v>449</v>
      </c>
      <c r="J303" s="55"/>
      <c r="K303" s="18">
        <v>20</v>
      </c>
      <c r="L303" s="18">
        <v>20</v>
      </c>
      <c r="M303" s="18"/>
      <c r="N303" s="8">
        <f t="shared" si="121"/>
        <v>40</v>
      </c>
      <c r="O303" s="18"/>
      <c r="P303" s="18"/>
      <c r="Q303" s="18">
        <v>6</v>
      </c>
      <c r="R303" s="8">
        <f t="shared" si="120"/>
        <v>6</v>
      </c>
      <c r="S303" s="18">
        <f t="shared" si="136"/>
        <v>46</v>
      </c>
      <c r="T303" s="18">
        <f t="shared" si="122"/>
        <v>2</v>
      </c>
      <c r="U303" s="18">
        <f t="shared" si="123"/>
        <v>2</v>
      </c>
      <c r="V303" s="18">
        <f t="shared" si="124"/>
        <v>0</v>
      </c>
      <c r="W303" s="8">
        <f t="shared" si="129"/>
        <v>4</v>
      </c>
      <c r="X303" s="18">
        <f t="shared" si="125"/>
        <v>0</v>
      </c>
      <c r="Y303" s="18">
        <f t="shared" si="126"/>
        <v>0</v>
      </c>
      <c r="Z303" s="18">
        <f t="shared" si="127"/>
        <v>0.6</v>
      </c>
      <c r="AA303" s="8">
        <f t="shared" si="130"/>
        <v>0.6</v>
      </c>
      <c r="AB303" s="8">
        <v>39.270000000000003</v>
      </c>
      <c r="AC303" s="8">
        <v>52.462499999999999</v>
      </c>
      <c r="AD303" s="8">
        <v>72.64</v>
      </c>
      <c r="AE303" s="9">
        <f t="shared" si="131"/>
        <v>5439.9400000000005</v>
      </c>
      <c r="AF303" s="21">
        <v>6.5000000000000002E-2</v>
      </c>
      <c r="AG303" s="10">
        <f t="shared" si="128"/>
        <v>353.59610000000004</v>
      </c>
      <c r="AH303" s="64">
        <f t="shared" si="132"/>
        <v>0</v>
      </c>
      <c r="AI303" s="9">
        <f t="shared" si="133"/>
        <v>5086.3439000000008</v>
      </c>
      <c r="AJ303" s="5">
        <v>0.18</v>
      </c>
      <c r="AK303" s="11">
        <f t="shared" si="134"/>
        <v>915.54190200000005</v>
      </c>
      <c r="AL303" s="9">
        <f t="shared" si="135"/>
        <v>6001.8858020000007</v>
      </c>
      <c r="AP303" s="12"/>
    </row>
    <row r="304" spans="1:42" x14ac:dyDescent="0.35">
      <c r="A304" s="71">
        <v>46197</v>
      </c>
      <c r="B304" s="72" t="s">
        <v>67</v>
      </c>
      <c r="C304" s="74">
        <v>1176.7759999954201</v>
      </c>
      <c r="D304" s="74">
        <v>40948.753804686399</v>
      </c>
      <c r="E304" s="62" t="s">
        <v>68</v>
      </c>
      <c r="F304" s="19" t="s">
        <v>69</v>
      </c>
      <c r="G304" s="19" t="s">
        <v>450</v>
      </c>
      <c r="H304" s="19" t="s">
        <v>79</v>
      </c>
      <c r="I304" s="6" t="s">
        <v>449</v>
      </c>
      <c r="J304" s="55">
        <v>40</v>
      </c>
      <c r="K304" s="20">
        <v>10</v>
      </c>
      <c r="L304" s="20">
        <v>10</v>
      </c>
      <c r="M304" s="20"/>
      <c r="N304" s="8">
        <f t="shared" si="121"/>
        <v>20</v>
      </c>
      <c r="O304" s="18"/>
      <c r="P304" s="18"/>
      <c r="Q304" s="18"/>
      <c r="R304" s="8">
        <f t="shared" si="120"/>
        <v>0</v>
      </c>
      <c r="S304" s="18">
        <f t="shared" si="136"/>
        <v>60</v>
      </c>
      <c r="T304" s="18">
        <f t="shared" si="122"/>
        <v>1</v>
      </c>
      <c r="U304" s="18">
        <f t="shared" si="123"/>
        <v>1</v>
      </c>
      <c r="V304" s="18">
        <f t="shared" si="124"/>
        <v>0</v>
      </c>
      <c r="W304" s="8">
        <f t="shared" si="129"/>
        <v>2</v>
      </c>
      <c r="X304" s="18">
        <f t="shared" si="125"/>
        <v>0</v>
      </c>
      <c r="Y304" s="18">
        <f t="shared" si="126"/>
        <v>0</v>
      </c>
      <c r="Z304" s="18">
        <f t="shared" si="127"/>
        <v>0</v>
      </c>
      <c r="AA304" s="8">
        <f t="shared" si="130"/>
        <v>0</v>
      </c>
      <c r="AB304" s="8">
        <v>39.270000000000003</v>
      </c>
      <c r="AC304" s="8">
        <v>52.462499999999999</v>
      </c>
      <c r="AD304" s="8">
        <v>72.64</v>
      </c>
      <c r="AE304" s="9">
        <f t="shared" si="131"/>
        <v>6978.45</v>
      </c>
      <c r="AF304" s="21">
        <v>6.5000000000000002E-2</v>
      </c>
      <c r="AG304" s="10">
        <f t="shared" si="128"/>
        <v>453.59924999999998</v>
      </c>
      <c r="AH304" s="64">
        <f t="shared" si="132"/>
        <v>54.978000000000009</v>
      </c>
      <c r="AI304" s="9">
        <f t="shared" si="133"/>
        <v>6524.8507499999996</v>
      </c>
      <c r="AJ304" s="5">
        <v>0.18</v>
      </c>
      <c r="AK304" s="11">
        <f t="shared" si="134"/>
        <v>1174.473135</v>
      </c>
      <c r="AL304" s="9">
        <f t="shared" si="135"/>
        <v>7699.3238849999998</v>
      </c>
      <c r="AP304" s="12"/>
    </row>
    <row r="305" spans="1:42" x14ac:dyDescent="0.35">
      <c r="A305" s="71">
        <v>46197</v>
      </c>
      <c r="B305" s="72" t="s">
        <v>67</v>
      </c>
      <c r="C305" s="74">
        <v>1176.7759999954201</v>
      </c>
      <c r="D305" s="74">
        <v>40948.753804686399</v>
      </c>
      <c r="E305" s="62" t="s">
        <v>68</v>
      </c>
      <c r="F305" s="19" t="s">
        <v>69</v>
      </c>
      <c r="G305" s="19" t="s">
        <v>451</v>
      </c>
      <c r="H305" s="19" t="s">
        <v>79</v>
      </c>
      <c r="I305" s="6" t="s">
        <v>449</v>
      </c>
      <c r="J305" s="55"/>
      <c r="K305" s="20"/>
      <c r="L305" s="20"/>
      <c r="M305" s="20"/>
      <c r="N305" s="8">
        <f t="shared" si="121"/>
        <v>0</v>
      </c>
      <c r="O305" s="18">
        <v>20</v>
      </c>
      <c r="P305" s="18"/>
      <c r="Q305" s="18"/>
      <c r="R305" s="8">
        <f t="shared" si="120"/>
        <v>20</v>
      </c>
      <c r="S305" s="18">
        <f t="shared" si="136"/>
        <v>20</v>
      </c>
      <c r="T305" s="18">
        <f t="shared" si="122"/>
        <v>0</v>
      </c>
      <c r="U305" s="18">
        <f t="shared" si="123"/>
        <v>0</v>
      </c>
      <c r="V305" s="18">
        <f t="shared" si="124"/>
        <v>0</v>
      </c>
      <c r="W305" s="8">
        <f t="shared" si="129"/>
        <v>0</v>
      </c>
      <c r="X305" s="18">
        <f t="shared" si="125"/>
        <v>2</v>
      </c>
      <c r="Y305" s="18">
        <f t="shared" si="126"/>
        <v>0</v>
      </c>
      <c r="Z305" s="18">
        <f t="shared" si="127"/>
        <v>0</v>
      </c>
      <c r="AA305" s="8">
        <f t="shared" si="130"/>
        <v>2</v>
      </c>
      <c r="AB305" s="8">
        <v>39.270000000000003</v>
      </c>
      <c r="AC305" s="8">
        <v>52.462499999999999</v>
      </c>
      <c r="AD305" s="8">
        <v>72.64</v>
      </c>
      <c r="AE305" s="9">
        <f t="shared" si="131"/>
        <v>1452.8</v>
      </c>
      <c r="AF305" s="21">
        <v>6.5000000000000002E-2</v>
      </c>
      <c r="AG305" s="10">
        <f t="shared" si="128"/>
        <v>94.432000000000002</v>
      </c>
      <c r="AH305" s="64">
        <f t="shared" si="132"/>
        <v>0</v>
      </c>
      <c r="AI305" s="9">
        <f t="shared" si="133"/>
        <v>1358.3679999999999</v>
      </c>
      <c r="AJ305" s="5">
        <v>0.18</v>
      </c>
      <c r="AK305" s="11">
        <f t="shared" si="134"/>
        <v>244.50623999999999</v>
      </c>
      <c r="AL305" s="9">
        <f t="shared" si="135"/>
        <v>1602.8742399999999</v>
      </c>
      <c r="AP305" s="12"/>
    </row>
    <row r="306" spans="1:42" x14ac:dyDescent="0.35">
      <c r="A306" s="71">
        <v>46197</v>
      </c>
      <c r="B306" s="72" t="s">
        <v>67</v>
      </c>
      <c r="C306" s="74">
        <v>1176.7759999954201</v>
      </c>
      <c r="D306" s="74">
        <v>40948.753804686399</v>
      </c>
      <c r="E306" s="62" t="s">
        <v>68</v>
      </c>
      <c r="F306" s="19" t="s">
        <v>69</v>
      </c>
      <c r="G306" s="19" t="s">
        <v>452</v>
      </c>
      <c r="H306" s="19" t="s">
        <v>79</v>
      </c>
      <c r="I306" s="6" t="s">
        <v>453</v>
      </c>
      <c r="J306" s="55">
        <v>10</v>
      </c>
      <c r="K306" s="18">
        <v>10</v>
      </c>
      <c r="L306" s="18">
        <v>10</v>
      </c>
      <c r="M306" s="18"/>
      <c r="N306" s="8">
        <f t="shared" si="121"/>
        <v>20</v>
      </c>
      <c r="O306" s="18">
        <v>14</v>
      </c>
      <c r="P306" s="18">
        <v>13</v>
      </c>
      <c r="Q306" s="18">
        <v>13</v>
      </c>
      <c r="R306" s="8">
        <f t="shared" si="120"/>
        <v>40</v>
      </c>
      <c r="S306" s="18">
        <f t="shared" si="136"/>
        <v>70</v>
      </c>
      <c r="T306" s="18">
        <f t="shared" si="122"/>
        <v>1</v>
      </c>
      <c r="U306" s="18">
        <f t="shared" si="123"/>
        <v>1</v>
      </c>
      <c r="V306" s="18">
        <f t="shared" si="124"/>
        <v>0</v>
      </c>
      <c r="W306" s="8">
        <f t="shared" si="129"/>
        <v>2</v>
      </c>
      <c r="X306" s="18">
        <f t="shared" si="125"/>
        <v>1.4</v>
      </c>
      <c r="Y306" s="18">
        <f t="shared" si="126"/>
        <v>1.3</v>
      </c>
      <c r="Z306" s="18">
        <f t="shared" si="127"/>
        <v>1.3</v>
      </c>
      <c r="AA306" s="8">
        <f t="shared" si="130"/>
        <v>4</v>
      </c>
      <c r="AB306" s="8">
        <v>39.270000000000003</v>
      </c>
      <c r="AC306" s="8">
        <v>52.462499999999999</v>
      </c>
      <c r="AD306" s="8">
        <v>72.64</v>
      </c>
      <c r="AE306" s="9">
        <f t="shared" si="131"/>
        <v>6526.75</v>
      </c>
      <c r="AF306" s="21">
        <v>0.14000000000000001</v>
      </c>
      <c r="AG306" s="10">
        <f t="shared" si="128"/>
        <v>913.74500000000012</v>
      </c>
      <c r="AH306" s="64">
        <f t="shared" si="132"/>
        <v>13.744500000000002</v>
      </c>
      <c r="AI306" s="9">
        <f t="shared" si="133"/>
        <v>5613.0050000000001</v>
      </c>
      <c r="AJ306" s="5">
        <v>0.18</v>
      </c>
      <c r="AK306" s="11">
        <f t="shared" si="134"/>
        <v>1010.3409</v>
      </c>
      <c r="AL306" s="9">
        <f t="shared" si="135"/>
        <v>6623.3459000000003</v>
      </c>
      <c r="AP306" s="12"/>
    </row>
    <row r="307" spans="1:42" x14ac:dyDescent="0.35">
      <c r="A307" s="71">
        <v>46197</v>
      </c>
      <c r="B307" s="72" t="s">
        <v>67</v>
      </c>
      <c r="C307" s="74">
        <v>1176.7759999954201</v>
      </c>
      <c r="D307" s="74">
        <v>40948.753804686399</v>
      </c>
      <c r="E307" s="62" t="s">
        <v>68</v>
      </c>
      <c r="F307" s="19" t="s">
        <v>69</v>
      </c>
      <c r="G307" s="19" t="s">
        <v>454</v>
      </c>
      <c r="H307" s="19" t="s">
        <v>79</v>
      </c>
      <c r="I307" s="6" t="s">
        <v>441</v>
      </c>
      <c r="J307" s="55">
        <v>40</v>
      </c>
      <c r="K307" s="18"/>
      <c r="L307" s="18"/>
      <c r="M307" s="18"/>
      <c r="N307" s="8">
        <f t="shared" si="121"/>
        <v>0</v>
      </c>
      <c r="O307" s="18"/>
      <c r="P307" s="18"/>
      <c r="Q307" s="18">
        <v>24</v>
      </c>
      <c r="R307" s="8">
        <f t="shared" si="120"/>
        <v>24</v>
      </c>
      <c r="S307" s="18">
        <f t="shared" si="136"/>
        <v>64</v>
      </c>
      <c r="T307" s="18">
        <f t="shared" si="122"/>
        <v>0</v>
      </c>
      <c r="U307" s="18">
        <f t="shared" si="123"/>
        <v>0</v>
      </c>
      <c r="V307" s="18">
        <f t="shared" si="124"/>
        <v>0</v>
      </c>
      <c r="W307" s="8">
        <f t="shared" si="129"/>
        <v>0</v>
      </c>
      <c r="X307" s="18">
        <f t="shared" si="125"/>
        <v>0</v>
      </c>
      <c r="Y307" s="18">
        <f t="shared" si="126"/>
        <v>0</v>
      </c>
      <c r="Z307" s="18">
        <f t="shared" si="127"/>
        <v>2.4</v>
      </c>
      <c r="AA307" s="8">
        <f t="shared" si="130"/>
        <v>2.4</v>
      </c>
      <c r="AB307" s="8">
        <v>39.270000000000003</v>
      </c>
      <c r="AC307" s="8">
        <v>52.462499999999999</v>
      </c>
      <c r="AD307" s="8">
        <v>72.64</v>
      </c>
      <c r="AE307" s="9">
        <f t="shared" si="131"/>
        <v>6219.76</v>
      </c>
      <c r="AF307" s="21">
        <v>6.5000000000000002E-2</v>
      </c>
      <c r="AG307" s="10">
        <f t="shared" si="128"/>
        <v>404.28440000000001</v>
      </c>
      <c r="AH307" s="64">
        <f t="shared" si="132"/>
        <v>54.978000000000009</v>
      </c>
      <c r="AI307" s="9">
        <f t="shared" si="133"/>
        <v>5815.4755999999998</v>
      </c>
      <c r="AJ307" s="5">
        <v>0.18</v>
      </c>
      <c r="AK307" s="11">
        <f t="shared" si="134"/>
        <v>1046.7856079999999</v>
      </c>
      <c r="AL307" s="9">
        <f t="shared" si="135"/>
        <v>6862.2612079999999</v>
      </c>
      <c r="AP307" s="12"/>
    </row>
    <row r="308" spans="1:42" x14ac:dyDescent="0.35">
      <c r="A308" s="71">
        <v>46197</v>
      </c>
      <c r="B308" s="72" t="s">
        <v>67</v>
      </c>
      <c r="C308" s="74">
        <v>1176.7759999954201</v>
      </c>
      <c r="D308" s="74">
        <v>40948.753804686399</v>
      </c>
      <c r="E308" s="62" t="s">
        <v>68</v>
      </c>
      <c r="F308" s="19" t="s">
        <v>69</v>
      </c>
      <c r="G308" s="19" t="s">
        <v>455</v>
      </c>
      <c r="H308" s="19" t="s">
        <v>403</v>
      </c>
      <c r="I308" s="6" t="s">
        <v>456</v>
      </c>
      <c r="J308" s="55">
        <v>40</v>
      </c>
      <c r="K308" s="20">
        <v>20</v>
      </c>
      <c r="L308" s="20">
        <v>40</v>
      </c>
      <c r="M308" s="20"/>
      <c r="N308" s="8">
        <f t="shared" si="121"/>
        <v>60</v>
      </c>
      <c r="O308" s="18">
        <v>20</v>
      </c>
      <c r="P308" s="18">
        <v>20</v>
      </c>
      <c r="Q308" s="18">
        <v>20</v>
      </c>
      <c r="R308" s="8">
        <f t="shared" si="120"/>
        <v>60</v>
      </c>
      <c r="S308" s="18">
        <f t="shared" si="136"/>
        <v>160</v>
      </c>
      <c r="T308" s="18">
        <f t="shared" si="122"/>
        <v>2</v>
      </c>
      <c r="U308" s="18">
        <f t="shared" si="123"/>
        <v>4</v>
      </c>
      <c r="V308" s="18">
        <f t="shared" si="124"/>
        <v>0</v>
      </c>
      <c r="W308" s="8">
        <f t="shared" si="129"/>
        <v>6</v>
      </c>
      <c r="X308" s="18">
        <f t="shared" si="125"/>
        <v>2</v>
      </c>
      <c r="Y308" s="18">
        <f t="shared" si="126"/>
        <v>2</v>
      </c>
      <c r="Z308" s="18">
        <f t="shared" si="127"/>
        <v>2</v>
      </c>
      <c r="AA308" s="8">
        <f t="shared" si="130"/>
        <v>6</v>
      </c>
      <c r="AB308" s="8">
        <v>39.270000000000003</v>
      </c>
      <c r="AC308" s="8">
        <v>52.462499999999999</v>
      </c>
      <c r="AD308" s="8">
        <v>72.64</v>
      </c>
      <c r="AE308" s="9">
        <f t="shared" si="131"/>
        <v>16340.95</v>
      </c>
      <c r="AF308" s="21">
        <v>0.13</v>
      </c>
      <c r="AG308" s="10">
        <f t="shared" si="128"/>
        <v>2124.3235</v>
      </c>
      <c r="AH308" s="64">
        <f t="shared" si="132"/>
        <v>54.978000000000009</v>
      </c>
      <c r="AI308" s="9">
        <f t="shared" si="133"/>
        <v>14216.6265</v>
      </c>
      <c r="AJ308" s="5">
        <v>0.18</v>
      </c>
      <c r="AK308" s="11">
        <f t="shared" si="134"/>
        <v>2558.9927699999998</v>
      </c>
      <c r="AL308" s="9">
        <f t="shared" si="135"/>
        <v>16775.619269999999</v>
      </c>
      <c r="AP308" s="12"/>
    </row>
    <row r="309" spans="1:42" x14ac:dyDescent="0.35">
      <c r="A309" s="71">
        <v>46197</v>
      </c>
      <c r="B309" s="72" t="s">
        <v>67</v>
      </c>
      <c r="C309" s="74">
        <v>1176.7759999954201</v>
      </c>
      <c r="D309" s="74">
        <v>40948.753804686399</v>
      </c>
      <c r="E309" s="62" t="s">
        <v>68</v>
      </c>
      <c r="F309" s="19" t="s">
        <v>69</v>
      </c>
      <c r="G309" s="19" t="s">
        <v>457</v>
      </c>
      <c r="H309" s="19" t="s">
        <v>403</v>
      </c>
      <c r="I309" s="6" t="s">
        <v>456</v>
      </c>
      <c r="J309" s="55"/>
      <c r="K309" s="18"/>
      <c r="L309" s="18"/>
      <c r="M309" s="18"/>
      <c r="N309" s="8">
        <f t="shared" si="121"/>
        <v>0</v>
      </c>
      <c r="O309" s="18">
        <v>20</v>
      </c>
      <c r="P309" s="18">
        <v>10</v>
      </c>
      <c r="Q309" s="18">
        <v>10</v>
      </c>
      <c r="R309" s="8">
        <f t="shared" si="120"/>
        <v>40</v>
      </c>
      <c r="S309" s="18">
        <f t="shared" si="136"/>
        <v>40</v>
      </c>
      <c r="T309" s="18">
        <f t="shared" si="122"/>
        <v>0</v>
      </c>
      <c r="U309" s="18">
        <f t="shared" si="123"/>
        <v>0</v>
      </c>
      <c r="V309" s="18">
        <f t="shared" si="124"/>
        <v>0</v>
      </c>
      <c r="W309" s="8">
        <f t="shared" si="129"/>
        <v>0</v>
      </c>
      <c r="X309" s="18">
        <f t="shared" si="125"/>
        <v>2</v>
      </c>
      <c r="Y309" s="18">
        <f t="shared" si="126"/>
        <v>1</v>
      </c>
      <c r="Z309" s="18">
        <f t="shared" si="127"/>
        <v>1</v>
      </c>
      <c r="AA309" s="8">
        <f t="shared" si="130"/>
        <v>4</v>
      </c>
      <c r="AB309" s="8">
        <v>39.270000000000003</v>
      </c>
      <c r="AC309" s="8">
        <v>52.462499999999999</v>
      </c>
      <c r="AD309" s="8">
        <v>72.64</v>
      </c>
      <c r="AE309" s="9">
        <f t="shared" si="131"/>
        <v>2905.6</v>
      </c>
      <c r="AF309" s="21">
        <v>6.5000000000000002E-2</v>
      </c>
      <c r="AG309" s="10">
        <f t="shared" si="128"/>
        <v>188.864</v>
      </c>
      <c r="AH309" s="64">
        <f t="shared" si="132"/>
        <v>0</v>
      </c>
      <c r="AI309" s="9">
        <f t="shared" si="133"/>
        <v>2716.7359999999999</v>
      </c>
      <c r="AJ309" s="5">
        <v>0.18</v>
      </c>
      <c r="AK309" s="11">
        <f t="shared" si="134"/>
        <v>489.01247999999998</v>
      </c>
      <c r="AL309" s="9">
        <f t="shared" si="135"/>
        <v>3205.7484799999997</v>
      </c>
      <c r="AP309" s="12"/>
    </row>
    <row r="310" spans="1:42" x14ac:dyDescent="0.35">
      <c r="A310" s="71">
        <v>46197</v>
      </c>
      <c r="B310" s="72" t="s">
        <v>67</v>
      </c>
      <c r="C310" s="74">
        <v>1176.7759999954201</v>
      </c>
      <c r="D310" s="74">
        <v>40948.753804686399</v>
      </c>
      <c r="E310" s="62" t="s">
        <v>68</v>
      </c>
      <c r="F310" s="19" t="s">
        <v>69</v>
      </c>
      <c r="G310" s="19" t="s">
        <v>458</v>
      </c>
      <c r="H310" s="19" t="s">
        <v>99</v>
      </c>
      <c r="I310" s="6" t="s">
        <v>142</v>
      </c>
      <c r="J310" s="55"/>
      <c r="K310" s="20">
        <v>10</v>
      </c>
      <c r="L310" s="20">
        <v>10</v>
      </c>
      <c r="M310" s="18"/>
      <c r="N310" s="8">
        <f t="shared" si="121"/>
        <v>20</v>
      </c>
      <c r="O310" s="18">
        <v>15</v>
      </c>
      <c r="P310" s="18">
        <v>10</v>
      </c>
      <c r="Q310" s="18">
        <v>15</v>
      </c>
      <c r="R310" s="8">
        <f t="shared" si="120"/>
        <v>40</v>
      </c>
      <c r="S310" s="18">
        <f t="shared" si="136"/>
        <v>60</v>
      </c>
      <c r="T310" s="18">
        <f t="shared" si="122"/>
        <v>1</v>
      </c>
      <c r="U310" s="18">
        <f t="shared" si="123"/>
        <v>1</v>
      </c>
      <c r="V310" s="18">
        <f t="shared" si="124"/>
        <v>0</v>
      </c>
      <c r="W310" s="8">
        <f t="shared" si="129"/>
        <v>2</v>
      </c>
      <c r="X310" s="18">
        <f t="shared" si="125"/>
        <v>1.5</v>
      </c>
      <c r="Y310" s="18">
        <f t="shared" si="126"/>
        <v>1</v>
      </c>
      <c r="Z310" s="18">
        <f t="shared" si="127"/>
        <v>1.5</v>
      </c>
      <c r="AA310" s="8">
        <f t="shared" si="130"/>
        <v>4</v>
      </c>
      <c r="AB310" s="8">
        <v>39.270000000000003</v>
      </c>
      <c r="AC310" s="8">
        <v>52.462499999999999</v>
      </c>
      <c r="AD310" s="8">
        <v>72.64</v>
      </c>
      <c r="AE310" s="9">
        <f t="shared" si="131"/>
        <v>5407.65</v>
      </c>
      <c r="AF310" s="21">
        <v>6.5000000000000002E-2</v>
      </c>
      <c r="AG310" s="10">
        <f t="shared" si="128"/>
        <v>351.49725000000001</v>
      </c>
      <c r="AH310" s="64">
        <f t="shared" si="132"/>
        <v>0</v>
      </c>
      <c r="AI310" s="9">
        <f t="shared" si="133"/>
        <v>5056.1527499999993</v>
      </c>
      <c r="AJ310" s="5">
        <v>0.18</v>
      </c>
      <c r="AK310" s="11">
        <f t="shared" si="134"/>
        <v>910.10749499999986</v>
      </c>
      <c r="AL310" s="9">
        <f t="shared" si="135"/>
        <v>5966.2602449999995</v>
      </c>
      <c r="AP310" s="12"/>
    </row>
    <row r="311" spans="1:42" x14ac:dyDescent="0.35">
      <c r="A311" s="71">
        <v>46197</v>
      </c>
      <c r="B311" s="72" t="s">
        <v>67</v>
      </c>
      <c r="C311" s="74">
        <v>1176.7759999954201</v>
      </c>
      <c r="D311" s="74">
        <v>40948.753804686399</v>
      </c>
      <c r="E311" s="62" t="s">
        <v>68</v>
      </c>
      <c r="F311" s="19" t="s">
        <v>69</v>
      </c>
      <c r="G311" s="19" t="s">
        <v>459</v>
      </c>
      <c r="H311" s="19" t="s">
        <v>99</v>
      </c>
      <c r="I311" s="6" t="s">
        <v>142</v>
      </c>
      <c r="J311" s="55">
        <v>10</v>
      </c>
      <c r="K311" s="18"/>
      <c r="L311" s="18"/>
      <c r="M311" s="18"/>
      <c r="N311" s="8">
        <f t="shared" si="121"/>
        <v>0</v>
      </c>
      <c r="O311" s="18"/>
      <c r="P311" s="18"/>
      <c r="Q311" s="18"/>
      <c r="R311" s="8">
        <f t="shared" si="120"/>
        <v>0</v>
      </c>
      <c r="S311" s="18">
        <f t="shared" si="136"/>
        <v>10</v>
      </c>
      <c r="T311" s="18">
        <f t="shared" si="122"/>
        <v>0</v>
      </c>
      <c r="U311" s="18">
        <f t="shared" si="123"/>
        <v>0</v>
      </c>
      <c r="V311" s="18">
        <f t="shared" si="124"/>
        <v>0</v>
      </c>
      <c r="W311" s="8">
        <f t="shared" si="129"/>
        <v>0</v>
      </c>
      <c r="X311" s="18">
        <f t="shared" si="125"/>
        <v>0</v>
      </c>
      <c r="Y311" s="18">
        <f t="shared" si="126"/>
        <v>0</v>
      </c>
      <c r="Z311" s="18">
        <f t="shared" si="127"/>
        <v>0</v>
      </c>
      <c r="AA311" s="8">
        <f t="shared" si="130"/>
        <v>0</v>
      </c>
      <c r="AB311" s="8">
        <v>39.270000000000003</v>
      </c>
      <c r="AC311" s="8">
        <v>52.462499999999999</v>
      </c>
      <c r="AD311" s="8">
        <v>72.64</v>
      </c>
      <c r="AE311" s="9">
        <f t="shared" si="131"/>
        <v>1119.0999999999999</v>
      </c>
      <c r="AF311" s="21">
        <v>6.5000000000000002E-2</v>
      </c>
      <c r="AG311" s="10">
        <f t="shared" si="128"/>
        <v>72.741500000000002</v>
      </c>
      <c r="AH311" s="64">
        <f t="shared" si="132"/>
        <v>13.744500000000002</v>
      </c>
      <c r="AI311" s="9">
        <f t="shared" si="133"/>
        <v>1046.3584999999998</v>
      </c>
      <c r="AJ311" s="5">
        <v>0.18</v>
      </c>
      <c r="AK311" s="11">
        <f t="shared" si="134"/>
        <v>188.34452999999996</v>
      </c>
      <c r="AL311" s="9">
        <f t="shared" si="135"/>
        <v>1234.7030299999997</v>
      </c>
      <c r="AP311" s="12"/>
    </row>
    <row r="312" spans="1:42" x14ac:dyDescent="0.35">
      <c r="A312" s="71">
        <v>46197</v>
      </c>
      <c r="B312" s="72" t="s">
        <v>67</v>
      </c>
      <c r="C312" s="74">
        <v>1176.7759999954201</v>
      </c>
      <c r="D312" s="74">
        <v>40948.753804686399</v>
      </c>
      <c r="E312" s="62" t="s">
        <v>68</v>
      </c>
      <c r="F312" s="19" t="s">
        <v>69</v>
      </c>
      <c r="G312" s="19" t="s">
        <v>460</v>
      </c>
      <c r="H312" s="19" t="s">
        <v>99</v>
      </c>
      <c r="I312" s="6" t="s">
        <v>142</v>
      </c>
      <c r="J312" s="55">
        <v>10</v>
      </c>
      <c r="K312" s="20"/>
      <c r="L312" s="20"/>
      <c r="M312" s="20"/>
      <c r="N312" s="8">
        <f t="shared" si="121"/>
        <v>0</v>
      </c>
      <c r="O312" s="18"/>
      <c r="P312" s="18"/>
      <c r="Q312" s="18"/>
      <c r="R312" s="8">
        <f t="shared" si="120"/>
        <v>0</v>
      </c>
      <c r="S312" s="18">
        <f t="shared" si="136"/>
        <v>10</v>
      </c>
      <c r="T312" s="18">
        <f t="shared" si="122"/>
        <v>0</v>
      </c>
      <c r="U312" s="18">
        <f t="shared" si="123"/>
        <v>0</v>
      </c>
      <c r="V312" s="18">
        <f t="shared" si="124"/>
        <v>0</v>
      </c>
      <c r="W312" s="8">
        <f t="shared" si="129"/>
        <v>0</v>
      </c>
      <c r="X312" s="18">
        <f t="shared" si="125"/>
        <v>0</v>
      </c>
      <c r="Y312" s="18">
        <f t="shared" si="126"/>
        <v>0</v>
      </c>
      <c r="Z312" s="18">
        <f t="shared" si="127"/>
        <v>0</v>
      </c>
      <c r="AA312" s="8">
        <f t="shared" si="130"/>
        <v>0</v>
      </c>
      <c r="AB312" s="8">
        <v>39.270000000000003</v>
      </c>
      <c r="AC312" s="8">
        <v>52.462499999999999</v>
      </c>
      <c r="AD312" s="8">
        <v>72.64</v>
      </c>
      <c r="AE312" s="9">
        <f t="shared" si="131"/>
        <v>1119.0999999999999</v>
      </c>
      <c r="AF312" s="21">
        <v>6.5000000000000002E-2</v>
      </c>
      <c r="AG312" s="10">
        <f t="shared" si="128"/>
        <v>72.741500000000002</v>
      </c>
      <c r="AH312" s="64">
        <f t="shared" si="132"/>
        <v>13.744500000000002</v>
      </c>
      <c r="AI312" s="9">
        <f t="shared" si="133"/>
        <v>1046.3584999999998</v>
      </c>
      <c r="AJ312" s="5">
        <v>0.18</v>
      </c>
      <c r="AK312" s="11">
        <f t="shared" si="134"/>
        <v>188.34452999999996</v>
      </c>
      <c r="AL312" s="9">
        <f t="shared" si="135"/>
        <v>1234.7030299999997</v>
      </c>
      <c r="AP312" s="12"/>
    </row>
    <row r="313" spans="1:42" x14ac:dyDescent="0.35">
      <c r="A313" s="71">
        <v>46197</v>
      </c>
      <c r="B313" s="72" t="s">
        <v>67</v>
      </c>
      <c r="C313" s="74">
        <v>1176.7759999954201</v>
      </c>
      <c r="D313" s="74">
        <v>40948.753804686399</v>
      </c>
      <c r="E313" s="62" t="s">
        <v>68</v>
      </c>
      <c r="F313" s="19" t="s">
        <v>69</v>
      </c>
      <c r="G313" s="19" t="s">
        <v>461</v>
      </c>
      <c r="H313" s="19" t="s">
        <v>99</v>
      </c>
      <c r="I313" s="6" t="s">
        <v>142</v>
      </c>
      <c r="J313" s="55">
        <v>10</v>
      </c>
      <c r="K313" s="20"/>
      <c r="L313" s="20"/>
      <c r="M313" s="20"/>
      <c r="N313" s="8">
        <f t="shared" si="121"/>
        <v>0</v>
      </c>
      <c r="O313" s="18"/>
      <c r="P313" s="18"/>
      <c r="Q313" s="18"/>
      <c r="R313" s="8">
        <f t="shared" si="120"/>
        <v>0</v>
      </c>
      <c r="S313" s="18">
        <f t="shared" si="136"/>
        <v>10</v>
      </c>
      <c r="T313" s="18">
        <f t="shared" si="122"/>
        <v>0</v>
      </c>
      <c r="U313" s="18">
        <f t="shared" si="123"/>
        <v>0</v>
      </c>
      <c r="V313" s="18">
        <f t="shared" si="124"/>
        <v>0</v>
      </c>
      <c r="W313" s="8">
        <f t="shared" si="129"/>
        <v>0</v>
      </c>
      <c r="X313" s="18">
        <f t="shared" si="125"/>
        <v>0</v>
      </c>
      <c r="Y313" s="18">
        <f t="shared" si="126"/>
        <v>0</v>
      </c>
      <c r="Z313" s="18">
        <f t="shared" si="127"/>
        <v>0</v>
      </c>
      <c r="AA313" s="8">
        <f t="shared" si="130"/>
        <v>0</v>
      </c>
      <c r="AB313" s="8">
        <v>39.270000000000003</v>
      </c>
      <c r="AC313" s="8">
        <v>52.462499999999999</v>
      </c>
      <c r="AD313" s="8">
        <v>72.64</v>
      </c>
      <c r="AE313" s="9">
        <f t="shared" si="131"/>
        <v>1119.0999999999999</v>
      </c>
      <c r="AF313" s="21">
        <v>6.5000000000000002E-2</v>
      </c>
      <c r="AG313" s="10">
        <f t="shared" si="128"/>
        <v>72.741500000000002</v>
      </c>
      <c r="AH313" s="64">
        <f t="shared" si="132"/>
        <v>13.744500000000002</v>
      </c>
      <c r="AI313" s="9">
        <f t="shared" si="133"/>
        <v>1046.3584999999998</v>
      </c>
      <c r="AJ313" s="5">
        <v>0.18</v>
      </c>
      <c r="AK313" s="11">
        <f t="shared" si="134"/>
        <v>188.34452999999996</v>
      </c>
      <c r="AL313" s="9">
        <f t="shared" si="135"/>
        <v>1234.7030299999997</v>
      </c>
      <c r="AP313" s="12"/>
    </row>
    <row r="314" spans="1:42" x14ac:dyDescent="0.35">
      <c r="A314" s="71">
        <v>46197</v>
      </c>
      <c r="B314" s="72" t="s">
        <v>67</v>
      </c>
      <c r="C314" s="74">
        <v>1176.7759999954201</v>
      </c>
      <c r="D314" s="74">
        <v>40948.753804686399</v>
      </c>
      <c r="E314" s="62" t="s">
        <v>68</v>
      </c>
      <c r="F314" s="19" t="s">
        <v>69</v>
      </c>
      <c r="G314" s="19" t="s">
        <v>462</v>
      </c>
      <c r="H314" s="19" t="s">
        <v>99</v>
      </c>
      <c r="I314" s="6" t="s">
        <v>142</v>
      </c>
      <c r="J314" s="55">
        <v>10</v>
      </c>
      <c r="K314" s="18"/>
      <c r="L314" s="18"/>
      <c r="M314" s="18"/>
      <c r="N314" s="8">
        <f t="shared" si="121"/>
        <v>0</v>
      </c>
      <c r="O314" s="18">
        <v>15</v>
      </c>
      <c r="P314" s="18">
        <v>10</v>
      </c>
      <c r="Q314" s="18">
        <v>15</v>
      </c>
      <c r="R314" s="8">
        <f t="shared" si="120"/>
        <v>40</v>
      </c>
      <c r="S314" s="18">
        <f t="shared" si="136"/>
        <v>50</v>
      </c>
      <c r="T314" s="18">
        <f t="shared" si="122"/>
        <v>0</v>
      </c>
      <c r="U314" s="18">
        <f t="shared" si="123"/>
        <v>0</v>
      </c>
      <c r="V314" s="18">
        <f t="shared" si="124"/>
        <v>0</v>
      </c>
      <c r="W314" s="8">
        <f t="shared" si="129"/>
        <v>0</v>
      </c>
      <c r="X314" s="18">
        <f t="shared" si="125"/>
        <v>1.5</v>
      </c>
      <c r="Y314" s="18">
        <f t="shared" si="126"/>
        <v>1</v>
      </c>
      <c r="Z314" s="18">
        <f t="shared" si="127"/>
        <v>1.5</v>
      </c>
      <c r="AA314" s="8">
        <f t="shared" si="130"/>
        <v>4</v>
      </c>
      <c r="AB314" s="8">
        <v>39.270000000000003</v>
      </c>
      <c r="AC314" s="8">
        <v>52.462499999999999</v>
      </c>
      <c r="AD314" s="8">
        <v>72.64</v>
      </c>
      <c r="AE314" s="9">
        <f t="shared" si="131"/>
        <v>4024.7</v>
      </c>
      <c r="AF314" s="21">
        <v>6.5000000000000002E-2</v>
      </c>
      <c r="AG314" s="10">
        <f t="shared" si="128"/>
        <v>261.60550000000001</v>
      </c>
      <c r="AH314" s="64">
        <f t="shared" si="132"/>
        <v>13.744500000000002</v>
      </c>
      <c r="AI314" s="9">
        <f t="shared" si="133"/>
        <v>3763.0944999999997</v>
      </c>
      <c r="AJ314" s="5">
        <v>0.18</v>
      </c>
      <c r="AK314" s="11">
        <f t="shared" si="134"/>
        <v>677.35700999999995</v>
      </c>
      <c r="AL314" s="9">
        <f t="shared" si="135"/>
        <v>4440.4515099999999</v>
      </c>
      <c r="AP314" s="12"/>
    </row>
    <row r="315" spans="1:42" x14ac:dyDescent="0.35">
      <c r="A315" s="71">
        <v>46197</v>
      </c>
      <c r="B315" s="72" t="s">
        <v>67</v>
      </c>
      <c r="C315" s="74">
        <v>1176.7759999954201</v>
      </c>
      <c r="D315" s="74">
        <v>40948.753804686399</v>
      </c>
      <c r="E315" s="62" t="s">
        <v>68</v>
      </c>
      <c r="F315" s="19" t="s">
        <v>69</v>
      </c>
      <c r="G315" s="19" t="s">
        <v>463</v>
      </c>
      <c r="H315" s="19" t="s">
        <v>99</v>
      </c>
      <c r="I315" s="6" t="s">
        <v>294</v>
      </c>
      <c r="J315" s="55"/>
      <c r="K315" s="18"/>
      <c r="L315" s="18"/>
      <c r="M315" s="20"/>
      <c r="N315" s="8">
        <f t="shared" si="121"/>
        <v>0</v>
      </c>
      <c r="O315" s="20">
        <v>40</v>
      </c>
      <c r="P315" s="20">
        <v>20</v>
      </c>
      <c r="Q315" s="20">
        <v>40</v>
      </c>
      <c r="R315" s="8">
        <f t="shared" si="120"/>
        <v>100</v>
      </c>
      <c r="S315" s="18">
        <f t="shared" si="136"/>
        <v>100</v>
      </c>
      <c r="T315" s="18">
        <f t="shared" si="122"/>
        <v>0</v>
      </c>
      <c r="U315" s="18">
        <f t="shared" si="123"/>
        <v>0</v>
      </c>
      <c r="V315" s="18">
        <f t="shared" si="124"/>
        <v>0</v>
      </c>
      <c r="W315" s="8">
        <f t="shared" si="129"/>
        <v>0</v>
      </c>
      <c r="X315" s="18">
        <f t="shared" si="125"/>
        <v>4</v>
      </c>
      <c r="Y315" s="18">
        <f t="shared" si="126"/>
        <v>2</v>
      </c>
      <c r="Z315" s="18">
        <f t="shared" si="127"/>
        <v>4</v>
      </c>
      <c r="AA315" s="8">
        <f t="shared" si="130"/>
        <v>10</v>
      </c>
      <c r="AB315" s="8">
        <v>39.270000000000003</v>
      </c>
      <c r="AC315" s="8">
        <v>52.462499999999999</v>
      </c>
      <c r="AD315" s="8">
        <v>72.64</v>
      </c>
      <c r="AE315" s="9">
        <f t="shared" si="131"/>
        <v>7264</v>
      </c>
      <c r="AF315" s="21">
        <v>6.5000000000000002E-2</v>
      </c>
      <c r="AG315" s="10">
        <f t="shared" si="128"/>
        <v>472.16</v>
      </c>
      <c r="AH315" s="64">
        <f t="shared" si="132"/>
        <v>0</v>
      </c>
      <c r="AI315" s="9">
        <f t="shared" si="133"/>
        <v>6791.84</v>
      </c>
      <c r="AJ315" s="5">
        <v>0.18</v>
      </c>
      <c r="AK315" s="11">
        <f t="shared" si="134"/>
        <v>1222.5311999999999</v>
      </c>
      <c r="AL315" s="9">
        <f t="shared" si="135"/>
        <v>8014.3711999999996</v>
      </c>
      <c r="AP315" s="12"/>
    </row>
    <row r="316" spans="1:42" x14ac:dyDescent="0.35">
      <c r="A316" s="71">
        <v>46197</v>
      </c>
      <c r="B316" s="72" t="s">
        <v>67</v>
      </c>
      <c r="C316" s="74">
        <v>1176.7759999954201</v>
      </c>
      <c r="D316" s="74">
        <v>40948.753804686399</v>
      </c>
      <c r="E316" s="62" t="s">
        <v>68</v>
      </c>
      <c r="F316" s="19" t="s">
        <v>69</v>
      </c>
      <c r="G316" s="19" t="s">
        <v>464</v>
      </c>
      <c r="H316" s="19" t="s">
        <v>99</v>
      </c>
      <c r="I316" s="6" t="s">
        <v>310</v>
      </c>
      <c r="J316" s="55">
        <v>10</v>
      </c>
      <c r="K316" s="20"/>
      <c r="L316" s="20"/>
      <c r="M316" s="20"/>
      <c r="N316" s="8">
        <f t="shared" si="121"/>
        <v>0</v>
      </c>
      <c r="O316" s="18"/>
      <c r="P316" s="18"/>
      <c r="Q316" s="18"/>
      <c r="R316" s="8">
        <f t="shared" si="120"/>
        <v>0</v>
      </c>
      <c r="S316" s="18">
        <f t="shared" si="136"/>
        <v>10</v>
      </c>
      <c r="T316" s="18">
        <f t="shared" si="122"/>
        <v>0</v>
      </c>
      <c r="U316" s="18">
        <f t="shared" si="123"/>
        <v>0</v>
      </c>
      <c r="V316" s="18">
        <f t="shared" si="124"/>
        <v>0</v>
      </c>
      <c r="W316" s="8">
        <f t="shared" si="129"/>
        <v>0</v>
      </c>
      <c r="X316" s="18">
        <f t="shared" si="125"/>
        <v>0</v>
      </c>
      <c r="Y316" s="18">
        <f t="shared" si="126"/>
        <v>0</v>
      </c>
      <c r="Z316" s="18">
        <f t="shared" si="127"/>
        <v>0</v>
      </c>
      <c r="AA316" s="8">
        <f t="shared" si="130"/>
        <v>0</v>
      </c>
      <c r="AB316" s="8">
        <v>39.270000000000003</v>
      </c>
      <c r="AC316" s="8">
        <v>52.462499999999999</v>
      </c>
      <c r="AD316" s="8">
        <v>72.64</v>
      </c>
      <c r="AE316" s="9">
        <f t="shared" si="131"/>
        <v>1119.0999999999999</v>
      </c>
      <c r="AF316" s="21">
        <v>6.5000000000000002E-2</v>
      </c>
      <c r="AG316" s="10">
        <f t="shared" si="128"/>
        <v>72.741500000000002</v>
      </c>
      <c r="AH316" s="64">
        <f t="shared" si="132"/>
        <v>13.744500000000002</v>
      </c>
      <c r="AI316" s="9">
        <f t="shared" si="133"/>
        <v>1046.3584999999998</v>
      </c>
      <c r="AJ316" s="5">
        <v>0.18</v>
      </c>
      <c r="AK316" s="11">
        <f t="shared" si="134"/>
        <v>188.34452999999996</v>
      </c>
      <c r="AL316" s="9">
        <f t="shared" si="135"/>
        <v>1234.7030299999997</v>
      </c>
      <c r="AP316" s="12"/>
    </row>
    <row r="317" spans="1:42" x14ac:dyDescent="0.35">
      <c r="A317" s="71">
        <v>46197</v>
      </c>
      <c r="B317" s="72" t="s">
        <v>67</v>
      </c>
      <c r="C317" s="74">
        <v>1176.7759999954201</v>
      </c>
      <c r="D317" s="74">
        <v>40948.753804686399</v>
      </c>
      <c r="E317" s="62" t="s">
        <v>68</v>
      </c>
      <c r="F317" s="19" t="s">
        <v>69</v>
      </c>
      <c r="G317" s="19" t="s">
        <v>465</v>
      </c>
      <c r="H317" s="19" t="s">
        <v>99</v>
      </c>
      <c r="I317" s="6" t="s">
        <v>310</v>
      </c>
      <c r="J317" s="55">
        <v>10</v>
      </c>
      <c r="K317" s="18"/>
      <c r="L317" s="18"/>
      <c r="M317" s="18"/>
      <c r="N317" s="8">
        <f t="shared" si="121"/>
        <v>0</v>
      </c>
      <c r="O317" s="18"/>
      <c r="P317" s="18"/>
      <c r="Q317" s="18"/>
      <c r="R317" s="8">
        <f t="shared" si="120"/>
        <v>0</v>
      </c>
      <c r="S317" s="18">
        <f t="shared" si="136"/>
        <v>10</v>
      </c>
      <c r="T317" s="18">
        <f t="shared" si="122"/>
        <v>0</v>
      </c>
      <c r="U317" s="18">
        <f t="shared" si="123"/>
        <v>0</v>
      </c>
      <c r="V317" s="18">
        <f t="shared" si="124"/>
        <v>0</v>
      </c>
      <c r="W317" s="8">
        <f t="shared" si="129"/>
        <v>0</v>
      </c>
      <c r="X317" s="18">
        <f t="shared" si="125"/>
        <v>0</v>
      </c>
      <c r="Y317" s="18">
        <f t="shared" si="126"/>
        <v>0</v>
      </c>
      <c r="Z317" s="18">
        <f t="shared" si="127"/>
        <v>0</v>
      </c>
      <c r="AA317" s="8">
        <f t="shared" si="130"/>
        <v>0</v>
      </c>
      <c r="AB317" s="8">
        <v>39.270000000000003</v>
      </c>
      <c r="AC317" s="8">
        <v>52.462499999999999</v>
      </c>
      <c r="AD317" s="8">
        <v>72.64</v>
      </c>
      <c r="AE317" s="9">
        <f t="shared" si="131"/>
        <v>1119.0999999999999</v>
      </c>
      <c r="AF317" s="21">
        <v>6.5000000000000002E-2</v>
      </c>
      <c r="AG317" s="10">
        <f t="shared" si="128"/>
        <v>72.741500000000002</v>
      </c>
      <c r="AH317" s="64">
        <f t="shared" si="132"/>
        <v>13.744500000000002</v>
      </c>
      <c r="AI317" s="9">
        <f t="shared" si="133"/>
        <v>1046.3584999999998</v>
      </c>
      <c r="AJ317" s="5">
        <v>0.18</v>
      </c>
      <c r="AK317" s="11">
        <f t="shared" si="134"/>
        <v>188.34452999999996</v>
      </c>
      <c r="AL317" s="9">
        <f t="shared" si="135"/>
        <v>1234.7030299999997</v>
      </c>
      <c r="AP317" s="12"/>
    </row>
    <row r="318" spans="1:42" x14ac:dyDescent="0.35">
      <c r="A318" s="71">
        <v>46197</v>
      </c>
      <c r="B318" s="72" t="s">
        <v>67</v>
      </c>
      <c r="C318" s="74">
        <v>1176.7759999954201</v>
      </c>
      <c r="D318" s="74">
        <v>40948.753804686399</v>
      </c>
      <c r="E318" s="62" t="s">
        <v>68</v>
      </c>
      <c r="F318" s="19" t="s">
        <v>69</v>
      </c>
      <c r="G318" s="19" t="s">
        <v>466</v>
      </c>
      <c r="H318" s="19" t="s">
        <v>99</v>
      </c>
      <c r="I318" s="6" t="s">
        <v>467</v>
      </c>
      <c r="J318" s="55"/>
      <c r="K318" s="18"/>
      <c r="L318" s="18"/>
      <c r="M318" s="20"/>
      <c r="N318" s="8">
        <f t="shared" si="121"/>
        <v>0</v>
      </c>
      <c r="O318" s="20"/>
      <c r="P318" s="20"/>
      <c r="Q318" s="20">
        <v>40</v>
      </c>
      <c r="R318" s="8">
        <f t="shared" si="120"/>
        <v>40</v>
      </c>
      <c r="S318" s="18">
        <f t="shared" si="136"/>
        <v>40</v>
      </c>
      <c r="T318" s="18">
        <f t="shared" ref="T318:T369" si="137">K318/10</f>
        <v>0</v>
      </c>
      <c r="U318" s="18">
        <f t="shared" ref="U318:U369" si="138">L318/10</f>
        <v>0</v>
      </c>
      <c r="V318" s="18">
        <f t="shared" ref="V318:V369" si="139">M318/10</f>
        <v>0</v>
      </c>
      <c r="W318" s="8">
        <f t="shared" si="129"/>
        <v>0</v>
      </c>
      <c r="X318" s="18">
        <f t="shared" ref="X318:X369" si="140">O318/10</f>
        <v>0</v>
      </c>
      <c r="Y318" s="18">
        <f t="shared" ref="Y318:Y369" si="141">P318/10</f>
        <v>0</v>
      </c>
      <c r="Z318" s="18">
        <f t="shared" ref="Z318:Z369" si="142">Q318/10</f>
        <v>4</v>
      </c>
      <c r="AA318" s="8">
        <f t="shared" si="130"/>
        <v>4</v>
      </c>
      <c r="AB318" s="8">
        <v>39.270000000000003</v>
      </c>
      <c r="AC318" s="8">
        <v>52.462499999999999</v>
      </c>
      <c r="AD318" s="8">
        <v>72.64</v>
      </c>
      <c r="AE318" s="9">
        <f t="shared" si="131"/>
        <v>2905.6</v>
      </c>
      <c r="AF318" s="21">
        <v>6.5000000000000002E-2</v>
      </c>
      <c r="AG318" s="10">
        <f t="shared" ref="AG318:AG369" si="143">AE318*AF318</f>
        <v>188.864</v>
      </c>
      <c r="AH318" s="64">
        <f t="shared" si="132"/>
        <v>0</v>
      </c>
      <c r="AI318" s="9">
        <f t="shared" si="133"/>
        <v>2716.7359999999999</v>
      </c>
      <c r="AJ318" s="5">
        <v>0.18</v>
      </c>
      <c r="AK318" s="11">
        <f t="shared" si="134"/>
        <v>489.01247999999998</v>
      </c>
      <c r="AL318" s="9">
        <f t="shared" si="135"/>
        <v>3205.7484799999997</v>
      </c>
      <c r="AP318" s="12"/>
    </row>
    <row r="319" spans="1:42" x14ac:dyDescent="0.35">
      <c r="A319" s="71">
        <v>46196</v>
      </c>
      <c r="B319" s="72" t="s">
        <v>67</v>
      </c>
      <c r="C319" s="74">
        <v>1176.7759999954201</v>
      </c>
      <c r="D319" s="74">
        <v>40948.753804686399</v>
      </c>
      <c r="E319" s="62" t="s">
        <v>68</v>
      </c>
      <c r="F319" s="19" t="s">
        <v>208</v>
      </c>
      <c r="G319" s="19" t="s">
        <v>328</v>
      </c>
      <c r="H319" s="19" t="s">
        <v>212</v>
      </c>
      <c r="I319" s="6" t="s">
        <v>468</v>
      </c>
      <c r="J319" s="55"/>
      <c r="K319" s="20">
        <v>40</v>
      </c>
      <c r="L319" s="20">
        <v>40</v>
      </c>
      <c r="M319" s="20"/>
      <c r="N319" s="8">
        <f t="shared" si="121"/>
        <v>80</v>
      </c>
      <c r="O319" s="18">
        <v>40</v>
      </c>
      <c r="P319" s="18">
        <v>40</v>
      </c>
      <c r="Q319" s="20">
        <v>40</v>
      </c>
      <c r="R319" s="8">
        <f t="shared" si="120"/>
        <v>120</v>
      </c>
      <c r="S319" s="18">
        <f t="shared" si="136"/>
        <v>200</v>
      </c>
      <c r="T319" s="18">
        <f t="shared" si="137"/>
        <v>4</v>
      </c>
      <c r="U319" s="18">
        <f t="shared" si="138"/>
        <v>4</v>
      </c>
      <c r="V319" s="18">
        <f t="shared" si="139"/>
        <v>0</v>
      </c>
      <c r="W319" s="8">
        <f t="shared" si="129"/>
        <v>8</v>
      </c>
      <c r="X319" s="18">
        <f t="shared" si="140"/>
        <v>4</v>
      </c>
      <c r="Y319" s="18">
        <f t="shared" si="141"/>
        <v>4</v>
      </c>
      <c r="Z319" s="18">
        <f t="shared" si="142"/>
        <v>4</v>
      </c>
      <c r="AA319" s="8">
        <f t="shared" si="130"/>
        <v>12</v>
      </c>
      <c r="AB319" s="8">
        <v>39.270000000000003</v>
      </c>
      <c r="AC319" s="8">
        <v>52.462499999999999</v>
      </c>
      <c r="AD319" s="8">
        <v>72.64</v>
      </c>
      <c r="AE319" s="9">
        <f t="shared" si="131"/>
        <v>18725</v>
      </c>
      <c r="AF319" s="21">
        <v>6.5000000000000002E-2</v>
      </c>
      <c r="AG319" s="10">
        <f t="shared" si="143"/>
        <v>1217.125</v>
      </c>
      <c r="AH319" s="64">
        <f t="shared" si="132"/>
        <v>0</v>
      </c>
      <c r="AI319" s="9">
        <f t="shared" si="133"/>
        <v>17507.875</v>
      </c>
      <c r="AJ319" s="5">
        <v>0.18</v>
      </c>
      <c r="AK319" s="11">
        <f t="shared" si="134"/>
        <v>3151.4175</v>
      </c>
      <c r="AL319" s="9">
        <f t="shared" si="135"/>
        <v>20659.2925</v>
      </c>
      <c r="AP319" s="12"/>
    </row>
    <row r="320" spans="1:42" x14ac:dyDescent="0.35">
      <c r="A320" s="71">
        <v>46196</v>
      </c>
      <c r="B320" s="72" t="s">
        <v>67</v>
      </c>
      <c r="C320" s="74">
        <v>1176.7759999954201</v>
      </c>
      <c r="D320" s="74">
        <v>40948.753804686399</v>
      </c>
      <c r="E320" s="62" t="s">
        <v>68</v>
      </c>
      <c r="F320" s="19" t="s">
        <v>208</v>
      </c>
      <c r="G320" s="19" t="s">
        <v>328</v>
      </c>
      <c r="H320" s="19" t="s">
        <v>212</v>
      </c>
      <c r="I320" s="6" t="s">
        <v>469</v>
      </c>
      <c r="J320" s="55"/>
      <c r="K320" s="20">
        <v>80</v>
      </c>
      <c r="L320" s="20">
        <v>80</v>
      </c>
      <c r="M320" s="20"/>
      <c r="N320" s="8">
        <f t="shared" si="121"/>
        <v>160</v>
      </c>
      <c r="O320" s="18">
        <v>80</v>
      </c>
      <c r="P320" s="18">
        <v>80</v>
      </c>
      <c r="Q320" s="18">
        <v>80</v>
      </c>
      <c r="R320" s="8">
        <f t="shared" si="120"/>
        <v>240</v>
      </c>
      <c r="S320" s="18">
        <f t="shared" si="136"/>
        <v>400</v>
      </c>
      <c r="T320" s="18">
        <f t="shared" si="137"/>
        <v>8</v>
      </c>
      <c r="U320" s="18">
        <f t="shared" si="138"/>
        <v>8</v>
      </c>
      <c r="V320" s="18">
        <f t="shared" si="139"/>
        <v>0</v>
      </c>
      <c r="W320" s="8">
        <f t="shared" si="129"/>
        <v>16</v>
      </c>
      <c r="X320" s="18">
        <f t="shared" si="140"/>
        <v>8</v>
      </c>
      <c r="Y320" s="18">
        <f t="shared" si="141"/>
        <v>8</v>
      </c>
      <c r="Z320" s="18">
        <f t="shared" si="142"/>
        <v>8</v>
      </c>
      <c r="AA320" s="8">
        <f t="shared" si="130"/>
        <v>24</v>
      </c>
      <c r="AB320" s="8">
        <v>39.270000000000003</v>
      </c>
      <c r="AC320" s="8">
        <v>52.462499999999999</v>
      </c>
      <c r="AD320" s="8">
        <v>72.64</v>
      </c>
      <c r="AE320" s="9">
        <f t="shared" si="131"/>
        <v>37450</v>
      </c>
      <c r="AF320" s="21">
        <v>6.5000000000000002E-2</v>
      </c>
      <c r="AG320" s="10">
        <f t="shared" si="143"/>
        <v>2434.25</v>
      </c>
      <c r="AH320" s="64">
        <f t="shared" si="132"/>
        <v>0</v>
      </c>
      <c r="AI320" s="9">
        <f t="shared" si="133"/>
        <v>35015.75</v>
      </c>
      <c r="AJ320" s="5">
        <v>0.18</v>
      </c>
      <c r="AK320" s="11">
        <f t="shared" si="134"/>
        <v>6302.835</v>
      </c>
      <c r="AL320" s="9">
        <f t="shared" si="135"/>
        <v>41318.584999999999</v>
      </c>
      <c r="AP320" s="12"/>
    </row>
    <row r="321" spans="1:42" x14ac:dyDescent="0.35">
      <c r="A321" s="71">
        <v>46196</v>
      </c>
      <c r="B321" s="72" t="s">
        <v>67</v>
      </c>
      <c r="C321" s="74">
        <v>1176.7759999954201</v>
      </c>
      <c r="D321" s="74">
        <v>40948.753804686399</v>
      </c>
      <c r="E321" s="62" t="s">
        <v>68</v>
      </c>
      <c r="F321" s="19" t="s">
        <v>208</v>
      </c>
      <c r="G321" s="19" t="s">
        <v>328</v>
      </c>
      <c r="H321" s="19" t="s">
        <v>212</v>
      </c>
      <c r="I321" s="6" t="s">
        <v>470</v>
      </c>
      <c r="J321" s="55"/>
      <c r="K321" s="18">
        <v>40</v>
      </c>
      <c r="L321" s="18">
        <v>40</v>
      </c>
      <c r="M321" s="18"/>
      <c r="N321" s="8">
        <f t="shared" si="121"/>
        <v>80</v>
      </c>
      <c r="O321" s="18">
        <v>40</v>
      </c>
      <c r="P321" s="18">
        <v>40</v>
      </c>
      <c r="Q321" s="18">
        <v>40</v>
      </c>
      <c r="R321" s="8">
        <f t="shared" si="120"/>
        <v>120</v>
      </c>
      <c r="S321" s="18">
        <f t="shared" si="136"/>
        <v>200</v>
      </c>
      <c r="T321" s="18">
        <f t="shared" si="137"/>
        <v>4</v>
      </c>
      <c r="U321" s="18">
        <f t="shared" si="138"/>
        <v>4</v>
      </c>
      <c r="V321" s="18">
        <f t="shared" si="139"/>
        <v>0</v>
      </c>
      <c r="W321" s="8">
        <f t="shared" si="129"/>
        <v>8</v>
      </c>
      <c r="X321" s="18">
        <f t="shared" si="140"/>
        <v>4</v>
      </c>
      <c r="Y321" s="18">
        <f t="shared" si="141"/>
        <v>4</v>
      </c>
      <c r="Z321" s="18">
        <f t="shared" si="142"/>
        <v>4</v>
      </c>
      <c r="AA321" s="8">
        <f t="shared" si="130"/>
        <v>12</v>
      </c>
      <c r="AB321" s="8">
        <v>39.270000000000003</v>
      </c>
      <c r="AC321" s="8">
        <v>52.462499999999999</v>
      </c>
      <c r="AD321" s="8">
        <v>72.64</v>
      </c>
      <c r="AE321" s="9">
        <f t="shared" si="131"/>
        <v>18725</v>
      </c>
      <c r="AF321" s="21">
        <v>6.5000000000000002E-2</v>
      </c>
      <c r="AG321" s="10">
        <f t="shared" si="143"/>
        <v>1217.125</v>
      </c>
      <c r="AH321" s="64">
        <f t="shared" si="132"/>
        <v>0</v>
      </c>
      <c r="AI321" s="9">
        <f t="shared" si="133"/>
        <v>17507.875</v>
      </c>
      <c r="AJ321" s="5">
        <v>0.18</v>
      </c>
      <c r="AK321" s="11">
        <f t="shared" si="134"/>
        <v>3151.4175</v>
      </c>
      <c r="AL321" s="9">
        <f t="shared" si="135"/>
        <v>20659.2925</v>
      </c>
      <c r="AP321" s="12"/>
    </row>
    <row r="322" spans="1:42" x14ac:dyDescent="0.35">
      <c r="A322" s="71">
        <v>46196</v>
      </c>
      <c r="B322" s="72" t="s">
        <v>67</v>
      </c>
      <c r="C322" s="74">
        <v>1176.7759999954201</v>
      </c>
      <c r="D322" s="74">
        <v>40948.753804686399</v>
      </c>
      <c r="E322" s="62" t="s">
        <v>68</v>
      </c>
      <c r="F322" s="19" t="s">
        <v>208</v>
      </c>
      <c r="G322" s="19" t="s">
        <v>328</v>
      </c>
      <c r="H322" s="19" t="s">
        <v>212</v>
      </c>
      <c r="I322" s="6" t="s">
        <v>471</v>
      </c>
      <c r="J322" s="55"/>
      <c r="K322" s="20">
        <v>80</v>
      </c>
      <c r="L322" s="20">
        <v>80</v>
      </c>
      <c r="M322" s="20"/>
      <c r="N322" s="8">
        <f t="shared" si="121"/>
        <v>160</v>
      </c>
      <c r="O322" s="18">
        <v>80</v>
      </c>
      <c r="P322" s="18">
        <v>80</v>
      </c>
      <c r="Q322" s="18">
        <v>80</v>
      </c>
      <c r="R322" s="8">
        <f t="shared" si="120"/>
        <v>240</v>
      </c>
      <c r="S322" s="18">
        <f t="shared" si="136"/>
        <v>400</v>
      </c>
      <c r="T322" s="18">
        <f t="shared" si="137"/>
        <v>8</v>
      </c>
      <c r="U322" s="18">
        <f t="shared" si="138"/>
        <v>8</v>
      </c>
      <c r="V322" s="18">
        <f t="shared" si="139"/>
        <v>0</v>
      </c>
      <c r="W322" s="8">
        <f t="shared" si="129"/>
        <v>16</v>
      </c>
      <c r="X322" s="18">
        <f t="shared" si="140"/>
        <v>8</v>
      </c>
      <c r="Y322" s="18">
        <f t="shared" si="141"/>
        <v>8</v>
      </c>
      <c r="Z322" s="18">
        <f t="shared" si="142"/>
        <v>8</v>
      </c>
      <c r="AA322" s="8">
        <f t="shared" si="130"/>
        <v>24</v>
      </c>
      <c r="AB322" s="8">
        <v>39.270000000000003</v>
      </c>
      <c r="AC322" s="8">
        <v>52.462499999999999</v>
      </c>
      <c r="AD322" s="8">
        <v>72.64</v>
      </c>
      <c r="AE322" s="9">
        <f t="shared" si="131"/>
        <v>37450</v>
      </c>
      <c r="AF322" s="21">
        <v>6.5000000000000002E-2</v>
      </c>
      <c r="AG322" s="10">
        <f t="shared" si="143"/>
        <v>2434.25</v>
      </c>
      <c r="AH322" s="64">
        <f t="shared" si="132"/>
        <v>0</v>
      </c>
      <c r="AI322" s="9">
        <f t="shared" si="133"/>
        <v>35015.75</v>
      </c>
      <c r="AJ322" s="5">
        <v>0.18</v>
      </c>
      <c r="AK322" s="11">
        <f t="shared" si="134"/>
        <v>6302.835</v>
      </c>
      <c r="AL322" s="9">
        <f t="shared" si="135"/>
        <v>41318.584999999999</v>
      </c>
      <c r="AP322" s="12"/>
    </row>
    <row r="323" spans="1:42" x14ac:dyDescent="0.35">
      <c r="A323" s="71">
        <v>46196</v>
      </c>
      <c r="B323" s="72" t="s">
        <v>67</v>
      </c>
      <c r="C323" s="74">
        <v>1176.7759999954201</v>
      </c>
      <c r="D323" s="74">
        <v>40948.753804686399</v>
      </c>
      <c r="E323" s="62" t="s">
        <v>68</v>
      </c>
      <c r="F323" s="19" t="s">
        <v>208</v>
      </c>
      <c r="G323" s="19" t="s">
        <v>328</v>
      </c>
      <c r="H323" s="19" t="s">
        <v>212</v>
      </c>
      <c r="I323" s="6" t="s">
        <v>472</v>
      </c>
      <c r="J323" s="55"/>
      <c r="K323" s="20">
        <v>40</v>
      </c>
      <c r="L323" s="20">
        <v>40</v>
      </c>
      <c r="M323" s="20"/>
      <c r="N323" s="8">
        <f t="shared" si="121"/>
        <v>80</v>
      </c>
      <c r="O323" s="18">
        <v>40</v>
      </c>
      <c r="P323" s="20">
        <v>40</v>
      </c>
      <c r="Q323" s="20">
        <v>40</v>
      </c>
      <c r="R323" s="8">
        <f t="shared" ref="R323:R386" si="144">SUM(O323:Q323)</f>
        <v>120</v>
      </c>
      <c r="S323" s="18">
        <f t="shared" si="136"/>
        <v>200</v>
      </c>
      <c r="T323" s="18">
        <f t="shared" si="137"/>
        <v>4</v>
      </c>
      <c r="U323" s="18">
        <f t="shared" si="138"/>
        <v>4</v>
      </c>
      <c r="V323" s="18">
        <f t="shared" si="139"/>
        <v>0</v>
      </c>
      <c r="W323" s="8">
        <f t="shared" si="129"/>
        <v>8</v>
      </c>
      <c r="X323" s="18">
        <f t="shared" si="140"/>
        <v>4</v>
      </c>
      <c r="Y323" s="18">
        <f t="shared" si="141"/>
        <v>4</v>
      </c>
      <c r="Z323" s="18">
        <f t="shared" si="142"/>
        <v>4</v>
      </c>
      <c r="AA323" s="8">
        <f t="shared" si="130"/>
        <v>12</v>
      </c>
      <c r="AB323" s="8">
        <v>39.270000000000003</v>
      </c>
      <c r="AC323" s="8">
        <v>52.462499999999999</v>
      </c>
      <c r="AD323" s="8">
        <v>72.64</v>
      </c>
      <c r="AE323" s="9">
        <f t="shared" si="131"/>
        <v>18725</v>
      </c>
      <c r="AF323" s="21">
        <v>6.5000000000000002E-2</v>
      </c>
      <c r="AG323" s="10">
        <f t="shared" si="143"/>
        <v>1217.125</v>
      </c>
      <c r="AH323" s="64">
        <f t="shared" si="132"/>
        <v>0</v>
      </c>
      <c r="AI323" s="9">
        <f t="shared" si="133"/>
        <v>17507.875</v>
      </c>
      <c r="AJ323" s="5">
        <v>0.18</v>
      </c>
      <c r="AK323" s="11">
        <f t="shared" si="134"/>
        <v>3151.4175</v>
      </c>
      <c r="AL323" s="9">
        <f t="shared" si="135"/>
        <v>20659.2925</v>
      </c>
      <c r="AP323" s="12"/>
    </row>
    <row r="324" spans="1:42" x14ac:dyDescent="0.35">
      <c r="A324" s="71">
        <v>46196</v>
      </c>
      <c r="B324" s="72" t="s">
        <v>67</v>
      </c>
      <c r="C324" s="74">
        <v>1176.7759999954201</v>
      </c>
      <c r="D324" s="74">
        <v>40948.753804686399</v>
      </c>
      <c r="E324" s="62" t="s">
        <v>68</v>
      </c>
      <c r="F324" s="19" t="s">
        <v>208</v>
      </c>
      <c r="G324" s="19" t="s">
        <v>328</v>
      </c>
      <c r="H324" s="19" t="s">
        <v>212</v>
      </c>
      <c r="I324" s="6" t="s">
        <v>473</v>
      </c>
      <c r="J324" s="55"/>
      <c r="K324" s="20">
        <v>40</v>
      </c>
      <c r="L324" s="20">
        <v>40</v>
      </c>
      <c r="M324" s="20"/>
      <c r="N324" s="8">
        <f t="shared" ref="N324:N387" si="145">K324+L324+M324</f>
        <v>80</v>
      </c>
      <c r="O324" s="18">
        <v>40</v>
      </c>
      <c r="P324" s="20">
        <v>40</v>
      </c>
      <c r="Q324" s="20">
        <v>40</v>
      </c>
      <c r="R324" s="8">
        <f t="shared" si="144"/>
        <v>120</v>
      </c>
      <c r="S324" s="18">
        <f t="shared" si="136"/>
        <v>200</v>
      </c>
      <c r="T324" s="18">
        <f t="shared" si="137"/>
        <v>4</v>
      </c>
      <c r="U324" s="18">
        <f t="shared" si="138"/>
        <v>4</v>
      </c>
      <c r="V324" s="18">
        <f t="shared" si="139"/>
        <v>0</v>
      </c>
      <c r="W324" s="8">
        <f t="shared" si="129"/>
        <v>8</v>
      </c>
      <c r="X324" s="18">
        <f t="shared" si="140"/>
        <v>4</v>
      </c>
      <c r="Y324" s="18">
        <f t="shared" si="141"/>
        <v>4</v>
      </c>
      <c r="Z324" s="18">
        <f t="shared" si="142"/>
        <v>4</v>
      </c>
      <c r="AA324" s="8">
        <f t="shared" si="130"/>
        <v>12</v>
      </c>
      <c r="AB324" s="8">
        <v>39.270000000000003</v>
      </c>
      <c r="AC324" s="8">
        <v>52.462499999999999</v>
      </c>
      <c r="AD324" s="8">
        <v>72.64</v>
      </c>
      <c r="AE324" s="9">
        <f t="shared" si="131"/>
        <v>18725</v>
      </c>
      <c r="AF324" s="21">
        <v>6.5000000000000002E-2</v>
      </c>
      <c r="AG324" s="10">
        <f t="shared" si="143"/>
        <v>1217.125</v>
      </c>
      <c r="AH324" s="64">
        <f t="shared" si="132"/>
        <v>0</v>
      </c>
      <c r="AI324" s="9">
        <f t="shared" si="133"/>
        <v>17507.875</v>
      </c>
      <c r="AJ324" s="5">
        <v>0.18</v>
      </c>
      <c r="AK324" s="11">
        <f t="shared" si="134"/>
        <v>3151.4175</v>
      </c>
      <c r="AL324" s="9">
        <f t="shared" si="135"/>
        <v>20659.2925</v>
      </c>
      <c r="AP324" s="12"/>
    </row>
    <row r="325" spans="1:42" x14ac:dyDescent="0.35">
      <c r="A325" s="71">
        <v>46196</v>
      </c>
      <c r="B325" s="72" t="s">
        <v>67</v>
      </c>
      <c r="C325" s="74">
        <v>1176.7759999954201</v>
      </c>
      <c r="D325" s="74">
        <v>40948.753804686399</v>
      </c>
      <c r="E325" s="62" t="s">
        <v>68</v>
      </c>
      <c r="F325" s="19" t="s">
        <v>208</v>
      </c>
      <c r="G325" s="19" t="s">
        <v>328</v>
      </c>
      <c r="H325" s="19" t="s">
        <v>212</v>
      </c>
      <c r="I325" s="6" t="s">
        <v>474</v>
      </c>
      <c r="J325" s="55"/>
      <c r="K325" s="20">
        <v>40</v>
      </c>
      <c r="L325" s="20">
        <v>40</v>
      </c>
      <c r="M325" s="20"/>
      <c r="N325" s="8">
        <f t="shared" si="145"/>
        <v>80</v>
      </c>
      <c r="O325" s="18">
        <v>40</v>
      </c>
      <c r="P325" s="18">
        <v>40</v>
      </c>
      <c r="Q325" s="18">
        <v>40</v>
      </c>
      <c r="R325" s="8">
        <f t="shared" si="144"/>
        <v>120</v>
      </c>
      <c r="S325" s="18">
        <f t="shared" si="136"/>
        <v>200</v>
      </c>
      <c r="T325" s="18">
        <f t="shared" si="137"/>
        <v>4</v>
      </c>
      <c r="U325" s="18">
        <f t="shared" si="138"/>
        <v>4</v>
      </c>
      <c r="V325" s="18">
        <f t="shared" si="139"/>
        <v>0</v>
      </c>
      <c r="W325" s="8">
        <f t="shared" si="129"/>
        <v>8</v>
      </c>
      <c r="X325" s="18">
        <f t="shared" si="140"/>
        <v>4</v>
      </c>
      <c r="Y325" s="18">
        <f t="shared" si="141"/>
        <v>4</v>
      </c>
      <c r="Z325" s="18">
        <f t="shared" si="142"/>
        <v>4</v>
      </c>
      <c r="AA325" s="8">
        <f t="shared" si="130"/>
        <v>12</v>
      </c>
      <c r="AB325" s="8">
        <v>39.270000000000003</v>
      </c>
      <c r="AC325" s="8">
        <v>52.462499999999999</v>
      </c>
      <c r="AD325" s="8">
        <v>72.64</v>
      </c>
      <c r="AE325" s="9">
        <f t="shared" si="131"/>
        <v>18725</v>
      </c>
      <c r="AF325" s="21">
        <v>6.5000000000000002E-2</v>
      </c>
      <c r="AG325" s="10">
        <f t="shared" si="143"/>
        <v>1217.125</v>
      </c>
      <c r="AH325" s="64">
        <f t="shared" si="132"/>
        <v>0</v>
      </c>
      <c r="AI325" s="9">
        <f t="shared" si="133"/>
        <v>17507.875</v>
      </c>
      <c r="AJ325" s="5">
        <v>0.18</v>
      </c>
      <c r="AK325" s="11">
        <f t="shared" si="134"/>
        <v>3151.4175</v>
      </c>
      <c r="AL325" s="9">
        <f t="shared" si="135"/>
        <v>20659.2925</v>
      </c>
      <c r="AP325" s="12"/>
    </row>
    <row r="326" spans="1:42" x14ac:dyDescent="0.35">
      <c r="A326" s="71">
        <v>46196</v>
      </c>
      <c r="B326" s="72" t="s">
        <v>67</v>
      </c>
      <c r="C326" s="74">
        <v>1176.7759999954201</v>
      </c>
      <c r="D326" s="74">
        <v>40948.753804686399</v>
      </c>
      <c r="E326" s="62" t="s">
        <v>68</v>
      </c>
      <c r="F326" s="19" t="s">
        <v>208</v>
      </c>
      <c r="G326" s="19" t="s">
        <v>328</v>
      </c>
      <c r="H326" s="19" t="s">
        <v>212</v>
      </c>
      <c r="I326" s="6" t="s">
        <v>475</v>
      </c>
      <c r="J326" s="55"/>
      <c r="K326" s="18">
        <v>40</v>
      </c>
      <c r="L326" s="18">
        <v>40</v>
      </c>
      <c r="M326" s="18"/>
      <c r="N326" s="8">
        <f t="shared" si="145"/>
        <v>80</v>
      </c>
      <c r="O326" s="18">
        <v>40</v>
      </c>
      <c r="P326" s="18">
        <v>40</v>
      </c>
      <c r="Q326" s="18">
        <v>40</v>
      </c>
      <c r="R326" s="8">
        <f t="shared" si="144"/>
        <v>120</v>
      </c>
      <c r="S326" s="18">
        <f t="shared" si="136"/>
        <v>200</v>
      </c>
      <c r="T326" s="18">
        <f t="shared" si="137"/>
        <v>4</v>
      </c>
      <c r="U326" s="18">
        <f t="shared" si="138"/>
        <v>4</v>
      </c>
      <c r="V326" s="18">
        <f t="shared" si="139"/>
        <v>0</v>
      </c>
      <c r="W326" s="8">
        <f t="shared" si="129"/>
        <v>8</v>
      </c>
      <c r="X326" s="18">
        <f t="shared" si="140"/>
        <v>4</v>
      </c>
      <c r="Y326" s="18">
        <f t="shared" si="141"/>
        <v>4</v>
      </c>
      <c r="Z326" s="18">
        <f t="shared" si="142"/>
        <v>4</v>
      </c>
      <c r="AA326" s="8">
        <f t="shared" si="130"/>
        <v>12</v>
      </c>
      <c r="AB326" s="8">
        <v>39.270000000000003</v>
      </c>
      <c r="AC326" s="8">
        <v>52.462499999999999</v>
      </c>
      <c r="AD326" s="8">
        <v>72.64</v>
      </c>
      <c r="AE326" s="9">
        <f t="shared" si="131"/>
        <v>18725</v>
      </c>
      <c r="AF326" s="21">
        <v>6.5000000000000002E-2</v>
      </c>
      <c r="AG326" s="10">
        <f t="shared" si="143"/>
        <v>1217.125</v>
      </c>
      <c r="AH326" s="64">
        <f t="shared" si="132"/>
        <v>0</v>
      </c>
      <c r="AI326" s="9">
        <f t="shared" si="133"/>
        <v>17507.875</v>
      </c>
      <c r="AJ326" s="5">
        <v>0.18</v>
      </c>
      <c r="AK326" s="11">
        <f t="shared" si="134"/>
        <v>3151.4175</v>
      </c>
      <c r="AL326" s="9">
        <f t="shared" si="135"/>
        <v>20659.2925</v>
      </c>
      <c r="AP326" s="12"/>
    </row>
    <row r="327" spans="1:42" x14ac:dyDescent="0.35">
      <c r="A327" s="71">
        <v>46196</v>
      </c>
      <c r="B327" s="72" t="s">
        <v>67</v>
      </c>
      <c r="C327" s="74">
        <v>1176.7759999954201</v>
      </c>
      <c r="D327" s="74">
        <v>40948.753804686399</v>
      </c>
      <c r="E327" s="62" t="s">
        <v>68</v>
      </c>
      <c r="F327" s="19" t="s">
        <v>208</v>
      </c>
      <c r="G327" s="19" t="s">
        <v>328</v>
      </c>
      <c r="H327" s="19" t="s">
        <v>212</v>
      </c>
      <c r="I327" s="6" t="s">
        <v>476</v>
      </c>
      <c r="J327" s="55"/>
      <c r="K327" s="18">
        <v>40</v>
      </c>
      <c r="L327" s="18">
        <v>40</v>
      </c>
      <c r="M327" s="18"/>
      <c r="N327" s="8">
        <f t="shared" si="145"/>
        <v>80</v>
      </c>
      <c r="O327" s="18">
        <v>40</v>
      </c>
      <c r="P327" s="18">
        <v>40</v>
      </c>
      <c r="Q327" s="18">
        <v>40</v>
      </c>
      <c r="R327" s="8">
        <f t="shared" si="144"/>
        <v>120</v>
      </c>
      <c r="S327" s="18">
        <f t="shared" si="136"/>
        <v>200</v>
      </c>
      <c r="T327" s="18">
        <f t="shared" si="137"/>
        <v>4</v>
      </c>
      <c r="U327" s="18">
        <f t="shared" si="138"/>
        <v>4</v>
      </c>
      <c r="V327" s="18">
        <f t="shared" si="139"/>
        <v>0</v>
      </c>
      <c r="W327" s="8">
        <f t="shared" si="129"/>
        <v>8</v>
      </c>
      <c r="X327" s="18">
        <f t="shared" si="140"/>
        <v>4</v>
      </c>
      <c r="Y327" s="18">
        <f t="shared" si="141"/>
        <v>4</v>
      </c>
      <c r="Z327" s="18">
        <f t="shared" si="142"/>
        <v>4</v>
      </c>
      <c r="AA327" s="8">
        <f t="shared" si="130"/>
        <v>12</v>
      </c>
      <c r="AB327" s="8">
        <v>39.270000000000003</v>
      </c>
      <c r="AC327" s="8">
        <v>52.462499999999999</v>
      </c>
      <c r="AD327" s="8">
        <v>72.64</v>
      </c>
      <c r="AE327" s="9">
        <f t="shared" si="131"/>
        <v>18725</v>
      </c>
      <c r="AF327" s="21">
        <v>6.5000000000000002E-2</v>
      </c>
      <c r="AG327" s="10">
        <f t="shared" si="143"/>
        <v>1217.125</v>
      </c>
      <c r="AH327" s="64">
        <f t="shared" si="132"/>
        <v>0</v>
      </c>
      <c r="AI327" s="9">
        <f t="shared" si="133"/>
        <v>17507.875</v>
      </c>
      <c r="AJ327" s="5">
        <v>0.18</v>
      </c>
      <c r="AK327" s="11">
        <f t="shared" si="134"/>
        <v>3151.4175</v>
      </c>
      <c r="AL327" s="9">
        <f t="shared" si="135"/>
        <v>20659.2925</v>
      </c>
      <c r="AP327" s="12"/>
    </row>
    <row r="328" spans="1:42" x14ac:dyDescent="0.35">
      <c r="A328" s="71">
        <v>46196</v>
      </c>
      <c r="B328" s="72" t="s">
        <v>67</v>
      </c>
      <c r="C328" s="74">
        <v>1176.7759999954201</v>
      </c>
      <c r="D328" s="74">
        <v>40948.753804686399</v>
      </c>
      <c r="E328" s="62" t="s">
        <v>68</v>
      </c>
      <c r="F328" s="19" t="s">
        <v>208</v>
      </c>
      <c r="G328" s="19" t="s">
        <v>328</v>
      </c>
      <c r="H328" s="19" t="s">
        <v>212</v>
      </c>
      <c r="I328" s="6" t="s">
        <v>477</v>
      </c>
      <c r="J328" s="55"/>
      <c r="K328" s="18">
        <v>40</v>
      </c>
      <c r="L328" s="18">
        <v>40</v>
      </c>
      <c r="M328" s="18"/>
      <c r="N328" s="8">
        <f t="shared" si="145"/>
        <v>80</v>
      </c>
      <c r="O328" s="18">
        <v>40</v>
      </c>
      <c r="P328" s="18">
        <v>40</v>
      </c>
      <c r="Q328" s="18">
        <v>40</v>
      </c>
      <c r="R328" s="8">
        <f t="shared" si="144"/>
        <v>120</v>
      </c>
      <c r="S328" s="18">
        <f t="shared" si="136"/>
        <v>200</v>
      </c>
      <c r="T328" s="18">
        <f t="shared" si="137"/>
        <v>4</v>
      </c>
      <c r="U328" s="18">
        <f t="shared" si="138"/>
        <v>4</v>
      </c>
      <c r="V328" s="18">
        <f t="shared" si="139"/>
        <v>0</v>
      </c>
      <c r="W328" s="8">
        <f t="shared" si="129"/>
        <v>8</v>
      </c>
      <c r="X328" s="18">
        <f t="shared" si="140"/>
        <v>4</v>
      </c>
      <c r="Y328" s="18">
        <f t="shared" si="141"/>
        <v>4</v>
      </c>
      <c r="Z328" s="18">
        <f t="shared" si="142"/>
        <v>4</v>
      </c>
      <c r="AA328" s="8">
        <f t="shared" si="130"/>
        <v>12</v>
      </c>
      <c r="AB328" s="8">
        <v>39.270000000000003</v>
      </c>
      <c r="AC328" s="8">
        <v>52.462499999999999</v>
      </c>
      <c r="AD328" s="8">
        <v>72.64</v>
      </c>
      <c r="AE328" s="9">
        <f t="shared" si="131"/>
        <v>18725</v>
      </c>
      <c r="AF328" s="21">
        <v>6.5000000000000002E-2</v>
      </c>
      <c r="AG328" s="10">
        <f t="shared" si="143"/>
        <v>1217.125</v>
      </c>
      <c r="AH328" s="64">
        <f t="shared" si="132"/>
        <v>0</v>
      </c>
      <c r="AI328" s="9">
        <f t="shared" si="133"/>
        <v>17507.875</v>
      </c>
      <c r="AJ328" s="5">
        <v>0.18</v>
      </c>
      <c r="AK328" s="11">
        <f t="shared" si="134"/>
        <v>3151.4175</v>
      </c>
      <c r="AL328" s="9">
        <f t="shared" si="135"/>
        <v>20659.2925</v>
      </c>
      <c r="AP328" s="12"/>
    </row>
    <row r="329" spans="1:42" x14ac:dyDescent="0.35">
      <c r="A329" s="71">
        <v>46196</v>
      </c>
      <c r="B329" s="72" t="s">
        <v>67</v>
      </c>
      <c r="C329" s="74">
        <v>1176.7759999954201</v>
      </c>
      <c r="D329" s="74">
        <v>40948.753804686399</v>
      </c>
      <c r="E329" s="62" t="s">
        <v>68</v>
      </c>
      <c r="F329" s="19" t="s">
        <v>208</v>
      </c>
      <c r="G329" s="19" t="s">
        <v>356</v>
      </c>
      <c r="H329" s="19" t="s">
        <v>212</v>
      </c>
      <c r="I329" s="6" t="s">
        <v>477</v>
      </c>
      <c r="J329" s="55"/>
      <c r="K329" s="18">
        <v>84</v>
      </c>
      <c r="L329" s="18">
        <v>84</v>
      </c>
      <c r="M329" s="18"/>
      <c r="N329" s="8">
        <f t="shared" si="145"/>
        <v>168</v>
      </c>
      <c r="O329" s="20">
        <v>168</v>
      </c>
      <c r="P329" s="20">
        <v>126</v>
      </c>
      <c r="Q329" s="20">
        <v>252</v>
      </c>
      <c r="R329" s="8">
        <f t="shared" si="144"/>
        <v>546</v>
      </c>
      <c r="S329" s="18">
        <f t="shared" si="136"/>
        <v>714</v>
      </c>
      <c r="T329" s="18">
        <f t="shared" si="137"/>
        <v>8.4</v>
      </c>
      <c r="U329" s="18">
        <f t="shared" si="138"/>
        <v>8.4</v>
      </c>
      <c r="V329" s="18">
        <f t="shared" si="139"/>
        <v>0</v>
      </c>
      <c r="W329" s="8">
        <f t="shared" si="129"/>
        <v>16.8</v>
      </c>
      <c r="X329" s="18">
        <f t="shared" si="140"/>
        <v>16.8</v>
      </c>
      <c r="Y329" s="18">
        <f t="shared" si="141"/>
        <v>12.6</v>
      </c>
      <c r="Z329" s="18">
        <f t="shared" si="142"/>
        <v>25.2</v>
      </c>
      <c r="AA329" s="8">
        <f t="shared" si="130"/>
        <v>54.6</v>
      </c>
      <c r="AB329" s="8">
        <v>39.270000000000003</v>
      </c>
      <c r="AC329" s="8">
        <v>52.462499999999999</v>
      </c>
      <c r="AD329" s="8">
        <v>72.64</v>
      </c>
      <c r="AE329" s="9">
        <f t="shared" si="131"/>
        <v>60678.659999999996</v>
      </c>
      <c r="AF329" s="21">
        <v>6.5000000000000002E-2</v>
      </c>
      <c r="AG329" s="10">
        <f t="shared" si="143"/>
        <v>3944.1129000000001</v>
      </c>
      <c r="AH329" s="64">
        <f t="shared" si="132"/>
        <v>0</v>
      </c>
      <c r="AI329" s="9">
        <f t="shared" si="133"/>
        <v>56734.547099999996</v>
      </c>
      <c r="AJ329" s="5">
        <v>0.18</v>
      </c>
      <c r="AK329" s="11">
        <f t="shared" si="134"/>
        <v>10212.218477999999</v>
      </c>
      <c r="AL329" s="9">
        <f t="shared" si="135"/>
        <v>66946.765577999991</v>
      </c>
      <c r="AP329" s="12"/>
    </row>
    <row r="330" spans="1:42" x14ac:dyDescent="0.35">
      <c r="A330" s="71">
        <v>46197</v>
      </c>
      <c r="B330" s="72" t="s">
        <v>67</v>
      </c>
      <c r="C330" s="74">
        <v>1176.7759999954201</v>
      </c>
      <c r="D330" s="74">
        <v>40948.753804686399</v>
      </c>
      <c r="E330" s="62" t="s">
        <v>68</v>
      </c>
      <c r="F330" s="19" t="s">
        <v>208</v>
      </c>
      <c r="G330" s="19" t="s">
        <v>478</v>
      </c>
      <c r="H330" s="19" t="s">
        <v>212</v>
      </c>
      <c r="I330" s="6" t="s">
        <v>484</v>
      </c>
      <c r="J330" s="55">
        <v>80</v>
      </c>
      <c r="K330" s="18">
        <v>80</v>
      </c>
      <c r="L330" s="18">
        <v>80</v>
      </c>
      <c r="M330" s="18"/>
      <c r="N330" s="8">
        <f t="shared" si="145"/>
        <v>160</v>
      </c>
      <c r="O330" s="20">
        <v>80</v>
      </c>
      <c r="P330" s="20">
        <v>80</v>
      </c>
      <c r="Q330" s="20">
        <v>80</v>
      </c>
      <c r="R330" s="8">
        <f t="shared" si="144"/>
        <v>240</v>
      </c>
      <c r="S330" s="18">
        <f t="shared" si="136"/>
        <v>480</v>
      </c>
      <c r="T330" s="18">
        <f t="shared" si="137"/>
        <v>8</v>
      </c>
      <c r="U330" s="18">
        <f t="shared" si="138"/>
        <v>8</v>
      </c>
      <c r="V330" s="18">
        <f t="shared" si="139"/>
        <v>0</v>
      </c>
      <c r="W330" s="8">
        <f t="shared" si="129"/>
        <v>16</v>
      </c>
      <c r="X330" s="18">
        <f t="shared" si="140"/>
        <v>8</v>
      </c>
      <c r="Y330" s="18">
        <f t="shared" si="141"/>
        <v>8</v>
      </c>
      <c r="Z330" s="18">
        <f t="shared" si="142"/>
        <v>8</v>
      </c>
      <c r="AA330" s="8">
        <f t="shared" si="130"/>
        <v>24</v>
      </c>
      <c r="AB330" s="8">
        <v>39.270000000000003</v>
      </c>
      <c r="AC330" s="8">
        <v>52.462499999999999</v>
      </c>
      <c r="AD330" s="8">
        <v>72.64</v>
      </c>
      <c r="AE330" s="9">
        <f t="shared" si="131"/>
        <v>46402.799999999996</v>
      </c>
      <c r="AF330" s="21">
        <v>6.5000000000000002E-2</v>
      </c>
      <c r="AG330" s="10">
        <f t="shared" si="143"/>
        <v>3016.1819999999998</v>
      </c>
      <c r="AH330" s="64">
        <f t="shared" si="132"/>
        <v>109.95600000000002</v>
      </c>
      <c r="AI330" s="9">
        <f t="shared" si="133"/>
        <v>43386.617999999995</v>
      </c>
      <c r="AJ330" s="5">
        <v>0.18</v>
      </c>
      <c r="AK330" s="11">
        <f t="shared" si="134"/>
        <v>7809.5912399999988</v>
      </c>
      <c r="AL330" s="9">
        <f t="shared" si="135"/>
        <v>51196.209239999996</v>
      </c>
      <c r="AP330" s="12"/>
    </row>
    <row r="331" spans="1:42" x14ac:dyDescent="0.35">
      <c r="A331" s="71">
        <v>46197</v>
      </c>
      <c r="B331" s="72" t="s">
        <v>67</v>
      </c>
      <c r="C331" s="74">
        <v>1176.7759999954201</v>
      </c>
      <c r="D331" s="74">
        <v>40948.753804686399</v>
      </c>
      <c r="E331" s="62" t="s">
        <v>68</v>
      </c>
      <c r="F331" s="19" t="s">
        <v>208</v>
      </c>
      <c r="G331" s="19" t="s">
        <v>479</v>
      </c>
      <c r="H331" s="19" t="s">
        <v>212</v>
      </c>
      <c r="I331" s="6" t="s">
        <v>485</v>
      </c>
      <c r="J331" s="55"/>
      <c r="K331" s="18">
        <v>80</v>
      </c>
      <c r="L331" s="18">
        <v>80</v>
      </c>
      <c r="M331" s="18"/>
      <c r="N331" s="8">
        <f t="shared" si="145"/>
        <v>160</v>
      </c>
      <c r="O331" s="20">
        <v>80</v>
      </c>
      <c r="P331" s="20">
        <v>80</v>
      </c>
      <c r="Q331" s="20">
        <v>80</v>
      </c>
      <c r="R331" s="8">
        <f t="shared" si="144"/>
        <v>240</v>
      </c>
      <c r="S331" s="18">
        <f t="shared" si="136"/>
        <v>400</v>
      </c>
      <c r="T331" s="18">
        <f t="shared" si="137"/>
        <v>8</v>
      </c>
      <c r="U331" s="18">
        <f t="shared" si="138"/>
        <v>8</v>
      </c>
      <c r="V331" s="18">
        <f t="shared" si="139"/>
        <v>0</v>
      </c>
      <c r="W331" s="8">
        <f t="shared" ref="W331:W394" si="146">N331/10</f>
        <v>16</v>
      </c>
      <c r="X331" s="18">
        <f t="shared" si="140"/>
        <v>8</v>
      </c>
      <c r="Y331" s="18">
        <f t="shared" si="141"/>
        <v>8</v>
      </c>
      <c r="Z331" s="18">
        <f t="shared" si="142"/>
        <v>8</v>
      </c>
      <c r="AA331" s="8">
        <f t="shared" ref="AA331:AA394" si="147">R331/10</f>
        <v>24</v>
      </c>
      <c r="AB331" s="8">
        <v>39.270000000000003</v>
      </c>
      <c r="AC331" s="8">
        <v>52.462499999999999</v>
      </c>
      <c r="AD331" s="8">
        <v>72.64</v>
      </c>
      <c r="AE331" s="9">
        <f t="shared" ref="AE331:AE394" si="148">(J331*AB331)+(N331*AC331)+(AD331*S331)</f>
        <v>37450</v>
      </c>
      <c r="AF331" s="21">
        <v>6.5000000000000002E-2</v>
      </c>
      <c r="AG331" s="10">
        <f t="shared" si="143"/>
        <v>2434.25</v>
      </c>
      <c r="AH331" s="64">
        <f t="shared" ref="AH331:AH394" si="149">(AB331*J331)*$AH$1</f>
        <v>0</v>
      </c>
      <c r="AI331" s="9">
        <f t="shared" ref="AI331:AI394" si="150">AE331-AG331</f>
        <v>35015.75</v>
      </c>
      <c r="AJ331" s="5">
        <v>0.18</v>
      </c>
      <c r="AK331" s="11">
        <f t="shared" ref="AK331:AK394" si="151">AI331*AJ331</f>
        <v>6302.835</v>
      </c>
      <c r="AL331" s="9">
        <f t="shared" ref="AL331:AL394" si="152">AI331+AK331</f>
        <v>41318.584999999999</v>
      </c>
      <c r="AP331" s="12"/>
    </row>
    <row r="332" spans="1:42" x14ac:dyDescent="0.35">
      <c r="A332" s="71">
        <v>46197</v>
      </c>
      <c r="B332" s="72" t="s">
        <v>67</v>
      </c>
      <c r="C332" s="74">
        <v>1176.7759999954201</v>
      </c>
      <c r="D332" s="74">
        <v>40948.753804686399</v>
      </c>
      <c r="E332" s="62" t="s">
        <v>68</v>
      </c>
      <c r="F332" s="19" t="s">
        <v>208</v>
      </c>
      <c r="G332" s="19" t="s">
        <v>480</v>
      </c>
      <c r="H332" s="19" t="s">
        <v>212</v>
      </c>
      <c r="I332" s="6" t="s">
        <v>486</v>
      </c>
      <c r="J332" s="55"/>
      <c r="K332" s="20">
        <v>80</v>
      </c>
      <c r="L332" s="20">
        <v>80</v>
      </c>
      <c r="M332" s="18"/>
      <c r="N332" s="8">
        <f t="shared" si="145"/>
        <v>160</v>
      </c>
      <c r="O332" s="20">
        <v>80</v>
      </c>
      <c r="P332" s="20">
        <v>80</v>
      </c>
      <c r="Q332" s="18">
        <v>80</v>
      </c>
      <c r="R332" s="8">
        <f t="shared" si="144"/>
        <v>240</v>
      </c>
      <c r="S332" s="18">
        <f t="shared" si="136"/>
        <v>400</v>
      </c>
      <c r="T332" s="18">
        <f t="shared" si="137"/>
        <v>8</v>
      </c>
      <c r="U332" s="18">
        <f t="shared" si="138"/>
        <v>8</v>
      </c>
      <c r="V332" s="18">
        <f t="shared" si="139"/>
        <v>0</v>
      </c>
      <c r="W332" s="8">
        <f t="shared" si="146"/>
        <v>16</v>
      </c>
      <c r="X332" s="18">
        <f t="shared" si="140"/>
        <v>8</v>
      </c>
      <c r="Y332" s="18">
        <f t="shared" si="141"/>
        <v>8</v>
      </c>
      <c r="Z332" s="18">
        <f t="shared" si="142"/>
        <v>8</v>
      </c>
      <c r="AA332" s="8">
        <f t="shared" si="147"/>
        <v>24</v>
      </c>
      <c r="AB332" s="8">
        <v>39.270000000000003</v>
      </c>
      <c r="AC332" s="8">
        <v>52.462499999999999</v>
      </c>
      <c r="AD332" s="8">
        <v>72.64</v>
      </c>
      <c r="AE332" s="9">
        <f t="shared" si="148"/>
        <v>37450</v>
      </c>
      <c r="AF332" s="21">
        <v>6.5000000000000002E-2</v>
      </c>
      <c r="AG332" s="10">
        <f t="shared" si="143"/>
        <v>2434.25</v>
      </c>
      <c r="AH332" s="64">
        <f t="shared" si="149"/>
        <v>0</v>
      </c>
      <c r="AI332" s="9">
        <f t="shared" si="150"/>
        <v>35015.75</v>
      </c>
      <c r="AJ332" s="5">
        <v>0.18</v>
      </c>
      <c r="AK332" s="11">
        <f t="shared" si="151"/>
        <v>6302.835</v>
      </c>
      <c r="AL332" s="9">
        <f t="shared" si="152"/>
        <v>41318.584999999999</v>
      </c>
      <c r="AP332" s="12"/>
    </row>
    <row r="333" spans="1:42" x14ac:dyDescent="0.35">
      <c r="A333" s="71">
        <v>46197</v>
      </c>
      <c r="B333" s="72" t="s">
        <v>67</v>
      </c>
      <c r="C333" s="74">
        <v>1176.7759999954201</v>
      </c>
      <c r="D333" s="74">
        <v>40948.753804686399</v>
      </c>
      <c r="E333" s="62" t="s">
        <v>68</v>
      </c>
      <c r="F333" s="19" t="s">
        <v>208</v>
      </c>
      <c r="G333" s="19" t="s">
        <v>481</v>
      </c>
      <c r="H333" s="19" t="s">
        <v>212</v>
      </c>
      <c r="I333" s="6" t="s">
        <v>487</v>
      </c>
      <c r="J333" s="55"/>
      <c r="K333" s="18"/>
      <c r="L333" s="18"/>
      <c r="M333" s="18"/>
      <c r="N333" s="8">
        <f t="shared" si="145"/>
        <v>0</v>
      </c>
      <c r="O333" s="18">
        <v>40</v>
      </c>
      <c r="P333" s="18">
        <v>40</v>
      </c>
      <c r="Q333" s="18">
        <v>40</v>
      </c>
      <c r="R333" s="8">
        <f t="shared" si="144"/>
        <v>120</v>
      </c>
      <c r="S333" s="18">
        <f t="shared" si="136"/>
        <v>120</v>
      </c>
      <c r="T333" s="18">
        <f t="shared" si="137"/>
        <v>0</v>
      </c>
      <c r="U333" s="18">
        <f t="shared" si="138"/>
        <v>0</v>
      </c>
      <c r="V333" s="18">
        <f t="shared" si="139"/>
        <v>0</v>
      </c>
      <c r="W333" s="8">
        <f t="shared" si="146"/>
        <v>0</v>
      </c>
      <c r="X333" s="18">
        <f t="shared" si="140"/>
        <v>4</v>
      </c>
      <c r="Y333" s="18">
        <f t="shared" si="141"/>
        <v>4</v>
      </c>
      <c r="Z333" s="18">
        <f t="shared" si="142"/>
        <v>4</v>
      </c>
      <c r="AA333" s="8">
        <f t="shared" si="147"/>
        <v>12</v>
      </c>
      <c r="AB333" s="8">
        <v>39.270000000000003</v>
      </c>
      <c r="AC333" s="8">
        <v>52.462499999999999</v>
      </c>
      <c r="AD333" s="8">
        <v>72.64</v>
      </c>
      <c r="AE333" s="9">
        <f t="shared" si="148"/>
        <v>8716.7999999999993</v>
      </c>
      <c r="AF333" s="21">
        <v>6.5000000000000002E-2</v>
      </c>
      <c r="AG333" s="10">
        <f t="shared" si="143"/>
        <v>566.59199999999998</v>
      </c>
      <c r="AH333" s="64">
        <f t="shared" si="149"/>
        <v>0</v>
      </c>
      <c r="AI333" s="9">
        <f t="shared" si="150"/>
        <v>8150.2079999999996</v>
      </c>
      <c r="AJ333" s="5">
        <v>0.18</v>
      </c>
      <c r="AK333" s="11">
        <f t="shared" si="151"/>
        <v>1467.0374399999998</v>
      </c>
      <c r="AL333" s="9">
        <f t="shared" si="152"/>
        <v>9617.2454399999988</v>
      </c>
      <c r="AP333" s="12"/>
    </row>
    <row r="334" spans="1:42" x14ac:dyDescent="0.35">
      <c r="A334" s="71">
        <v>46197</v>
      </c>
      <c r="B334" s="72" t="s">
        <v>67</v>
      </c>
      <c r="C334" s="74">
        <v>1176.7759999954201</v>
      </c>
      <c r="D334" s="74">
        <v>40948.753804686399</v>
      </c>
      <c r="E334" s="62" t="s">
        <v>68</v>
      </c>
      <c r="F334" s="19" t="s">
        <v>208</v>
      </c>
      <c r="G334" s="19" t="s">
        <v>482</v>
      </c>
      <c r="H334" s="19" t="s">
        <v>212</v>
      </c>
      <c r="I334" s="6" t="s">
        <v>488</v>
      </c>
      <c r="J334" s="55"/>
      <c r="K334" s="18">
        <v>80</v>
      </c>
      <c r="L334" s="18">
        <v>80</v>
      </c>
      <c r="M334" s="18"/>
      <c r="N334" s="8">
        <f t="shared" si="145"/>
        <v>160</v>
      </c>
      <c r="O334" s="18">
        <v>80</v>
      </c>
      <c r="P334" s="18">
        <v>80</v>
      </c>
      <c r="Q334" s="18">
        <v>80</v>
      </c>
      <c r="R334" s="8">
        <f t="shared" si="144"/>
        <v>240</v>
      </c>
      <c r="S334" s="18">
        <f t="shared" si="136"/>
        <v>400</v>
      </c>
      <c r="T334" s="18">
        <f t="shared" si="137"/>
        <v>8</v>
      </c>
      <c r="U334" s="18">
        <f t="shared" si="138"/>
        <v>8</v>
      </c>
      <c r="V334" s="18">
        <f t="shared" si="139"/>
        <v>0</v>
      </c>
      <c r="W334" s="8">
        <f t="shared" si="146"/>
        <v>16</v>
      </c>
      <c r="X334" s="18">
        <f t="shared" si="140"/>
        <v>8</v>
      </c>
      <c r="Y334" s="18">
        <f t="shared" si="141"/>
        <v>8</v>
      </c>
      <c r="Z334" s="18">
        <f t="shared" si="142"/>
        <v>8</v>
      </c>
      <c r="AA334" s="8">
        <f t="shared" si="147"/>
        <v>24</v>
      </c>
      <c r="AB334" s="8">
        <v>39.270000000000003</v>
      </c>
      <c r="AC334" s="8">
        <v>52.462499999999999</v>
      </c>
      <c r="AD334" s="8">
        <v>72.64</v>
      </c>
      <c r="AE334" s="9">
        <f t="shared" si="148"/>
        <v>37450</v>
      </c>
      <c r="AF334" s="21">
        <v>6.5000000000000002E-2</v>
      </c>
      <c r="AG334" s="10">
        <f t="shared" si="143"/>
        <v>2434.25</v>
      </c>
      <c r="AH334" s="64">
        <f t="shared" si="149"/>
        <v>0</v>
      </c>
      <c r="AI334" s="9">
        <f t="shared" si="150"/>
        <v>35015.75</v>
      </c>
      <c r="AJ334" s="5">
        <v>0.18</v>
      </c>
      <c r="AK334" s="11">
        <f t="shared" si="151"/>
        <v>6302.835</v>
      </c>
      <c r="AL334" s="9">
        <f t="shared" si="152"/>
        <v>41318.584999999999</v>
      </c>
      <c r="AP334" s="12"/>
    </row>
    <row r="335" spans="1:42" x14ac:dyDescent="0.35">
      <c r="A335" s="71">
        <v>46197</v>
      </c>
      <c r="B335" s="72" t="s">
        <v>67</v>
      </c>
      <c r="C335" s="74">
        <v>1176.7759999954201</v>
      </c>
      <c r="D335" s="74">
        <v>40948.753804686399</v>
      </c>
      <c r="E335" s="62" t="s">
        <v>68</v>
      </c>
      <c r="F335" s="19" t="s">
        <v>208</v>
      </c>
      <c r="G335" s="19" t="s">
        <v>483</v>
      </c>
      <c r="H335" s="19" t="s">
        <v>212</v>
      </c>
      <c r="I335" s="6" t="s">
        <v>489</v>
      </c>
      <c r="J335" s="55"/>
      <c r="K335" s="20">
        <v>80</v>
      </c>
      <c r="L335" s="20">
        <v>80</v>
      </c>
      <c r="M335" s="20"/>
      <c r="N335" s="8">
        <f t="shared" si="145"/>
        <v>160</v>
      </c>
      <c r="O335" s="18">
        <v>80</v>
      </c>
      <c r="P335" s="18">
        <v>120</v>
      </c>
      <c r="Q335" s="18">
        <v>80</v>
      </c>
      <c r="R335" s="8">
        <f t="shared" si="144"/>
        <v>280</v>
      </c>
      <c r="S335" s="18">
        <f t="shared" si="136"/>
        <v>440</v>
      </c>
      <c r="T335" s="18">
        <f t="shared" si="137"/>
        <v>8</v>
      </c>
      <c r="U335" s="18">
        <f t="shared" si="138"/>
        <v>8</v>
      </c>
      <c r="V335" s="18">
        <f t="shared" si="139"/>
        <v>0</v>
      </c>
      <c r="W335" s="8">
        <f t="shared" si="146"/>
        <v>16</v>
      </c>
      <c r="X335" s="18">
        <f t="shared" si="140"/>
        <v>8</v>
      </c>
      <c r="Y335" s="18">
        <f t="shared" si="141"/>
        <v>12</v>
      </c>
      <c r="Z335" s="18">
        <f t="shared" si="142"/>
        <v>8</v>
      </c>
      <c r="AA335" s="8">
        <f t="shared" si="147"/>
        <v>28</v>
      </c>
      <c r="AB335" s="8">
        <v>39.270000000000003</v>
      </c>
      <c r="AC335" s="8">
        <v>52.462499999999999</v>
      </c>
      <c r="AD335" s="8">
        <v>72.64</v>
      </c>
      <c r="AE335" s="9">
        <f t="shared" si="148"/>
        <v>40355.599999999999</v>
      </c>
      <c r="AF335" s="21">
        <v>6.5000000000000002E-2</v>
      </c>
      <c r="AG335" s="10">
        <f t="shared" si="143"/>
        <v>2623.114</v>
      </c>
      <c r="AH335" s="64">
        <f t="shared" si="149"/>
        <v>0</v>
      </c>
      <c r="AI335" s="9">
        <f t="shared" si="150"/>
        <v>37732.485999999997</v>
      </c>
      <c r="AJ335" s="5">
        <v>0.18</v>
      </c>
      <c r="AK335" s="11">
        <f t="shared" si="151"/>
        <v>6791.8474799999995</v>
      </c>
      <c r="AL335" s="9">
        <f t="shared" si="152"/>
        <v>44524.333479999994</v>
      </c>
      <c r="AP335" s="12"/>
    </row>
    <row r="336" spans="1:42" x14ac:dyDescent="0.35">
      <c r="A336" s="71">
        <v>46202</v>
      </c>
      <c r="B336" s="72" t="s">
        <v>67</v>
      </c>
      <c r="C336" s="74">
        <v>1176.7759999954201</v>
      </c>
      <c r="D336" s="74">
        <v>40948.753804686399</v>
      </c>
      <c r="E336" s="62" t="s">
        <v>68</v>
      </c>
      <c r="F336" s="19" t="s">
        <v>69</v>
      </c>
      <c r="G336" s="19" t="s">
        <v>490</v>
      </c>
      <c r="H336" s="19" t="s">
        <v>103</v>
      </c>
      <c r="I336" s="6" t="s">
        <v>492</v>
      </c>
      <c r="J336" s="55">
        <v>40</v>
      </c>
      <c r="K336" s="20"/>
      <c r="L336" s="20"/>
      <c r="M336" s="20"/>
      <c r="N336" s="8">
        <f t="shared" si="145"/>
        <v>0</v>
      </c>
      <c r="O336" s="18">
        <v>10</v>
      </c>
      <c r="P336" s="20">
        <v>10</v>
      </c>
      <c r="Q336" s="18">
        <v>20</v>
      </c>
      <c r="R336" s="8">
        <f t="shared" si="144"/>
        <v>40</v>
      </c>
      <c r="S336" s="18">
        <f t="shared" si="136"/>
        <v>80</v>
      </c>
      <c r="T336" s="18">
        <f t="shared" si="137"/>
        <v>0</v>
      </c>
      <c r="U336" s="18">
        <f t="shared" si="138"/>
        <v>0</v>
      </c>
      <c r="V336" s="18">
        <f t="shared" si="139"/>
        <v>0</v>
      </c>
      <c r="W336" s="8">
        <f t="shared" si="146"/>
        <v>0</v>
      </c>
      <c r="X336" s="18">
        <f t="shared" si="140"/>
        <v>1</v>
      </c>
      <c r="Y336" s="18">
        <f t="shared" si="141"/>
        <v>1</v>
      </c>
      <c r="Z336" s="18">
        <f t="shared" si="142"/>
        <v>2</v>
      </c>
      <c r="AA336" s="8">
        <f t="shared" si="147"/>
        <v>4</v>
      </c>
      <c r="AB336" s="8">
        <v>39.270000000000003</v>
      </c>
      <c r="AC336" s="8">
        <v>52.462499999999999</v>
      </c>
      <c r="AD336" s="8">
        <v>72.64</v>
      </c>
      <c r="AE336" s="9">
        <f t="shared" si="148"/>
        <v>7382</v>
      </c>
      <c r="AF336" s="21">
        <v>6.5000000000000002E-2</v>
      </c>
      <c r="AG336" s="10">
        <f t="shared" si="143"/>
        <v>479.83000000000004</v>
      </c>
      <c r="AH336" s="64">
        <f t="shared" si="149"/>
        <v>54.978000000000009</v>
      </c>
      <c r="AI336" s="9">
        <f t="shared" si="150"/>
        <v>6902.17</v>
      </c>
      <c r="AJ336" s="5">
        <v>0.18</v>
      </c>
      <c r="AK336" s="11">
        <f t="shared" si="151"/>
        <v>1242.3905999999999</v>
      </c>
      <c r="AL336" s="9">
        <f t="shared" si="152"/>
        <v>8144.5605999999998</v>
      </c>
      <c r="AP336" s="12"/>
    </row>
    <row r="337" spans="1:42" x14ac:dyDescent="0.35">
      <c r="A337" s="71">
        <v>46202</v>
      </c>
      <c r="B337" s="72" t="s">
        <v>67</v>
      </c>
      <c r="C337" s="74">
        <v>1176.7759999954201</v>
      </c>
      <c r="D337" s="74">
        <v>40948.753804686399</v>
      </c>
      <c r="E337" s="62" t="s">
        <v>68</v>
      </c>
      <c r="F337" s="19" t="s">
        <v>298</v>
      </c>
      <c r="G337" s="19" t="s">
        <v>491</v>
      </c>
      <c r="H337" s="19" t="s">
        <v>103</v>
      </c>
      <c r="I337" s="6" t="s">
        <v>493</v>
      </c>
      <c r="J337" s="55">
        <v>20</v>
      </c>
      <c r="K337" s="20"/>
      <c r="L337" s="20"/>
      <c r="M337" s="20"/>
      <c r="N337" s="8">
        <f t="shared" si="145"/>
        <v>0</v>
      </c>
      <c r="O337" s="18"/>
      <c r="P337" s="18"/>
      <c r="Q337" s="18">
        <v>20</v>
      </c>
      <c r="R337" s="8">
        <f t="shared" si="144"/>
        <v>20</v>
      </c>
      <c r="S337" s="18">
        <f t="shared" si="136"/>
        <v>40</v>
      </c>
      <c r="T337" s="18">
        <f t="shared" si="137"/>
        <v>0</v>
      </c>
      <c r="U337" s="18">
        <f t="shared" si="138"/>
        <v>0</v>
      </c>
      <c r="V337" s="18">
        <f t="shared" si="139"/>
        <v>0</v>
      </c>
      <c r="W337" s="8">
        <f t="shared" si="146"/>
        <v>0</v>
      </c>
      <c r="X337" s="18">
        <f t="shared" si="140"/>
        <v>0</v>
      </c>
      <c r="Y337" s="18">
        <f t="shared" si="141"/>
        <v>0</v>
      </c>
      <c r="Z337" s="18">
        <f t="shared" si="142"/>
        <v>2</v>
      </c>
      <c r="AA337" s="8">
        <f t="shared" si="147"/>
        <v>2</v>
      </c>
      <c r="AB337" s="8">
        <v>39.270000000000003</v>
      </c>
      <c r="AC337" s="8">
        <v>52.462499999999999</v>
      </c>
      <c r="AD337" s="8">
        <v>72.64</v>
      </c>
      <c r="AE337" s="9">
        <f t="shared" si="148"/>
        <v>3691</v>
      </c>
      <c r="AF337" s="21">
        <v>6.5000000000000002E-2</v>
      </c>
      <c r="AG337" s="10">
        <f t="shared" si="143"/>
        <v>239.91500000000002</v>
      </c>
      <c r="AH337" s="64">
        <f t="shared" si="149"/>
        <v>27.489000000000004</v>
      </c>
      <c r="AI337" s="9">
        <f t="shared" si="150"/>
        <v>3451.085</v>
      </c>
      <c r="AJ337" s="5">
        <v>0.18</v>
      </c>
      <c r="AK337" s="11">
        <f t="shared" si="151"/>
        <v>621.19529999999997</v>
      </c>
      <c r="AL337" s="9">
        <f t="shared" si="152"/>
        <v>4072.2802999999999</v>
      </c>
      <c r="AP337" s="12"/>
    </row>
    <row r="338" spans="1:42" x14ac:dyDescent="0.35">
      <c r="A338" s="71">
        <v>46202</v>
      </c>
      <c r="B338" s="72" t="s">
        <v>67</v>
      </c>
      <c r="C338" s="74">
        <v>1176.7759999954201</v>
      </c>
      <c r="D338" s="74">
        <v>40948.753804686399</v>
      </c>
      <c r="E338" s="62" t="s">
        <v>68</v>
      </c>
      <c r="F338" s="19" t="s">
        <v>69</v>
      </c>
      <c r="G338" s="19" t="s">
        <v>435</v>
      </c>
      <c r="H338" s="19" t="s">
        <v>103</v>
      </c>
      <c r="I338" s="6" t="s">
        <v>493</v>
      </c>
      <c r="J338" s="55"/>
      <c r="K338" s="18"/>
      <c r="L338" s="18"/>
      <c r="M338" s="20"/>
      <c r="N338" s="8">
        <f t="shared" si="145"/>
        <v>0</v>
      </c>
      <c r="O338" s="20">
        <v>6</v>
      </c>
      <c r="P338" s="20">
        <v>6</v>
      </c>
      <c r="Q338" s="20">
        <v>8</v>
      </c>
      <c r="R338" s="8">
        <f t="shared" si="144"/>
        <v>20</v>
      </c>
      <c r="S338" s="18">
        <f t="shared" si="136"/>
        <v>20</v>
      </c>
      <c r="T338" s="18">
        <f t="shared" si="137"/>
        <v>0</v>
      </c>
      <c r="U338" s="18">
        <f t="shared" si="138"/>
        <v>0</v>
      </c>
      <c r="V338" s="18">
        <f t="shared" si="139"/>
        <v>0</v>
      </c>
      <c r="W338" s="8">
        <f t="shared" si="146"/>
        <v>0</v>
      </c>
      <c r="X338" s="18">
        <f t="shared" si="140"/>
        <v>0.6</v>
      </c>
      <c r="Y338" s="18">
        <f t="shared" si="141"/>
        <v>0.6</v>
      </c>
      <c r="Z338" s="18">
        <f t="shared" si="142"/>
        <v>0.8</v>
      </c>
      <c r="AA338" s="8">
        <f t="shared" si="147"/>
        <v>2</v>
      </c>
      <c r="AB338" s="8">
        <v>39.270000000000003</v>
      </c>
      <c r="AC338" s="8">
        <v>52.462499999999999</v>
      </c>
      <c r="AD338" s="8">
        <v>72.64</v>
      </c>
      <c r="AE338" s="9">
        <f t="shared" si="148"/>
        <v>1452.8</v>
      </c>
      <c r="AF338" s="21">
        <v>6.5000000000000002E-2</v>
      </c>
      <c r="AG338" s="10">
        <f t="shared" si="143"/>
        <v>94.432000000000002</v>
      </c>
      <c r="AH338" s="64">
        <f t="shared" si="149"/>
        <v>0</v>
      </c>
      <c r="AI338" s="9">
        <f t="shared" si="150"/>
        <v>1358.3679999999999</v>
      </c>
      <c r="AJ338" s="5">
        <v>0.18</v>
      </c>
      <c r="AK338" s="11">
        <f t="shared" si="151"/>
        <v>244.50623999999999</v>
      </c>
      <c r="AL338" s="9">
        <f t="shared" si="152"/>
        <v>1602.8742399999999</v>
      </c>
      <c r="AP338" s="12"/>
    </row>
    <row r="339" spans="1:42" x14ac:dyDescent="0.35">
      <c r="A339" s="71">
        <v>46202</v>
      </c>
      <c r="B339" s="72" t="s">
        <v>67</v>
      </c>
      <c r="C339" s="74">
        <v>1176.7759999954201</v>
      </c>
      <c r="D339" s="74">
        <v>40948.753804686399</v>
      </c>
      <c r="E339" s="62" t="s">
        <v>68</v>
      </c>
      <c r="F339" s="19" t="s">
        <v>298</v>
      </c>
      <c r="G339" s="19" t="s">
        <v>303</v>
      </c>
      <c r="H339" s="19" t="s">
        <v>103</v>
      </c>
      <c r="I339" s="6" t="s">
        <v>493</v>
      </c>
      <c r="J339" s="55"/>
      <c r="K339" s="18"/>
      <c r="L339" s="18"/>
      <c r="M339" s="18"/>
      <c r="N339" s="8">
        <f t="shared" si="145"/>
        <v>0</v>
      </c>
      <c r="O339" s="20"/>
      <c r="P339" s="20">
        <v>24</v>
      </c>
      <c r="Q339" s="20">
        <v>24</v>
      </c>
      <c r="R339" s="8">
        <f t="shared" si="144"/>
        <v>48</v>
      </c>
      <c r="S339" s="18">
        <f t="shared" si="136"/>
        <v>48</v>
      </c>
      <c r="T339" s="18">
        <f t="shared" si="137"/>
        <v>0</v>
      </c>
      <c r="U339" s="18">
        <f t="shared" si="138"/>
        <v>0</v>
      </c>
      <c r="V339" s="18">
        <f t="shared" si="139"/>
        <v>0</v>
      </c>
      <c r="W339" s="8">
        <f t="shared" si="146"/>
        <v>0</v>
      </c>
      <c r="X339" s="18">
        <f t="shared" si="140"/>
        <v>0</v>
      </c>
      <c r="Y339" s="18">
        <f t="shared" si="141"/>
        <v>2.4</v>
      </c>
      <c r="Z339" s="18">
        <f t="shared" si="142"/>
        <v>2.4</v>
      </c>
      <c r="AA339" s="8">
        <f t="shared" si="147"/>
        <v>4.8</v>
      </c>
      <c r="AB339" s="8">
        <v>39.270000000000003</v>
      </c>
      <c r="AC339" s="8">
        <v>52.462499999999999</v>
      </c>
      <c r="AD339" s="8">
        <v>72.64</v>
      </c>
      <c r="AE339" s="9">
        <f t="shared" si="148"/>
        <v>3486.7200000000003</v>
      </c>
      <c r="AF339" s="21">
        <v>6.5000000000000002E-2</v>
      </c>
      <c r="AG339" s="10">
        <f t="shared" si="143"/>
        <v>226.63680000000002</v>
      </c>
      <c r="AH339" s="64">
        <f t="shared" si="149"/>
        <v>0</v>
      </c>
      <c r="AI339" s="9">
        <f t="shared" si="150"/>
        <v>3260.0832</v>
      </c>
      <c r="AJ339" s="5">
        <v>0.18</v>
      </c>
      <c r="AK339" s="11">
        <f t="shared" si="151"/>
        <v>586.814976</v>
      </c>
      <c r="AL339" s="9">
        <f t="shared" si="152"/>
        <v>3846.8981760000001</v>
      </c>
      <c r="AP339" s="12"/>
    </row>
    <row r="340" spans="1:42" x14ac:dyDescent="0.35">
      <c r="A340" s="71">
        <v>46202</v>
      </c>
      <c r="B340" s="72" t="s">
        <v>67</v>
      </c>
      <c r="C340" s="74">
        <v>1176.7759999954201</v>
      </c>
      <c r="D340" s="74">
        <v>40948.753804686399</v>
      </c>
      <c r="E340" s="62" t="s">
        <v>68</v>
      </c>
      <c r="F340" s="19" t="s">
        <v>298</v>
      </c>
      <c r="G340" s="19" t="s">
        <v>494</v>
      </c>
      <c r="H340" s="19" t="s">
        <v>403</v>
      </c>
      <c r="I340" s="6" t="s">
        <v>501</v>
      </c>
      <c r="J340" s="55"/>
      <c r="K340" s="18">
        <v>40</v>
      </c>
      <c r="L340" s="18">
        <v>40</v>
      </c>
      <c r="M340" s="18"/>
      <c r="N340" s="8">
        <f t="shared" si="145"/>
        <v>80</v>
      </c>
      <c r="O340" s="20">
        <v>40</v>
      </c>
      <c r="P340" s="20">
        <v>40</v>
      </c>
      <c r="Q340" s="20">
        <v>40</v>
      </c>
      <c r="R340" s="8">
        <f t="shared" si="144"/>
        <v>120</v>
      </c>
      <c r="S340" s="18">
        <f t="shared" si="136"/>
        <v>200</v>
      </c>
      <c r="T340" s="18">
        <f t="shared" si="137"/>
        <v>4</v>
      </c>
      <c r="U340" s="18">
        <f t="shared" si="138"/>
        <v>4</v>
      </c>
      <c r="V340" s="18">
        <f t="shared" si="139"/>
        <v>0</v>
      </c>
      <c r="W340" s="8">
        <f t="shared" si="146"/>
        <v>8</v>
      </c>
      <c r="X340" s="18">
        <f t="shared" si="140"/>
        <v>4</v>
      </c>
      <c r="Y340" s="18">
        <f t="shared" si="141"/>
        <v>4</v>
      </c>
      <c r="Z340" s="18">
        <f t="shared" si="142"/>
        <v>4</v>
      </c>
      <c r="AA340" s="8">
        <f t="shared" si="147"/>
        <v>12</v>
      </c>
      <c r="AB340" s="8">
        <v>39.270000000000003</v>
      </c>
      <c r="AC340" s="8">
        <v>52.462499999999999</v>
      </c>
      <c r="AD340" s="8">
        <v>72.64</v>
      </c>
      <c r="AE340" s="9">
        <f t="shared" si="148"/>
        <v>18725</v>
      </c>
      <c r="AF340" s="21">
        <v>6.5000000000000002E-2</v>
      </c>
      <c r="AG340" s="10">
        <f t="shared" si="143"/>
        <v>1217.125</v>
      </c>
      <c r="AH340" s="64">
        <f t="shared" si="149"/>
        <v>0</v>
      </c>
      <c r="AI340" s="9">
        <f t="shared" si="150"/>
        <v>17507.875</v>
      </c>
      <c r="AJ340" s="5">
        <v>0.18</v>
      </c>
      <c r="AK340" s="11">
        <f t="shared" si="151"/>
        <v>3151.4175</v>
      </c>
      <c r="AL340" s="9">
        <f t="shared" si="152"/>
        <v>20659.2925</v>
      </c>
      <c r="AP340" s="12"/>
    </row>
    <row r="341" spans="1:42" x14ac:dyDescent="0.35">
      <c r="A341" s="71">
        <v>46202</v>
      </c>
      <c r="B341" s="72" t="s">
        <v>67</v>
      </c>
      <c r="C341" s="74">
        <v>1176.7759999954201</v>
      </c>
      <c r="D341" s="74">
        <v>40948.753804686399</v>
      </c>
      <c r="E341" s="62" t="s">
        <v>68</v>
      </c>
      <c r="F341" s="19" t="s">
        <v>298</v>
      </c>
      <c r="G341" s="19" t="s">
        <v>495</v>
      </c>
      <c r="H341" s="19" t="s">
        <v>403</v>
      </c>
      <c r="I341" s="6" t="s">
        <v>502</v>
      </c>
      <c r="J341" s="55"/>
      <c r="K341" s="20"/>
      <c r="L341" s="20"/>
      <c r="M341" s="20"/>
      <c r="N341" s="8">
        <f t="shared" si="145"/>
        <v>0</v>
      </c>
      <c r="O341" s="18">
        <v>80</v>
      </c>
      <c r="P341" s="20">
        <v>80</v>
      </c>
      <c r="Q341" s="20">
        <v>80</v>
      </c>
      <c r="R341" s="8">
        <f t="shared" si="144"/>
        <v>240</v>
      </c>
      <c r="S341" s="18">
        <f t="shared" si="136"/>
        <v>240</v>
      </c>
      <c r="T341" s="18">
        <f t="shared" si="137"/>
        <v>0</v>
      </c>
      <c r="U341" s="18">
        <f t="shared" si="138"/>
        <v>0</v>
      </c>
      <c r="V341" s="18">
        <f t="shared" si="139"/>
        <v>0</v>
      </c>
      <c r="W341" s="8">
        <f t="shared" si="146"/>
        <v>0</v>
      </c>
      <c r="X341" s="18">
        <f t="shared" si="140"/>
        <v>8</v>
      </c>
      <c r="Y341" s="18">
        <f t="shared" si="141"/>
        <v>8</v>
      </c>
      <c r="Z341" s="18">
        <f t="shared" si="142"/>
        <v>8</v>
      </c>
      <c r="AA341" s="8">
        <f t="shared" si="147"/>
        <v>24</v>
      </c>
      <c r="AB341" s="8">
        <v>39.270000000000003</v>
      </c>
      <c r="AC341" s="8">
        <v>52.462499999999999</v>
      </c>
      <c r="AD341" s="8">
        <v>72.64</v>
      </c>
      <c r="AE341" s="9">
        <f t="shared" si="148"/>
        <v>17433.599999999999</v>
      </c>
      <c r="AF341" s="21">
        <v>6.5000000000000002E-2</v>
      </c>
      <c r="AG341" s="10">
        <f t="shared" si="143"/>
        <v>1133.184</v>
      </c>
      <c r="AH341" s="64">
        <f t="shared" si="149"/>
        <v>0</v>
      </c>
      <c r="AI341" s="9">
        <f t="shared" si="150"/>
        <v>16300.415999999999</v>
      </c>
      <c r="AJ341" s="5">
        <v>0.18</v>
      </c>
      <c r="AK341" s="11">
        <f t="shared" si="151"/>
        <v>2934.0748799999997</v>
      </c>
      <c r="AL341" s="9">
        <f t="shared" si="152"/>
        <v>19234.490879999998</v>
      </c>
      <c r="AP341" s="12"/>
    </row>
    <row r="342" spans="1:42" x14ac:dyDescent="0.35">
      <c r="A342" s="71">
        <v>46202</v>
      </c>
      <c r="B342" s="72" t="s">
        <v>67</v>
      </c>
      <c r="C342" s="74">
        <v>1176.7759999954201</v>
      </c>
      <c r="D342" s="74">
        <v>40948.753804686399</v>
      </c>
      <c r="E342" s="62" t="s">
        <v>68</v>
      </c>
      <c r="F342" s="19" t="s">
        <v>69</v>
      </c>
      <c r="G342" s="19" t="s">
        <v>496</v>
      </c>
      <c r="H342" s="19" t="s">
        <v>403</v>
      </c>
      <c r="I342" s="6" t="s">
        <v>502</v>
      </c>
      <c r="J342" s="55"/>
      <c r="K342" s="18"/>
      <c r="L342" s="18"/>
      <c r="M342" s="20"/>
      <c r="N342" s="8">
        <f t="shared" si="145"/>
        <v>0</v>
      </c>
      <c r="O342" s="18">
        <v>40</v>
      </c>
      <c r="P342" s="18">
        <v>40</v>
      </c>
      <c r="Q342" s="18">
        <v>40</v>
      </c>
      <c r="R342" s="8">
        <f t="shared" si="144"/>
        <v>120</v>
      </c>
      <c r="S342" s="18">
        <f t="shared" si="136"/>
        <v>120</v>
      </c>
      <c r="T342" s="18">
        <f t="shared" si="137"/>
        <v>0</v>
      </c>
      <c r="U342" s="18">
        <f t="shared" si="138"/>
        <v>0</v>
      </c>
      <c r="V342" s="18">
        <f t="shared" si="139"/>
        <v>0</v>
      </c>
      <c r="W342" s="8">
        <f t="shared" si="146"/>
        <v>0</v>
      </c>
      <c r="X342" s="18">
        <f t="shared" si="140"/>
        <v>4</v>
      </c>
      <c r="Y342" s="18">
        <f t="shared" si="141"/>
        <v>4</v>
      </c>
      <c r="Z342" s="18">
        <f t="shared" si="142"/>
        <v>4</v>
      </c>
      <c r="AA342" s="8">
        <f t="shared" si="147"/>
        <v>12</v>
      </c>
      <c r="AB342" s="8">
        <v>39.270000000000003</v>
      </c>
      <c r="AC342" s="8">
        <v>52.462499999999999</v>
      </c>
      <c r="AD342" s="8">
        <v>72.64</v>
      </c>
      <c r="AE342" s="9">
        <f t="shared" si="148"/>
        <v>8716.7999999999993</v>
      </c>
      <c r="AF342" s="21">
        <v>6.5000000000000002E-2</v>
      </c>
      <c r="AG342" s="10">
        <f t="shared" si="143"/>
        <v>566.59199999999998</v>
      </c>
      <c r="AH342" s="64">
        <f t="shared" si="149"/>
        <v>0</v>
      </c>
      <c r="AI342" s="9">
        <f t="shared" si="150"/>
        <v>8150.2079999999996</v>
      </c>
      <c r="AJ342" s="5">
        <v>0.18</v>
      </c>
      <c r="AK342" s="11">
        <f t="shared" si="151"/>
        <v>1467.0374399999998</v>
      </c>
      <c r="AL342" s="9">
        <f t="shared" si="152"/>
        <v>9617.2454399999988</v>
      </c>
      <c r="AP342" s="12"/>
    </row>
    <row r="343" spans="1:42" x14ac:dyDescent="0.35">
      <c r="A343" s="71">
        <v>46202</v>
      </c>
      <c r="B343" s="72" t="s">
        <v>67</v>
      </c>
      <c r="C343" s="74">
        <v>1176.7759999954201</v>
      </c>
      <c r="D343" s="74">
        <v>40948.753804686399</v>
      </c>
      <c r="E343" s="62" t="s">
        <v>68</v>
      </c>
      <c r="F343" s="19" t="s">
        <v>69</v>
      </c>
      <c r="G343" s="19" t="s">
        <v>497</v>
      </c>
      <c r="H343" s="19" t="s">
        <v>403</v>
      </c>
      <c r="I343" s="6" t="s">
        <v>502</v>
      </c>
      <c r="J343" s="55"/>
      <c r="K343" s="18">
        <v>20</v>
      </c>
      <c r="L343" s="20">
        <v>20</v>
      </c>
      <c r="M343" s="20"/>
      <c r="N343" s="8">
        <f t="shared" si="145"/>
        <v>40</v>
      </c>
      <c r="O343" s="18"/>
      <c r="P343" s="20"/>
      <c r="Q343" s="18"/>
      <c r="R343" s="8">
        <f t="shared" si="144"/>
        <v>0</v>
      </c>
      <c r="S343" s="18">
        <f t="shared" si="136"/>
        <v>40</v>
      </c>
      <c r="T343" s="18">
        <f t="shared" si="137"/>
        <v>2</v>
      </c>
      <c r="U343" s="18">
        <f t="shared" si="138"/>
        <v>2</v>
      </c>
      <c r="V343" s="18">
        <f t="shared" si="139"/>
        <v>0</v>
      </c>
      <c r="W343" s="8">
        <f t="shared" si="146"/>
        <v>4</v>
      </c>
      <c r="X343" s="18">
        <f t="shared" si="140"/>
        <v>0</v>
      </c>
      <c r="Y343" s="18">
        <f t="shared" si="141"/>
        <v>0</v>
      </c>
      <c r="Z343" s="18">
        <f t="shared" si="142"/>
        <v>0</v>
      </c>
      <c r="AA343" s="8">
        <f t="shared" si="147"/>
        <v>0</v>
      </c>
      <c r="AB343" s="8">
        <v>39.270000000000003</v>
      </c>
      <c r="AC343" s="8">
        <v>52.462499999999999</v>
      </c>
      <c r="AD343" s="8">
        <v>72.64</v>
      </c>
      <c r="AE343" s="9">
        <f t="shared" si="148"/>
        <v>5004.1000000000004</v>
      </c>
      <c r="AF343" s="21">
        <v>6.5000000000000002E-2</v>
      </c>
      <c r="AG343" s="10">
        <f t="shared" si="143"/>
        <v>325.26650000000001</v>
      </c>
      <c r="AH343" s="64">
        <f t="shared" si="149"/>
        <v>0</v>
      </c>
      <c r="AI343" s="9">
        <f t="shared" si="150"/>
        <v>4678.8335000000006</v>
      </c>
      <c r="AJ343" s="5">
        <v>0.18</v>
      </c>
      <c r="AK343" s="11">
        <f t="shared" si="151"/>
        <v>842.19003000000009</v>
      </c>
      <c r="AL343" s="9">
        <f t="shared" si="152"/>
        <v>5521.0235300000004</v>
      </c>
      <c r="AP343" s="12"/>
    </row>
    <row r="344" spans="1:42" x14ac:dyDescent="0.35">
      <c r="A344" s="71">
        <v>46202</v>
      </c>
      <c r="B344" s="72" t="s">
        <v>67</v>
      </c>
      <c r="C344" s="74">
        <v>1176.7759999954201</v>
      </c>
      <c r="D344" s="74">
        <v>40948.753804686399</v>
      </c>
      <c r="E344" s="62" t="s">
        <v>68</v>
      </c>
      <c r="F344" s="19" t="s">
        <v>69</v>
      </c>
      <c r="G344" s="19" t="s">
        <v>498</v>
      </c>
      <c r="H344" s="19" t="s">
        <v>403</v>
      </c>
      <c r="I344" s="6" t="s">
        <v>502</v>
      </c>
      <c r="J344" s="55"/>
      <c r="K344" s="20"/>
      <c r="L344" s="20"/>
      <c r="M344" s="20"/>
      <c r="N344" s="8">
        <f t="shared" si="145"/>
        <v>0</v>
      </c>
      <c r="O344" s="18">
        <v>40</v>
      </c>
      <c r="P344" s="18">
        <v>40</v>
      </c>
      <c r="Q344" s="20">
        <v>40</v>
      </c>
      <c r="R344" s="8">
        <f t="shared" si="144"/>
        <v>120</v>
      </c>
      <c r="S344" s="18">
        <f t="shared" si="136"/>
        <v>120</v>
      </c>
      <c r="T344" s="18">
        <f t="shared" si="137"/>
        <v>0</v>
      </c>
      <c r="U344" s="18">
        <f t="shared" si="138"/>
        <v>0</v>
      </c>
      <c r="V344" s="18">
        <f t="shared" si="139"/>
        <v>0</v>
      </c>
      <c r="W344" s="8">
        <f t="shared" si="146"/>
        <v>0</v>
      </c>
      <c r="X344" s="18">
        <f t="shared" si="140"/>
        <v>4</v>
      </c>
      <c r="Y344" s="18">
        <f t="shared" si="141"/>
        <v>4</v>
      </c>
      <c r="Z344" s="18">
        <f t="shared" si="142"/>
        <v>4</v>
      </c>
      <c r="AA344" s="8">
        <f t="shared" si="147"/>
        <v>12</v>
      </c>
      <c r="AB344" s="8">
        <v>39.270000000000003</v>
      </c>
      <c r="AC344" s="8">
        <v>52.462499999999999</v>
      </c>
      <c r="AD344" s="8">
        <v>72.64</v>
      </c>
      <c r="AE344" s="9">
        <f t="shared" si="148"/>
        <v>8716.7999999999993</v>
      </c>
      <c r="AF344" s="21">
        <v>6.5000000000000002E-2</v>
      </c>
      <c r="AG344" s="10">
        <f t="shared" si="143"/>
        <v>566.59199999999998</v>
      </c>
      <c r="AH344" s="64">
        <f t="shared" si="149"/>
        <v>0</v>
      </c>
      <c r="AI344" s="9">
        <f t="shared" si="150"/>
        <v>8150.2079999999996</v>
      </c>
      <c r="AJ344" s="5">
        <v>0.18</v>
      </c>
      <c r="AK344" s="11">
        <f t="shared" si="151"/>
        <v>1467.0374399999998</v>
      </c>
      <c r="AL344" s="9">
        <f t="shared" si="152"/>
        <v>9617.2454399999988</v>
      </c>
      <c r="AP344" s="12"/>
    </row>
    <row r="345" spans="1:42" x14ac:dyDescent="0.35">
      <c r="A345" s="71">
        <v>46202</v>
      </c>
      <c r="B345" s="72" t="s">
        <v>67</v>
      </c>
      <c r="C345" s="74">
        <v>1176.7759999954201</v>
      </c>
      <c r="D345" s="74">
        <v>40948.753804686399</v>
      </c>
      <c r="E345" s="62" t="s">
        <v>68</v>
      </c>
      <c r="F345" s="19" t="s">
        <v>69</v>
      </c>
      <c r="G345" s="19" t="s">
        <v>499</v>
      </c>
      <c r="H345" s="19" t="s">
        <v>403</v>
      </c>
      <c r="I345" s="6" t="s">
        <v>502</v>
      </c>
      <c r="J345" s="55"/>
      <c r="K345" s="20"/>
      <c r="L345" s="20"/>
      <c r="M345" s="20"/>
      <c r="N345" s="8">
        <f t="shared" si="145"/>
        <v>0</v>
      </c>
      <c r="O345" s="20">
        <v>24</v>
      </c>
      <c r="P345" s="18">
        <v>24</v>
      </c>
      <c r="Q345" s="18">
        <v>24</v>
      </c>
      <c r="R345" s="8">
        <f t="shared" si="144"/>
        <v>72</v>
      </c>
      <c r="S345" s="18">
        <f t="shared" si="136"/>
        <v>72</v>
      </c>
      <c r="T345" s="18">
        <f t="shared" si="137"/>
        <v>0</v>
      </c>
      <c r="U345" s="18">
        <f t="shared" si="138"/>
        <v>0</v>
      </c>
      <c r="V345" s="18">
        <f t="shared" si="139"/>
        <v>0</v>
      </c>
      <c r="W345" s="8">
        <f t="shared" si="146"/>
        <v>0</v>
      </c>
      <c r="X345" s="18">
        <f t="shared" si="140"/>
        <v>2.4</v>
      </c>
      <c r="Y345" s="18">
        <f t="shared" si="141"/>
        <v>2.4</v>
      </c>
      <c r="Z345" s="18">
        <f t="shared" si="142"/>
        <v>2.4</v>
      </c>
      <c r="AA345" s="8">
        <f t="shared" si="147"/>
        <v>7.2</v>
      </c>
      <c r="AB345" s="8">
        <v>39.270000000000003</v>
      </c>
      <c r="AC345" s="8">
        <v>52.462499999999999</v>
      </c>
      <c r="AD345" s="8">
        <v>72.64</v>
      </c>
      <c r="AE345" s="9">
        <f t="shared" si="148"/>
        <v>5230.08</v>
      </c>
      <c r="AF345" s="21">
        <v>6.5000000000000002E-2</v>
      </c>
      <c r="AG345" s="10">
        <f t="shared" si="143"/>
        <v>339.95519999999999</v>
      </c>
      <c r="AH345" s="64">
        <f t="shared" si="149"/>
        <v>0</v>
      </c>
      <c r="AI345" s="9">
        <f t="shared" si="150"/>
        <v>4890.1247999999996</v>
      </c>
      <c r="AJ345" s="5">
        <v>0.18</v>
      </c>
      <c r="AK345" s="11">
        <f t="shared" si="151"/>
        <v>880.22246399999995</v>
      </c>
      <c r="AL345" s="9">
        <f t="shared" si="152"/>
        <v>5770.347264</v>
      </c>
      <c r="AP345" s="12"/>
    </row>
    <row r="346" spans="1:42" x14ac:dyDescent="0.35">
      <c r="A346" s="71">
        <v>46202</v>
      </c>
      <c r="B346" s="72" t="s">
        <v>67</v>
      </c>
      <c r="C346" s="74">
        <v>1176.7759999954201</v>
      </c>
      <c r="D346" s="74">
        <v>40948.753804686399</v>
      </c>
      <c r="E346" s="62" t="s">
        <v>68</v>
      </c>
      <c r="F346" s="19" t="s">
        <v>69</v>
      </c>
      <c r="G346" s="19" t="s">
        <v>436</v>
      </c>
      <c r="H346" s="19" t="s">
        <v>403</v>
      </c>
      <c r="I346" s="6" t="s">
        <v>502</v>
      </c>
      <c r="J346" s="55"/>
      <c r="K346" s="18"/>
      <c r="L346" s="18"/>
      <c r="M346" s="20"/>
      <c r="N346" s="8">
        <f t="shared" si="145"/>
        <v>0</v>
      </c>
      <c r="O346" s="18">
        <v>10</v>
      </c>
      <c r="P346" s="18">
        <v>10</v>
      </c>
      <c r="Q346" s="18">
        <v>20</v>
      </c>
      <c r="R346" s="8">
        <f t="shared" si="144"/>
        <v>40</v>
      </c>
      <c r="S346" s="18">
        <f t="shared" si="136"/>
        <v>40</v>
      </c>
      <c r="T346" s="18">
        <f t="shared" si="137"/>
        <v>0</v>
      </c>
      <c r="U346" s="18">
        <f t="shared" si="138"/>
        <v>0</v>
      </c>
      <c r="V346" s="18">
        <f t="shared" si="139"/>
        <v>0</v>
      </c>
      <c r="W346" s="8">
        <f t="shared" si="146"/>
        <v>0</v>
      </c>
      <c r="X346" s="18">
        <f t="shared" si="140"/>
        <v>1</v>
      </c>
      <c r="Y346" s="18">
        <f t="shared" si="141"/>
        <v>1</v>
      </c>
      <c r="Z346" s="18">
        <f t="shared" si="142"/>
        <v>2</v>
      </c>
      <c r="AA346" s="8">
        <f t="shared" si="147"/>
        <v>4</v>
      </c>
      <c r="AB346" s="8">
        <v>39.270000000000003</v>
      </c>
      <c r="AC346" s="8">
        <v>52.462499999999999</v>
      </c>
      <c r="AD346" s="8">
        <v>72.64</v>
      </c>
      <c r="AE346" s="9">
        <f t="shared" si="148"/>
        <v>2905.6</v>
      </c>
      <c r="AF346" s="21">
        <v>6.5000000000000002E-2</v>
      </c>
      <c r="AG346" s="10">
        <f t="shared" si="143"/>
        <v>188.864</v>
      </c>
      <c r="AH346" s="64">
        <f t="shared" si="149"/>
        <v>0</v>
      </c>
      <c r="AI346" s="9">
        <f t="shared" si="150"/>
        <v>2716.7359999999999</v>
      </c>
      <c r="AJ346" s="5">
        <v>0.18</v>
      </c>
      <c r="AK346" s="11">
        <f t="shared" si="151"/>
        <v>489.01247999999998</v>
      </c>
      <c r="AL346" s="9">
        <f t="shared" si="152"/>
        <v>3205.7484799999997</v>
      </c>
      <c r="AP346" s="12"/>
    </row>
    <row r="347" spans="1:42" x14ac:dyDescent="0.35">
      <c r="A347" s="71">
        <v>46202</v>
      </c>
      <c r="B347" s="72" t="s">
        <v>67</v>
      </c>
      <c r="C347" s="74">
        <v>1176.7759999954201</v>
      </c>
      <c r="D347" s="74">
        <v>40948.753804686399</v>
      </c>
      <c r="E347" s="62" t="s">
        <v>68</v>
      </c>
      <c r="F347" s="19" t="s">
        <v>69</v>
      </c>
      <c r="G347" s="19" t="s">
        <v>500</v>
      </c>
      <c r="H347" s="19" t="s">
        <v>403</v>
      </c>
      <c r="I347" s="6" t="s">
        <v>503</v>
      </c>
      <c r="J347" s="55"/>
      <c r="K347" s="18"/>
      <c r="L347" s="20"/>
      <c r="M347" s="20"/>
      <c r="N347" s="8">
        <f t="shared" si="145"/>
        <v>0</v>
      </c>
      <c r="O347" s="20">
        <v>13</v>
      </c>
      <c r="P347" s="20">
        <v>13</v>
      </c>
      <c r="Q347" s="20">
        <v>14</v>
      </c>
      <c r="R347" s="8">
        <f t="shared" si="144"/>
        <v>40</v>
      </c>
      <c r="S347" s="18">
        <f t="shared" si="136"/>
        <v>40</v>
      </c>
      <c r="T347" s="18">
        <f t="shared" si="137"/>
        <v>0</v>
      </c>
      <c r="U347" s="18">
        <f t="shared" si="138"/>
        <v>0</v>
      </c>
      <c r="V347" s="18">
        <f t="shared" si="139"/>
        <v>0</v>
      </c>
      <c r="W347" s="8">
        <f t="shared" si="146"/>
        <v>0</v>
      </c>
      <c r="X347" s="18">
        <f t="shared" si="140"/>
        <v>1.3</v>
      </c>
      <c r="Y347" s="18">
        <f t="shared" si="141"/>
        <v>1.3</v>
      </c>
      <c r="Z347" s="18">
        <f t="shared" si="142"/>
        <v>1.4</v>
      </c>
      <c r="AA347" s="8">
        <f t="shared" si="147"/>
        <v>4</v>
      </c>
      <c r="AB347" s="8">
        <v>39.270000000000003</v>
      </c>
      <c r="AC347" s="8">
        <v>52.462499999999999</v>
      </c>
      <c r="AD347" s="8">
        <v>72.64</v>
      </c>
      <c r="AE347" s="9">
        <f t="shared" si="148"/>
        <v>2905.6</v>
      </c>
      <c r="AF347" s="21">
        <v>6.5000000000000002E-2</v>
      </c>
      <c r="AG347" s="10">
        <f t="shared" si="143"/>
        <v>188.864</v>
      </c>
      <c r="AH347" s="64">
        <f t="shared" si="149"/>
        <v>0</v>
      </c>
      <c r="AI347" s="9">
        <f t="shared" si="150"/>
        <v>2716.7359999999999</v>
      </c>
      <c r="AJ347" s="5">
        <v>0.18</v>
      </c>
      <c r="AK347" s="11">
        <f t="shared" si="151"/>
        <v>489.01247999999998</v>
      </c>
      <c r="AL347" s="9">
        <f t="shared" si="152"/>
        <v>3205.7484799999997</v>
      </c>
      <c r="AP347" s="12"/>
    </row>
    <row r="348" spans="1:42" x14ac:dyDescent="0.35">
      <c r="A348" s="71">
        <v>46202</v>
      </c>
      <c r="B348" s="72" t="s">
        <v>67</v>
      </c>
      <c r="C348" s="74">
        <v>1176.7759999954201</v>
      </c>
      <c r="D348" s="74">
        <v>40948.753804686399</v>
      </c>
      <c r="E348" s="62" t="s">
        <v>68</v>
      </c>
      <c r="F348" s="19" t="s">
        <v>69</v>
      </c>
      <c r="G348" s="19" t="s">
        <v>504</v>
      </c>
      <c r="H348" s="19" t="s">
        <v>99</v>
      </c>
      <c r="I348" s="6" t="s">
        <v>149</v>
      </c>
      <c r="J348" s="55"/>
      <c r="K348" s="20"/>
      <c r="L348" s="20">
        <v>40</v>
      </c>
      <c r="M348" s="20"/>
      <c r="N348" s="8">
        <f t="shared" si="145"/>
        <v>40</v>
      </c>
      <c r="O348" s="20">
        <v>40</v>
      </c>
      <c r="P348" s="18"/>
      <c r="Q348" s="20"/>
      <c r="R348" s="8">
        <f t="shared" si="144"/>
        <v>40</v>
      </c>
      <c r="S348" s="18">
        <f t="shared" si="136"/>
        <v>80</v>
      </c>
      <c r="T348" s="18">
        <f t="shared" si="137"/>
        <v>0</v>
      </c>
      <c r="U348" s="18">
        <f t="shared" si="138"/>
        <v>4</v>
      </c>
      <c r="V348" s="18">
        <f t="shared" si="139"/>
        <v>0</v>
      </c>
      <c r="W348" s="8">
        <f t="shared" si="146"/>
        <v>4</v>
      </c>
      <c r="X348" s="18">
        <f t="shared" si="140"/>
        <v>4</v>
      </c>
      <c r="Y348" s="18">
        <f t="shared" si="141"/>
        <v>0</v>
      </c>
      <c r="Z348" s="18">
        <f t="shared" si="142"/>
        <v>0</v>
      </c>
      <c r="AA348" s="8">
        <f t="shared" si="147"/>
        <v>4</v>
      </c>
      <c r="AB348" s="8">
        <v>39.270000000000003</v>
      </c>
      <c r="AC348" s="8">
        <v>52.462499999999999</v>
      </c>
      <c r="AD348" s="8">
        <v>72.64</v>
      </c>
      <c r="AE348" s="9">
        <f t="shared" si="148"/>
        <v>7909.7</v>
      </c>
      <c r="AF348" s="21">
        <v>6.5000000000000002E-2</v>
      </c>
      <c r="AG348" s="10">
        <f t="shared" si="143"/>
        <v>514.13049999999998</v>
      </c>
      <c r="AH348" s="64">
        <f t="shared" si="149"/>
        <v>0</v>
      </c>
      <c r="AI348" s="9">
        <f t="shared" si="150"/>
        <v>7395.5694999999996</v>
      </c>
      <c r="AJ348" s="5">
        <v>0.18</v>
      </c>
      <c r="AK348" s="11">
        <f t="shared" si="151"/>
        <v>1331.2025099999998</v>
      </c>
      <c r="AL348" s="9">
        <f t="shared" si="152"/>
        <v>8726.7720099999988</v>
      </c>
      <c r="AP348" s="12"/>
    </row>
    <row r="349" spans="1:42" x14ac:dyDescent="0.35">
      <c r="A349" s="71">
        <v>46202</v>
      </c>
      <c r="B349" s="72" t="s">
        <v>67</v>
      </c>
      <c r="C349" s="74">
        <v>1176.7759999954201</v>
      </c>
      <c r="D349" s="74">
        <v>40948.753804686399</v>
      </c>
      <c r="E349" s="62" t="s">
        <v>68</v>
      </c>
      <c r="F349" s="19" t="s">
        <v>69</v>
      </c>
      <c r="G349" s="19" t="s">
        <v>505</v>
      </c>
      <c r="H349" s="19" t="s">
        <v>99</v>
      </c>
      <c r="I349" s="6" t="s">
        <v>149</v>
      </c>
      <c r="J349" s="55">
        <v>40</v>
      </c>
      <c r="K349" s="20"/>
      <c r="L349" s="20"/>
      <c r="M349" s="20"/>
      <c r="N349" s="8">
        <f t="shared" si="145"/>
        <v>0</v>
      </c>
      <c r="O349" s="18">
        <v>20</v>
      </c>
      <c r="P349" s="18">
        <v>10</v>
      </c>
      <c r="Q349" s="18">
        <v>10</v>
      </c>
      <c r="R349" s="8">
        <f t="shared" si="144"/>
        <v>40</v>
      </c>
      <c r="S349" s="18">
        <f t="shared" si="136"/>
        <v>80</v>
      </c>
      <c r="T349" s="18">
        <f t="shared" si="137"/>
        <v>0</v>
      </c>
      <c r="U349" s="18">
        <f t="shared" si="138"/>
        <v>0</v>
      </c>
      <c r="V349" s="18">
        <f t="shared" si="139"/>
        <v>0</v>
      </c>
      <c r="W349" s="8">
        <f t="shared" si="146"/>
        <v>0</v>
      </c>
      <c r="X349" s="18">
        <f t="shared" si="140"/>
        <v>2</v>
      </c>
      <c r="Y349" s="18">
        <f t="shared" si="141"/>
        <v>1</v>
      </c>
      <c r="Z349" s="18">
        <f t="shared" si="142"/>
        <v>1</v>
      </c>
      <c r="AA349" s="8">
        <f t="shared" si="147"/>
        <v>4</v>
      </c>
      <c r="AB349" s="8">
        <v>39.270000000000003</v>
      </c>
      <c r="AC349" s="8">
        <v>52.462499999999999</v>
      </c>
      <c r="AD349" s="8">
        <v>72.64</v>
      </c>
      <c r="AE349" s="9">
        <f t="shared" si="148"/>
        <v>7382</v>
      </c>
      <c r="AF349" s="21">
        <v>6.5000000000000002E-2</v>
      </c>
      <c r="AG349" s="10">
        <f t="shared" si="143"/>
        <v>479.83000000000004</v>
      </c>
      <c r="AH349" s="64">
        <f t="shared" si="149"/>
        <v>54.978000000000009</v>
      </c>
      <c r="AI349" s="9">
        <f t="shared" si="150"/>
        <v>6902.17</v>
      </c>
      <c r="AJ349" s="5">
        <v>0.18</v>
      </c>
      <c r="AK349" s="11">
        <f t="shared" si="151"/>
        <v>1242.3905999999999</v>
      </c>
      <c r="AL349" s="9">
        <f t="shared" si="152"/>
        <v>8144.5605999999998</v>
      </c>
      <c r="AP349" s="12"/>
    </row>
    <row r="350" spans="1:42" x14ac:dyDescent="0.35">
      <c r="A350" s="71">
        <v>46202</v>
      </c>
      <c r="B350" s="72" t="s">
        <v>67</v>
      </c>
      <c r="C350" s="74">
        <v>1176.7759999954201</v>
      </c>
      <c r="D350" s="74">
        <v>40948.753804686399</v>
      </c>
      <c r="E350" s="62" t="s">
        <v>68</v>
      </c>
      <c r="F350" s="19" t="s">
        <v>208</v>
      </c>
      <c r="G350" s="19" t="s">
        <v>328</v>
      </c>
      <c r="H350" s="19" t="s">
        <v>212</v>
      </c>
      <c r="I350" s="6" t="s">
        <v>506</v>
      </c>
      <c r="J350" s="55"/>
      <c r="K350" s="20">
        <v>40</v>
      </c>
      <c r="L350" s="18">
        <v>40</v>
      </c>
      <c r="M350" s="20"/>
      <c r="N350" s="8">
        <f t="shared" si="145"/>
        <v>80</v>
      </c>
      <c r="O350" s="20">
        <v>40</v>
      </c>
      <c r="P350" s="18">
        <v>40</v>
      </c>
      <c r="Q350" s="20">
        <v>40</v>
      </c>
      <c r="R350" s="8">
        <f t="shared" si="144"/>
        <v>120</v>
      </c>
      <c r="S350" s="18">
        <f t="shared" si="136"/>
        <v>200</v>
      </c>
      <c r="T350" s="18">
        <f t="shared" si="137"/>
        <v>4</v>
      </c>
      <c r="U350" s="18">
        <f t="shared" si="138"/>
        <v>4</v>
      </c>
      <c r="V350" s="18">
        <f t="shared" si="139"/>
        <v>0</v>
      </c>
      <c r="W350" s="8">
        <f t="shared" si="146"/>
        <v>8</v>
      </c>
      <c r="X350" s="18">
        <f t="shared" si="140"/>
        <v>4</v>
      </c>
      <c r="Y350" s="18">
        <f t="shared" si="141"/>
        <v>4</v>
      </c>
      <c r="Z350" s="18">
        <f t="shared" si="142"/>
        <v>4</v>
      </c>
      <c r="AA350" s="8">
        <f t="shared" si="147"/>
        <v>12</v>
      </c>
      <c r="AB350" s="8">
        <v>39.270000000000003</v>
      </c>
      <c r="AC350" s="8">
        <v>52.462499999999999</v>
      </c>
      <c r="AD350" s="8">
        <v>72.64</v>
      </c>
      <c r="AE350" s="9">
        <f t="shared" si="148"/>
        <v>18725</v>
      </c>
      <c r="AF350" s="21">
        <v>6.5000000000000002E-2</v>
      </c>
      <c r="AG350" s="10">
        <f t="shared" si="143"/>
        <v>1217.125</v>
      </c>
      <c r="AH350" s="64">
        <f t="shared" si="149"/>
        <v>0</v>
      </c>
      <c r="AI350" s="9">
        <f t="shared" si="150"/>
        <v>17507.875</v>
      </c>
      <c r="AJ350" s="5">
        <v>0.18</v>
      </c>
      <c r="AK350" s="11">
        <f t="shared" si="151"/>
        <v>3151.4175</v>
      </c>
      <c r="AL350" s="9">
        <f t="shared" si="152"/>
        <v>20659.2925</v>
      </c>
      <c r="AP350" s="12"/>
    </row>
    <row r="351" spans="1:42" x14ac:dyDescent="0.35">
      <c r="A351" s="71">
        <v>46202</v>
      </c>
      <c r="B351" s="72" t="s">
        <v>67</v>
      </c>
      <c r="C351" s="74">
        <v>1176.7759999954201</v>
      </c>
      <c r="D351" s="74">
        <v>40948.753804686399</v>
      </c>
      <c r="E351" s="62" t="s">
        <v>68</v>
      </c>
      <c r="F351" s="19" t="s">
        <v>208</v>
      </c>
      <c r="G351" s="19" t="s">
        <v>328</v>
      </c>
      <c r="H351" s="19" t="s">
        <v>212</v>
      </c>
      <c r="I351" s="6" t="s">
        <v>507</v>
      </c>
      <c r="J351" s="55"/>
      <c r="K351" s="18">
        <v>80</v>
      </c>
      <c r="L351" s="18">
        <v>80</v>
      </c>
      <c r="M351" s="20"/>
      <c r="N351" s="8">
        <f t="shared" si="145"/>
        <v>160</v>
      </c>
      <c r="O351" s="18">
        <v>80</v>
      </c>
      <c r="P351" s="18">
        <v>80</v>
      </c>
      <c r="Q351" s="18">
        <v>80</v>
      </c>
      <c r="R351" s="8">
        <f t="shared" si="144"/>
        <v>240</v>
      </c>
      <c r="S351" s="18">
        <f t="shared" si="136"/>
        <v>400</v>
      </c>
      <c r="T351" s="18">
        <f t="shared" si="137"/>
        <v>8</v>
      </c>
      <c r="U351" s="18">
        <f t="shared" si="138"/>
        <v>8</v>
      </c>
      <c r="V351" s="18">
        <f t="shared" si="139"/>
        <v>0</v>
      </c>
      <c r="W351" s="8">
        <f t="shared" si="146"/>
        <v>16</v>
      </c>
      <c r="X351" s="18">
        <f t="shared" si="140"/>
        <v>8</v>
      </c>
      <c r="Y351" s="18">
        <f t="shared" si="141"/>
        <v>8</v>
      </c>
      <c r="Z351" s="18">
        <f t="shared" si="142"/>
        <v>8</v>
      </c>
      <c r="AA351" s="8">
        <f t="shared" si="147"/>
        <v>24</v>
      </c>
      <c r="AB351" s="8">
        <v>39.270000000000003</v>
      </c>
      <c r="AC351" s="8">
        <v>52.462499999999999</v>
      </c>
      <c r="AD351" s="8">
        <v>72.64</v>
      </c>
      <c r="AE351" s="9">
        <f t="shared" si="148"/>
        <v>37450</v>
      </c>
      <c r="AF351" s="21">
        <v>6.5000000000000002E-2</v>
      </c>
      <c r="AG351" s="10">
        <f t="shared" si="143"/>
        <v>2434.25</v>
      </c>
      <c r="AH351" s="64">
        <f t="shared" si="149"/>
        <v>0</v>
      </c>
      <c r="AI351" s="9">
        <f t="shared" si="150"/>
        <v>35015.75</v>
      </c>
      <c r="AJ351" s="5">
        <v>0.18</v>
      </c>
      <c r="AK351" s="11">
        <f t="shared" si="151"/>
        <v>6302.835</v>
      </c>
      <c r="AL351" s="9">
        <f t="shared" si="152"/>
        <v>41318.584999999999</v>
      </c>
      <c r="AP351" s="12"/>
    </row>
    <row r="352" spans="1:42" x14ac:dyDescent="0.35">
      <c r="A352" s="71">
        <v>46202</v>
      </c>
      <c r="B352" s="72" t="s">
        <v>67</v>
      </c>
      <c r="C352" s="74">
        <v>1176.7759999954201</v>
      </c>
      <c r="D352" s="74">
        <v>40948.753804686399</v>
      </c>
      <c r="E352" s="62" t="s">
        <v>68</v>
      </c>
      <c r="F352" s="19" t="s">
        <v>208</v>
      </c>
      <c r="G352" s="19" t="s">
        <v>328</v>
      </c>
      <c r="H352" s="19" t="s">
        <v>212</v>
      </c>
      <c r="I352" s="6" t="s">
        <v>508</v>
      </c>
      <c r="J352" s="55"/>
      <c r="K352" s="20"/>
      <c r="L352" s="20"/>
      <c r="M352" s="20"/>
      <c r="N352" s="8">
        <f t="shared" si="145"/>
        <v>0</v>
      </c>
      <c r="O352" s="18"/>
      <c r="P352" s="20"/>
      <c r="Q352" s="20"/>
      <c r="R352" s="8">
        <f t="shared" si="144"/>
        <v>0</v>
      </c>
      <c r="S352" s="18">
        <f t="shared" si="136"/>
        <v>0</v>
      </c>
      <c r="T352" s="18">
        <f t="shared" si="137"/>
        <v>0</v>
      </c>
      <c r="U352" s="18">
        <f t="shared" si="138"/>
        <v>0</v>
      </c>
      <c r="V352" s="18">
        <f t="shared" si="139"/>
        <v>0</v>
      </c>
      <c r="W352" s="8">
        <f t="shared" si="146"/>
        <v>0</v>
      </c>
      <c r="X352" s="18">
        <f t="shared" si="140"/>
        <v>0</v>
      </c>
      <c r="Y352" s="18">
        <f t="shared" si="141"/>
        <v>0</v>
      </c>
      <c r="Z352" s="18">
        <f t="shared" si="142"/>
        <v>0</v>
      </c>
      <c r="AA352" s="8">
        <f t="shared" si="147"/>
        <v>0</v>
      </c>
      <c r="AB352" s="8">
        <v>39.270000000000003</v>
      </c>
      <c r="AC352" s="8">
        <v>52.462499999999999</v>
      </c>
      <c r="AD352" s="8">
        <v>72.64</v>
      </c>
      <c r="AE352" s="9">
        <f t="shared" si="148"/>
        <v>0</v>
      </c>
      <c r="AF352" s="21">
        <v>6.5000000000000002E-2</v>
      </c>
      <c r="AG352" s="10">
        <f t="shared" si="143"/>
        <v>0</v>
      </c>
      <c r="AH352" s="64">
        <f t="shared" si="149"/>
        <v>0</v>
      </c>
      <c r="AI352" s="9">
        <f t="shared" si="150"/>
        <v>0</v>
      </c>
      <c r="AJ352" s="5">
        <v>0.18</v>
      </c>
      <c r="AK352" s="11">
        <f t="shared" si="151"/>
        <v>0</v>
      </c>
      <c r="AL352" s="9">
        <f t="shared" si="152"/>
        <v>0</v>
      </c>
      <c r="AP352" s="12"/>
    </row>
    <row r="353" spans="1:42" x14ac:dyDescent="0.35">
      <c r="A353" s="71">
        <v>46202</v>
      </c>
      <c r="B353" s="72" t="s">
        <v>67</v>
      </c>
      <c r="C353" s="74">
        <v>1176.7759999954201</v>
      </c>
      <c r="D353" s="74">
        <v>40948.753804686399</v>
      </c>
      <c r="E353" s="62" t="s">
        <v>68</v>
      </c>
      <c r="F353" s="19" t="s">
        <v>208</v>
      </c>
      <c r="G353" s="19" t="s">
        <v>328</v>
      </c>
      <c r="H353" s="19" t="s">
        <v>212</v>
      </c>
      <c r="I353" s="6" t="s">
        <v>509</v>
      </c>
      <c r="J353" s="55"/>
      <c r="K353" s="20">
        <v>40</v>
      </c>
      <c r="L353" s="18">
        <v>40</v>
      </c>
      <c r="M353" s="20"/>
      <c r="N353" s="8">
        <f t="shared" si="145"/>
        <v>80</v>
      </c>
      <c r="O353" s="20">
        <v>40</v>
      </c>
      <c r="P353" s="20">
        <v>40</v>
      </c>
      <c r="Q353" s="18">
        <v>40</v>
      </c>
      <c r="R353" s="8">
        <f t="shared" si="144"/>
        <v>120</v>
      </c>
      <c r="S353" s="18">
        <f t="shared" si="136"/>
        <v>200</v>
      </c>
      <c r="T353" s="18">
        <f t="shared" si="137"/>
        <v>4</v>
      </c>
      <c r="U353" s="18">
        <f t="shared" si="138"/>
        <v>4</v>
      </c>
      <c r="V353" s="18">
        <f t="shared" si="139"/>
        <v>0</v>
      </c>
      <c r="W353" s="8">
        <f t="shared" si="146"/>
        <v>8</v>
      </c>
      <c r="X353" s="18">
        <f t="shared" si="140"/>
        <v>4</v>
      </c>
      <c r="Y353" s="18">
        <f t="shared" si="141"/>
        <v>4</v>
      </c>
      <c r="Z353" s="18">
        <f t="shared" si="142"/>
        <v>4</v>
      </c>
      <c r="AA353" s="8">
        <f t="shared" si="147"/>
        <v>12</v>
      </c>
      <c r="AB353" s="8">
        <v>39.270000000000003</v>
      </c>
      <c r="AC353" s="8">
        <v>52.462499999999999</v>
      </c>
      <c r="AD353" s="8">
        <v>72.64</v>
      </c>
      <c r="AE353" s="9">
        <f t="shared" si="148"/>
        <v>18725</v>
      </c>
      <c r="AF353" s="21">
        <v>6.5000000000000002E-2</v>
      </c>
      <c r="AG353" s="10">
        <f t="shared" si="143"/>
        <v>1217.125</v>
      </c>
      <c r="AH353" s="64">
        <f t="shared" si="149"/>
        <v>0</v>
      </c>
      <c r="AI353" s="9">
        <f t="shared" si="150"/>
        <v>17507.875</v>
      </c>
      <c r="AJ353" s="5">
        <v>0.18</v>
      </c>
      <c r="AK353" s="11">
        <f t="shared" si="151"/>
        <v>3151.4175</v>
      </c>
      <c r="AL353" s="9">
        <f t="shared" si="152"/>
        <v>20659.2925</v>
      </c>
      <c r="AP353" s="12"/>
    </row>
    <row r="354" spans="1:42" x14ac:dyDescent="0.35">
      <c r="A354" s="71">
        <v>46202</v>
      </c>
      <c r="B354" s="72" t="s">
        <v>67</v>
      </c>
      <c r="C354" s="74">
        <v>1176.7759999954201</v>
      </c>
      <c r="D354" s="74">
        <v>40948.753804686399</v>
      </c>
      <c r="E354" s="62" t="s">
        <v>68</v>
      </c>
      <c r="F354" s="19" t="s">
        <v>208</v>
      </c>
      <c r="G354" s="19" t="s">
        <v>328</v>
      </c>
      <c r="H354" s="19" t="s">
        <v>212</v>
      </c>
      <c r="I354" s="6" t="s">
        <v>510</v>
      </c>
      <c r="J354" s="55"/>
      <c r="K354" s="18">
        <v>80</v>
      </c>
      <c r="L354" s="18">
        <v>80</v>
      </c>
      <c r="M354" s="20"/>
      <c r="N354" s="8">
        <f t="shared" si="145"/>
        <v>160</v>
      </c>
      <c r="O354" s="18">
        <v>80</v>
      </c>
      <c r="P354" s="18">
        <v>80</v>
      </c>
      <c r="Q354" s="18">
        <v>80</v>
      </c>
      <c r="R354" s="8">
        <f t="shared" si="144"/>
        <v>240</v>
      </c>
      <c r="S354" s="18">
        <f t="shared" si="136"/>
        <v>400</v>
      </c>
      <c r="T354" s="18">
        <f t="shared" si="137"/>
        <v>8</v>
      </c>
      <c r="U354" s="18">
        <f t="shared" si="138"/>
        <v>8</v>
      </c>
      <c r="V354" s="18">
        <f t="shared" si="139"/>
        <v>0</v>
      </c>
      <c r="W354" s="8">
        <f t="shared" si="146"/>
        <v>16</v>
      </c>
      <c r="X354" s="18">
        <f t="shared" si="140"/>
        <v>8</v>
      </c>
      <c r="Y354" s="18">
        <f t="shared" si="141"/>
        <v>8</v>
      </c>
      <c r="Z354" s="18">
        <f t="shared" si="142"/>
        <v>8</v>
      </c>
      <c r="AA354" s="8">
        <f t="shared" si="147"/>
        <v>24</v>
      </c>
      <c r="AB354" s="8">
        <v>39.270000000000003</v>
      </c>
      <c r="AC354" s="8">
        <v>52.462499999999999</v>
      </c>
      <c r="AD354" s="8">
        <v>72.64</v>
      </c>
      <c r="AE354" s="9">
        <f t="shared" si="148"/>
        <v>37450</v>
      </c>
      <c r="AF354" s="21">
        <v>6.5000000000000002E-2</v>
      </c>
      <c r="AG354" s="10">
        <f t="shared" si="143"/>
        <v>2434.25</v>
      </c>
      <c r="AH354" s="64">
        <f t="shared" si="149"/>
        <v>0</v>
      </c>
      <c r="AI354" s="9">
        <f t="shared" si="150"/>
        <v>35015.75</v>
      </c>
      <c r="AJ354" s="5">
        <v>0.18</v>
      </c>
      <c r="AK354" s="11">
        <f t="shared" si="151"/>
        <v>6302.835</v>
      </c>
      <c r="AL354" s="9">
        <f t="shared" si="152"/>
        <v>41318.584999999999</v>
      </c>
      <c r="AP354" s="12"/>
    </row>
    <row r="355" spans="1:42" x14ac:dyDescent="0.35">
      <c r="A355" s="71">
        <v>46202</v>
      </c>
      <c r="B355" s="72" t="s">
        <v>67</v>
      </c>
      <c r="C355" s="74">
        <v>1176.7759999954201</v>
      </c>
      <c r="D355" s="74">
        <v>40948.753804686399</v>
      </c>
      <c r="E355" s="62" t="s">
        <v>68</v>
      </c>
      <c r="F355" s="19" t="s">
        <v>208</v>
      </c>
      <c r="G355" s="19" t="s">
        <v>328</v>
      </c>
      <c r="H355" s="19" t="s">
        <v>212</v>
      </c>
      <c r="I355" s="6" t="s">
        <v>511</v>
      </c>
      <c r="J355" s="55"/>
      <c r="K355" s="20">
        <v>40</v>
      </c>
      <c r="L355" s="18">
        <v>40</v>
      </c>
      <c r="M355" s="20"/>
      <c r="N355" s="8">
        <f t="shared" si="145"/>
        <v>80</v>
      </c>
      <c r="O355" s="20">
        <v>40</v>
      </c>
      <c r="P355" s="20">
        <v>40</v>
      </c>
      <c r="Q355" s="20">
        <v>40</v>
      </c>
      <c r="R355" s="8">
        <f t="shared" si="144"/>
        <v>120</v>
      </c>
      <c r="S355" s="18">
        <f t="shared" ref="S355:S398" si="153">J355+K355+L355+M355+O355+P355+Q355</f>
        <v>200</v>
      </c>
      <c r="T355" s="18">
        <f t="shared" si="137"/>
        <v>4</v>
      </c>
      <c r="U355" s="18">
        <f t="shared" si="138"/>
        <v>4</v>
      </c>
      <c r="V355" s="18">
        <f t="shared" si="139"/>
        <v>0</v>
      </c>
      <c r="W355" s="8">
        <f t="shared" si="146"/>
        <v>8</v>
      </c>
      <c r="X355" s="18">
        <f t="shared" si="140"/>
        <v>4</v>
      </c>
      <c r="Y355" s="18">
        <f t="shared" si="141"/>
        <v>4</v>
      </c>
      <c r="Z355" s="18">
        <f t="shared" si="142"/>
        <v>4</v>
      </c>
      <c r="AA355" s="8">
        <f t="shared" si="147"/>
        <v>12</v>
      </c>
      <c r="AB355" s="8">
        <v>39.270000000000003</v>
      </c>
      <c r="AC355" s="8">
        <v>52.462499999999999</v>
      </c>
      <c r="AD355" s="8">
        <v>72.64</v>
      </c>
      <c r="AE355" s="9">
        <f t="shared" si="148"/>
        <v>18725</v>
      </c>
      <c r="AF355" s="21">
        <v>6.5000000000000002E-2</v>
      </c>
      <c r="AG355" s="10">
        <f t="shared" si="143"/>
        <v>1217.125</v>
      </c>
      <c r="AH355" s="64">
        <f t="shared" si="149"/>
        <v>0</v>
      </c>
      <c r="AI355" s="9">
        <f t="shared" si="150"/>
        <v>17507.875</v>
      </c>
      <c r="AJ355" s="5">
        <v>0.18</v>
      </c>
      <c r="AK355" s="11">
        <f t="shared" si="151"/>
        <v>3151.4175</v>
      </c>
      <c r="AL355" s="9">
        <f t="shared" si="152"/>
        <v>20659.2925</v>
      </c>
      <c r="AP355" s="12"/>
    </row>
    <row r="356" spans="1:42" x14ac:dyDescent="0.35">
      <c r="A356" s="71">
        <v>46202</v>
      </c>
      <c r="B356" s="72" t="s">
        <v>67</v>
      </c>
      <c r="C356" s="74">
        <v>1176.7759999954201</v>
      </c>
      <c r="D356" s="74">
        <v>40948.753804686399</v>
      </c>
      <c r="E356" s="62" t="s">
        <v>68</v>
      </c>
      <c r="F356" s="19" t="s">
        <v>208</v>
      </c>
      <c r="G356" s="19" t="s">
        <v>328</v>
      </c>
      <c r="H356" s="19" t="s">
        <v>212</v>
      </c>
      <c r="I356" s="6" t="s">
        <v>512</v>
      </c>
      <c r="J356" s="55"/>
      <c r="K356" s="18">
        <v>40</v>
      </c>
      <c r="L356" s="18">
        <v>40</v>
      </c>
      <c r="M356" s="20"/>
      <c r="N356" s="8">
        <f t="shared" si="145"/>
        <v>80</v>
      </c>
      <c r="O356" s="18">
        <v>40</v>
      </c>
      <c r="P356" s="18">
        <v>40</v>
      </c>
      <c r="Q356" s="18">
        <v>40</v>
      </c>
      <c r="R356" s="8">
        <f t="shared" si="144"/>
        <v>120</v>
      </c>
      <c r="S356" s="18">
        <f t="shared" si="153"/>
        <v>200</v>
      </c>
      <c r="T356" s="18">
        <f t="shared" si="137"/>
        <v>4</v>
      </c>
      <c r="U356" s="18">
        <f t="shared" si="138"/>
        <v>4</v>
      </c>
      <c r="V356" s="18">
        <f t="shared" si="139"/>
        <v>0</v>
      </c>
      <c r="W356" s="8">
        <f t="shared" si="146"/>
        <v>8</v>
      </c>
      <c r="X356" s="18">
        <f t="shared" si="140"/>
        <v>4</v>
      </c>
      <c r="Y356" s="18">
        <f t="shared" si="141"/>
        <v>4</v>
      </c>
      <c r="Z356" s="18">
        <f t="shared" si="142"/>
        <v>4</v>
      </c>
      <c r="AA356" s="8">
        <f t="shared" si="147"/>
        <v>12</v>
      </c>
      <c r="AB356" s="8">
        <v>39.270000000000003</v>
      </c>
      <c r="AC356" s="8">
        <v>52.462499999999999</v>
      </c>
      <c r="AD356" s="8">
        <v>72.64</v>
      </c>
      <c r="AE356" s="9">
        <f t="shared" si="148"/>
        <v>18725</v>
      </c>
      <c r="AF356" s="21">
        <v>6.5000000000000002E-2</v>
      </c>
      <c r="AG356" s="10">
        <f t="shared" si="143"/>
        <v>1217.125</v>
      </c>
      <c r="AH356" s="64">
        <f t="shared" si="149"/>
        <v>0</v>
      </c>
      <c r="AI356" s="9">
        <f t="shared" si="150"/>
        <v>17507.875</v>
      </c>
      <c r="AJ356" s="5">
        <v>0.18</v>
      </c>
      <c r="AK356" s="11">
        <f t="shared" si="151"/>
        <v>3151.4175</v>
      </c>
      <c r="AL356" s="9">
        <f t="shared" si="152"/>
        <v>20659.2925</v>
      </c>
      <c r="AP356" s="12"/>
    </row>
    <row r="357" spans="1:42" x14ac:dyDescent="0.35">
      <c r="A357" s="71">
        <v>46202</v>
      </c>
      <c r="B357" s="72" t="s">
        <v>67</v>
      </c>
      <c r="C357" s="74">
        <v>1176.7759999954201</v>
      </c>
      <c r="D357" s="74">
        <v>40948.753804686399</v>
      </c>
      <c r="E357" s="62" t="s">
        <v>68</v>
      </c>
      <c r="F357" s="19" t="s">
        <v>208</v>
      </c>
      <c r="G357" s="19" t="s">
        <v>328</v>
      </c>
      <c r="H357" s="19" t="s">
        <v>212</v>
      </c>
      <c r="I357" s="6" t="s">
        <v>513</v>
      </c>
      <c r="J357" s="55"/>
      <c r="K357" s="20">
        <v>40</v>
      </c>
      <c r="L357" s="20">
        <v>40</v>
      </c>
      <c r="M357" s="20"/>
      <c r="N357" s="8">
        <f t="shared" si="145"/>
        <v>80</v>
      </c>
      <c r="O357" s="20">
        <v>40</v>
      </c>
      <c r="P357" s="18">
        <v>40</v>
      </c>
      <c r="Q357" s="18">
        <v>40</v>
      </c>
      <c r="R357" s="8">
        <f t="shared" si="144"/>
        <v>120</v>
      </c>
      <c r="S357" s="18">
        <f t="shared" si="153"/>
        <v>200</v>
      </c>
      <c r="T357" s="18">
        <f t="shared" si="137"/>
        <v>4</v>
      </c>
      <c r="U357" s="18">
        <f t="shared" si="138"/>
        <v>4</v>
      </c>
      <c r="V357" s="18">
        <f t="shared" si="139"/>
        <v>0</v>
      </c>
      <c r="W357" s="8">
        <f t="shared" si="146"/>
        <v>8</v>
      </c>
      <c r="X357" s="18">
        <f t="shared" si="140"/>
        <v>4</v>
      </c>
      <c r="Y357" s="18">
        <f t="shared" si="141"/>
        <v>4</v>
      </c>
      <c r="Z357" s="18">
        <f t="shared" si="142"/>
        <v>4</v>
      </c>
      <c r="AA357" s="8">
        <f t="shared" si="147"/>
        <v>12</v>
      </c>
      <c r="AB357" s="8">
        <v>39.270000000000003</v>
      </c>
      <c r="AC357" s="8">
        <v>52.462499999999999</v>
      </c>
      <c r="AD357" s="8">
        <v>72.64</v>
      </c>
      <c r="AE357" s="9">
        <f t="shared" si="148"/>
        <v>18725</v>
      </c>
      <c r="AF357" s="21">
        <v>6.5000000000000002E-2</v>
      </c>
      <c r="AG357" s="10">
        <f t="shared" si="143"/>
        <v>1217.125</v>
      </c>
      <c r="AH357" s="64">
        <f t="shared" si="149"/>
        <v>0</v>
      </c>
      <c r="AI357" s="9">
        <f t="shared" si="150"/>
        <v>17507.875</v>
      </c>
      <c r="AJ357" s="5">
        <v>0.18</v>
      </c>
      <c r="AK357" s="11">
        <f t="shared" si="151"/>
        <v>3151.4175</v>
      </c>
      <c r="AL357" s="9">
        <f t="shared" si="152"/>
        <v>20659.2925</v>
      </c>
      <c r="AP357" s="12"/>
    </row>
    <row r="358" spans="1:42" x14ac:dyDescent="0.35">
      <c r="A358" s="71">
        <v>46202</v>
      </c>
      <c r="B358" s="72" t="s">
        <v>67</v>
      </c>
      <c r="C358" s="74">
        <v>1176.7759999954201</v>
      </c>
      <c r="D358" s="74">
        <v>40948.753804686399</v>
      </c>
      <c r="E358" s="62" t="s">
        <v>68</v>
      </c>
      <c r="F358" s="19" t="s">
        <v>208</v>
      </c>
      <c r="G358" s="19" t="s">
        <v>328</v>
      </c>
      <c r="H358" s="19" t="s">
        <v>212</v>
      </c>
      <c r="I358" s="6" t="s">
        <v>514</v>
      </c>
      <c r="J358" s="55"/>
      <c r="K358" s="20">
        <v>40</v>
      </c>
      <c r="L358" s="20">
        <v>40</v>
      </c>
      <c r="M358" s="20"/>
      <c r="N358" s="8">
        <f t="shared" si="145"/>
        <v>80</v>
      </c>
      <c r="O358" s="20">
        <v>40</v>
      </c>
      <c r="P358" s="20">
        <v>40</v>
      </c>
      <c r="Q358" s="18">
        <v>40</v>
      </c>
      <c r="R358" s="8">
        <f t="shared" si="144"/>
        <v>120</v>
      </c>
      <c r="S358" s="18">
        <f t="shared" si="153"/>
        <v>200</v>
      </c>
      <c r="T358" s="18">
        <f t="shared" si="137"/>
        <v>4</v>
      </c>
      <c r="U358" s="18">
        <f t="shared" si="138"/>
        <v>4</v>
      </c>
      <c r="V358" s="18">
        <f t="shared" si="139"/>
        <v>0</v>
      </c>
      <c r="W358" s="8">
        <f t="shared" si="146"/>
        <v>8</v>
      </c>
      <c r="X358" s="18">
        <f t="shared" si="140"/>
        <v>4</v>
      </c>
      <c r="Y358" s="18">
        <f t="shared" si="141"/>
        <v>4</v>
      </c>
      <c r="Z358" s="18">
        <f t="shared" si="142"/>
        <v>4</v>
      </c>
      <c r="AA358" s="8">
        <f t="shared" si="147"/>
        <v>12</v>
      </c>
      <c r="AB358" s="8">
        <v>39.270000000000003</v>
      </c>
      <c r="AC358" s="8">
        <v>52.462499999999999</v>
      </c>
      <c r="AD358" s="8">
        <v>72.64</v>
      </c>
      <c r="AE358" s="9">
        <f t="shared" si="148"/>
        <v>18725</v>
      </c>
      <c r="AF358" s="21">
        <v>6.5000000000000002E-2</v>
      </c>
      <c r="AG358" s="10">
        <f t="shared" si="143"/>
        <v>1217.125</v>
      </c>
      <c r="AH358" s="64">
        <f t="shared" si="149"/>
        <v>0</v>
      </c>
      <c r="AI358" s="9">
        <f t="shared" si="150"/>
        <v>17507.875</v>
      </c>
      <c r="AJ358" s="5">
        <v>0.18</v>
      </c>
      <c r="AK358" s="11">
        <f t="shared" si="151"/>
        <v>3151.4175</v>
      </c>
      <c r="AL358" s="9">
        <f t="shared" si="152"/>
        <v>20659.2925</v>
      </c>
      <c r="AP358" s="12"/>
    </row>
    <row r="359" spans="1:42" x14ac:dyDescent="0.35">
      <c r="A359" s="71">
        <v>46202</v>
      </c>
      <c r="B359" s="72" t="s">
        <v>67</v>
      </c>
      <c r="C359" s="74">
        <v>1176.7759999954201</v>
      </c>
      <c r="D359" s="74">
        <v>40948.753804686399</v>
      </c>
      <c r="E359" s="62" t="s">
        <v>68</v>
      </c>
      <c r="F359" s="19" t="s">
        <v>208</v>
      </c>
      <c r="G359" s="19" t="s">
        <v>328</v>
      </c>
      <c r="H359" s="19" t="s">
        <v>212</v>
      </c>
      <c r="I359" s="6" t="s">
        <v>515</v>
      </c>
      <c r="J359" s="55"/>
      <c r="K359" s="20">
        <v>40</v>
      </c>
      <c r="L359" s="20">
        <v>40</v>
      </c>
      <c r="M359" s="20"/>
      <c r="N359" s="8">
        <f t="shared" si="145"/>
        <v>80</v>
      </c>
      <c r="O359" s="20">
        <v>40</v>
      </c>
      <c r="P359" s="18">
        <v>40</v>
      </c>
      <c r="Q359" s="20">
        <v>40</v>
      </c>
      <c r="R359" s="8">
        <f t="shared" si="144"/>
        <v>120</v>
      </c>
      <c r="S359" s="18">
        <f t="shared" si="153"/>
        <v>200</v>
      </c>
      <c r="T359" s="18">
        <f t="shared" si="137"/>
        <v>4</v>
      </c>
      <c r="U359" s="18">
        <f t="shared" si="138"/>
        <v>4</v>
      </c>
      <c r="V359" s="18">
        <f t="shared" si="139"/>
        <v>0</v>
      </c>
      <c r="W359" s="8">
        <f t="shared" si="146"/>
        <v>8</v>
      </c>
      <c r="X359" s="18">
        <f t="shared" si="140"/>
        <v>4</v>
      </c>
      <c r="Y359" s="18">
        <f t="shared" si="141"/>
        <v>4</v>
      </c>
      <c r="Z359" s="18">
        <f t="shared" si="142"/>
        <v>4</v>
      </c>
      <c r="AA359" s="8">
        <f t="shared" si="147"/>
        <v>12</v>
      </c>
      <c r="AB359" s="8">
        <v>39.270000000000003</v>
      </c>
      <c r="AC359" s="8">
        <v>52.462499999999999</v>
      </c>
      <c r="AD359" s="8">
        <v>72.64</v>
      </c>
      <c r="AE359" s="9">
        <f t="shared" si="148"/>
        <v>18725</v>
      </c>
      <c r="AF359" s="21">
        <v>6.5000000000000002E-2</v>
      </c>
      <c r="AG359" s="10">
        <f t="shared" si="143"/>
        <v>1217.125</v>
      </c>
      <c r="AH359" s="64">
        <f t="shared" si="149"/>
        <v>0</v>
      </c>
      <c r="AI359" s="9">
        <f t="shared" si="150"/>
        <v>17507.875</v>
      </c>
      <c r="AJ359" s="5">
        <v>0.18</v>
      </c>
      <c r="AK359" s="11">
        <f t="shared" si="151"/>
        <v>3151.4175</v>
      </c>
      <c r="AL359" s="9">
        <f t="shared" si="152"/>
        <v>20659.2925</v>
      </c>
      <c r="AP359" s="12"/>
    </row>
    <row r="360" spans="1:42" x14ac:dyDescent="0.35">
      <c r="A360" s="71">
        <v>46202</v>
      </c>
      <c r="B360" s="72" t="s">
        <v>67</v>
      </c>
      <c r="C360" s="74">
        <v>1176.7759999954201</v>
      </c>
      <c r="D360" s="74">
        <v>40948.753804686399</v>
      </c>
      <c r="E360" s="62" t="s">
        <v>68</v>
      </c>
      <c r="F360" s="19" t="s">
        <v>208</v>
      </c>
      <c r="G360" s="19" t="s">
        <v>328</v>
      </c>
      <c r="H360" s="19" t="s">
        <v>212</v>
      </c>
      <c r="I360" s="6" t="s">
        <v>516</v>
      </c>
      <c r="J360" s="55"/>
      <c r="K360" s="18">
        <v>40</v>
      </c>
      <c r="L360" s="18">
        <v>40</v>
      </c>
      <c r="M360" s="20"/>
      <c r="N360" s="8">
        <f t="shared" si="145"/>
        <v>80</v>
      </c>
      <c r="O360" s="18">
        <v>40</v>
      </c>
      <c r="P360" s="18">
        <v>40</v>
      </c>
      <c r="Q360" s="20">
        <v>40</v>
      </c>
      <c r="R360" s="8">
        <f t="shared" si="144"/>
        <v>120</v>
      </c>
      <c r="S360" s="18">
        <f t="shared" si="153"/>
        <v>200</v>
      </c>
      <c r="T360" s="18">
        <f t="shared" si="137"/>
        <v>4</v>
      </c>
      <c r="U360" s="18">
        <f t="shared" si="138"/>
        <v>4</v>
      </c>
      <c r="V360" s="18">
        <f t="shared" si="139"/>
        <v>0</v>
      </c>
      <c r="W360" s="8">
        <f t="shared" si="146"/>
        <v>8</v>
      </c>
      <c r="X360" s="18">
        <f t="shared" si="140"/>
        <v>4</v>
      </c>
      <c r="Y360" s="18">
        <f t="shared" si="141"/>
        <v>4</v>
      </c>
      <c r="Z360" s="18">
        <f t="shared" si="142"/>
        <v>4</v>
      </c>
      <c r="AA360" s="8">
        <f t="shared" si="147"/>
        <v>12</v>
      </c>
      <c r="AB360" s="8">
        <v>39.270000000000003</v>
      </c>
      <c r="AC360" s="8">
        <v>52.462499999999999</v>
      </c>
      <c r="AD360" s="8">
        <v>72.64</v>
      </c>
      <c r="AE360" s="9">
        <f t="shared" si="148"/>
        <v>18725</v>
      </c>
      <c r="AF360" s="21">
        <v>6.5000000000000002E-2</v>
      </c>
      <c r="AG360" s="10">
        <f t="shared" si="143"/>
        <v>1217.125</v>
      </c>
      <c r="AH360" s="64">
        <f t="shared" si="149"/>
        <v>0</v>
      </c>
      <c r="AI360" s="9">
        <f t="shared" si="150"/>
        <v>17507.875</v>
      </c>
      <c r="AJ360" s="5">
        <v>0.18</v>
      </c>
      <c r="AK360" s="11">
        <f t="shared" si="151"/>
        <v>3151.4175</v>
      </c>
      <c r="AL360" s="9">
        <f t="shared" si="152"/>
        <v>20659.2925</v>
      </c>
      <c r="AP360" s="12"/>
    </row>
    <row r="361" spans="1:42" x14ac:dyDescent="0.35">
      <c r="A361" s="71">
        <v>46202</v>
      </c>
      <c r="B361" s="72" t="s">
        <v>67</v>
      </c>
      <c r="C361" s="74">
        <v>1176.7759999954201</v>
      </c>
      <c r="D361" s="74">
        <v>40948.753804686399</v>
      </c>
      <c r="E361" s="62" t="s">
        <v>68</v>
      </c>
      <c r="F361" s="19" t="s">
        <v>208</v>
      </c>
      <c r="G361" s="19" t="s">
        <v>328</v>
      </c>
      <c r="H361" s="19" t="s">
        <v>212</v>
      </c>
      <c r="I361" s="6" t="s">
        <v>517</v>
      </c>
      <c r="J361" s="55"/>
      <c r="K361" s="18">
        <v>80</v>
      </c>
      <c r="L361" s="18">
        <v>80</v>
      </c>
      <c r="M361" s="20"/>
      <c r="N361" s="8">
        <f t="shared" si="145"/>
        <v>160</v>
      </c>
      <c r="O361" s="20">
        <v>80</v>
      </c>
      <c r="P361" s="20">
        <v>80</v>
      </c>
      <c r="Q361" s="20">
        <v>80</v>
      </c>
      <c r="R361" s="8">
        <f t="shared" si="144"/>
        <v>240</v>
      </c>
      <c r="S361" s="18">
        <f t="shared" si="153"/>
        <v>400</v>
      </c>
      <c r="T361" s="18">
        <f t="shared" si="137"/>
        <v>8</v>
      </c>
      <c r="U361" s="18">
        <f t="shared" si="138"/>
        <v>8</v>
      </c>
      <c r="V361" s="18">
        <f t="shared" si="139"/>
        <v>0</v>
      </c>
      <c r="W361" s="8">
        <f t="shared" si="146"/>
        <v>16</v>
      </c>
      <c r="X361" s="18">
        <f t="shared" si="140"/>
        <v>8</v>
      </c>
      <c r="Y361" s="18">
        <f t="shared" si="141"/>
        <v>8</v>
      </c>
      <c r="Z361" s="18">
        <f t="shared" si="142"/>
        <v>8</v>
      </c>
      <c r="AA361" s="8">
        <f t="shared" si="147"/>
        <v>24</v>
      </c>
      <c r="AB361" s="8">
        <v>39.270000000000003</v>
      </c>
      <c r="AC361" s="8">
        <v>52.462499999999999</v>
      </c>
      <c r="AD361" s="8">
        <v>72.64</v>
      </c>
      <c r="AE361" s="9">
        <f t="shared" si="148"/>
        <v>37450</v>
      </c>
      <c r="AF361" s="21">
        <v>6.5000000000000002E-2</v>
      </c>
      <c r="AG361" s="10">
        <f t="shared" si="143"/>
        <v>2434.25</v>
      </c>
      <c r="AH361" s="64">
        <f t="shared" si="149"/>
        <v>0</v>
      </c>
      <c r="AI361" s="9">
        <f t="shared" si="150"/>
        <v>35015.75</v>
      </c>
      <c r="AJ361" s="5">
        <v>0.18</v>
      </c>
      <c r="AK361" s="11">
        <f t="shared" si="151"/>
        <v>6302.835</v>
      </c>
      <c r="AL361" s="9">
        <f t="shared" si="152"/>
        <v>41318.584999999999</v>
      </c>
      <c r="AP361" s="12"/>
    </row>
    <row r="362" spans="1:42" x14ac:dyDescent="0.35">
      <c r="A362" s="71">
        <v>46202</v>
      </c>
      <c r="B362" s="72" t="s">
        <v>67</v>
      </c>
      <c r="C362" s="74">
        <v>1176.7759999954201</v>
      </c>
      <c r="D362" s="74">
        <v>40948.753804686399</v>
      </c>
      <c r="E362" s="62" t="s">
        <v>68</v>
      </c>
      <c r="F362" s="19" t="s">
        <v>208</v>
      </c>
      <c r="G362" s="19" t="s">
        <v>221</v>
      </c>
      <c r="H362" s="19" t="s">
        <v>212</v>
      </c>
      <c r="I362" s="6" t="s">
        <v>224</v>
      </c>
      <c r="J362" s="55"/>
      <c r="K362" s="20">
        <v>160</v>
      </c>
      <c r="L362" s="20">
        <v>280</v>
      </c>
      <c r="M362" s="20"/>
      <c r="N362" s="8">
        <f t="shared" si="145"/>
        <v>440</v>
      </c>
      <c r="O362" s="18">
        <v>280</v>
      </c>
      <c r="P362" s="20">
        <v>280</v>
      </c>
      <c r="Q362" s="20">
        <v>520</v>
      </c>
      <c r="R362" s="8">
        <f t="shared" si="144"/>
        <v>1080</v>
      </c>
      <c r="S362" s="18">
        <f t="shared" si="153"/>
        <v>1520</v>
      </c>
      <c r="T362" s="18">
        <f t="shared" si="137"/>
        <v>16</v>
      </c>
      <c r="U362" s="18">
        <f t="shared" si="138"/>
        <v>28</v>
      </c>
      <c r="V362" s="18">
        <f t="shared" si="139"/>
        <v>0</v>
      </c>
      <c r="W362" s="8">
        <f t="shared" si="146"/>
        <v>44</v>
      </c>
      <c r="X362" s="18">
        <f t="shared" si="140"/>
        <v>28</v>
      </c>
      <c r="Y362" s="18">
        <f t="shared" si="141"/>
        <v>28</v>
      </c>
      <c r="Z362" s="18">
        <f t="shared" si="142"/>
        <v>52</v>
      </c>
      <c r="AA362" s="8">
        <f t="shared" si="147"/>
        <v>108</v>
      </c>
      <c r="AB362" s="8">
        <v>39.270000000000003</v>
      </c>
      <c r="AC362" s="8">
        <v>52.462499999999999</v>
      </c>
      <c r="AD362" s="8">
        <v>72.64</v>
      </c>
      <c r="AE362" s="9">
        <f t="shared" si="148"/>
        <v>133496.29999999999</v>
      </c>
      <c r="AF362" s="21">
        <v>6.5000000000000002E-2</v>
      </c>
      <c r="AG362" s="10">
        <f t="shared" si="143"/>
        <v>8677.2595000000001</v>
      </c>
      <c r="AH362" s="64">
        <f t="shared" si="149"/>
        <v>0</v>
      </c>
      <c r="AI362" s="9">
        <f t="shared" si="150"/>
        <v>124819.04049999999</v>
      </c>
      <c r="AJ362" s="5">
        <v>0.18</v>
      </c>
      <c r="AK362" s="11">
        <f t="shared" si="151"/>
        <v>22467.427289999996</v>
      </c>
      <c r="AL362" s="9">
        <f t="shared" si="152"/>
        <v>147286.46779</v>
      </c>
      <c r="AP362" s="12"/>
    </row>
    <row r="363" spans="1:42" x14ac:dyDescent="0.35">
      <c r="A363" s="71">
        <v>46202</v>
      </c>
      <c r="B363" s="72" t="s">
        <v>67</v>
      </c>
      <c r="C363" s="74">
        <v>1176.7759999954201</v>
      </c>
      <c r="D363" s="74">
        <v>40948.753804686399</v>
      </c>
      <c r="E363" s="62" t="s">
        <v>68</v>
      </c>
      <c r="F363" s="19" t="s">
        <v>208</v>
      </c>
      <c r="G363" s="19" t="s">
        <v>518</v>
      </c>
      <c r="H363" s="19" t="s">
        <v>212</v>
      </c>
      <c r="I363" s="6" t="s">
        <v>487</v>
      </c>
      <c r="J363" s="55"/>
      <c r="K363" s="18"/>
      <c r="L363" s="18"/>
      <c r="M363" s="20"/>
      <c r="N363" s="8">
        <f t="shared" si="145"/>
        <v>0</v>
      </c>
      <c r="O363" s="20">
        <v>40</v>
      </c>
      <c r="P363" s="20">
        <v>40</v>
      </c>
      <c r="Q363" s="20">
        <v>120</v>
      </c>
      <c r="R363" s="8">
        <f t="shared" si="144"/>
        <v>200</v>
      </c>
      <c r="S363" s="18">
        <f t="shared" si="153"/>
        <v>200</v>
      </c>
      <c r="T363" s="18">
        <f t="shared" si="137"/>
        <v>0</v>
      </c>
      <c r="U363" s="18">
        <f t="shared" si="138"/>
        <v>0</v>
      </c>
      <c r="V363" s="18">
        <f t="shared" si="139"/>
        <v>0</v>
      </c>
      <c r="W363" s="8">
        <f t="shared" si="146"/>
        <v>0</v>
      </c>
      <c r="X363" s="18">
        <f t="shared" si="140"/>
        <v>4</v>
      </c>
      <c r="Y363" s="18">
        <f t="shared" si="141"/>
        <v>4</v>
      </c>
      <c r="Z363" s="18">
        <f t="shared" si="142"/>
        <v>12</v>
      </c>
      <c r="AA363" s="8">
        <f t="shared" si="147"/>
        <v>20</v>
      </c>
      <c r="AB363" s="8">
        <v>39.270000000000003</v>
      </c>
      <c r="AC363" s="8">
        <v>52.462499999999999</v>
      </c>
      <c r="AD363" s="8">
        <v>72.64</v>
      </c>
      <c r="AE363" s="9">
        <f t="shared" si="148"/>
        <v>14528</v>
      </c>
      <c r="AF363" s="21">
        <v>6.5000000000000002E-2</v>
      </c>
      <c r="AG363" s="10">
        <f t="shared" si="143"/>
        <v>944.32</v>
      </c>
      <c r="AH363" s="64">
        <f t="shared" si="149"/>
        <v>0</v>
      </c>
      <c r="AI363" s="9">
        <f t="shared" si="150"/>
        <v>13583.68</v>
      </c>
      <c r="AJ363" s="5">
        <v>0.18</v>
      </c>
      <c r="AK363" s="11">
        <f t="shared" si="151"/>
        <v>2445.0623999999998</v>
      </c>
      <c r="AL363" s="9">
        <f t="shared" si="152"/>
        <v>16028.742399999999</v>
      </c>
      <c r="AP363" s="12"/>
    </row>
    <row r="364" spans="1:42" x14ac:dyDescent="0.35">
      <c r="A364" s="71">
        <v>46202</v>
      </c>
      <c r="B364" s="72" t="s">
        <v>67</v>
      </c>
      <c r="C364" s="74">
        <v>1176.7759999954201</v>
      </c>
      <c r="D364" s="74">
        <v>40948.753804686399</v>
      </c>
      <c r="E364" s="62" t="s">
        <v>68</v>
      </c>
      <c r="F364" s="19" t="s">
        <v>208</v>
      </c>
      <c r="G364" s="19" t="s">
        <v>519</v>
      </c>
      <c r="H364" s="19" t="s">
        <v>212</v>
      </c>
      <c r="I364" s="6" t="s">
        <v>520</v>
      </c>
      <c r="J364" s="55"/>
      <c r="K364" s="20">
        <v>80</v>
      </c>
      <c r="L364" s="20">
        <v>40</v>
      </c>
      <c r="M364" s="20"/>
      <c r="N364" s="8">
        <f t="shared" si="145"/>
        <v>120</v>
      </c>
      <c r="O364" s="18">
        <v>80</v>
      </c>
      <c r="P364" s="18">
        <v>40</v>
      </c>
      <c r="Q364" s="20">
        <v>80</v>
      </c>
      <c r="R364" s="8">
        <f t="shared" si="144"/>
        <v>200</v>
      </c>
      <c r="S364" s="18">
        <f t="shared" si="153"/>
        <v>320</v>
      </c>
      <c r="T364" s="18">
        <f t="shared" si="137"/>
        <v>8</v>
      </c>
      <c r="U364" s="18">
        <f t="shared" si="138"/>
        <v>4</v>
      </c>
      <c r="V364" s="18">
        <f t="shared" si="139"/>
        <v>0</v>
      </c>
      <c r="W364" s="8">
        <f t="shared" si="146"/>
        <v>12</v>
      </c>
      <c r="X364" s="18">
        <f t="shared" si="140"/>
        <v>8</v>
      </c>
      <c r="Y364" s="18">
        <f t="shared" si="141"/>
        <v>4</v>
      </c>
      <c r="Z364" s="18">
        <f t="shared" si="142"/>
        <v>8</v>
      </c>
      <c r="AA364" s="8">
        <f t="shared" si="147"/>
        <v>20</v>
      </c>
      <c r="AB364" s="8">
        <v>39.270000000000003</v>
      </c>
      <c r="AC364" s="8">
        <v>52.462499999999999</v>
      </c>
      <c r="AD364" s="8">
        <v>72.64</v>
      </c>
      <c r="AE364" s="9">
        <f t="shared" si="148"/>
        <v>29540.3</v>
      </c>
      <c r="AF364" s="21">
        <v>6.5000000000000002E-2</v>
      </c>
      <c r="AG364" s="10">
        <f t="shared" si="143"/>
        <v>1920.1195</v>
      </c>
      <c r="AH364" s="64">
        <f t="shared" si="149"/>
        <v>0</v>
      </c>
      <c r="AI364" s="9">
        <f t="shared" si="150"/>
        <v>27620.180499999999</v>
      </c>
      <c r="AJ364" s="5">
        <v>0.18</v>
      </c>
      <c r="AK364" s="11">
        <f t="shared" si="151"/>
        <v>4971.63249</v>
      </c>
      <c r="AL364" s="9">
        <f t="shared" si="152"/>
        <v>32591.812989999999</v>
      </c>
      <c r="AP364" s="12"/>
    </row>
    <row r="365" spans="1:42" x14ac:dyDescent="0.35">
      <c r="A365" s="71">
        <v>46203</v>
      </c>
      <c r="B365" s="72" t="s">
        <v>67</v>
      </c>
      <c r="C365" s="74">
        <v>1176.7759999954201</v>
      </c>
      <c r="D365" s="74">
        <v>40948.753804686399</v>
      </c>
      <c r="E365" s="62" t="s">
        <v>68</v>
      </c>
      <c r="F365" s="19" t="s">
        <v>69</v>
      </c>
      <c r="G365" s="19" t="s">
        <v>131</v>
      </c>
      <c r="H365" s="19" t="s">
        <v>201</v>
      </c>
      <c r="I365" s="6" t="s">
        <v>523</v>
      </c>
      <c r="J365" s="55"/>
      <c r="K365" s="18"/>
      <c r="L365" s="18"/>
      <c r="M365" s="20"/>
      <c r="N365" s="8">
        <f t="shared" si="145"/>
        <v>0</v>
      </c>
      <c r="O365" s="18">
        <v>15</v>
      </c>
      <c r="P365" s="20">
        <v>10</v>
      </c>
      <c r="Q365" s="18">
        <v>15</v>
      </c>
      <c r="R365" s="8">
        <f t="shared" si="144"/>
        <v>40</v>
      </c>
      <c r="S365" s="18">
        <f t="shared" si="153"/>
        <v>40</v>
      </c>
      <c r="T365" s="18">
        <f t="shared" si="137"/>
        <v>0</v>
      </c>
      <c r="U365" s="18">
        <f t="shared" si="138"/>
        <v>0</v>
      </c>
      <c r="V365" s="18">
        <f t="shared" si="139"/>
        <v>0</v>
      </c>
      <c r="W365" s="8">
        <f t="shared" si="146"/>
        <v>0</v>
      </c>
      <c r="X365" s="18">
        <f t="shared" si="140"/>
        <v>1.5</v>
      </c>
      <c r="Y365" s="18">
        <f t="shared" si="141"/>
        <v>1</v>
      </c>
      <c r="Z365" s="18">
        <f t="shared" si="142"/>
        <v>1.5</v>
      </c>
      <c r="AA365" s="8">
        <f t="shared" si="147"/>
        <v>4</v>
      </c>
      <c r="AB365" s="8">
        <v>39.270000000000003</v>
      </c>
      <c r="AC365" s="8">
        <v>52.462499999999999</v>
      </c>
      <c r="AD365" s="8">
        <v>72.64</v>
      </c>
      <c r="AE365" s="9">
        <f t="shared" si="148"/>
        <v>2905.6</v>
      </c>
      <c r="AF365" s="21">
        <v>6.5000000000000002E-2</v>
      </c>
      <c r="AG365" s="10">
        <f t="shared" si="143"/>
        <v>188.864</v>
      </c>
      <c r="AH365" s="64">
        <f t="shared" si="149"/>
        <v>0</v>
      </c>
      <c r="AI365" s="9">
        <f t="shared" si="150"/>
        <v>2716.7359999999999</v>
      </c>
      <c r="AJ365" s="5">
        <v>0.18</v>
      </c>
      <c r="AK365" s="11">
        <f t="shared" si="151"/>
        <v>489.01247999999998</v>
      </c>
      <c r="AL365" s="9">
        <f t="shared" si="152"/>
        <v>3205.7484799999997</v>
      </c>
      <c r="AP365" s="12"/>
    </row>
    <row r="366" spans="1:42" x14ac:dyDescent="0.35">
      <c r="A366" s="71">
        <v>46203</v>
      </c>
      <c r="B366" s="72" t="s">
        <v>67</v>
      </c>
      <c r="C366" s="74">
        <v>1176.7759999954201</v>
      </c>
      <c r="D366" s="74">
        <v>40948.753804686399</v>
      </c>
      <c r="E366" s="62" t="s">
        <v>68</v>
      </c>
      <c r="F366" s="19" t="s">
        <v>69</v>
      </c>
      <c r="G366" s="19" t="s">
        <v>521</v>
      </c>
      <c r="H366" s="19" t="s">
        <v>201</v>
      </c>
      <c r="I366" s="6" t="s">
        <v>523</v>
      </c>
      <c r="J366" s="55"/>
      <c r="K366" s="18"/>
      <c r="L366" s="18"/>
      <c r="M366" s="20"/>
      <c r="N366" s="8">
        <f t="shared" si="145"/>
        <v>0</v>
      </c>
      <c r="O366" s="20">
        <v>40</v>
      </c>
      <c r="P366" s="20"/>
      <c r="Q366" s="20"/>
      <c r="R366" s="8">
        <f t="shared" si="144"/>
        <v>40</v>
      </c>
      <c r="S366" s="18">
        <f t="shared" si="153"/>
        <v>40</v>
      </c>
      <c r="T366" s="18">
        <f t="shared" si="137"/>
        <v>0</v>
      </c>
      <c r="U366" s="18">
        <f t="shared" si="138"/>
        <v>0</v>
      </c>
      <c r="V366" s="18">
        <f t="shared" si="139"/>
        <v>0</v>
      </c>
      <c r="W366" s="8">
        <f t="shared" si="146"/>
        <v>0</v>
      </c>
      <c r="X366" s="18">
        <f t="shared" si="140"/>
        <v>4</v>
      </c>
      <c r="Y366" s="18">
        <f t="shared" si="141"/>
        <v>0</v>
      </c>
      <c r="Z366" s="18">
        <f t="shared" si="142"/>
        <v>0</v>
      </c>
      <c r="AA366" s="8">
        <f t="shared" si="147"/>
        <v>4</v>
      </c>
      <c r="AB366" s="8">
        <v>39.270000000000003</v>
      </c>
      <c r="AC366" s="8">
        <v>52.462499999999999</v>
      </c>
      <c r="AD366" s="8">
        <v>72.64</v>
      </c>
      <c r="AE366" s="9">
        <f t="shared" si="148"/>
        <v>2905.6</v>
      </c>
      <c r="AF366" s="21">
        <v>6.5000000000000002E-2</v>
      </c>
      <c r="AG366" s="10">
        <f t="shared" si="143"/>
        <v>188.864</v>
      </c>
      <c r="AH366" s="64">
        <f t="shared" si="149"/>
        <v>0</v>
      </c>
      <c r="AI366" s="9">
        <f t="shared" si="150"/>
        <v>2716.7359999999999</v>
      </c>
      <c r="AJ366" s="5">
        <v>0.18</v>
      </c>
      <c r="AK366" s="11">
        <f t="shared" si="151"/>
        <v>489.01247999999998</v>
      </c>
      <c r="AL366" s="9">
        <f t="shared" si="152"/>
        <v>3205.7484799999997</v>
      </c>
      <c r="AP366" s="12"/>
    </row>
    <row r="367" spans="1:42" x14ac:dyDescent="0.35">
      <c r="A367" s="71">
        <v>46203</v>
      </c>
      <c r="B367" s="72" t="s">
        <v>67</v>
      </c>
      <c r="C367" s="74">
        <v>1176.7759999954201</v>
      </c>
      <c r="D367" s="74">
        <v>40948.753804686399</v>
      </c>
      <c r="E367" s="62" t="s">
        <v>68</v>
      </c>
      <c r="F367" s="19" t="s">
        <v>298</v>
      </c>
      <c r="G367" s="19" t="s">
        <v>522</v>
      </c>
      <c r="H367" s="19" t="s">
        <v>201</v>
      </c>
      <c r="I367" s="6" t="s">
        <v>523</v>
      </c>
      <c r="J367" s="55"/>
      <c r="K367" s="18">
        <v>20</v>
      </c>
      <c r="L367" s="20">
        <v>20</v>
      </c>
      <c r="M367" s="20"/>
      <c r="N367" s="8">
        <f t="shared" si="145"/>
        <v>40</v>
      </c>
      <c r="O367" s="18">
        <v>20</v>
      </c>
      <c r="P367" s="20"/>
      <c r="Q367" s="20">
        <v>20</v>
      </c>
      <c r="R367" s="8">
        <f t="shared" si="144"/>
        <v>40</v>
      </c>
      <c r="S367" s="18">
        <f t="shared" si="153"/>
        <v>80</v>
      </c>
      <c r="T367" s="18">
        <f t="shared" si="137"/>
        <v>2</v>
      </c>
      <c r="U367" s="18">
        <f t="shared" si="138"/>
        <v>2</v>
      </c>
      <c r="V367" s="18">
        <f t="shared" si="139"/>
        <v>0</v>
      </c>
      <c r="W367" s="8">
        <f t="shared" si="146"/>
        <v>4</v>
      </c>
      <c r="X367" s="18">
        <f t="shared" si="140"/>
        <v>2</v>
      </c>
      <c r="Y367" s="18">
        <f t="shared" si="141"/>
        <v>0</v>
      </c>
      <c r="Z367" s="18">
        <f t="shared" si="142"/>
        <v>2</v>
      </c>
      <c r="AA367" s="8">
        <f t="shared" si="147"/>
        <v>4</v>
      </c>
      <c r="AB367" s="8">
        <v>39.270000000000003</v>
      </c>
      <c r="AC367" s="8">
        <v>52.462499999999999</v>
      </c>
      <c r="AD367" s="8">
        <v>72.64</v>
      </c>
      <c r="AE367" s="9">
        <f t="shared" si="148"/>
        <v>7909.7</v>
      </c>
      <c r="AF367" s="21">
        <v>6.5000000000000002E-2</v>
      </c>
      <c r="AG367" s="10">
        <f t="shared" si="143"/>
        <v>514.13049999999998</v>
      </c>
      <c r="AH367" s="64">
        <f t="shared" si="149"/>
        <v>0</v>
      </c>
      <c r="AI367" s="9">
        <f t="shared" si="150"/>
        <v>7395.5694999999996</v>
      </c>
      <c r="AJ367" s="5">
        <v>0.18</v>
      </c>
      <c r="AK367" s="11">
        <f t="shared" si="151"/>
        <v>1331.2025099999998</v>
      </c>
      <c r="AL367" s="9">
        <f t="shared" si="152"/>
        <v>8726.7720099999988</v>
      </c>
      <c r="AP367" s="12"/>
    </row>
    <row r="368" spans="1:42" x14ac:dyDescent="0.35">
      <c r="A368" s="71">
        <v>46203</v>
      </c>
      <c r="B368" s="72" t="s">
        <v>67</v>
      </c>
      <c r="C368" s="74">
        <v>1176.7759999954201</v>
      </c>
      <c r="D368" s="74">
        <v>40948.753804686399</v>
      </c>
      <c r="E368" s="62" t="s">
        <v>68</v>
      </c>
      <c r="F368" s="19" t="s">
        <v>69</v>
      </c>
      <c r="G368" s="19" t="s">
        <v>524</v>
      </c>
      <c r="H368" s="19" t="s">
        <v>201</v>
      </c>
      <c r="I368" s="6" t="s">
        <v>523</v>
      </c>
      <c r="J368" s="55"/>
      <c r="K368" s="18"/>
      <c r="L368" s="18"/>
      <c r="M368" s="18"/>
      <c r="N368" s="8">
        <f t="shared" si="145"/>
        <v>0</v>
      </c>
      <c r="O368" s="20">
        <v>80</v>
      </c>
      <c r="P368" s="20">
        <v>40</v>
      </c>
      <c r="Q368" s="20">
        <v>80</v>
      </c>
      <c r="R368" s="8">
        <f t="shared" si="144"/>
        <v>200</v>
      </c>
      <c r="S368" s="18">
        <f t="shared" si="153"/>
        <v>200</v>
      </c>
      <c r="T368" s="18">
        <f t="shared" si="137"/>
        <v>0</v>
      </c>
      <c r="U368" s="18">
        <f t="shared" si="138"/>
        <v>0</v>
      </c>
      <c r="V368" s="18">
        <f t="shared" si="139"/>
        <v>0</v>
      </c>
      <c r="W368" s="8">
        <f t="shared" si="146"/>
        <v>0</v>
      </c>
      <c r="X368" s="18">
        <f t="shared" si="140"/>
        <v>8</v>
      </c>
      <c r="Y368" s="18">
        <f t="shared" si="141"/>
        <v>4</v>
      </c>
      <c r="Z368" s="18">
        <f t="shared" si="142"/>
        <v>8</v>
      </c>
      <c r="AA368" s="8">
        <f t="shared" si="147"/>
        <v>20</v>
      </c>
      <c r="AB368" s="8">
        <v>39.270000000000003</v>
      </c>
      <c r="AC368" s="8">
        <v>52.462499999999999</v>
      </c>
      <c r="AD368" s="8">
        <v>72.64</v>
      </c>
      <c r="AE368" s="9">
        <f t="shared" si="148"/>
        <v>14528</v>
      </c>
      <c r="AF368" s="21">
        <v>6.5000000000000002E-2</v>
      </c>
      <c r="AG368" s="10">
        <f t="shared" si="143"/>
        <v>944.32</v>
      </c>
      <c r="AH368" s="64">
        <f t="shared" si="149"/>
        <v>0</v>
      </c>
      <c r="AI368" s="9">
        <f t="shared" si="150"/>
        <v>13583.68</v>
      </c>
      <c r="AJ368" s="5">
        <v>0.18</v>
      </c>
      <c r="AK368" s="11">
        <f t="shared" si="151"/>
        <v>2445.0623999999998</v>
      </c>
      <c r="AL368" s="9">
        <f t="shared" si="152"/>
        <v>16028.742399999999</v>
      </c>
      <c r="AP368" s="12"/>
    </row>
    <row r="369" spans="1:42" x14ac:dyDescent="0.35">
      <c r="A369" s="71">
        <v>46203</v>
      </c>
      <c r="B369" s="72" t="s">
        <v>67</v>
      </c>
      <c r="C369" s="74">
        <v>1176.7759999954201</v>
      </c>
      <c r="D369" s="74">
        <v>40948.753804686399</v>
      </c>
      <c r="E369" s="62" t="s">
        <v>68</v>
      </c>
      <c r="F369" s="19" t="s">
        <v>69</v>
      </c>
      <c r="G369" s="19" t="s">
        <v>525</v>
      </c>
      <c r="H369" s="19" t="s">
        <v>103</v>
      </c>
      <c r="I369" s="6" t="s">
        <v>526</v>
      </c>
      <c r="J369" s="55"/>
      <c r="K369" s="20">
        <v>20</v>
      </c>
      <c r="L369" s="20">
        <v>20</v>
      </c>
      <c r="M369" s="20"/>
      <c r="N369" s="8">
        <f t="shared" si="145"/>
        <v>40</v>
      </c>
      <c r="O369" s="20"/>
      <c r="P369" s="20"/>
      <c r="Q369" s="18"/>
      <c r="R369" s="8">
        <f t="shared" si="144"/>
        <v>0</v>
      </c>
      <c r="S369" s="18">
        <f t="shared" si="153"/>
        <v>40</v>
      </c>
      <c r="T369" s="18">
        <f t="shared" si="137"/>
        <v>2</v>
      </c>
      <c r="U369" s="18">
        <f t="shared" si="138"/>
        <v>2</v>
      </c>
      <c r="V369" s="18">
        <f t="shared" si="139"/>
        <v>0</v>
      </c>
      <c r="W369" s="8">
        <f t="shared" si="146"/>
        <v>4</v>
      </c>
      <c r="X369" s="18">
        <f t="shared" si="140"/>
        <v>0</v>
      </c>
      <c r="Y369" s="18">
        <f t="shared" si="141"/>
        <v>0</v>
      </c>
      <c r="Z369" s="18">
        <f t="shared" si="142"/>
        <v>0</v>
      </c>
      <c r="AA369" s="8">
        <f t="shared" si="147"/>
        <v>0</v>
      </c>
      <c r="AB369" s="8">
        <v>39.270000000000003</v>
      </c>
      <c r="AC369" s="8">
        <v>52.462499999999999</v>
      </c>
      <c r="AD369" s="8">
        <v>72.64</v>
      </c>
      <c r="AE369" s="9">
        <f t="shared" si="148"/>
        <v>5004.1000000000004</v>
      </c>
      <c r="AF369" s="21">
        <v>6.5000000000000002E-2</v>
      </c>
      <c r="AG369" s="10">
        <f t="shared" si="143"/>
        <v>325.26650000000001</v>
      </c>
      <c r="AH369" s="64">
        <f t="shared" si="149"/>
        <v>0</v>
      </c>
      <c r="AI369" s="9">
        <f t="shared" si="150"/>
        <v>4678.8335000000006</v>
      </c>
      <c r="AJ369" s="5">
        <v>0.18</v>
      </c>
      <c r="AK369" s="11">
        <f t="shared" si="151"/>
        <v>842.19003000000009</v>
      </c>
      <c r="AL369" s="9">
        <f t="shared" si="152"/>
        <v>5521.0235300000004</v>
      </c>
      <c r="AP369" s="12"/>
    </row>
    <row r="370" spans="1:42" x14ac:dyDescent="0.35">
      <c r="A370" s="71">
        <v>46203</v>
      </c>
      <c r="B370" s="72" t="s">
        <v>67</v>
      </c>
      <c r="C370" s="74">
        <v>1176.7759999954201</v>
      </c>
      <c r="D370" s="74">
        <v>40948.753804686399</v>
      </c>
      <c r="E370" s="62" t="s">
        <v>68</v>
      </c>
      <c r="F370" s="19" t="s">
        <v>69</v>
      </c>
      <c r="G370" s="19" t="s">
        <v>267</v>
      </c>
      <c r="H370" s="19" t="s">
        <v>103</v>
      </c>
      <c r="I370" s="6" t="s">
        <v>526</v>
      </c>
      <c r="J370" s="55"/>
      <c r="K370" s="18"/>
      <c r="L370" s="18"/>
      <c r="M370" s="18"/>
      <c r="N370" s="8">
        <f t="shared" si="145"/>
        <v>0</v>
      </c>
      <c r="O370" s="18"/>
      <c r="P370" s="18"/>
      <c r="Q370" s="18">
        <v>20</v>
      </c>
      <c r="R370" s="8">
        <f t="shared" si="144"/>
        <v>20</v>
      </c>
      <c r="S370" s="18">
        <f t="shared" si="153"/>
        <v>20</v>
      </c>
      <c r="T370" s="18">
        <f t="shared" ref="T370:T420" si="154">K370/10</f>
        <v>0</v>
      </c>
      <c r="U370" s="18">
        <f t="shared" ref="U370:U420" si="155">L370/10</f>
        <v>0</v>
      </c>
      <c r="V370" s="18">
        <f t="shared" ref="V370:V420" si="156">M370/10</f>
        <v>0</v>
      </c>
      <c r="W370" s="8">
        <f t="shared" si="146"/>
        <v>0</v>
      </c>
      <c r="X370" s="18">
        <f t="shared" ref="X370:X420" si="157">O370/10</f>
        <v>0</v>
      </c>
      <c r="Y370" s="18">
        <f t="shared" ref="Y370:Y420" si="158">P370/10</f>
        <v>0</v>
      </c>
      <c r="Z370" s="18">
        <f t="shared" ref="Z370:Z420" si="159">Q370/10</f>
        <v>2</v>
      </c>
      <c r="AA370" s="8">
        <f t="shared" si="147"/>
        <v>2</v>
      </c>
      <c r="AB370" s="8">
        <v>39.270000000000003</v>
      </c>
      <c r="AC370" s="8">
        <v>52.462499999999999</v>
      </c>
      <c r="AD370" s="8">
        <v>72.64</v>
      </c>
      <c r="AE370" s="9">
        <f t="shared" si="148"/>
        <v>1452.8</v>
      </c>
      <c r="AF370" s="21">
        <v>0.14000000000000001</v>
      </c>
      <c r="AG370" s="10">
        <f t="shared" ref="AG370:AG420" si="160">AE370*AF370</f>
        <v>203.39200000000002</v>
      </c>
      <c r="AH370" s="64">
        <f t="shared" si="149"/>
        <v>0</v>
      </c>
      <c r="AI370" s="9">
        <f t="shared" si="150"/>
        <v>1249.4079999999999</v>
      </c>
      <c r="AJ370" s="5">
        <v>0.18</v>
      </c>
      <c r="AK370" s="11">
        <f t="shared" si="151"/>
        <v>224.89343999999997</v>
      </c>
      <c r="AL370" s="9">
        <f t="shared" si="152"/>
        <v>1474.30144</v>
      </c>
      <c r="AP370" s="12"/>
    </row>
    <row r="371" spans="1:42" x14ac:dyDescent="0.35">
      <c r="A371" s="71">
        <v>46203</v>
      </c>
      <c r="B371" s="72" t="s">
        <v>67</v>
      </c>
      <c r="C371" s="74">
        <v>1176.7759999954201</v>
      </c>
      <c r="D371" s="74">
        <v>40948.753804686399</v>
      </c>
      <c r="E371" s="62" t="s">
        <v>68</v>
      </c>
      <c r="F371" s="19" t="s">
        <v>69</v>
      </c>
      <c r="G371" s="19" t="s">
        <v>391</v>
      </c>
      <c r="H371" s="19" t="s">
        <v>103</v>
      </c>
      <c r="I371" s="6" t="s">
        <v>526</v>
      </c>
      <c r="J371" s="55"/>
      <c r="K371" s="18">
        <v>10</v>
      </c>
      <c r="L371" s="18">
        <v>10</v>
      </c>
      <c r="M371" s="18"/>
      <c r="N371" s="8">
        <f t="shared" si="145"/>
        <v>20</v>
      </c>
      <c r="O371" s="18">
        <v>10</v>
      </c>
      <c r="P371" s="18">
        <v>10</v>
      </c>
      <c r="Q371" s="18">
        <v>10</v>
      </c>
      <c r="R371" s="8">
        <f t="shared" si="144"/>
        <v>30</v>
      </c>
      <c r="S371" s="18">
        <f t="shared" si="153"/>
        <v>50</v>
      </c>
      <c r="T371" s="18">
        <f t="shared" si="154"/>
        <v>1</v>
      </c>
      <c r="U371" s="18">
        <f t="shared" si="155"/>
        <v>1</v>
      </c>
      <c r="V371" s="18">
        <f t="shared" si="156"/>
        <v>0</v>
      </c>
      <c r="W371" s="8">
        <f t="shared" si="146"/>
        <v>2</v>
      </c>
      <c r="X371" s="18">
        <f t="shared" si="157"/>
        <v>1</v>
      </c>
      <c r="Y371" s="18">
        <f t="shared" si="158"/>
        <v>1</v>
      </c>
      <c r="Z371" s="18">
        <f t="shared" si="159"/>
        <v>1</v>
      </c>
      <c r="AA371" s="8">
        <f t="shared" si="147"/>
        <v>3</v>
      </c>
      <c r="AB371" s="8">
        <v>39.270000000000003</v>
      </c>
      <c r="AC371" s="8">
        <v>52.462499999999999</v>
      </c>
      <c r="AD371" s="8">
        <v>72.64</v>
      </c>
      <c r="AE371" s="9">
        <f t="shared" si="148"/>
        <v>4681.25</v>
      </c>
      <c r="AF371" s="21">
        <v>0.14000000000000001</v>
      </c>
      <c r="AG371" s="10">
        <f t="shared" si="160"/>
        <v>655.37500000000011</v>
      </c>
      <c r="AH371" s="64">
        <f t="shared" si="149"/>
        <v>0</v>
      </c>
      <c r="AI371" s="9">
        <f t="shared" si="150"/>
        <v>4025.875</v>
      </c>
      <c r="AJ371" s="5">
        <v>0.18</v>
      </c>
      <c r="AK371" s="11">
        <f t="shared" si="151"/>
        <v>724.65750000000003</v>
      </c>
      <c r="AL371" s="9">
        <f t="shared" si="152"/>
        <v>4750.5325000000003</v>
      </c>
      <c r="AP371" s="12"/>
    </row>
    <row r="372" spans="1:42" x14ac:dyDescent="0.35">
      <c r="A372" s="71">
        <v>46203</v>
      </c>
      <c r="B372" s="72" t="s">
        <v>67</v>
      </c>
      <c r="C372" s="74">
        <v>1176.7759999954201</v>
      </c>
      <c r="D372" s="74">
        <v>40948.753804686399</v>
      </c>
      <c r="E372" s="62" t="s">
        <v>68</v>
      </c>
      <c r="F372" s="19" t="s">
        <v>69</v>
      </c>
      <c r="G372" s="19" t="s">
        <v>527</v>
      </c>
      <c r="H372" s="19" t="s">
        <v>403</v>
      </c>
      <c r="I372" s="6" t="s">
        <v>532</v>
      </c>
      <c r="J372" s="55">
        <v>12</v>
      </c>
      <c r="K372" s="18"/>
      <c r="L372" s="18"/>
      <c r="M372" s="18"/>
      <c r="N372" s="8">
        <f t="shared" si="145"/>
        <v>0</v>
      </c>
      <c r="O372" s="18"/>
      <c r="P372" s="18"/>
      <c r="Q372" s="18"/>
      <c r="R372" s="8">
        <f t="shared" si="144"/>
        <v>0</v>
      </c>
      <c r="S372" s="18">
        <f t="shared" si="153"/>
        <v>12</v>
      </c>
      <c r="T372" s="18">
        <f t="shared" si="154"/>
        <v>0</v>
      </c>
      <c r="U372" s="18">
        <f t="shared" si="155"/>
        <v>0</v>
      </c>
      <c r="V372" s="18">
        <f t="shared" si="156"/>
        <v>0</v>
      </c>
      <c r="W372" s="8">
        <f t="shared" si="146"/>
        <v>0</v>
      </c>
      <c r="X372" s="18">
        <f t="shared" si="157"/>
        <v>0</v>
      </c>
      <c r="Y372" s="18">
        <f t="shared" si="158"/>
        <v>0</v>
      </c>
      <c r="Z372" s="18">
        <f t="shared" si="159"/>
        <v>0</v>
      </c>
      <c r="AA372" s="8">
        <f t="shared" si="147"/>
        <v>0</v>
      </c>
      <c r="AB372" s="8">
        <v>39.270000000000003</v>
      </c>
      <c r="AC372" s="8">
        <v>52.462499999999999</v>
      </c>
      <c r="AD372" s="8">
        <v>72.64</v>
      </c>
      <c r="AE372" s="9">
        <f t="shared" si="148"/>
        <v>1342.92</v>
      </c>
      <c r="AF372" s="21">
        <v>0.15</v>
      </c>
      <c r="AG372" s="10">
        <f t="shared" si="160"/>
        <v>201.43800000000002</v>
      </c>
      <c r="AH372" s="64">
        <f t="shared" si="149"/>
        <v>16.493400000000001</v>
      </c>
      <c r="AI372" s="9">
        <f t="shared" si="150"/>
        <v>1141.482</v>
      </c>
      <c r="AJ372" s="5">
        <v>0.18</v>
      </c>
      <c r="AK372" s="11">
        <f t="shared" si="151"/>
        <v>205.46675999999999</v>
      </c>
      <c r="AL372" s="9">
        <f t="shared" si="152"/>
        <v>1346.94876</v>
      </c>
      <c r="AP372" s="12"/>
    </row>
    <row r="373" spans="1:42" x14ac:dyDescent="0.35">
      <c r="A373" s="71">
        <v>46203</v>
      </c>
      <c r="B373" s="72" t="s">
        <v>67</v>
      </c>
      <c r="C373" s="74">
        <v>1176.7759999954201</v>
      </c>
      <c r="D373" s="74">
        <v>40948.753804686399</v>
      </c>
      <c r="E373" s="62" t="s">
        <v>68</v>
      </c>
      <c r="F373" s="19" t="s">
        <v>69</v>
      </c>
      <c r="G373" s="19" t="s">
        <v>391</v>
      </c>
      <c r="H373" s="19" t="s">
        <v>403</v>
      </c>
      <c r="I373" s="6" t="s">
        <v>532</v>
      </c>
      <c r="J373" s="55">
        <v>40</v>
      </c>
      <c r="K373" s="20"/>
      <c r="L373" s="20"/>
      <c r="M373" s="18"/>
      <c r="N373" s="8">
        <f t="shared" si="145"/>
        <v>0</v>
      </c>
      <c r="O373" s="18"/>
      <c r="P373" s="18"/>
      <c r="Q373" s="20"/>
      <c r="R373" s="8">
        <f t="shared" si="144"/>
        <v>0</v>
      </c>
      <c r="S373" s="18">
        <f t="shared" si="153"/>
        <v>40</v>
      </c>
      <c r="T373" s="18">
        <f t="shared" si="154"/>
        <v>0</v>
      </c>
      <c r="U373" s="18">
        <f t="shared" si="155"/>
        <v>0</v>
      </c>
      <c r="V373" s="18">
        <f t="shared" si="156"/>
        <v>0</v>
      </c>
      <c r="W373" s="8">
        <f t="shared" si="146"/>
        <v>0</v>
      </c>
      <c r="X373" s="18">
        <f t="shared" si="157"/>
        <v>0</v>
      </c>
      <c r="Y373" s="18">
        <f t="shared" si="158"/>
        <v>0</v>
      </c>
      <c r="Z373" s="18">
        <f t="shared" si="159"/>
        <v>0</v>
      </c>
      <c r="AA373" s="8">
        <f t="shared" si="147"/>
        <v>0</v>
      </c>
      <c r="AB373" s="8">
        <v>39.270000000000003</v>
      </c>
      <c r="AC373" s="8">
        <v>52.462499999999999</v>
      </c>
      <c r="AD373" s="8">
        <v>72.64</v>
      </c>
      <c r="AE373" s="9">
        <f t="shared" si="148"/>
        <v>4476.3999999999996</v>
      </c>
      <c r="AF373" s="21">
        <v>6.5000000000000002E-2</v>
      </c>
      <c r="AG373" s="10">
        <f t="shared" si="160"/>
        <v>290.96600000000001</v>
      </c>
      <c r="AH373" s="64">
        <f t="shared" si="149"/>
        <v>54.978000000000009</v>
      </c>
      <c r="AI373" s="9">
        <f t="shared" si="150"/>
        <v>4185.4339999999993</v>
      </c>
      <c r="AJ373" s="5">
        <v>0.18</v>
      </c>
      <c r="AK373" s="11">
        <f t="shared" si="151"/>
        <v>753.37811999999985</v>
      </c>
      <c r="AL373" s="9">
        <f t="shared" si="152"/>
        <v>4938.8121199999987</v>
      </c>
      <c r="AP373" s="12"/>
    </row>
    <row r="374" spans="1:42" x14ac:dyDescent="0.35">
      <c r="A374" s="71">
        <v>46203</v>
      </c>
      <c r="B374" s="72" t="s">
        <v>67</v>
      </c>
      <c r="C374" s="74">
        <v>1176.7759999954201</v>
      </c>
      <c r="D374" s="74">
        <v>40948.753804686399</v>
      </c>
      <c r="E374" s="62" t="s">
        <v>68</v>
      </c>
      <c r="F374" s="19" t="s">
        <v>69</v>
      </c>
      <c r="G374" s="19" t="s">
        <v>528</v>
      </c>
      <c r="H374" s="19" t="s">
        <v>403</v>
      </c>
      <c r="I374" s="6" t="s">
        <v>532</v>
      </c>
      <c r="J374" s="55">
        <v>10</v>
      </c>
      <c r="K374" s="18">
        <v>15</v>
      </c>
      <c r="L374" s="18">
        <v>15</v>
      </c>
      <c r="M374" s="18"/>
      <c r="N374" s="8">
        <f t="shared" si="145"/>
        <v>30</v>
      </c>
      <c r="O374" s="18"/>
      <c r="P374" s="18"/>
      <c r="Q374" s="18"/>
      <c r="R374" s="8">
        <f t="shared" si="144"/>
        <v>0</v>
      </c>
      <c r="S374" s="18">
        <f t="shared" si="153"/>
        <v>40</v>
      </c>
      <c r="T374" s="18">
        <f t="shared" si="154"/>
        <v>1.5</v>
      </c>
      <c r="U374" s="18">
        <f t="shared" si="155"/>
        <v>1.5</v>
      </c>
      <c r="V374" s="18">
        <f t="shared" si="156"/>
        <v>0</v>
      </c>
      <c r="W374" s="8">
        <f t="shared" si="146"/>
        <v>3</v>
      </c>
      <c r="X374" s="18">
        <f t="shared" si="157"/>
        <v>0</v>
      </c>
      <c r="Y374" s="18">
        <f t="shared" si="158"/>
        <v>0</v>
      </c>
      <c r="Z374" s="18">
        <f t="shared" si="159"/>
        <v>0</v>
      </c>
      <c r="AA374" s="8">
        <f t="shared" si="147"/>
        <v>0</v>
      </c>
      <c r="AB374" s="8">
        <v>39.270000000000003</v>
      </c>
      <c r="AC374" s="8">
        <v>52.462499999999999</v>
      </c>
      <c r="AD374" s="8">
        <v>72.64</v>
      </c>
      <c r="AE374" s="9">
        <f t="shared" si="148"/>
        <v>4872.1750000000002</v>
      </c>
      <c r="AF374" s="21">
        <v>6.5000000000000002E-2</v>
      </c>
      <c r="AG374" s="10">
        <f t="shared" si="160"/>
        <v>316.69137500000005</v>
      </c>
      <c r="AH374" s="64">
        <f t="shared" si="149"/>
        <v>13.744500000000002</v>
      </c>
      <c r="AI374" s="9">
        <f t="shared" si="150"/>
        <v>4555.4836249999998</v>
      </c>
      <c r="AJ374" s="5">
        <v>0.18</v>
      </c>
      <c r="AK374" s="11">
        <f t="shared" si="151"/>
        <v>819.98705249999989</v>
      </c>
      <c r="AL374" s="9">
        <f t="shared" si="152"/>
        <v>5375.4706774999995</v>
      </c>
      <c r="AP374" s="12"/>
    </row>
    <row r="375" spans="1:42" x14ac:dyDescent="0.35">
      <c r="A375" s="71">
        <v>46203</v>
      </c>
      <c r="B375" s="72" t="s">
        <v>67</v>
      </c>
      <c r="C375" s="74">
        <v>1176.7759999954201</v>
      </c>
      <c r="D375" s="74">
        <v>40948.753804686399</v>
      </c>
      <c r="E375" s="62" t="s">
        <v>68</v>
      </c>
      <c r="F375" s="19" t="s">
        <v>69</v>
      </c>
      <c r="G375" s="19" t="s">
        <v>529</v>
      </c>
      <c r="H375" s="19" t="s">
        <v>403</v>
      </c>
      <c r="I375" s="6" t="s">
        <v>532</v>
      </c>
      <c r="J375" s="55">
        <v>10</v>
      </c>
      <c r="K375" s="20"/>
      <c r="L375" s="20"/>
      <c r="M375" s="20"/>
      <c r="N375" s="8">
        <f t="shared" si="145"/>
        <v>0</v>
      </c>
      <c r="O375" s="18"/>
      <c r="P375" s="18"/>
      <c r="Q375" s="20"/>
      <c r="R375" s="8">
        <f t="shared" si="144"/>
        <v>0</v>
      </c>
      <c r="S375" s="18">
        <f t="shared" si="153"/>
        <v>10</v>
      </c>
      <c r="T375" s="18">
        <f t="shared" si="154"/>
        <v>0</v>
      </c>
      <c r="U375" s="18">
        <f t="shared" si="155"/>
        <v>0</v>
      </c>
      <c r="V375" s="18">
        <f t="shared" si="156"/>
        <v>0</v>
      </c>
      <c r="W375" s="8">
        <f t="shared" si="146"/>
        <v>0</v>
      </c>
      <c r="X375" s="18">
        <f t="shared" si="157"/>
        <v>0</v>
      </c>
      <c r="Y375" s="18">
        <f t="shared" si="158"/>
        <v>0</v>
      </c>
      <c r="Z375" s="18">
        <f t="shared" si="159"/>
        <v>0</v>
      </c>
      <c r="AA375" s="8">
        <f t="shared" si="147"/>
        <v>0</v>
      </c>
      <c r="AB375" s="8">
        <v>39.270000000000003</v>
      </c>
      <c r="AC375" s="8">
        <v>52.462499999999999</v>
      </c>
      <c r="AD375" s="8">
        <v>72.64</v>
      </c>
      <c r="AE375" s="9">
        <f t="shared" si="148"/>
        <v>1119.0999999999999</v>
      </c>
      <c r="AF375" s="21">
        <v>6.5000000000000002E-2</v>
      </c>
      <c r="AG375" s="10">
        <f t="shared" si="160"/>
        <v>72.741500000000002</v>
      </c>
      <c r="AH375" s="64">
        <f t="shared" si="149"/>
        <v>13.744500000000002</v>
      </c>
      <c r="AI375" s="9">
        <f t="shared" si="150"/>
        <v>1046.3584999999998</v>
      </c>
      <c r="AJ375" s="5">
        <v>0.18</v>
      </c>
      <c r="AK375" s="11">
        <f t="shared" si="151"/>
        <v>188.34452999999996</v>
      </c>
      <c r="AL375" s="9">
        <f t="shared" si="152"/>
        <v>1234.7030299999997</v>
      </c>
      <c r="AP375" s="12"/>
    </row>
    <row r="376" spans="1:42" x14ac:dyDescent="0.35">
      <c r="A376" s="71">
        <v>46203</v>
      </c>
      <c r="B376" s="72" t="s">
        <v>67</v>
      </c>
      <c r="C376" s="74">
        <v>1176.7759999954201</v>
      </c>
      <c r="D376" s="74">
        <v>40948.753804686399</v>
      </c>
      <c r="E376" s="62" t="s">
        <v>68</v>
      </c>
      <c r="F376" s="19" t="s">
        <v>69</v>
      </c>
      <c r="G376" s="19" t="s">
        <v>530</v>
      </c>
      <c r="H376" s="19" t="s">
        <v>403</v>
      </c>
      <c r="I376" s="6" t="s">
        <v>532</v>
      </c>
      <c r="J376" s="55">
        <v>40</v>
      </c>
      <c r="K376" s="20"/>
      <c r="L376" s="20"/>
      <c r="M376" s="20"/>
      <c r="N376" s="8">
        <f t="shared" si="145"/>
        <v>0</v>
      </c>
      <c r="O376" s="18"/>
      <c r="P376" s="18"/>
      <c r="Q376" s="18"/>
      <c r="R376" s="8">
        <f t="shared" si="144"/>
        <v>0</v>
      </c>
      <c r="S376" s="18">
        <f t="shared" si="153"/>
        <v>40</v>
      </c>
      <c r="T376" s="18">
        <f t="shared" si="154"/>
        <v>0</v>
      </c>
      <c r="U376" s="18">
        <f t="shared" si="155"/>
        <v>0</v>
      </c>
      <c r="V376" s="18">
        <f t="shared" si="156"/>
        <v>0</v>
      </c>
      <c r="W376" s="8">
        <f t="shared" si="146"/>
        <v>0</v>
      </c>
      <c r="X376" s="18">
        <f t="shared" si="157"/>
        <v>0</v>
      </c>
      <c r="Y376" s="18">
        <f t="shared" si="158"/>
        <v>0</v>
      </c>
      <c r="Z376" s="18">
        <f t="shared" si="159"/>
        <v>0</v>
      </c>
      <c r="AA376" s="8">
        <f t="shared" si="147"/>
        <v>0</v>
      </c>
      <c r="AB376" s="8">
        <v>39.270000000000003</v>
      </c>
      <c r="AC376" s="8">
        <v>52.462499999999999</v>
      </c>
      <c r="AD376" s="8">
        <v>72.64</v>
      </c>
      <c r="AE376" s="9">
        <f t="shared" si="148"/>
        <v>4476.3999999999996</v>
      </c>
      <c r="AF376" s="21">
        <v>6.5000000000000002E-2</v>
      </c>
      <c r="AG376" s="10">
        <f t="shared" si="160"/>
        <v>290.96600000000001</v>
      </c>
      <c r="AH376" s="64">
        <f t="shared" si="149"/>
        <v>54.978000000000009</v>
      </c>
      <c r="AI376" s="9">
        <f t="shared" si="150"/>
        <v>4185.4339999999993</v>
      </c>
      <c r="AJ376" s="5">
        <v>0.18</v>
      </c>
      <c r="AK376" s="11">
        <f t="shared" si="151"/>
        <v>753.37811999999985</v>
      </c>
      <c r="AL376" s="9">
        <f t="shared" si="152"/>
        <v>4938.8121199999987</v>
      </c>
      <c r="AP376" s="12"/>
    </row>
    <row r="377" spans="1:42" x14ac:dyDescent="0.35">
      <c r="A377" s="71">
        <v>46203</v>
      </c>
      <c r="B377" s="72" t="s">
        <v>67</v>
      </c>
      <c r="C377" s="74">
        <v>1176.7759999954201</v>
      </c>
      <c r="D377" s="74">
        <v>40948.753804686399</v>
      </c>
      <c r="E377" s="62" t="s">
        <v>68</v>
      </c>
      <c r="F377" s="19" t="s">
        <v>298</v>
      </c>
      <c r="G377" s="19" t="s">
        <v>531</v>
      </c>
      <c r="H377" s="19" t="s">
        <v>403</v>
      </c>
      <c r="I377" s="6" t="s">
        <v>532</v>
      </c>
      <c r="J377" s="55">
        <v>40</v>
      </c>
      <c r="K377" s="20"/>
      <c r="L377" s="20"/>
      <c r="M377" s="20"/>
      <c r="N377" s="8">
        <f t="shared" si="145"/>
        <v>0</v>
      </c>
      <c r="O377" s="18"/>
      <c r="P377" s="18"/>
      <c r="Q377" s="20"/>
      <c r="R377" s="8">
        <f t="shared" si="144"/>
        <v>0</v>
      </c>
      <c r="S377" s="18">
        <f t="shared" si="153"/>
        <v>40</v>
      </c>
      <c r="T377" s="18">
        <f t="shared" si="154"/>
        <v>0</v>
      </c>
      <c r="U377" s="18">
        <f t="shared" si="155"/>
        <v>0</v>
      </c>
      <c r="V377" s="18">
        <f t="shared" si="156"/>
        <v>0</v>
      </c>
      <c r="W377" s="8">
        <f t="shared" si="146"/>
        <v>0</v>
      </c>
      <c r="X377" s="18">
        <f t="shared" si="157"/>
        <v>0</v>
      </c>
      <c r="Y377" s="18">
        <f t="shared" si="158"/>
        <v>0</v>
      </c>
      <c r="Z377" s="18">
        <f t="shared" si="159"/>
        <v>0</v>
      </c>
      <c r="AA377" s="8">
        <f t="shared" si="147"/>
        <v>0</v>
      </c>
      <c r="AB377" s="8">
        <v>39.270000000000003</v>
      </c>
      <c r="AC377" s="8">
        <v>52.462499999999999</v>
      </c>
      <c r="AD377" s="8">
        <v>72.64</v>
      </c>
      <c r="AE377" s="9">
        <f t="shared" si="148"/>
        <v>4476.3999999999996</v>
      </c>
      <c r="AF377" s="21">
        <v>6.5000000000000002E-2</v>
      </c>
      <c r="AG377" s="10">
        <f t="shared" si="160"/>
        <v>290.96600000000001</v>
      </c>
      <c r="AH377" s="64">
        <f t="shared" si="149"/>
        <v>54.978000000000009</v>
      </c>
      <c r="AI377" s="9">
        <f t="shared" si="150"/>
        <v>4185.4339999999993</v>
      </c>
      <c r="AJ377" s="5">
        <v>0.18</v>
      </c>
      <c r="AK377" s="11">
        <f t="shared" si="151"/>
        <v>753.37811999999985</v>
      </c>
      <c r="AL377" s="9">
        <f t="shared" si="152"/>
        <v>4938.8121199999987</v>
      </c>
      <c r="AP377" s="12"/>
    </row>
    <row r="378" spans="1:42" x14ac:dyDescent="0.35">
      <c r="A378" s="71">
        <v>46203</v>
      </c>
      <c r="B378" s="72" t="s">
        <v>67</v>
      </c>
      <c r="C378" s="74">
        <v>1176.7759999954201</v>
      </c>
      <c r="D378" s="74">
        <v>40948.753804686399</v>
      </c>
      <c r="E378" s="62" t="s">
        <v>68</v>
      </c>
      <c r="F378" s="19" t="s">
        <v>69</v>
      </c>
      <c r="G378" s="19" t="s">
        <v>533</v>
      </c>
      <c r="H378" s="19" t="s">
        <v>99</v>
      </c>
      <c r="I378" s="6" t="s">
        <v>310</v>
      </c>
      <c r="J378" s="55">
        <v>20</v>
      </c>
      <c r="K378" s="20">
        <v>20</v>
      </c>
      <c r="L378" s="20">
        <v>20</v>
      </c>
      <c r="M378" s="18"/>
      <c r="N378" s="8">
        <f t="shared" si="145"/>
        <v>40</v>
      </c>
      <c r="O378" s="18"/>
      <c r="P378" s="18">
        <v>20</v>
      </c>
      <c r="Q378" s="18">
        <v>20</v>
      </c>
      <c r="R378" s="8">
        <f t="shared" si="144"/>
        <v>40</v>
      </c>
      <c r="S378" s="18">
        <f t="shared" si="153"/>
        <v>100</v>
      </c>
      <c r="T378" s="18">
        <f t="shared" si="154"/>
        <v>2</v>
      </c>
      <c r="U378" s="18">
        <f t="shared" si="155"/>
        <v>2</v>
      </c>
      <c r="V378" s="18">
        <f t="shared" si="156"/>
        <v>0</v>
      </c>
      <c r="W378" s="8">
        <f t="shared" si="146"/>
        <v>4</v>
      </c>
      <c r="X378" s="18">
        <f t="shared" si="157"/>
        <v>0</v>
      </c>
      <c r="Y378" s="18">
        <f t="shared" si="158"/>
        <v>2</v>
      </c>
      <c r="Z378" s="18">
        <f t="shared" si="159"/>
        <v>2</v>
      </c>
      <c r="AA378" s="8">
        <f t="shared" si="147"/>
        <v>4</v>
      </c>
      <c r="AB378" s="8">
        <v>39.270000000000003</v>
      </c>
      <c r="AC378" s="8">
        <v>52.462499999999999</v>
      </c>
      <c r="AD378" s="8">
        <v>72.64</v>
      </c>
      <c r="AE378" s="9">
        <f t="shared" si="148"/>
        <v>10147.9</v>
      </c>
      <c r="AF378" s="21">
        <v>6.5000000000000002E-2</v>
      </c>
      <c r="AG378" s="10">
        <f t="shared" si="160"/>
        <v>659.61350000000004</v>
      </c>
      <c r="AH378" s="64">
        <f t="shared" si="149"/>
        <v>27.489000000000004</v>
      </c>
      <c r="AI378" s="9">
        <f t="shared" si="150"/>
        <v>9488.2865000000002</v>
      </c>
      <c r="AJ378" s="5">
        <v>0.18</v>
      </c>
      <c r="AK378" s="11">
        <f t="shared" si="151"/>
        <v>1707.89157</v>
      </c>
      <c r="AL378" s="9">
        <f t="shared" si="152"/>
        <v>11196.17807</v>
      </c>
      <c r="AP378" s="12"/>
    </row>
    <row r="379" spans="1:42" x14ac:dyDescent="0.35">
      <c r="A379" s="71">
        <v>46203</v>
      </c>
      <c r="B379" s="72" t="s">
        <v>67</v>
      </c>
      <c r="C379" s="74">
        <v>1176.7759999954201</v>
      </c>
      <c r="D379" s="74">
        <v>40948.753804686399</v>
      </c>
      <c r="E379" s="62" t="s">
        <v>68</v>
      </c>
      <c r="F379" s="19" t="s">
        <v>69</v>
      </c>
      <c r="G379" s="19" t="s">
        <v>534</v>
      </c>
      <c r="H379" s="19" t="s">
        <v>99</v>
      </c>
      <c r="I379" s="6" t="s">
        <v>310</v>
      </c>
      <c r="J379" s="55"/>
      <c r="K379" s="20">
        <v>10</v>
      </c>
      <c r="L379" s="20">
        <v>10</v>
      </c>
      <c r="M379" s="20"/>
      <c r="N379" s="8">
        <f t="shared" si="145"/>
        <v>20</v>
      </c>
      <c r="O379" s="18">
        <v>6</v>
      </c>
      <c r="P379" s="20">
        <v>6</v>
      </c>
      <c r="Q379" s="18">
        <v>8</v>
      </c>
      <c r="R379" s="8">
        <f t="shared" si="144"/>
        <v>20</v>
      </c>
      <c r="S379" s="18">
        <f t="shared" si="153"/>
        <v>40</v>
      </c>
      <c r="T379" s="18">
        <f t="shared" si="154"/>
        <v>1</v>
      </c>
      <c r="U379" s="18">
        <f t="shared" si="155"/>
        <v>1</v>
      </c>
      <c r="V379" s="18">
        <f t="shared" si="156"/>
        <v>0</v>
      </c>
      <c r="W379" s="8">
        <f t="shared" si="146"/>
        <v>2</v>
      </c>
      <c r="X379" s="18">
        <f t="shared" si="157"/>
        <v>0.6</v>
      </c>
      <c r="Y379" s="18">
        <f t="shared" si="158"/>
        <v>0.6</v>
      </c>
      <c r="Z379" s="18">
        <f t="shared" si="159"/>
        <v>0.8</v>
      </c>
      <c r="AA379" s="8">
        <f t="shared" si="147"/>
        <v>2</v>
      </c>
      <c r="AB379" s="8">
        <v>39.270000000000003</v>
      </c>
      <c r="AC379" s="8">
        <v>52.462499999999999</v>
      </c>
      <c r="AD379" s="8">
        <v>72.64</v>
      </c>
      <c r="AE379" s="9">
        <f t="shared" si="148"/>
        <v>3954.85</v>
      </c>
      <c r="AF379" s="21">
        <v>6.5000000000000002E-2</v>
      </c>
      <c r="AG379" s="10">
        <f t="shared" si="160"/>
        <v>257.06524999999999</v>
      </c>
      <c r="AH379" s="64">
        <f t="shared" si="149"/>
        <v>0</v>
      </c>
      <c r="AI379" s="9">
        <f t="shared" si="150"/>
        <v>3697.7847499999998</v>
      </c>
      <c r="AJ379" s="5">
        <v>0.18</v>
      </c>
      <c r="AK379" s="11">
        <f t="shared" si="151"/>
        <v>665.60125499999992</v>
      </c>
      <c r="AL379" s="9">
        <f t="shared" si="152"/>
        <v>4363.3860049999994</v>
      </c>
      <c r="AP379" s="12"/>
    </row>
    <row r="380" spans="1:42" x14ac:dyDescent="0.35">
      <c r="A380" s="71">
        <v>46203</v>
      </c>
      <c r="B380" s="72" t="s">
        <v>67</v>
      </c>
      <c r="C380" s="74">
        <v>1176.7759999954201</v>
      </c>
      <c r="D380" s="74">
        <v>40948.753804686399</v>
      </c>
      <c r="E380" s="62" t="s">
        <v>68</v>
      </c>
      <c r="F380" s="19" t="s">
        <v>69</v>
      </c>
      <c r="G380" s="19" t="s">
        <v>535</v>
      </c>
      <c r="H380" s="19" t="s">
        <v>99</v>
      </c>
      <c r="I380" s="6" t="s">
        <v>310</v>
      </c>
      <c r="J380" s="55"/>
      <c r="K380" s="20"/>
      <c r="L380" s="18"/>
      <c r="M380" s="18"/>
      <c r="N380" s="8">
        <f t="shared" si="145"/>
        <v>0</v>
      </c>
      <c r="O380" s="18">
        <v>15</v>
      </c>
      <c r="P380" s="18">
        <v>10</v>
      </c>
      <c r="Q380" s="18">
        <v>15</v>
      </c>
      <c r="R380" s="8">
        <f t="shared" si="144"/>
        <v>40</v>
      </c>
      <c r="S380" s="18">
        <f t="shared" si="153"/>
        <v>40</v>
      </c>
      <c r="T380" s="18">
        <f t="shared" si="154"/>
        <v>0</v>
      </c>
      <c r="U380" s="18">
        <f t="shared" si="155"/>
        <v>0</v>
      </c>
      <c r="V380" s="18">
        <f t="shared" si="156"/>
        <v>0</v>
      </c>
      <c r="W380" s="8">
        <f t="shared" si="146"/>
        <v>0</v>
      </c>
      <c r="X380" s="18">
        <f t="shared" si="157"/>
        <v>1.5</v>
      </c>
      <c r="Y380" s="18">
        <f t="shared" si="158"/>
        <v>1</v>
      </c>
      <c r="Z380" s="18">
        <f t="shared" si="159"/>
        <v>1.5</v>
      </c>
      <c r="AA380" s="8">
        <f t="shared" si="147"/>
        <v>4</v>
      </c>
      <c r="AB380" s="8">
        <v>39.270000000000003</v>
      </c>
      <c r="AC380" s="8">
        <v>52.462499999999999</v>
      </c>
      <c r="AD380" s="8">
        <v>72.64</v>
      </c>
      <c r="AE380" s="9">
        <f t="shared" si="148"/>
        <v>2905.6</v>
      </c>
      <c r="AF380" s="21">
        <v>6.5000000000000002E-2</v>
      </c>
      <c r="AG380" s="10">
        <f t="shared" si="160"/>
        <v>188.864</v>
      </c>
      <c r="AH380" s="64">
        <f t="shared" si="149"/>
        <v>0</v>
      </c>
      <c r="AI380" s="9">
        <f t="shared" si="150"/>
        <v>2716.7359999999999</v>
      </c>
      <c r="AJ380" s="5">
        <v>0.18</v>
      </c>
      <c r="AK380" s="11">
        <f t="shared" si="151"/>
        <v>489.01247999999998</v>
      </c>
      <c r="AL380" s="9">
        <f t="shared" si="152"/>
        <v>3205.7484799999997</v>
      </c>
      <c r="AP380" s="12"/>
    </row>
    <row r="381" spans="1:42" x14ac:dyDescent="0.35">
      <c r="A381" s="71">
        <v>46203</v>
      </c>
      <c r="B381" s="72" t="s">
        <v>67</v>
      </c>
      <c r="C381" s="74">
        <v>1176.7759999954201</v>
      </c>
      <c r="D381" s="74">
        <v>40948.753804686399</v>
      </c>
      <c r="E381" s="62" t="s">
        <v>68</v>
      </c>
      <c r="F381" s="19" t="s">
        <v>69</v>
      </c>
      <c r="G381" s="19" t="s">
        <v>191</v>
      </c>
      <c r="H381" s="19" t="s">
        <v>99</v>
      </c>
      <c r="I381" s="6" t="s">
        <v>310</v>
      </c>
      <c r="J381" s="55"/>
      <c r="K381" s="20">
        <v>20</v>
      </c>
      <c r="L381" s="20">
        <v>20</v>
      </c>
      <c r="M381" s="20"/>
      <c r="N381" s="8">
        <f t="shared" si="145"/>
        <v>40</v>
      </c>
      <c r="O381" s="18"/>
      <c r="P381" s="18"/>
      <c r="Q381" s="20"/>
      <c r="R381" s="8">
        <f t="shared" si="144"/>
        <v>0</v>
      </c>
      <c r="S381" s="18">
        <f t="shared" si="153"/>
        <v>40</v>
      </c>
      <c r="T381" s="18">
        <f t="shared" si="154"/>
        <v>2</v>
      </c>
      <c r="U381" s="18">
        <f t="shared" si="155"/>
        <v>2</v>
      </c>
      <c r="V381" s="18">
        <f t="shared" si="156"/>
        <v>0</v>
      </c>
      <c r="W381" s="8">
        <f t="shared" si="146"/>
        <v>4</v>
      </c>
      <c r="X381" s="18">
        <f t="shared" si="157"/>
        <v>0</v>
      </c>
      <c r="Y381" s="18">
        <f t="shared" si="158"/>
        <v>0</v>
      </c>
      <c r="Z381" s="18">
        <f t="shared" si="159"/>
        <v>0</v>
      </c>
      <c r="AA381" s="8">
        <f t="shared" si="147"/>
        <v>0</v>
      </c>
      <c r="AB381" s="8">
        <v>39.270000000000003</v>
      </c>
      <c r="AC381" s="8">
        <v>52.462499999999999</v>
      </c>
      <c r="AD381" s="8">
        <v>72.64</v>
      </c>
      <c r="AE381" s="9">
        <f t="shared" si="148"/>
        <v>5004.1000000000004</v>
      </c>
      <c r="AF381" s="21">
        <v>6.5000000000000002E-2</v>
      </c>
      <c r="AG381" s="10">
        <f t="shared" si="160"/>
        <v>325.26650000000001</v>
      </c>
      <c r="AH381" s="64">
        <f t="shared" si="149"/>
        <v>0</v>
      </c>
      <c r="AI381" s="9">
        <f t="shared" si="150"/>
        <v>4678.8335000000006</v>
      </c>
      <c r="AJ381" s="5">
        <v>0.18</v>
      </c>
      <c r="AK381" s="11">
        <f t="shared" si="151"/>
        <v>842.19003000000009</v>
      </c>
      <c r="AL381" s="9">
        <f t="shared" si="152"/>
        <v>5521.0235300000004</v>
      </c>
      <c r="AP381" s="12"/>
    </row>
    <row r="382" spans="1:42" x14ac:dyDescent="0.35">
      <c r="A382" s="71">
        <v>46203</v>
      </c>
      <c r="B382" s="72" t="s">
        <v>67</v>
      </c>
      <c r="C382" s="74">
        <v>1176.7759999954201</v>
      </c>
      <c r="D382" s="74">
        <v>40948.753804686399</v>
      </c>
      <c r="E382" s="62" t="s">
        <v>68</v>
      </c>
      <c r="F382" s="19" t="s">
        <v>69</v>
      </c>
      <c r="G382" s="19" t="s">
        <v>183</v>
      </c>
      <c r="H382" s="19" t="s">
        <v>99</v>
      </c>
      <c r="I382" s="6" t="s">
        <v>310</v>
      </c>
      <c r="J382" s="55"/>
      <c r="K382" s="20"/>
      <c r="L382" s="20"/>
      <c r="M382" s="20"/>
      <c r="N382" s="8">
        <f t="shared" si="145"/>
        <v>0</v>
      </c>
      <c r="O382" s="18">
        <v>15</v>
      </c>
      <c r="P382" s="18">
        <v>10</v>
      </c>
      <c r="Q382" s="20">
        <v>15</v>
      </c>
      <c r="R382" s="8">
        <f t="shared" si="144"/>
        <v>40</v>
      </c>
      <c r="S382" s="18">
        <f t="shared" si="153"/>
        <v>40</v>
      </c>
      <c r="T382" s="18">
        <f t="shared" si="154"/>
        <v>0</v>
      </c>
      <c r="U382" s="18">
        <f t="shared" si="155"/>
        <v>0</v>
      </c>
      <c r="V382" s="18">
        <f t="shared" si="156"/>
        <v>0</v>
      </c>
      <c r="W382" s="8">
        <f t="shared" si="146"/>
        <v>0</v>
      </c>
      <c r="X382" s="18">
        <f t="shared" si="157"/>
        <v>1.5</v>
      </c>
      <c r="Y382" s="18">
        <f t="shared" si="158"/>
        <v>1</v>
      </c>
      <c r="Z382" s="18">
        <f t="shared" si="159"/>
        <v>1.5</v>
      </c>
      <c r="AA382" s="8">
        <f t="shared" si="147"/>
        <v>4</v>
      </c>
      <c r="AB382" s="8">
        <v>39.270000000000003</v>
      </c>
      <c r="AC382" s="8">
        <v>52.462499999999999</v>
      </c>
      <c r="AD382" s="8">
        <v>72.64</v>
      </c>
      <c r="AE382" s="9">
        <f t="shared" si="148"/>
        <v>2905.6</v>
      </c>
      <c r="AF382" s="21">
        <v>6.5000000000000002E-2</v>
      </c>
      <c r="AG382" s="10">
        <f t="shared" si="160"/>
        <v>188.864</v>
      </c>
      <c r="AH382" s="64">
        <f t="shared" si="149"/>
        <v>0</v>
      </c>
      <c r="AI382" s="9">
        <f t="shared" si="150"/>
        <v>2716.7359999999999</v>
      </c>
      <c r="AJ382" s="5">
        <v>0.18</v>
      </c>
      <c r="AK382" s="11">
        <f t="shared" si="151"/>
        <v>489.01247999999998</v>
      </c>
      <c r="AL382" s="9">
        <f t="shared" si="152"/>
        <v>3205.7484799999997</v>
      </c>
      <c r="AP382" s="12"/>
    </row>
    <row r="383" spans="1:42" x14ac:dyDescent="0.35">
      <c r="A383" s="71">
        <v>46203</v>
      </c>
      <c r="B383" s="72" t="s">
        <v>67</v>
      </c>
      <c r="C383" s="74">
        <v>1176.7759999954201</v>
      </c>
      <c r="D383" s="74">
        <v>40948.753804686399</v>
      </c>
      <c r="E383" s="62" t="s">
        <v>68</v>
      </c>
      <c r="F383" s="19" t="s">
        <v>69</v>
      </c>
      <c r="G383" s="19" t="s">
        <v>183</v>
      </c>
      <c r="H383" s="19" t="s">
        <v>99</v>
      </c>
      <c r="I383" s="6" t="s">
        <v>310</v>
      </c>
      <c r="J383" s="55">
        <v>40</v>
      </c>
      <c r="K383" s="18">
        <v>20</v>
      </c>
      <c r="L383" s="18">
        <v>20</v>
      </c>
      <c r="M383" s="18"/>
      <c r="N383" s="8">
        <f t="shared" si="145"/>
        <v>40</v>
      </c>
      <c r="O383" s="18">
        <v>15</v>
      </c>
      <c r="P383" s="18">
        <v>10</v>
      </c>
      <c r="Q383" s="18">
        <v>15</v>
      </c>
      <c r="R383" s="8">
        <f t="shared" si="144"/>
        <v>40</v>
      </c>
      <c r="S383" s="18">
        <f t="shared" si="153"/>
        <v>120</v>
      </c>
      <c r="T383" s="18">
        <f t="shared" si="154"/>
        <v>2</v>
      </c>
      <c r="U383" s="18">
        <f t="shared" si="155"/>
        <v>2</v>
      </c>
      <c r="V383" s="18">
        <f t="shared" si="156"/>
        <v>0</v>
      </c>
      <c r="W383" s="8">
        <f t="shared" si="146"/>
        <v>4</v>
      </c>
      <c r="X383" s="18">
        <f t="shared" si="157"/>
        <v>1.5</v>
      </c>
      <c r="Y383" s="18">
        <f t="shared" si="158"/>
        <v>1</v>
      </c>
      <c r="Z383" s="18">
        <f t="shared" si="159"/>
        <v>1.5</v>
      </c>
      <c r="AA383" s="8">
        <f t="shared" si="147"/>
        <v>4</v>
      </c>
      <c r="AB383" s="8">
        <v>39.270000000000003</v>
      </c>
      <c r="AC383" s="8">
        <v>52.462499999999999</v>
      </c>
      <c r="AD383" s="8">
        <v>72.64</v>
      </c>
      <c r="AE383" s="9">
        <f t="shared" si="148"/>
        <v>12386.099999999999</v>
      </c>
      <c r="AF383" s="21">
        <v>6.5000000000000002E-2</v>
      </c>
      <c r="AG383" s="10">
        <f t="shared" si="160"/>
        <v>805.09649999999988</v>
      </c>
      <c r="AH383" s="64">
        <f t="shared" si="149"/>
        <v>54.978000000000009</v>
      </c>
      <c r="AI383" s="9">
        <f t="shared" si="150"/>
        <v>11581.003499999999</v>
      </c>
      <c r="AJ383" s="5">
        <v>0.18</v>
      </c>
      <c r="AK383" s="11">
        <f t="shared" si="151"/>
        <v>2084.5806299999999</v>
      </c>
      <c r="AL383" s="9">
        <f t="shared" si="152"/>
        <v>13665.584129999999</v>
      </c>
      <c r="AP383" s="12"/>
    </row>
    <row r="384" spans="1:42" x14ac:dyDescent="0.35">
      <c r="A384" s="71">
        <v>46203</v>
      </c>
      <c r="B384" s="72" t="s">
        <v>67</v>
      </c>
      <c r="C384" s="74">
        <v>1176.7759999954201</v>
      </c>
      <c r="D384" s="74">
        <v>40948.753804686399</v>
      </c>
      <c r="E384" s="62" t="s">
        <v>68</v>
      </c>
      <c r="F384" s="19" t="s">
        <v>69</v>
      </c>
      <c r="G384" s="19" t="s">
        <v>536</v>
      </c>
      <c r="H384" s="19" t="s">
        <v>99</v>
      </c>
      <c r="I384" s="6" t="s">
        <v>310</v>
      </c>
      <c r="J384" s="55">
        <v>40</v>
      </c>
      <c r="K384" s="20">
        <v>20</v>
      </c>
      <c r="L384" s="20">
        <v>20</v>
      </c>
      <c r="M384" s="20"/>
      <c r="N384" s="8">
        <f t="shared" si="145"/>
        <v>40</v>
      </c>
      <c r="O384" s="18">
        <v>15</v>
      </c>
      <c r="P384" s="18">
        <v>10</v>
      </c>
      <c r="Q384" s="20">
        <v>15</v>
      </c>
      <c r="R384" s="8">
        <f t="shared" si="144"/>
        <v>40</v>
      </c>
      <c r="S384" s="18">
        <f t="shared" si="153"/>
        <v>120</v>
      </c>
      <c r="T384" s="18">
        <f t="shared" si="154"/>
        <v>2</v>
      </c>
      <c r="U384" s="18">
        <f t="shared" si="155"/>
        <v>2</v>
      </c>
      <c r="V384" s="18">
        <f t="shared" si="156"/>
        <v>0</v>
      </c>
      <c r="W384" s="8">
        <f t="shared" si="146"/>
        <v>4</v>
      </c>
      <c r="X384" s="18">
        <f t="shared" si="157"/>
        <v>1.5</v>
      </c>
      <c r="Y384" s="18">
        <f t="shared" si="158"/>
        <v>1</v>
      </c>
      <c r="Z384" s="18">
        <f t="shared" si="159"/>
        <v>1.5</v>
      </c>
      <c r="AA384" s="8">
        <f t="shared" si="147"/>
        <v>4</v>
      </c>
      <c r="AB384" s="8">
        <v>39.270000000000003</v>
      </c>
      <c r="AC384" s="8">
        <v>52.462499999999999</v>
      </c>
      <c r="AD384" s="8">
        <v>72.64</v>
      </c>
      <c r="AE384" s="9">
        <f t="shared" si="148"/>
        <v>12386.099999999999</v>
      </c>
      <c r="AF384" s="21">
        <v>6.5000000000000002E-2</v>
      </c>
      <c r="AG384" s="10">
        <f t="shared" si="160"/>
        <v>805.09649999999988</v>
      </c>
      <c r="AH384" s="64">
        <f t="shared" si="149"/>
        <v>54.978000000000009</v>
      </c>
      <c r="AI384" s="9">
        <f t="shared" si="150"/>
        <v>11581.003499999999</v>
      </c>
      <c r="AJ384" s="5">
        <v>0.18</v>
      </c>
      <c r="AK384" s="11">
        <f t="shared" si="151"/>
        <v>2084.5806299999999</v>
      </c>
      <c r="AL384" s="9">
        <f t="shared" si="152"/>
        <v>13665.584129999999</v>
      </c>
      <c r="AP384" s="12"/>
    </row>
    <row r="385" spans="1:42" x14ac:dyDescent="0.35">
      <c r="A385" s="71">
        <v>46203</v>
      </c>
      <c r="B385" s="72" t="s">
        <v>67</v>
      </c>
      <c r="C385" s="74">
        <v>1176.7759999954201</v>
      </c>
      <c r="D385" s="74">
        <v>40948.753804686399</v>
      </c>
      <c r="E385" s="62" t="s">
        <v>68</v>
      </c>
      <c r="F385" s="19" t="s">
        <v>69</v>
      </c>
      <c r="G385" s="19" t="s">
        <v>188</v>
      </c>
      <c r="H385" s="19" t="s">
        <v>99</v>
      </c>
      <c r="I385" s="6" t="s">
        <v>310</v>
      </c>
      <c r="J385" s="6">
        <v>40</v>
      </c>
      <c r="K385" s="20"/>
      <c r="L385" s="20"/>
      <c r="M385" s="20"/>
      <c r="N385" s="8">
        <f t="shared" si="145"/>
        <v>0</v>
      </c>
      <c r="O385" s="18">
        <v>15</v>
      </c>
      <c r="P385" s="18">
        <v>10</v>
      </c>
      <c r="Q385" s="20">
        <v>15</v>
      </c>
      <c r="R385" s="8">
        <f t="shared" si="144"/>
        <v>40</v>
      </c>
      <c r="S385" s="18">
        <f t="shared" si="153"/>
        <v>80</v>
      </c>
      <c r="T385" s="18">
        <f t="shared" si="154"/>
        <v>0</v>
      </c>
      <c r="U385" s="18">
        <f t="shared" si="155"/>
        <v>0</v>
      </c>
      <c r="V385" s="18">
        <f t="shared" si="156"/>
        <v>0</v>
      </c>
      <c r="W385" s="8">
        <f t="shared" si="146"/>
        <v>0</v>
      </c>
      <c r="X385" s="18">
        <f t="shared" si="157"/>
        <v>1.5</v>
      </c>
      <c r="Y385" s="18">
        <f t="shared" si="158"/>
        <v>1</v>
      </c>
      <c r="Z385" s="18">
        <f t="shared" si="159"/>
        <v>1.5</v>
      </c>
      <c r="AA385" s="8">
        <f t="shared" si="147"/>
        <v>4</v>
      </c>
      <c r="AB385" s="8">
        <v>39.270000000000003</v>
      </c>
      <c r="AC385" s="8">
        <v>52.462499999999999</v>
      </c>
      <c r="AD385" s="8">
        <v>72.64</v>
      </c>
      <c r="AE385" s="9">
        <f t="shared" si="148"/>
        <v>7382</v>
      </c>
      <c r="AF385" s="21">
        <v>6.5000000000000002E-2</v>
      </c>
      <c r="AG385" s="10">
        <f t="shared" si="160"/>
        <v>479.83000000000004</v>
      </c>
      <c r="AH385" s="64">
        <f t="shared" si="149"/>
        <v>54.978000000000009</v>
      </c>
      <c r="AI385" s="9">
        <f t="shared" si="150"/>
        <v>6902.17</v>
      </c>
      <c r="AJ385" s="5">
        <v>0.18</v>
      </c>
      <c r="AK385" s="11">
        <f t="shared" si="151"/>
        <v>1242.3905999999999</v>
      </c>
      <c r="AL385" s="9">
        <f t="shared" si="152"/>
        <v>8144.5605999999998</v>
      </c>
      <c r="AP385" s="12"/>
    </row>
    <row r="386" spans="1:42" x14ac:dyDescent="0.35">
      <c r="A386" s="71">
        <v>46203</v>
      </c>
      <c r="B386" s="72" t="s">
        <v>67</v>
      </c>
      <c r="C386" s="74">
        <v>1176.7759999954201</v>
      </c>
      <c r="D386" s="74">
        <v>40948.753804686399</v>
      </c>
      <c r="E386" s="62" t="s">
        <v>68</v>
      </c>
      <c r="F386" s="19" t="s">
        <v>69</v>
      </c>
      <c r="G386" s="19" t="s">
        <v>537</v>
      </c>
      <c r="H386" s="19" t="s">
        <v>99</v>
      </c>
      <c r="I386" s="6" t="s">
        <v>310</v>
      </c>
      <c r="J386" s="6">
        <v>10</v>
      </c>
      <c r="K386" s="20"/>
      <c r="L386" s="20"/>
      <c r="M386" s="20"/>
      <c r="N386" s="8">
        <f t="shared" si="145"/>
        <v>0</v>
      </c>
      <c r="O386" s="18"/>
      <c r="P386" s="18"/>
      <c r="Q386" s="18"/>
      <c r="R386" s="8">
        <f t="shared" si="144"/>
        <v>0</v>
      </c>
      <c r="S386" s="18">
        <f t="shared" si="153"/>
        <v>10</v>
      </c>
      <c r="T386" s="18">
        <f t="shared" si="154"/>
        <v>0</v>
      </c>
      <c r="U386" s="18">
        <f t="shared" si="155"/>
        <v>0</v>
      </c>
      <c r="V386" s="18">
        <f t="shared" si="156"/>
        <v>0</v>
      </c>
      <c r="W386" s="8">
        <f t="shared" si="146"/>
        <v>0</v>
      </c>
      <c r="X386" s="18">
        <f t="shared" si="157"/>
        <v>0</v>
      </c>
      <c r="Y386" s="18">
        <f t="shared" si="158"/>
        <v>0</v>
      </c>
      <c r="Z386" s="18">
        <f t="shared" si="159"/>
        <v>0</v>
      </c>
      <c r="AA386" s="8">
        <f t="shared" si="147"/>
        <v>0</v>
      </c>
      <c r="AB386" s="8">
        <v>39.270000000000003</v>
      </c>
      <c r="AC386" s="8">
        <v>52.462499999999999</v>
      </c>
      <c r="AD386" s="8">
        <v>72.64</v>
      </c>
      <c r="AE386" s="9">
        <f t="shared" si="148"/>
        <v>1119.0999999999999</v>
      </c>
      <c r="AF386" s="21">
        <v>6.5000000000000002E-2</v>
      </c>
      <c r="AG386" s="10">
        <f t="shared" si="160"/>
        <v>72.741500000000002</v>
      </c>
      <c r="AH386" s="64">
        <f t="shared" si="149"/>
        <v>13.744500000000002</v>
      </c>
      <c r="AI386" s="9">
        <f t="shared" si="150"/>
        <v>1046.3584999999998</v>
      </c>
      <c r="AJ386" s="5">
        <v>0.18</v>
      </c>
      <c r="AK386" s="11">
        <f t="shared" si="151"/>
        <v>188.34452999999996</v>
      </c>
      <c r="AL386" s="9">
        <f t="shared" si="152"/>
        <v>1234.7030299999997</v>
      </c>
      <c r="AP386" s="12"/>
    </row>
    <row r="387" spans="1:42" x14ac:dyDescent="0.35">
      <c r="A387" s="71">
        <v>46203</v>
      </c>
      <c r="B387" s="72" t="s">
        <v>67</v>
      </c>
      <c r="C387" s="74">
        <v>1176.7759999954201</v>
      </c>
      <c r="D387" s="74">
        <v>40948.753804686399</v>
      </c>
      <c r="E387" s="62" t="s">
        <v>68</v>
      </c>
      <c r="F387" s="19" t="s">
        <v>69</v>
      </c>
      <c r="G387" s="19" t="s">
        <v>192</v>
      </c>
      <c r="H387" s="19" t="s">
        <v>99</v>
      </c>
      <c r="I387" s="6" t="s">
        <v>310</v>
      </c>
      <c r="J387" s="6">
        <v>10</v>
      </c>
      <c r="K387" s="20">
        <v>6</v>
      </c>
      <c r="L387" s="20">
        <v>6</v>
      </c>
      <c r="M387" s="20"/>
      <c r="N387" s="8">
        <f t="shared" si="145"/>
        <v>12</v>
      </c>
      <c r="O387" s="20"/>
      <c r="P387" s="18"/>
      <c r="Q387" s="18"/>
      <c r="R387" s="8">
        <f t="shared" ref="R387:R424" si="161">SUM(O387:Q387)</f>
        <v>0</v>
      </c>
      <c r="S387" s="18">
        <f t="shared" si="153"/>
        <v>22</v>
      </c>
      <c r="T387" s="18">
        <f t="shared" si="154"/>
        <v>0.6</v>
      </c>
      <c r="U387" s="18">
        <f t="shared" si="155"/>
        <v>0.6</v>
      </c>
      <c r="V387" s="18">
        <f t="shared" si="156"/>
        <v>0</v>
      </c>
      <c r="W387" s="8">
        <f t="shared" si="146"/>
        <v>1.2</v>
      </c>
      <c r="X387" s="18">
        <f t="shared" si="157"/>
        <v>0</v>
      </c>
      <c r="Y387" s="18">
        <f t="shared" si="158"/>
        <v>0</v>
      </c>
      <c r="Z387" s="18">
        <f t="shared" si="159"/>
        <v>0</v>
      </c>
      <c r="AA387" s="8">
        <f t="shared" si="147"/>
        <v>0</v>
      </c>
      <c r="AB387" s="8">
        <v>39.270000000000003</v>
      </c>
      <c r="AC387" s="8">
        <v>52.462499999999999</v>
      </c>
      <c r="AD387" s="8">
        <v>72.64</v>
      </c>
      <c r="AE387" s="9">
        <f t="shared" si="148"/>
        <v>2620.33</v>
      </c>
      <c r="AF387" s="21">
        <v>6.5000000000000002E-2</v>
      </c>
      <c r="AG387" s="10">
        <f t="shared" si="160"/>
        <v>170.32145</v>
      </c>
      <c r="AH387" s="64">
        <f t="shared" si="149"/>
        <v>13.744500000000002</v>
      </c>
      <c r="AI387" s="9">
        <f t="shared" si="150"/>
        <v>2450.00855</v>
      </c>
      <c r="AJ387" s="5">
        <v>0.18</v>
      </c>
      <c r="AK387" s="11">
        <f t="shared" si="151"/>
        <v>441.00153899999998</v>
      </c>
      <c r="AL387" s="9">
        <f t="shared" si="152"/>
        <v>2891.0100889999999</v>
      </c>
      <c r="AP387" s="12"/>
    </row>
    <row r="388" spans="1:42" x14ac:dyDescent="0.35">
      <c r="A388" s="71">
        <v>46203</v>
      </c>
      <c r="B388" s="72" t="s">
        <v>67</v>
      </c>
      <c r="C388" s="74">
        <v>1176.7759999954201</v>
      </c>
      <c r="D388" s="74">
        <v>40948.753804686399</v>
      </c>
      <c r="E388" s="62" t="s">
        <v>68</v>
      </c>
      <c r="F388" s="19" t="s">
        <v>69</v>
      </c>
      <c r="G388" s="19" t="s">
        <v>538</v>
      </c>
      <c r="H388" s="19" t="s">
        <v>99</v>
      </c>
      <c r="I388" s="6" t="s">
        <v>310</v>
      </c>
      <c r="J388" s="6">
        <v>10</v>
      </c>
      <c r="K388" s="18"/>
      <c r="L388" s="18"/>
      <c r="M388" s="18"/>
      <c r="N388" s="8">
        <f t="shared" ref="N388:N424" si="162">K388+L388+M388</f>
        <v>0</v>
      </c>
      <c r="O388" s="18"/>
      <c r="P388" s="18"/>
      <c r="Q388" s="18"/>
      <c r="R388" s="8">
        <f t="shared" si="161"/>
        <v>0</v>
      </c>
      <c r="S388" s="18">
        <f t="shared" si="153"/>
        <v>10</v>
      </c>
      <c r="T388" s="18">
        <f t="shared" si="154"/>
        <v>0</v>
      </c>
      <c r="U388" s="18">
        <f t="shared" si="155"/>
        <v>0</v>
      </c>
      <c r="V388" s="18">
        <f t="shared" si="156"/>
        <v>0</v>
      </c>
      <c r="W388" s="8">
        <f t="shared" si="146"/>
        <v>0</v>
      </c>
      <c r="X388" s="18">
        <f t="shared" si="157"/>
        <v>0</v>
      </c>
      <c r="Y388" s="18">
        <f t="shared" si="158"/>
        <v>0</v>
      </c>
      <c r="Z388" s="18">
        <f t="shared" si="159"/>
        <v>0</v>
      </c>
      <c r="AA388" s="8">
        <f t="shared" si="147"/>
        <v>0</v>
      </c>
      <c r="AB388" s="8">
        <v>39.270000000000003</v>
      </c>
      <c r="AC388" s="8">
        <v>52.462499999999999</v>
      </c>
      <c r="AD388" s="8">
        <v>72.64</v>
      </c>
      <c r="AE388" s="9">
        <f t="shared" si="148"/>
        <v>1119.0999999999999</v>
      </c>
      <c r="AF388" s="21">
        <v>6.5000000000000002E-2</v>
      </c>
      <c r="AG388" s="10">
        <f t="shared" si="160"/>
        <v>72.741500000000002</v>
      </c>
      <c r="AH388" s="64">
        <f t="shared" si="149"/>
        <v>13.744500000000002</v>
      </c>
      <c r="AI388" s="9">
        <f t="shared" si="150"/>
        <v>1046.3584999999998</v>
      </c>
      <c r="AJ388" s="5">
        <v>0.18</v>
      </c>
      <c r="AK388" s="11">
        <f t="shared" si="151"/>
        <v>188.34452999999996</v>
      </c>
      <c r="AL388" s="9">
        <f t="shared" si="152"/>
        <v>1234.7030299999997</v>
      </c>
      <c r="AP388" s="12"/>
    </row>
    <row r="389" spans="1:42" x14ac:dyDescent="0.35">
      <c r="A389" s="71">
        <v>46203</v>
      </c>
      <c r="B389" s="72" t="s">
        <v>67</v>
      </c>
      <c r="C389" s="74">
        <v>1176.7759999954201</v>
      </c>
      <c r="D389" s="74">
        <v>40948.753804686399</v>
      </c>
      <c r="E389" s="62" t="s">
        <v>68</v>
      </c>
      <c r="F389" s="19" t="s">
        <v>69</v>
      </c>
      <c r="G389" s="19" t="s">
        <v>184</v>
      </c>
      <c r="H389" s="19" t="s">
        <v>99</v>
      </c>
      <c r="I389" s="6" t="s">
        <v>310</v>
      </c>
      <c r="J389" s="6">
        <v>10</v>
      </c>
      <c r="K389" s="20"/>
      <c r="L389" s="20"/>
      <c r="M389" s="20"/>
      <c r="N389" s="8">
        <f t="shared" si="162"/>
        <v>0</v>
      </c>
      <c r="O389" s="18"/>
      <c r="P389" s="20"/>
      <c r="Q389" s="18"/>
      <c r="R389" s="8">
        <f t="shared" si="161"/>
        <v>0</v>
      </c>
      <c r="S389" s="18">
        <f t="shared" si="153"/>
        <v>10</v>
      </c>
      <c r="T389" s="18">
        <f t="shared" si="154"/>
        <v>0</v>
      </c>
      <c r="U389" s="18">
        <f t="shared" si="155"/>
        <v>0</v>
      </c>
      <c r="V389" s="18">
        <f t="shared" si="156"/>
        <v>0</v>
      </c>
      <c r="W389" s="8">
        <f t="shared" si="146"/>
        <v>0</v>
      </c>
      <c r="X389" s="18">
        <f t="shared" si="157"/>
        <v>0</v>
      </c>
      <c r="Y389" s="18">
        <f t="shared" si="158"/>
        <v>0</v>
      </c>
      <c r="Z389" s="18">
        <f t="shared" si="159"/>
        <v>0</v>
      </c>
      <c r="AA389" s="8">
        <f t="shared" si="147"/>
        <v>0</v>
      </c>
      <c r="AB389" s="8">
        <v>39.270000000000003</v>
      </c>
      <c r="AC389" s="8">
        <v>52.462499999999999</v>
      </c>
      <c r="AD389" s="8">
        <v>72.64</v>
      </c>
      <c r="AE389" s="9">
        <f t="shared" si="148"/>
        <v>1119.0999999999999</v>
      </c>
      <c r="AF389" s="21">
        <v>6.5000000000000002E-2</v>
      </c>
      <c r="AG389" s="10">
        <f t="shared" si="160"/>
        <v>72.741500000000002</v>
      </c>
      <c r="AH389" s="64">
        <f t="shared" si="149"/>
        <v>13.744500000000002</v>
      </c>
      <c r="AI389" s="9">
        <f t="shared" si="150"/>
        <v>1046.3584999999998</v>
      </c>
      <c r="AJ389" s="5">
        <v>0.18</v>
      </c>
      <c r="AK389" s="11">
        <f t="shared" si="151"/>
        <v>188.34452999999996</v>
      </c>
      <c r="AL389" s="9">
        <f t="shared" si="152"/>
        <v>1234.7030299999997</v>
      </c>
      <c r="AP389" s="12"/>
    </row>
    <row r="390" spans="1:42" x14ac:dyDescent="0.35">
      <c r="A390" s="71">
        <v>46203</v>
      </c>
      <c r="B390" s="72" t="s">
        <v>67</v>
      </c>
      <c r="C390" s="74">
        <v>1176.7759999954201</v>
      </c>
      <c r="D390" s="74">
        <v>40948.753804686399</v>
      </c>
      <c r="E390" s="62" t="s">
        <v>68</v>
      </c>
      <c r="F390" s="19" t="s">
        <v>69</v>
      </c>
      <c r="G390" s="19" t="s">
        <v>539</v>
      </c>
      <c r="H390" s="19" t="s">
        <v>99</v>
      </c>
      <c r="I390" s="6" t="s">
        <v>310</v>
      </c>
      <c r="J390" s="6">
        <v>10</v>
      </c>
      <c r="K390" s="20"/>
      <c r="L390" s="20"/>
      <c r="M390" s="20"/>
      <c r="N390" s="8">
        <f t="shared" si="162"/>
        <v>0</v>
      </c>
      <c r="O390" s="18"/>
      <c r="P390" s="18"/>
      <c r="Q390" s="18"/>
      <c r="R390" s="8">
        <f t="shared" si="161"/>
        <v>0</v>
      </c>
      <c r="S390" s="18">
        <f t="shared" si="153"/>
        <v>10</v>
      </c>
      <c r="T390" s="18">
        <f t="shared" si="154"/>
        <v>0</v>
      </c>
      <c r="U390" s="18">
        <f t="shared" si="155"/>
        <v>0</v>
      </c>
      <c r="V390" s="18">
        <f t="shared" si="156"/>
        <v>0</v>
      </c>
      <c r="W390" s="8">
        <f t="shared" si="146"/>
        <v>0</v>
      </c>
      <c r="X390" s="18">
        <f t="shared" si="157"/>
        <v>0</v>
      </c>
      <c r="Y390" s="18">
        <f t="shared" si="158"/>
        <v>0</v>
      </c>
      <c r="Z390" s="18">
        <f t="shared" si="159"/>
        <v>0</v>
      </c>
      <c r="AA390" s="8">
        <f t="shared" si="147"/>
        <v>0</v>
      </c>
      <c r="AB390" s="8">
        <v>39.270000000000003</v>
      </c>
      <c r="AC390" s="8">
        <v>52.462499999999999</v>
      </c>
      <c r="AD390" s="8">
        <v>72.64</v>
      </c>
      <c r="AE390" s="9">
        <f t="shared" si="148"/>
        <v>1119.0999999999999</v>
      </c>
      <c r="AF390" s="21">
        <v>6.5000000000000002E-2</v>
      </c>
      <c r="AG390" s="10">
        <f t="shared" si="160"/>
        <v>72.741500000000002</v>
      </c>
      <c r="AH390" s="64">
        <f t="shared" si="149"/>
        <v>13.744500000000002</v>
      </c>
      <c r="AI390" s="9">
        <f t="shared" si="150"/>
        <v>1046.3584999999998</v>
      </c>
      <c r="AJ390" s="5">
        <v>0.18</v>
      </c>
      <c r="AK390" s="11">
        <f t="shared" si="151"/>
        <v>188.34452999999996</v>
      </c>
      <c r="AL390" s="9">
        <f t="shared" si="152"/>
        <v>1234.7030299999997</v>
      </c>
      <c r="AP390" s="12"/>
    </row>
    <row r="391" spans="1:42" x14ac:dyDescent="0.35">
      <c r="A391" s="71">
        <v>46203</v>
      </c>
      <c r="B391" s="72" t="s">
        <v>67</v>
      </c>
      <c r="C391" s="74">
        <v>1176.7759999954201</v>
      </c>
      <c r="D391" s="74">
        <v>40948.753804686399</v>
      </c>
      <c r="E391" s="62" t="s">
        <v>68</v>
      </c>
      <c r="F391" s="19" t="s">
        <v>69</v>
      </c>
      <c r="G391" s="19" t="s">
        <v>540</v>
      </c>
      <c r="H391" s="19" t="s">
        <v>99</v>
      </c>
      <c r="I391" s="6" t="s">
        <v>310</v>
      </c>
      <c r="J391" s="6">
        <v>10</v>
      </c>
      <c r="K391" s="20"/>
      <c r="L391" s="20"/>
      <c r="M391" s="20"/>
      <c r="N391" s="8">
        <f t="shared" si="162"/>
        <v>0</v>
      </c>
      <c r="O391" s="18"/>
      <c r="P391" s="18"/>
      <c r="Q391" s="18"/>
      <c r="R391" s="8">
        <f t="shared" si="161"/>
        <v>0</v>
      </c>
      <c r="S391" s="18">
        <f t="shared" si="153"/>
        <v>10</v>
      </c>
      <c r="T391" s="18">
        <f t="shared" si="154"/>
        <v>0</v>
      </c>
      <c r="U391" s="18">
        <f t="shared" si="155"/>
        <v>0</v>
      </c>
      <c r="V391" s="18">
        <f t="shared" si="156"/>
        <v>0</v>
      </c>
      <c r="W391" s="8">
        <f t="shared" si="146"/>
        <v>0</v>
      </c>
      <c r="X391" s="18">
        <f t="shared" si="157"/>
        <v>0</v>
      </c>
      <c r="Y391" s="18">
        <f t="shared" si="158"/>
        <v>0</v>
      </c>
      <c r="Z391" s="18">
        <f t="shared" si="159"/>
        <v>0</v>
      </c>
      <c r="AA391" s="8">
        <f t="shared" si="147"/>
        <v>0</v>
      </c>
      <c r="AB391" s="8">
        <v>39.270000000000003</v>
      </c>
      <c r="AC391" s="8">
        <v>52.462499999999999</v>
      </c>
      <c r="AD391" s="8">
        <v>72.64</v>
      </c>
      <c r="AE391" s="9">
        <f t="shared" si="148"/>
        <v>1119.0999999999999</v>
      </c>
      <c r="AF391" s="21">
        <v>6.5000000000000002E-2</v>
      </c>
      <c r="AG391" s="10">
        <f t="shared" si="160"/>
        <v>72.741500000000002</v>
      </c>
      <c r="AH391" s="64">
        <f t="shared" si="149"/>
        <v>13.744500000000002</v>
      </c>
      <c r="AI391" s="9">
        <f t="shared" si="150"/>
        <v>1046.3584999999998</v>
      </c>
      <c r="AJ391" s="5">
        <v>0.18</v>
      </c>
      <c r="AK391" s="11">
        <f t="shared" si="151"/>
        <v>188.34452999999996</v>
      </c>
      <c r="AL391" s="9">
        <f t="shared" si="152"/>
        <v>1234.7030299999997</v>
      </c>
      <c r="AP391" s="12"/>
    </row>
    <row r="392" spans="1:42" x14ac:dyDescent="0.35">
      <c r="A392" s="71">
        <v>46203</v>
      </c>
      <c r="B392" s="72" t="s">
        <v>67</v>
      </c>
      <c r="C392" s="74">
        <v>1176.7759999954201</v>
      </c>
      <c r="D392" s="74">
        <v>40948.753804686399</v>
      </c>
      <c r="E392" s="62" t="s">
        <v>68</v>
      </c>
      <c r="F392" s="19" t="s">
        <v>298</v>
      </c>
      <c r="G392" s="19" t="s">
        <v>541</v>
      </c>
      <c r="H392" s="19" t="s">
        <v>99</v>
      </c>
      <c r="I392" s="6" t="s">
        <v>310</v>
      </c>
      <c r="J392" s="6">
        <v>10</v>
      </c>
      <c r="K392" s="18"/>
      <c r="L392" s="18"/>
      <c r="M392" s="18"/>
      <c r="N392" s="8">
        <f t="shared" si="162"/>
        <v>0</v>
      </c>
      <c r="O392" s="18"/>
      <c r="P392" s="18"/>
      <c r="Q392" s="18"/>
      <c r="R392" s="8">
        <f t="shared" si="161"/>
        <v>0</v>
      </c>
      <c r="S392" s="18">
        <f t="shared" si="153"/>
        <v>10</v>
      </c>
      <c r="T392" s="18">
        <f t="shared" si="154"/>
        <v>0</v>
      </c>
      <c r="U392" s="18">
        <f t="shared" si="155"/>
        <v>0</v>
      </c>
      <c r="V392" s="18">
        <f t="shared" si="156"/>
        <v>0</v>
      </c>
      <c r="W392" s="8">
        <f t="shared" si="146"/>
        <v>0</v>
      </c>
      <c r="X392" s="18">
        <f t="shared" si="157"/>
        <v>0</v>
      </c>
      <c r="Y392" s="18">
        <f t="shared" si="158"/>
        <v>0</v>
      </c>
      <c r="Z392" s="18">
        <f t="shared" si="159"/>
        <v>0</v>
      </c>
      <c r="AA392" s="8">
        <f t="shared" si="147"/>
        <v>0</v>
      </c>
      <c r="AB392" s="8">
        <v>39.270000000000003</v>
      </c>
      <c r="AC392" s="8">
        <v>52.462499999999999</v>
      </c>
      <c r="AD392" s="8">
        <v>72.64</v>
      </c>
      <c r="AE392" s="9">
        <f t="shared" si="148"/>
        <v>1119.0999999999999</v>
      </c>
      <c r="AF392" s="21">
        <v>0.14000000000000001</v>
      </c>
      <c r="AG392" s="10">
        <f t="shared" si="160"/>
        <v>156.67400000000001</v>
      </c>
      <c r="AH392" s="64">
        <f t="shared" si="149"/>
        <v>13.744500000000002</v>
      </c>
      <c r="AI392" s="9">
        <f t="shared" si="150"/>
        <v>962.42599999999993</v>
      </c>
      <c r="AJ392" s="5">
        <v>0.18</v>
      </c>
      <c r="AK392" s="11">
        <f t="shared" si="151"/>
        <v>173.23667999999998</v>
      </c>
      <c r="AL392" s="9">
        <f t="shared" si="152"/>
        <v>1135.6626799999999</v>
      </c>
      <c r="AP392" s="12"/>
    </row>
    <row r="393" spans="1:42" x14ac:dyDescent="0.35">
      <c r="A393" s="71">
        <v>46203</v>
      </c>
      <c r="B393" s="72" t="s">
        <v>67</v>
      </c>
      <c r="C393" s="74">
        <v>1176.7759999954201</v>
      </c>
      <c r="D393" s="74">
        <v>40948.753804686399</v>
      </c>
      <c r="E393" s="62" t="s">
        <v>68</v>
      </c>
      <c r="F393" s="19" t="s">
        <v>298</v>
      </c>
      <c r="G393" s="19" t="s">
        <v>542</v>
      </c>
      <c r="H393" s="19" t="s">
        <v>99</v>
      </c>
      <c r="I393" s="6" t="s">
        <v>310</v>
      </c>
      <c r="J393" s="6">
        <v>10</v>
      </c>
      <c r="K393" s="18"/>
      <c r="L393" s="18"/>
      <c r="M393" s="18"/>
      <c r="N393" s="8">
        <f t="shared" si="162"/>
        <v>0</v>
      </c>
      <c r="O393" s="18"/>
      <c r="P393" s="18"/>
      <c r="Q393" s="18"/>
      <c r="R393" s="8">
        <f t="shared" si="161"/>
        <v>0</v>
      </c>
      <c r="S393" s="18">
        <f t="shared" si="153"/>
        <v>10</v>
      </c>
      <c r="T393" s="18">
        <f t="shared" si="154"/>
        <v>0</v>
      </c>
      <c r="U393" s="18">
        <f t="shared" si="155"/>
        <v>0</v>
      </c>
      <c r="V393" s="18">
        <f t="shared" si="156"/>
        <v>0</v>
      </c>
      <c r="W393" s="8">
        <f t="shared" si="146"/>
        <v>0</v>
      </c>
      <c r="X393" s="18">
        <f t="shared" si="157"/>
        <v>0</v>
      </c>
      <c r="Y393" s="18">
        <f t="shared" si="158"/>
        <v>0</v>
      </c>
      <c r="Z393" s="18">
        <f t="shared" si="159"/>
        <v>0</v>
      </c>
      <c r="AA393" s="8">
        <f t="shared" si="147"/>
        <v>0</v>
      </c>
      <c r="AB393" s="8">
        <v>39.270000000000003</v>
      </c>
      <c r="AC393" s="8">
        <v>52.462499999999999</v>
      </c>
      <c r="AD393" s="8">
        <v>72.64</v>
      </c>
      <c r="AE393" s="9">
        <f t="shared" si="148"/>
        <v>1119.0999999999999</v>
      </c>
      <c r="AF393" s="21">
        <v>0.14000000000000001</v>
      </c>
      <c r="AG393" s="10">
        <f t="shared" si="160"/>
        <v>156.67400000000001</v>
      </c>
      <c r="AH393" s="64">
        <f t="shared" si="149"/>
        <v>13.744500000000002</v>
      </c>
      <c r="AI393" s="9">
        <f t="shared" si="150"/>
        <v>962.42599999999993</v>
      </c>
      <c r="AJ393" s="5">
        <v>0.18</v>
      </c>
      <c r="AK393" s="11">
        <f t="shared" si="151"/>
        <v>173.23667999999998</v>
      </c>
      <c r="AL393" s="9">
        <f t="shared" si="152"/>
        <v>1135.6626799999999</v>
      </c>
      <c r="AP393" s="12"/>
    </row>
    <row r="394" spans="1:42" x14ac:dyDescent="0.35">
      <c r="A394" s="71">
        <v>46203</v>
      </c>
      <c r="B394" s="72" t="s">
        <v>67</v>
      </c>
      <c r="C394" s="74">
        <v>1176.7759999954201</v>
      </c>
      <c r="D394" s="74">
        <v>40948.753804686399</v>
      </c>
      <c r="E394" s="62" t="s">
        <v>68</v>
      </c>
      <c r="F394" s="19" t="s">
        <v>298</v>
      </c>
      <c r="G394" s="19" t="s">
        <v>543</v>
      </c>
      <c r="H394" s="19" t="s">
        <v>99</v>
      </c>
      <c r="I394" s="6" t="s">
        <v>310</v>
      </c>
      <c r="J394" s="6">
        <v>40</v>
      </c>
      <c r="K394" s="20"/>
      <c r="L394" s="20"/>
      <c r="M394" s="20"/>
      <c r="N394" s="8">
        <f t="shared" si="162"/>
        <v>0</v>
      </c>
      <c r="O394" s="18"/>
      <c r="P394" s="18"/>
      <c r="Q394" s="18"/>
      <c r="R394" s="8">
        <f t="shared" si="161"/>
        <v>0</v>
      </c>
      <c r="S394" s="18">
        <f t="shared" si="153"/>
        <v>40</v>
      </c>
      <c r="T394" s="18">
        <f t="shared" si="154"/>
        <v>0</v>
      </c>
      <c r="U394" s="18">
        <f t="shared" si="155"/>
        <v>0</v>
      </c>
      <c r="V394" s="18">
        <f t="shared" si="156"/>
        <v>0</v>
      </c>
      <c r="W394" s="8">
        <f t="shared" si="146"/>
        <v>0</v>
      </c>
      <c r="X394" s="18">
        <f t="shared" si="157"/>
        <v>0</v>
      </c>
      <c r="Y394" s="18">
        <f t="shared" si="158"/>
        <v>0</v>
      </c>
      <c r="Z394" s="18">
        <f t="shared" si="159"/>
        <v>0</v>
      </c>
      <c r="AA394" s="8">
        <f t="shared" si="147"/>
        <v>0</v>
      </c>
      <c r="AB394" s="8">
        <v>39.270000000000003</v>
      </c>
      <c r="AC394" s="8">
        <v>52.462499999999999</v>
      </c>
      <c r="AD394" s="8">
        <v>72.64</v>
      </c>
      <c r="AE394" s="9">
        <f t="shared" si="148"/>
        <v>4476.3999999999996</v>
      </c>
      <c r="AF394" s="21">
        <v>6.5000000000000002E-2</v>
      </c>
      <c r="AG394" s="10">
        <f t="shared" si="160"/>
        <v>290.96600000000001</v>
      </c>
      <c r="AH394" s="64">
        <f t="shared" si="149"/>
        <v>54.978000000000009</v>
      </c>
      <c r="AI394" s="9">
        <f t="shared" si="150"/>
        <v>4185.4339999999993</v>
      </c>
      <c r="AJ394" s="5">
        <v>0.18</v>
      </c>
      <c r="AK394" s="11">
        <f t="shared" si="151"/>
        <v>753.37811999999985</v>
      </c>
      <c r="AL394" s="9">
        <f t="shared" si="152"/>
        <v>4938.8121199999987</v>
      </c>
      <c r="AP394" s="12"/>
    </row>
    <row r="395" spans="1:42" x14ac:dyDescent="0.35">
      <c r="A395" s="71">
        <v>46203</v>
      </c>
      <c r="B395" s="72" t="s">
        <v>67</v>
      </c>
      <c r="C395" s="74">
        <v>1176.7759999954201</v>
      </c>
      <c r="D395" s="74">
        <v>40948.753804686399</v>
      </c>
      <c r="E395" s="62" t="s">
        <v>68</v>
      </c>
      <c r="F395" s="19" t="s">
        <v>208</v>
      </c>
      <c r="G395" s="119" t="s">
        <v>328</v>
      </c>
      <c r="H395" s="19" t="s">
        <v>212</v>
      </c>
      <c r="I395" s="6" t="s">
        <v>544</v>
      </c>
      <c r="J395" s="6"/>
      <c r="K395" s="18">
        <v>40</v>
      </c>
      <c r="L395" s="18">
        <v>40</v>
      </c>
      <c r="M395" s="18"/>
      <c r="N395" s="8">
        <f t="shared" si="162"/>
        <v>80</v>
      </c>
      <c r="O395" s="18">
        <v>40</v>
      </c>
      <c r="P395" s="18">
        <v>40</v>
      </c>
      <c r="Q395" s="18">
        <v>40</v>
      </c>
      <c r="R395" s="8">
        <f t="shared" si="161"/>
        <v>120</v>
      </c>
      <c r="S395" s="18">
        <f t="shared" si="153"/>
        <v>200</v>
      </c>
      <c r="T395" s="18">
        <f t="shared" si="154"/>
        <v>4</v>
      </c>
      <c r="U395" s="18">
        <f t="shared" si="155"/>
        <v>4</v>
      </c>
      <c r="V395" s="18">
        <f t="shared" si="156"/>
        <v>0</v>
      </c>
      <c r="W395" s="8">
        <f t="shared" ref="W395:W424" si="163">N395/10</f>
        <v>8</v>
      </c>
      <c r="X395" s="18">
        <f t="shared" si="157"/>
        <v>4</v>
      </c>
      <c r="Y395" s="18">
        <f t="shared" si="158"/>
        <v>4</v>
      </c>
      <c r="Z395" s="18">
        <f t="shared" si="159"/>
        <v>4</v>
      </c>
      <c r="AA395" s="8">
        <f t="shared" ref="AA395:AA424" si="164">R395/10</f>
        <v>12</v>
      </c>
      <c r="AB395" s="8">
        <v>39.270000000000003</v>
      </c>
      <c r="AC395" s="8">
        <v>52.462499999999999</v>
      </c>
      <c r="AD395" s="8">
        <v>72.64</v>
      </c>
      <c r="AE395" s="9">
        <f t="shared" ref="AE395:AE424" si="165">(J395*AB395)+(N395*AC395)+(AD395*S395)</f>
        <v>18725</v>
      </c>
      <c r="AF395" s="21">
        <v>0.14000000000000001</v>
      </c>
      <c r="AG395" s="10">
        <f t="shared" si="160"/>
        <v>2621.5000000000005</v>
      </c>
      <c r="AH395" s="64">
        <f t="shared" ref="AH395:AH424" si="166">(AB395*J395)*$AH$1</f>
        <v>0</v>
      </c>
      <c r="AI395" s="9">
        <f t="shared" ref="AI395:AI424" si="167">AE395-AG395</f>
        <v>16103.5</v>
      </c>
      <c r="AJ395" s="5">
        <v>0.18</v>
      </c>
      <c r="AK395" s="11">
        <f t="shared" ref="AK395:AK424" si="168">AI395*AJ395</f>
        <v>2898.63</v>
      </c>
      <c r="AL395" s="9">
        <f t="shared" ref="AL395:AL424" si="169">AI395+AK395</f>
        <v>19002.13</v>
      </c>
      <c r="AP395" s="12"/>
    </row>
    <row r="396" spans="1:42" x14ac:dyDescent="0.35">
      <c r="A396" s="71">
        <v>46203</v>
      </c>
      <c r="B396" s="72" t="s">
        <v>67</v>
      </c>
      <c r="C396" s="74">
        <v>1176.7759999954201</v>
      </c>
      <c r="D396" s="74">
        <v>40948.753804686399</v>
      </c>
      <c r="E396" s="62" t="s">
        <v>68</v>
      </c>
      <c r="F396" s="19" t="s">
        <v>208</v>
      </c>
      <c r="G396" s="119" t="s">
        <v>328</v>
      </c>
      <c r="H396" s="19" t="s">
        <v>212</v>
      </c>
      <c r="I396" s="6" t="s">
        <v>545</v>
      </c>
      <c r="J396" s="55"/>
      <c r="K396" s="18">
        <v>80</v>
      </c>
      <c r="L396" s="18">
        <v>80</v>
      </c>
      <c r="M396" s="18"/>
      <c r="N396" s="8">
        <f t="shared" si="162"/>
        <v>160</v>
      </c>
      <c r="O396" s="18">
        <v>80</v>
      </c>
      <c r="P396" s="18">
        <v>80</v>
      </c>
      <c r="Q396" s="18">
        <v>80</v>
      </c>
      <c r="R396" s="8">
        <f t="shared" si="161"/>
        <v>240</v>
      </c>
      <c r="S396" s="18">
        <f t="shared" si="153"/>
        <v>400</v>
      </c>
      <c r="T396" s="18">
        <f t="shared" si="154"/>
        <v>8</v>
      </c>
      <c r="U396" s="18">
        <f t="shared" si="155"/>
        <v>8</v>
      </c>
      <c r="V396" s="18">
        <f t="shared" si="156"/>
        <v>0</v>
      </c>
      <c r="W396" s="8">
        <f t="shared" si="163"/>
        <v>16</v>
      </c>
      <c r="X396" s="18">
        <f t="shared" si="157"/>
        <v>8</v>
      </c>
      <c r="Y396" s="18">
        <f t="shared" si="158"/>
        <v>8</v>
      </c>
      <c r="Z396" s="18">
        <f t="shared" si="159"/>
        <v>8</v>
      </c>
      <c r="AA396" s="8">
        <f t="shared" si="164"/>
        <v>24</v>
      </c>
      <c r="AB396" s="8">
        <v>39.270000000000003</v>
      </c>
      <c r="AC396" s="8">
        <v>52.462499999999999</v>
      </c>
      <c r="AD396" s="8">
        <v>72.64</v>
      </c>
      <c r="AE396" s="9">
        <f t="shared" si="165"/>
        <v>37450</v>
      </c>
      <c r="AF396" s="21">
        <v>0.14000000000000001</v>
      </c>
      <c r="AG396" s="10">
        <f t="shared" si="160"/>
        <v>5243.0000000000009</v>
      </c>
      <c r="AH396" s="64">
        <f t="shared" si="166"/>
        <v>0</v>
      </c>
      <c r="AI396" s="9">
        <f t="shared" si="167"/>
        <v>32207</v>
      </c>
      <c r="AJ396" s="5">
        <v>0.18</v>
      </c>
      <c r="AK396" s="11">
        <f t="shared" si="168"/>
        <v>5797.26</v>
      </c>
      <c r="AL396" s="9">
        <f t="shared" si="169"/>
        <v>38004.26</v>
      </c>
      <c r="AP396" s="12"/>
    </row>
    <row r="397" spans="1:42" x14ac:dyDescent="0.35">
      <c r="A397" s="71">
        <v>46203</v>
      </c>
      <c r="B397" s="72" t="s">
        <v>67</v>
      </c>
      <c r="C397" s="74">
        <v>1176.7759999954201</v>
      </c>
      <c r="D397" s="74">
        <v>40948.753804686399</v>
      </c>
      <c r="E397" s="62" t="s">
        <v>68</v>
      </c>
      <c r="F397" s="19" t="s">
        <v>208</v>
      </c>
      <c r="G397" s="119" t="s">
        <v>328</v>
      </c>
      <c r="H397" s="19" t="s">
        <v>212</v>
      </c>
      <c r="I397" s="6" t="s">
        <v>405</v>
      </c>
      <c r="J397" s="55"/>
      <c r="K397" s="18">
        <v>40</v>
      </c>
      <c r="L397" s="18">
        <v>40</v>
      </c>
      <c r="M397" s="18"/>
      <c r="N397" s="8">
        <f t="shared" si="162"/>
        <v>80</v>
      </c>
      <c r="O397" s="18">
        <v>40</v>
      </c>
      <c r="P397" s="18">
        <v>40</v>
      </c>
      <c r="Q397" s="18">
        <v>40</v>
      </c>
      <c r="R397" s="8">
        <f t="shared" si="161"/>
        <v>120</v>
      </c>
      <c r="S397" s="18">
        <f t="shared" si="153"/>
        <v>200</v>
      </c>
      <c r="T397" s="18">
        <f t="shared" si="154"/>
        <v>4</v>
      </c>
      <c r="U397" s="18">
        <f t="shared" si="155"/>
        <v>4</v>
      </c>
      <c r="V397" s="18">
        <f t="shared" si="156"/>
        <v>0</v>
      </c>
      <c r="W397" s="8">
        <f t="shared" si="163"/>
        <v>8</v>
      </c>
      <c r="X397" s="18">
        <f t="shared" si="157"/>
        <v>4</v>
      </c>
      <c r="Y397" s="18">
        <f t="shared" si="158"/>
        <v>4</v>
      </c>
      <c r="Z397" s="18">
        <f t="shared" si="159"/>
        <v>4</v>
      </c>
      <c r="AA397" s="8">
        <f t="shared" si="164"/>
        <v>12</v>
      </c>
      <c r="AB397" s="8">
        <v>39.270000000000003</v>
      </c>
      <c r="AC397" s="8">
        <v>52.462499999999999</v>
      </c>
      <c r="AD397" s="8">
        <v>72.64</v>
      </c>
      <c r="AE397" s="9">
        <f t="shared" si="165"/>
        <v>18725</v>
      </c>
      <c r="AF397" s="21">
        <v>0.14000000000000001</v>
      </c>
      <c r="AG397" s="10">
        <f t="shared" si="160"/>
        <v>2621.5000000000005</v>
      </c>
      <c r="AH397" s="64">
        <f t="shared" si="166"/>
        <v>0</v>
      </c>
      <c r="AI397" s="9">
        <f t="shared" si="167"/>
        <v>16103.5</v>
      </c>
      <c r="AJ397" s="5">
        <v>0.18</v>
      </c>
      <c r="AK397" s="11">
        <f t="shared" si="168"/>
        <v>2898.63</v>
      </c>
      <c r="AL397" s="9">
        <f t="shared" si="169"/>
        <v>19002.13</v>
      </c>
      <c r="AP397" s="12"/>
    </row>
    <row r="398" spans="1:42" x14ac:dyDescent="0.35">
      <c r="A398" s="71">
        <v>46203</v>
      </c>
      <c r="B398" s="72" t="s">
        <v>67</v>
      </c>
      <c r="C398" s="74">
        <v>1176.7759999954201</v>
      </c>
      <c r="D398" s="74">
        <v>40948.753804686399</v>
      </c>
      <c r="E398" s="62" t="s">
        <v>68</v>
      </c>
      <c r="F398" s="19" t="s">
        <v>208</v>
      </c>
      <c r="G398" s="119" t="s">
        <v>328</v>
      </c>
      <c r="H398" s="19" t="s">
        <v>212</v>
      </c>
      <c r="I398" s="6" t="s">
        <v>546</v>
      </c>
      <c r="J398" s="55"/>
      <c r="K398" s="20">
        <v>40</v>
      </c>
      <c r="L398" s="20">
        <v>40</v>
      </c>
      <c r="M398" s="20"/>
      <c r="N398" s="8">
        <f t="shared" si="162"/>
        <v>80</v>
      </c>
      <c r="O398" s="18">
        <v>40</v>
      </c>
      <c r="P398" s="20">
        <v>40</v>
      </c>
      <c r="Q398" s="20">
        <v>40</v>
      </c>
      <c r="R398" s="8">
        <f t="shared" si="161"/>
        <v>120</v>
      </c>
      <c r="S398" s="18">
        <f t="shared" si="153"/>
        <v>200</v>
      </c>
      <c r="T398" s="18">
        <f t="shared" si="154"/>
        <v>4</v>
      </c>
      <c r="U398" s="18">
        <f t="shared" si="155"/>
        <v>4</v>
      </c>
      <c r="V398" s="18">
        <f t="shared" si="156"/>
        <v>0</v>
      </c>
      <c r="W398" s="8">
        <f t="shared" si="163"/>
        <v>8</v>
      </c>
      <c r="X398" s="18">
        <f t="shared" si="157"/>
        <v>4</v>
      </c>
      <c r="Y398" s="18">
        <f t="shared" si="158"/>
        <v>4</v>
      </c>
      <c r="Z398" s="18">
        <f t="shared" si="159"/>
        <v>4</v>
      </c>
      <c r="AA398" s="8">
        <f t="shared" si="164"/>
        <v>12</v>
      </c>
      <c r="AB398" s="8">
        <v>39.270000000000003</v>
      </c>
      <c r="AC398" s="8">
        <v>52.462499999999999</v>
      </c>
      <c r="AD398" s="8">
        <v>72.64</v>
      </c>
      <c r="AE398" s="9">
        <f t="shared" si="165"/>
        <v>18725</v>
      </c>
      <c r="AF398" s="21">
        <v>6.5000000000000002E-2</v>
      </c>
      <c r="AG398" s="10">
        <f t="shared" si="160"/>
        <v>1217.125</v>
      </c>
      <c r="AH398" s="64">
        <f t="shared" si="166"/>
        <v>0</v>
      </c>
      <c r="AI398" s="9">
        <f t="shared" si="167"/>
        <v>17507.875</v>
      </c>
      <c r="AJ398" s="5">
        <v>0.18</v>
      </c>
      <c r="AK398" s="11">
        <f t="shared" si="168"/>
        <v>3151.4175</v>
      </c>
      <c r="AL398" s="9">
        <f t="shared" si="169"/>
        <v>20659.2925</v>
      </c>
      <c r="AP398" s="12"/>
    </row>
    <row r="399" spans="1:42" x14ac:dyDescent="0.35">
      <c r="A399" s="71">
        <v>46203</v>
      </c>
      <c r="B399" s="72" t="s">
        <v>67</v>
      </c>
      <c r="C399" s="74">
        <v>1176.7759999954201</v>
      </c>
      <c r="D399" s="74">
        <v>40948.753804686399</v>
      </c>
      <c r="E399" s="62" t="s">
        <v>68</v>
      </c>
      <c r="F399" s="19" t="s">
        <v>208</v>
      </c>
      <c r="G399" s="119" t="s">
        <v>328</v>
      </c>
      <c r="H399" s="19" t="s">
        <v>212</v>
      </c>
      <c r="I399" s="6" t="s">
        <v>547</v>
      </c>
      <c r="J399" s="55"/>
      <c r="K399" s="18">
        <v>40</v>
      </c>
      <c r="L399" s="20">
        <v>40</v>
      </c>
      <c r="M399" s="18"/>
      <c r="N399" s="8">
        <f t="shared" si="162"/>
        <v>80</v>
      </c>
      <c r="O399" s="18">
        <v>40</v>
      </c>
      <c r="P399" s="20">
        <v>40</v>
      </c>
      <c r="Q399" s="18">
        <v>40</v>
      </c>
      <c r="R399" s="8">
        <f t="shared" si="161"/>
        <v>120</v>
      </c>
      <c r="S399" s="18"/>
      <c r="T399" s="18">
        <f t="shared" si="154"/>
        <v>4</v>
      </c>
      <c r="U399" s="18">
        <f t="shared" si="155"/>
        <v>4</v>
      </c>
      <c r="V399" s="18">
        <f t="shared" si="156"/>
        <v>0</v>
      </c>
      <c r="W399" s="8">
        <f t="shared" si="163"/>
        <v>8</v>
      </c>
      <c r="X399" s="18">
        <f t="shared" si="157"/>
        <v>4</v>
      </c>
      <c r="Y399" s="18">
        <f t="shared" si="158"/>
        <v>4</v>
      </c>
      <c r="Z399" s="18">
        <f t="shared" si="159"/>
        <v>4</v>
      </c>
      <c r="AA399" s="8">
        <f t="shared" si="164"/>
        <v>12</v>
      </c>
      <c r="AB399" s="8">
        <v>39.270000000000003</v>
      </c>
      <c r="AC399" s="8">
        <v>52.462499999999999</v>
      </c>
      <c r="AD399" s="8">
        <v>72.64</v>
      </c>
      <c r="AE399" s="9">
        <f t="shared" si="165"/>
        <v>4197</v>
      </c>
      <c r="AF399" s="21">
        <v>6.5000000000000002E-2</v>
      </c>
      <c r="AG399" s="10">
        <f t="shared" si="160"/>
        <v>272.80500000000001</v>
      </c>
      <c r="AH399" s="64">
        <f t="shared" si="166"/>
        <v>0</v>
      </c>
      <c r="AI399" s="9">
        <f t="shared" si="167"/>
        <v>3924.1950000000002</v>
      </c>
      <c r="AJ399" s="5">
        <v>0.18</v>
      </c>
      <c r="AK399" s="11">
        <f t="shared" si="168"/>
        <v>706.35509999999999</v>
      </c>
      <c r="AL399" s="9">
        <f t="shared" si="169"/>
        <v>4630.5501000000004</v>
      </c>
      <c r="AP399" s="12"/>
    </row>
    <row r="400" spans="1:42" x14ac:dyDescent="0.35">
      <c r="A400" s="71">
        <v>46203</v>
      </c>
      <c r="B400" s="72" t="s">
        <v>67</v>
      </c>
      <c r="C400" s="74">
        <v>1176.7759999954201</v>
      </c>
      <c r="D400" s="74">
        <v>40948.753804686399</v>
      </c>
      <c r="E400" s="62" t="s">
        <v>68</v>
      </c>
      <c r="F400" s="19" t="s">
        <v>208</v>
      </c>
      <c r="G400" s="119" t="s">
        <v>328</v>
      </c>
      <c r="H400" s="19" t="s">
        <v>212</v>
      </c>
      <c r="I400" s="6" t="s">
        <v>548</v>
      </c>
      <c r="J400" s="55"/>
      <c r="K400" s="20">
        <v>40</v>
      </c>
      <c r="L400" s="20">
        <v>40</v>
      </c>
      <c r="M400" s="20"/>
      <c r="N400" s="8">
        <f t="shared" si="162"/>
        <v>80</v>
      </c>
      <c r="O400" s="18">
        <v>40</v>
      </c>
      <c r="P400" s="18">
        <v>40</v>
      </c>
      <c r="Q400" s="18">
        <v>40</v>
      </c>
      <c r="R400" s="8">
        <f t="shared" si="161"/>
        <v>120</v>
      </c>
      <c r="S400" s="18"/>
      <c r="T400" s="18">
        <f t="shared" si="154"/>
        <v>4</v>
      </c>
      <c r="U400" s="18">
        <f t="shared" si="155"/>
        <v>4</v>
      </c>
      <c r="V400" s="18">
        <f t="shared" si="156"/>
        <v>0</v>
      </c>
      <c r="W400" s="8">
        <f t="shared" si="163"/>
        <v>8</v>
      </c>
      <c r="X400" s="18">
        <f t="shared" si="157"/>
        <v>4</v>
      </c>
      <c r="Y400" s="18">
        <f t="shared" si="158"/>
        <v>4</v>
      </c>
      <c r="Z400" s="18">
        <f t="shared" si="159"/>
        <v>4</v>
      </c>
      <c r="AA400" s="8">
        <f t="shared" si="164"/>
        <v>12</v>
      </c>
      <c r="AB400" s="8">
        <v>39.270000000000003</v>
      </c>
      <c r="AC400" s="8">
        <v>52.462499999999999</v>
      </c>
      <c r="AD400" s="8">
        <v>72.64</v>
      </c>
      <c r="AE400" s="9">
        <f t="shared" si="165"/>
        <v>4197</v>
      </c>
      <c r="AF400" s="21">
        <v>6.5000000000000002E-2</v>
      </c>
      <c r="AG400" s="10">
        <f t="shared" si="160"/>
        <v>272.80500000000001</v>
      </c>
      <c r="AH400" s="64">
        <f t="shared" si="166"/>
        <v>0</v>
      </c>
      <c r="AI400" s="9">
        <f t="shared" si="167"/>
        <v>3924.1950000000002</v>
      </c>
      <c r="AJ400" s="5">
        <v>0.18</v>
      </c>
      <c r="AK400" s="11">
        <f t="shared" si="168"/>
        <v>706.35509999999999</v>
      </c>
      <c r="AL400" s="9">
        <f t="shared" si="169"/>
        <v>4630.5501000000004</v>
      </c>
      <c r="AP400" s="12"/>
    </row>
    <row r="401" spans="1:42" x14ac:dyDescent="0.35">
      <c r="A401" s="71">
        <v>46203</v>
      </c>
      <c r="B401" s="72" t="s">
        <v>67</v>
      </c>
      <c r="C401" s="74">
        <v>1176.7759999954201</v>
      </c>
      <c r="D401" s="74">
        <v>40948.753804686399</v>
      </c>
      <c r="E401" s="62" t="s">
        <v>68</v>
      </c>
      <c r="F401" s="19" t="s">
        <v>208</v>
      </c>
      <c r="G401" s="119" t="s">
        <v>328</v>
      </c>
      <c r="H401" s="19" t="s">
        <v>212</v>
      </c>
      <c r="I401" s="6" t="s">
        <v>549</v>
      </c>
      <c r="J401" s="55"/>
      <c r="K401" s="20">
        <v>40</v>
      </c>
      <c r="L401" s="20">
        <v>40</v>
      </c>
      <c r="M401" s="20"/>
      <c r="N401" s="8">
        <f t="shared" si="162"/>
        <v>80</v>
      </c>
      <c r="O401" s="18">
        <v>40</v>
      </c>
      <c r="P401" s="18">
        <v>40</v>
      </c>
      <c r="Q401" s="18">
        <v>40</v>
      </c>
      <c r="R401" s="8">
        <f t="shared" si="161"/>
        <v>120</v>
      </c>
      <c r="S401" s="18"/>
      <c r="T401" s="18">
        <f t="shared" si="154"/>
        <v>4</v>
      </c>
      <c r="U401" s="18">
        <f t="shared" si="155"/>
        <v>4</v>
      </c>
      <c r="V401" s="18">
        <f t="shared" si="156"/>
        <v>0</v>
      </c>
      <c r="W401" s="8">
        <f t="shared" si="163"/>
        <v>8</v>
      </c>
      <c r="X401" s="18">
        <f t="shared" si="157"/>
        <v>4</v>
      </c>
      <c r="Y401" s="18">
        <f t="shared" si="158"/>
        <v>4</v>
      </c>
      <c r="Z401" s="18">
        <f t="shared" si="159"/>
        <v>4</v>
      </c>
      <c r="AA401" s="8">
        <f t="shared" si="164"/>
        <v>12</v>
      </c>
      <c r="AB401" s="8">
        <v>39.270000000000003</v>
      </c>
      <c r="AC401" s="8">
        <v>52.462499999999999</v>
      </c>
      <c r="AD401" s="8">
        <v>72.64</v>
      </c>
      <c r="AE401" s="9">
        <f t="shared" si="165"/>
        <v>4197</v>
      </c>
      <c r="AF401" s="21">
        <v>6.5000000000000002E-2</v>
      </c>
      <c r="AG401" s="10">
        <f t="shared" si="160"/>
        <v>272.80500000000001</v>
      </c>
      <c r="AH401" s="64">
        <f t="shared" si="166"/>
        <v>0</v>
      </c>
      <c r="AI401" s="9">
        <f t="shared" si="167"/>
        <v>3924.1950000000002</v>
      </c>
      <c r="AJ401" s="5">
        <v>0.18</v>
      </c>
      <c r="AK401" s="11">
        <f t="shared" si="168"/>
        <v>706.35509999999999</v>
      </c>
      <c r="AL401" s="9">
        <f t="shared" si="169"/>
        <v>4630.5501000000004</v>
      </c>
      <c r="AP401" s="12"/>
    </row>
    <row r="402" spans="1:42" x14ac:dyDescent="0.35">
      <c r="A402" s="71">
        <v>46203</v>
      </c>
      <c r="B402" s="72" t="s">
        <v>67</v>
      </c>
      <c r="C402" s="74">
        <v>1176.7759999954201</v>
      </c>
      <c r="D402" s="74">
        <v>40948.753804686399</v>
      </c>
      <c r="E402" s="62" t="s">
        <v>68</v>
      </c>
      <c r="F402" s="19" t="s">
        <v>208</v>
      </c>
      <c r="G402" s="119" t="s">
        <v>328</v>
      </c>
      <c r="H402" s="19" t="s">
        <v>212</v>
      </c>
      <c r="I402" s="6" t="s">
        <v>550</v>
      </c>
      <c r="J402" s="55"/>
      <c r="K402" s="20">
        <v>40</v>
      </c>
      <c r="L402" s="20">
        <v>40</v>
      </c>
      <c r="M402" s="20"/>
      <c r="N402" s="8">
        <f t="shared" si="162"/>
        <v>80</v>
      </c>
      <c r="O402" s="18">
        <v>40</v>
      </c>
      <c r="P402" s="18">
        <v>40</v>
      </c>
      <c r="Q402" s="20">
        <v>40</v>
      </c>
      <c r="R402" s="8">
        <f t="shared" si="161"/>
        <v>120</v>
      </c>
      <c r="S402" s="18"/>
      <c r="T402" s="18">
        <f t="shared" si="154"/>
        <v>4</v>
      </c>
      <c r="U402" s="18">
        <f t="shared" si="155"/>
        <v>4</v>
      </c>
      <c r="V402" s="18">
        <f t="shared" si="156"/>
        <v>0</v>
      </c>
      <c r="W402" s="8">
        <f t="shared" si="163"/>
        <v>8</v>
      </c>
      <c r="X402" s="18">
        <f t="shared" si="157"/>
        <v>4</v>
      </c>
      <c r="Y402" s="18">
        <f t="shared" si="158"/>
        <v>4</v>
      </c>
      <c r="Z402" s="18">
        <f t="shared" si="159"/>
        <v>4</v>
      </c>
      <c r="AA402" s="8">
        <f t="shared" si="164"/>
        <v>12</v>
      </c>
      <c r="AB402" s="8">
        <v>39.270000000000003</v>
      </c>
      <c r="AC402" s="8">
        <v>52.462499999999999</v>
      </c>
      <c r="AD402" s="8">
        <v>72.64</v>
      </c>
      <c r="AE402" s="9">
        <f t="shared" si="165"/>
        <v>4197</v>
      </c>
      <c r="AF402" s="21">
        <v>6.5000000000000002E-2</v>
      </c>
      <c r="AG402" s="10">
        <f t="shared" si="160"/>
        <v>272.80500000000001</v>
      </c>
      <c r="AH402" s="64">
        <f t="shared" si="166"/>
        <v>0</v>
      </c>
      <c r="AI402" s="9">
        <f t="shared" si="167"/>
        <v>3924.1950000000002</v>
      </c>
      <c r="AJ402" s="5">
        <v>0.18</v>
      </c>
      <c r="AK402" s="11">
        <f t="shared" si="168"/>
        <v>706.35509999999999</v>
      </c>
      <c r="AL402" s="9">
        <f t="shared" si="169"/>
        <v>4630.5501000000004</v>
      </c>
      <c r="AP402" s="12"/>
    </row>
    <row r="403" spans="1:42" x14ac:dyDescent="0.35">
      <c r="A403" s="71">
        <v>46203</v>
      </c>
      <c r="B403" s="72" t="s">
        <v>67</v>
      </c>
      <c r="C403" s="74">
        <v>1176.7759999954201</v>
      </c>
      <c r="D403" s="74">
        <v>40948.753804686399</v>
      </c>
      <c r="E403" s="62" t="s">
        <v>68</v>
      </c>
      <c r="F403" s="19" t="s">
        <v>208</v>
      </c>
      <c r="G403" s="119" t="s">
        <v>328</v>
      </c>
      <c r="H403" s="19" t="s">
        <v>212</v>
      </c>
      <c r="I403" s="6" t="s">
        <v>551</v>
      </c>
      <c r="J403" s="55"/>
      <c r="K403" s="20">
        <v>80</v>
      </c>
      <c r="L403" s="20">
        <v>80</v>
      </c>
      <c r="M403" s="20"/>
      <c r="N403" s="8">
        <f t="shared" si="162"/>
        <v>160</v>
      </c>
      <c r="O403" s="18">
        <v>80</v>
      </c>
      <c r="P403" s="18">
        <v>80</v>
      </c>
      <c r="Q403" s="18">
        <v>80</v>
      </c>
      <c r="R403" s="8">
        <f t="shared" si="161"/>
        <v>240</v>
      </c>
      <c r="S403" s="18"/>
      <c r="T403" s="18">
        <f t="shared" si="154"/>
        <v>8</v>
      </c>
      <c r="U403" s="18">
        <f t="shared" si="155"/>
        <v>8</v>
      </c>
      <c r="V403" s="18">
        <f t="shared" si="156"/>
        <v>0</v>
      </c>
      <c r="W403" s="8">
        <f t="shared" si="163"/>
        <v>16</v>
      </c>
      <c r="X403" s="18">
        <f t="shared" si="157"/>
        <v>8</v>
      </c>
      <c r="Y403" s="18">
        <f t="shared" si="158"/>
        <v>8</v>
      </c>
      <c r="Z403" s="18">
        <f t="shared" si="159"/>
        <v>8</v>
      </c>
      <c r="AA403" s="8">
        <f t="shared" si="164"/>
        <v>24</v>
      </c>
      <c r="AB403" s="8">
        <v>39.270000000000003</v>
      </c>
      <c r="AC403" s="8">
        <v>52.462499999999999</v>
      </c>
      <c r="AD403" s="8">
        <v>72.64</v>
      </c>
      <c r="AE403" s="9">
        <f t="shared" si="165"/>
        <v>8394</v>
      </c>
      <c r="AF403" s="21">
        <v>6.5000000000000002E-2</v>
      </c>
      <c r="AG403" s="10">
        <f t="shared" si="160"/>
        <v>545.61</v>
      </c>
      <c r="AH403" s="64">
        <f t="shared" si="166"/>
        <v>0</v>
      </c>
      <c r="AI403" s="9">
        <f t="shared" si="167"/>
        <v>7848.39</v>
      </c>
      <c r="AJ403" s="5">
        <v>0.18</v>
      </c>
      <c r="AK403" s="11">
        <f t="shared" si="168"/>
        <v>1412.7102</v>
      </c>
      <c r="AL403" s="9">
        <f t="shared" si="169"/>
        <v>9261.1002000000008</v>
      </c>
      <c r="AP403" s="12"/>
    </row>
    <row r="404" spans="1:42" x14ac:dyDescent="0.35">
      <c r="A404" s="71">
        <v>46203</v>
      </c>
      <c r="B404" s="72" t="s">
        <v>67</v>
      </c>
      <c r="C404" s="74">
        <v>1176.7759999954201</v>
      </c>
      <c r="D404" s="74">
        <v>40948.753804686399</v>
      </c>
      <c r="E404" s="62" t="s">
        <v>68</v>
      </c>
      <c r="F404" s="19" t="s">
        <v>208</v>
      </c>
      <c r="G404" s="119" t="s">
        <v>328</v>
      </c>
      <c r="H404" s="19" t="s">
        <v>212</v>
      </c>
      <c r="I404" s="6" t="s">
        <v>552</v>
      </c>
      <c r="J404" s="55"/>
      <c r="K404" s="20">
        <v>40</v>
      </c>
      <c r="L404" s="20">
        <v>40</v>
      </c>
      <c r="M404" s="20"/>
      <c r="N404" s="8">
        <f t="shared" si="162"/>
        <v>80</v>
      </c>
      <c r="O404" s="18">
        <v>40</v>
      </c>
      <c r="P404" s="20">
        <v>40</v>
      </c>
      <c r="Q404" s="18">
        <v>40</v>
      </c>
      <c r="R404" s="8">
        <f t="shared" si="161"/>
        <v>120</v>
      </c>
      <c r="S404" s="18"/>
      <c r="T404" s="18">
        <f t="shared" si="154"/>
        <v>4</v>
      </c>
      <c r="U404" s="18">
        <f t="shared" si="155"/>
        <v>4</v>
      </c>
      <c r="V404" s="18">
        <f t="shared" si="156"/>
        <v>0</v>
      </c>
      <c r="W404" s="8">
        <f t="shared" si="163"/>
        <v>8</v>
      </c>
      <c r="X404" s="18">
        <f t="shared" si="157"/>
        <v>4</v>
      </c>
      <c r="Y404" s="18">
        <f t="shared" si="158"/>
        <v>4</v>
      </c>
      <c r="Z404" s="18">
        <f t="shared" si="159"/>
        <v>4</v>
      </c>
      <c r="AA404" s="8">
        <f t="shared" si="164"/>
        <v>12</v>
      </c>
      <c r="AB404" s="8">
        <v>39.270000000000003</v>
      </c>
      <c r="AC404" s="8">
        <v>52.462499999999999</v>
      </c>
      <c r="AD404" s="8">
        <v>72.64</v>
      </c>
      <c r="AE404" s="9">
        <f t="shared" si="165"/>
        <v>4197</v>
      </c>
      <c r="AF404" s="21">
        <v>6.5000000000000002E-2</v>
      </c>
      <c r="AG404" s="10">
        <f t="shared" si="160"/>
        <v>272.80500000000001</v>
      </c>
      <c r="AH404" s="64">
        <f t="shared" si="166"/>
        <v>0</v>
      </c>
      <c r="AI404" s="9">
        <f t="shared" si="167"/>
        <v>3924.1950000000002</v>
      </c>
      <c r="AJ404" s="5">
        <v>0.18</v>
      </c>
      <c r="AK404" s="11">
        <f t="shared" si="168"/>
        <v>706.35509999999999</v>
      </c>
      <c r="AL404" s="9">
        <f t="shared" si="169"/>
        <v>4630.5501000000004</v>
      </c>
      <c r="AP404" s="12"/>
    </row>
    <row r="405" spans="1:42" x14ac:dyDescent="0.35">
      <c r="A405" s="71">
        <v>46203</v>
      </c>
      <c r="B405" s="72" t="s">
        <v>67</v>
      </c>
      <c r="C405" s="74">
        <v>1176.7759999954201</v>
      </c>
      <c r="D405" s="74">
        <v>40948.753804686399</v>
      </c>
      <c r="E405" s="62" t="s">
        <v>68</v>
      </c>
      <c r="F405" s="19" t="s">
        <v>208</v>
      </c>
      <c r="G405" s="119" t="s">
        <v>328</v>
      </c>
      <c r="H405" s="19" t="s">
        <v>212</v>
      </c>
      <c r="I405" s="6" t="s">
        <v>553</v>
      </c>
      <c r="J405" s="55"/>
      <c r="K405" s="20">
        <v>40</v>
      </c>
      <c r="L405" s="20">
        <v>40</v>
      </c>
      <c r="M405" s="20"/>
      <c r="N405" s="8">
        <f t="shared" si="162"/>
        <v>80</v>
      </c>
      <c r="O405" s="18">
        <v>40</v>
      </c>
      <c r="P405" s="18">
        <v>40</v>
      </c>
      <c r="Q405" s="18">
        <v>40</v>
      </c>
      <c r="R405" s="8">
        <f t="shared" si="161"/>
        <v>120</v>
      </c>
      <c r="S405" s="18"/>
      <c r="T405" s="18">
        <f t="shared" si="154"/>
        <v>4</v>
      </c>
      <c r="U405" s="18">
        <f t="shared" si="155"/>
        <v>4</v>
      </c>
      <c r="V405" s="18">
        <f t="shared" si="156"/>
        <v>0</v>
      </c>
      <c r="W405" s="8">
        <f t="shared" si="163"/>
        <v>8</v>
      </c>
      <c r="X405" s="18">
        <f t="shared" si="157"/>
        <v>4</v>
      </c>
      <c r="Y405" s="18">
        <f t="shared" si="158"/>
        <v>4</v>
      </c>
      <c r="Z405" s="18">
        <f t="shared" si="159"/>
        <v>4</v>
      </c>
      <c r="AA405" s="8">
        <f t="shared" si="164"/>
        <v>12</v>
      </c>
      <c r="AB405" s="8">
        <v>39.270000000000003</v>
      </c>
      <c r="AC405" s="8">
        <v>52.462499999999999</v>
      </c>
      <c r="AD405" s="8">
        <v>72.64</v>
      </c>
      <c r="AE405" s="9">
        <f t="shared" si="165"/>
        <v>4197</v>
      </c>
      <c r="AF405" s="21">
        <v>0.1</v>
      </c>
      <c r="AG405" s="10">
        <f t="shared" si="160"/>
        <v>419.70000000000005</v>
      </c>
      <c r="AH405" s="64">
        <f t="shared" si="166"/>
        <v>0</v>
      </c>
      <c r="AI405" s="9">
        <f t="shared" si="167"/>
        <v>3777.3</v>
      </c>
      <c r="AJ405" s="5">
        <v>0.18</v>
      </c>
      <c r="AK405" s="11">
        <f t="shared" si="168"/>
        <v>679.91399999999999</v>
      </c>
      <c r="AL405" s="9">
        <f t="shared" si="169"/>
        <v>4457.2139999999999</v>
      </c>
      <c r="AP405" s="12"/>
    </row>
    <row r="406" spans="1:42" x14ac:dyDescent="0.35">
      <c r="A406" s="17"/>
      <c r="C406" s="18"/>
      <c r="E406" s="6"/>
      <c r="F406" s="19"/>
      <c r="G406" s="19"/>
      <c r="H406" s="19"/>
      <c r="I406" s="6"/>
      <c r="J406" s="55"/>
      <c r="K406" s="20"/>
      <c r="L406" s="20"/>
      <c r="M406" s="20"/>
      <c r="N406" s="8">
        <f t="shared" si="162"/>
        <v>0</v>
      </c>
      <c r="O406" s="18"/>
      <c r="P406" s="20"/>
      <c r="Q406" s="20"/>
      <c r="R406" s="8">
        <f t="shared" si="161"/>
        <v>0</v>
      </c>
      <c r="S406" s="18"/>
      <c r="T406" s="18">
        <f t="shared" si="154"/>
        <v>0</v>
      </c>
      <c r="U406" s="18">
        <f t="shared" si="155"/>
        <v>0</v>
      </c>
      <c r="V406" s="18">
        <f t="shared" si="156"/>
        <v>0</v>
      </c>
      <c r="W406" s="8">
        <f t="shared" si="163"/>
        <v>0</v>
      </c>
      <c r="X406" s="18">
        <f t="shared" si="157"/>
        <v>0</v>
      </c>
      <c r="Y406" s="18">
        <f t="shared" si="158"/>
        <v>0</v>
      </c>
      <c r="Z406" s="18">
        <f t="shared" si="159"/>
        <v>0</v>
      </c>
      <c r="AA406" s="8">
        <f t="shared" si="164"/>
        <v>0</v>
      </c>
      <c r="AB406" s="8">
        <v>39.270000000000003</v>
      </c>
      <c r="AC406" s="8">
        <v>52.462499999999999</v>
      </c>
      <c r="AD406" s="8">
        <v>72.64</v>
      </c>
      <c r="AE406" s="9">
        <f t="shared" si="165"/>
        <v>0</v>
      </c>
      <c r="AF406" s="21">
        <v>6.5000000000000002E-2</v>
      </c>
      <c r="AG406" s="10">
        <f t="shared" si="160"/>
        <v>0</v>
      </c>
      <c r="AH406" s="64">
        <f t="shared" si="166"/>
        <v>0</v>
      </c>
      <c r="AI406" s="9">
        <f t="shared" si="167"/>
        <v>0</v>
      </c>
      <c r="AJ406" s="5">
        <v>0.18</v>
      </c>
      <c r="AK406" s="11">
        <f t="shared" si="168"/>
        <v>0</v>
      </c>
      <c r="AL406" s="9">
        <f t="shared" si="169"/>
        <v>0</v>
      </c>
      <c r="AP406" s="12"/>
    </row>
    <row r="407" spans="1:42" x14ac:dyDescent="0.35">
      <c r="A407" s="17"/>
      <c r="C407" s="18"/>
      <c r="E407" s="6"/>
      <c r="F407" s="19"/>
      <c r="G407" s="19"/>
      <c r="H407" s="19"/>
      <c r="I407" s="6"/>
      <c r="J407" s="55"/>
      <c r="K407" s="20"/>
      <c r="L407" s="20"/>
      <c r="M407" s="20"/>
      <c r="N407" s="8">
        <f t="shared" si="162"/>
        <v>0</v>
      </c>
      <c r="O407" s="18"/>
      <c r="P407" s="18"/>
      <c r="Q407" s="18"/>
      <c r="R407" s="8">
        <f t="shared" si="161"/>
        <v>0</v>
      </c>
      <c r="S407" s="18"/>
      <c r="T407" s="18">
        <f t="shared" si="154"/>
        <v>0</v>
      </c>
      <c r="U407" s="18">
        <f t="shared" si="155"/>
        <v>0</v>
      </c>
      <c r="V407" s="18">
        <f t="shared" si="156"/>
        <v>0</v>
      </c>
      <c r="W407" s="8">
        <f t="shared" si="163"/>
        <v>0</v>
      </c>
      <c r="X407" s="18">
        <f t="shared" si="157"/>
        <v>0</v>
      </c>
      <c r="Y407" s="18">
        <f t="shared" si="158"/>
        <v>0</v>
      </c>
      <c r="Z407" s="18">
        <f t="shared" si="159"/>
        <v>0</v>
      </c>
      <c r="AA407" s="8">
        <f t="shared" si="164"/>
        <v>0</v>
      </c>
      <c r="AB407" s="8">
        <v>39.270000000000003</v>
      </c>
      <c r="AC407" s="8">
        <v>52.462499999999999</v>
      </c>
      <c r="AD407" s="8">
        <v>72.64</v>
      </c>
      <c r="AE407" s="9">
        <f t="shared" si="165"/>
        <v>0</v>
      </c>
      <c r="AF407" s="21">
        <v>6.5000000000000002E-2</v>
      </c>
      <c r="AG407" s="10">
        <f t="shared" si="160"/>
        <v>0</v>
      </c>
      <c r="AH407" s="64">
        <f t="shared" si="166"/>
        <v>0</v>
      </c>
      <c r="AI407" s="9">
        <f t="shared" si="167"/>
        <v>0</v>
      </c>
      <c r="AJ407" s="5">
        <v>0.18</v>
      </c>
      <c r="AK407" s="11">
        <f t="shared" si="168"/>
        <v>0</v>
      </c>
      <c r="AL407" s="9">
        <f t="shared" si="169"/>
        <v>0</v>
      </c>
      <c r="AP407" s="12"/>
    </row>
    <row r="408" spans="1:42" x14ac:dyDescent="0.35">
      <c r="A408" s="17"/>
      <c r="C408" s="18"/>
      <c r="E408" s="6"/>
      <c r="F408" s="19"/>
      <c r="G408" s="19"/>
      <c r="H408" s="19"/>
      <c r="I408" s="6"/>
      <c r="J408" s="55"/>
      <c r="K408" s="20"/>
      <c r="L408" s="20"/>
      <c r="M408" s="20"/>
      <c r="N408" s="8">
        <f t="shared" si="162"/>
        <v>0</v>
      </c>
      <c r="O408" s="18"/>
      <c r="P408" s="18"/>
      <c r="Q408" s="18"/>
      <c r="R408" s="8">
        <f t="shared" si="161"/>
        <v>0</v>
      </c>
      <c r="S408" s="18"/>
      <c r="T408" s="18">
        <f t="shared" si="154"/>
        <v>0</v>
      </c>
      <c r="U408" s="18">
        <f t="shared" si="155"/>
        <v>0</v>
      </c>
      <c r="V408" s="18">
        <f t="shared" si="156"/>
        <v>0</v>
      </c>
      <c r="W408" s="8">
        <f t="shared" si="163"/>
        <v>0</v>
      </c>
      <c r="X408" s="18">
        <f t="shared" si="157"/>
        <v>0</v>
      </c>
      <c r="Y408" s="18">
        <f t="shared" si="158"/>
        <v>0</v>
      </c>
      <c r="Z408" s="18">
        <f t="shared" si="159"/>
        <v>0</v>
      </c>
      <c r="AA408" s="8">
        <f t="shared" si="164"/>
        <v>0</v>
      </c>
      <c r="AB408" s="8">
        <v>39.270000000000003</v>
      </c>
      <c r="AC408" s="8">
        <v>52.462499999999999</v>
      </c>
      <c r="AD408" s="8">
        <v>72.64</v>
      </c>
      <c r="AE408" s="9">
        <f t="shared" si="165"/>
        <v>0</v>
      </c>
      <c r="AF408" s="21">
        <v>6.5000000000000002E-2</v>
      </c>
      <c r="AG408" s="10">
        <f t="shared" si="160"/>
        <v>0</v>
      </c>
      <c r="AH408" s="64">
        <f t="shared" si="166"/>
        <v>0</v>
      </c>
      <c r="AI408" s="9">
        <f t="shared" si="167"/>
        <v>0</v>
      </c>
      <c r="AJ408" s="5">
        <v>0.18</v>
      </c>
      <c r="AK408" s="11">
        <f t="shared" si="168"/>
        <v>0</v>
      </c>
      <c r="AL408" s="9">
        <f t="shared" si="169"/>
        <v>0</v>
      </c>
      <c r="AP408" s="12"/>
    </row>
    <row r="409" spans="1:42" x14ac:dyDescent="0.35">
      <c r="A409" s="17"/>
      <c r="C409" s="18"/>
      <c r="E409" s="6"/>
      <c r="F409" s="19"/>
      <c r="G409" s="19"/>
      <c r="H409" s="19"/>
      <c r="I409" s="6"/>
      <c r="J409" s="55"/>
      <c r="K409" s="18"/>
      <c r="L409" s="20"/>
      <c r="M409" s="18"/>
      <c r="N409" s="8">
        <f t="shared" si="162"/>
        <v>0</v>
      </c>
      <c r="O409" s="20"/>
      <c r="P409" s="20"/>
      <c r="Q409" s="20"/>
      <c r="R409" s="8">
        <f t="shared" si="161"/>
        <v>0</v>
      </c>
      <c r="S409" s="18"/>
      <c r="T409" s="18">
        <f t="shared" si="154"/>
        <v>0</v>
      </c>
      <c r="U409" s="18">
        <f t="shared" si="155"/>
        <v>0</v>
      </c>
      <c r="V409" s="18">
        <f t="shared" si="156"/>
        <v>0</v>
      </c>
      <c r="W409" s="8">
        <f t="shared" si="163"/>
        <v>0</v>
      </c>
      <c r="X409" s="18">
        <f t="shared" si="157"/>
        <v>0</v>
      </c>
      <c r="Y409" s="18">
        <f t="shared" si="158"/>
        <v>0</v>
      </c>
      <c r="Z409" s="18">
        <f t="shared" si="159"/>
        <v>0</v>
      </c>
      <c r="AA409" s="8">
        <f t="shared" si="164"/>
        <v>0</v>
      </c>
      <c r="AB409" s="8">
        <v>39.270000000000003</v>
      </c>
      <c r="AC409" s="8">
        <v>52.462499999999999</v>
      </c>
      <c r="AD409" s="8">
        <v>72.64</v>
      </c>
      <c r="AE409" s="9">
        <f t="shared" si="165"/>
        <v>0</v>
      </c>
      <c r="AF409" s="21">
        <v>6.5000000000000002E-2</v>
      </c>
      <c r="AG409" s="10">
        <f t="shared" si="160"/>
        <v>0</v>
      </c>
      <c r="AH409" s="64">
        <f t="shared" si="166"/>
        <v>0</v>
      </c>
      <c r="AI409" s="9">
        <f t="shared" si="167"/>
        <v>0</v>
      </c>
      <c r="AJ409" s="5">
        <v>0.18</v>
      </c>
      <c r="AK409" s="11">
        <f t="shared" si="168"/>
        <v>0</v>
      </c>
      <c r="AL409" s="9">
        <f t="shared" si="169"/>
        <v>0</v>
      </c>
      <c r="AP409" s="12"/>
    </row>
    <row r="410" spans="1:42" x14ac:dyDescent="0.35">
      <c r="A410" s="17"/>
      <c r="C410" s="18"/>
      <c r="E410" s="6"/>
      <c r="F410" s="19"/>
      <c r="G410" s="19"/>
      <c r="H410" s="19"/>
      <c r="I410" s="6"/>
      <c r="J410" s="55"/>
      <c r="K410" s="20"/>
      <c r="L410" s="20"/>
      <c r="M410" s="20"/>
      <c r="N410" s="8">
        <f t="shared" si="162"/>
        <v>0</v>
      </c>
      <c r="O410" s="20"/>
      <c r="P410" s="18"/>
      <c r="Q410" s="18"/>
      <c r="R410" s="8">
        <f t="shared" si="161"/>
        <v>0</v>
      </c>
      <c r="S410" s="18"/>
      <c r="T410" s="18">
        <f t="shared" si="154"/>
        <v>0</v>
      </c>
      <c r="U410" s="18">
        <f t="shared" si="155"/>
        <v>0</v>
      </c>
      <c r="V410" s="18">
        <f t="shared" si="156"/>
        <v>0</v>
      </c>
      <c r="W410" s="8">
        <f t="shared" si="163"/>
        <v>0</v>
      </c>
      <c r="X410" s="18">
        <f t="shared" si="157"/>
        <v>0</v>
      </c>
      <c r="Y410" s="18">
        <f t="shared" si="158"/>
        <v>0</v>
      </c>
      <c r="Z410" s="18">
        <f t="shared" si="159"/>
        <v>0</v>
      </c>
      <c r="AA410" s="8">
        <f t="shared" si="164"/>
        <v>0</v>
      </c>
      <c r="AB410" s="8">
        <v>39.270000000000003</v>
      </c>
      <c r="AC410" s="8">
        <v>52.462499999999999</v>
      </c>
      <c r="AD410" s="8">
        <v>72.64</v>
      </c>
      <c r="AE410" s="9">
        <f t="shared" si="165"/>
        <v>0</v>
      </c>
      <c r="AF410" s="21">
        <v>6.5000000000000002E-2</v>
      </c>
      <c r="AG410" s="10">
        <f t="shared" si="160"/>
        <v>0</v>
      </c>
      <c r="AH410" s="64">
        <f t="shared" si="166"/>
        <v>0</v>
      </c>
      <c r="AI410" s="9">
        <f t="shared" si="167"/>
        <v>0</v>
      </c>
      <c r="AJ410" s="5">
        <v>0.18</v>
      </c>
      <c r="AK410" s="11">
        <f t="shared" si="168"/>
        <v>0</v>
      </c>
      <c r="AL410" s="9">
        <f t="shared" si="169"/>
        <v>0</v>
      </c>
      <c r="AP410" s="12"/>
    </row>
    <row r="411" spans="1:42" x14ac:dyDescent="0.35">
      <c r="A411" s="17"/>
      <c r="C411" s="18"/>
      <c r="E411" s="6"/>
      <c r="F411" s="19"/>
      <c r="G411" s="19"/>
      <c r="H411" s="19"/>
      <c r="I411" s="6"/>
      <c r="J411" s="55"/>
      <c r="K411" s="20"/>
      <c r="L411" s="20"/>
      <c r="M411" s="18"/>
      <c r="N411" s="8">
        <f t="shared" si="162"/>
        <v>0</v>
      </c>
      <c r="O411" s="18"/>
      <c r="P411" s="18"/>
      <c r="Q411" s="18"/>
      <c r="R411" s="8">
        <f t="shared" si="161"/>
        <v>0</v>
      </c>
      <c r="S411" s="18"/>
      <c r="T411" s="18">
        <f t="shared" si="154"/>
        <v>0</v>
      </c>
      <c r="U411" s="18">
        <f t="shared" si="155"/>
        <v>0</v>
      </c>
      <c r="V411" s="18">
        <f t="shared" si="156"/>
        <v>0</v>
      </c>
      <c r="W411" s="8">
        <f t="shared" si="163"/>
        <v>0</v>
      </c>
      <c r="X411" s="18">
        <f t="shared" si="157"/>
        <v>0</v>
      </c>
      <c r="Y411" s="18">
        <f t="shared" si="158"/>
        <v>0</v>
      </c>
      <c r="Z411" s="18">
        <f t="shared" si="159"/>
        <v>0</v>
      </c>
      <c r="AA411" s="8">
        <f t="shared" si="164"/>
        <v>0</v>
      </c>
      <c r="AB411" s="8">
        <v>39.270000000000003</v>
      </c>
      <c r="AC411" s="8">
        <v>52.462499999999999</v>
      </c>
      <c r="AD411" s="8">
        <v>72.64</v>
      </c>
      <c r="AE411" s="9">
        <f t="shared" si="165"/>
        <v>0</v>
      </c>
      <c r="AF411" s="21">
        <v>0.1</v>
      </c>
      <c r="AG411" s="10">
        <f t="shared" si="160"/>
        <v>0</v>
      </c>
      <c r="AH411" s="64">
        <f t="shared" si="166"/>
        <v>0</v>
      </c>
      <c r="AI411" s="9">
        <f t="shared" si="167"/>
        <v>0</v>
      </c>
      <c r="AJ411" s="5">
        <v>0.18</v>
      </c>
      <c r="AK411" s="11">
        <f t="shared" si="168"/>
        <v>0</v>
      </c>
      <c r="AL411" s="9">
        <f t="shared" si="169"/>
        <v>0</v>
      </c>
      <c r="AP411" s="12"/>
    </row>
    <row r="412" spans="1:42" x14ac:dyDescent="0.35">
      <c r="A412" s="17"/>
      <c r="C412" s="18"/>
      <c r="E412" s="6"/>
      <c r="F412" s="19"/>
      <c r="G412" s="19"/>
      <c r="H412" s="19"/>
      <c r="I412" s="6"/>
      <c r="J412" s="55"/>
      <c r="K412" s="20"/>
      <c r="L412" s="20"/>
      <c r="M412" s="18"/>
      <c r="N412" s="8">
        <f t="shared" si="162"/>
        <v>0</v>
      </c>
      <c r="O412" s="18"/>
      <c r="P412" s="18"/>
      <c r="Q412" s="18"/>
      <c r="R412" s="8">
        <f t="shared" si="161"/>
        <v>0</v>
      </c>
      <c r="S412" s="18"/>
      <c r="T412" s="18">
        <f t="shared" si="154"/>
        <v>0</v>
      </c>
      <c r="U412" s="18">
        <f t="shared" si="155"/>
        <v>0</v>
      </c>
      <c r="V412" s="18">
        <f t="shared" si="156"/>
        <v>0</v>
      </c>
      <c r="W412" s="8">
        <f t="shared" si="163"/>
        <v>0</v>
      </c>
      <c r="X412" s="18">
        <f t="shared" si="157"/>
        <v>0</v>
      </c>
      <c r="Y412" s="18">
        <f t="shared" si="158"/>
        <v>0</v>
      </c>
      <c r="Z412" s="18">
        <f t="shared" si="159"/>
        <v>0</v>
      </c>
      <c r="AA412" s="8">
        <f t="shared" si="164"/>
        <v>0</v>
      </c>
      <c r="AB412" s="8">
        <v>39.270000000000003</v>
      </c>
      <c r="AC412" s="8">
        <v>52.462499999999999</v>
      </c>
      <c r="AD412" s="8">
        <v>72.64</v>
      </c>
      <c r="AE412" s="9">
        <f t="shared" si="165"/>
        <v>0</v>
      </c>
      <c r="AF412" s="21">
        <v>6.5000000000000002E-2</v>
      </c>
      <c r="AG412" s="10">
        <f t="shared" si="160"/>
        <v>0</v>
      </c>
      <c r="AH412" s="64">
        <f t="shared" si="166"/>
        <v>0</v>
      </c>
      <c r="AI412" s="9">
        <f t="shared" si="167"/>
        <v>0</v>
      </c>
      <c r="AJ412" s="5">
        <v>0.18</v>
      </c>
      <c r="AK412" s="11">
        <f t="shared" si="168"/>
        <v>0</v>
      </c>
      <c r="AL412" s="9">
        <f t="shared" si="169"/>
        <v>0</v>
      </c>
      <c r="AP412" s="12"/>
    </row>
    <row r="413" spans="1:42" x14ac:dyDescent="0.35">
      <c r="A413" s="17"/>
      <c r="C413" s="18"/>
      <c r="E413" s="6"/>
      <c r="F413" s="19"/>
      <c r="G413" s="19"/>
      <c r="H413" s="19"/>
      <c r="I413" s="6"/>
      <c r="J413" s="55"/>
      <c r="K413" s="18"/>
      <c r="L413" s="18"/>
      <c r="M413" s="18"/>
      <c r="N413" s="8">
        <f t="shared" si="162"/>
        <v>0</v>
      </c>
      <c r="O413" s="18"/>
      <c r="P413" s="18"/>
      <c r="Q413" s="18"/>
      <c r="R413" s="8">
        <f t="shared" si="161"/>
        <v>0</v>
      </c>
      <c r="S413" s="18"/>
      <c r="T413" s="18">
        <f t="shared" si="154"/>
        <v>0</v>
      </c>
      <c r="U413" s="18">
        <f t="shared" si="155"/>
        <v>0</v>
      </c>
      <c r="V413" s="18">
        <f t="shared" si="156"/>
        <v>0</v>
      </c>
      <c r="W413" s="8">
        <f t="shared" si="163"/>
        <v>0</v>
      </c>
      <c r="X413" s="18">
        <f t="shared" si="157"/>
        <v>0</v>
      </c>
      <c r="Y413" s="18">
        <f t="shared" si="158"/>
        <v>0</v>
      </c>
      <c r="Z413" s="18">
        <f t="shared" si="159"/>
        <v>0</v>
      </c>
      <c r="AA413" s="8">
        <f t="shared" si="164"/>
        <v>0</v>
      </c>
      <c r="AB413" s="8">
        <v>39.270000000000003</v>
      </c>
      <c r="AC413" s="8">
        <v>52.462499999999999</v>
      </c>
      <c r="AD413" s="8">
        <v>72.64</v>
      </c>
      <c r="AE413" s="9">
        <f t="shared" si="165"/>
        <v>0</v>
      </c>
      <c r="AF413" s="21">
        <v>6.5000000000000002E-2</v>
      </c>
      <c r="AG413" s="10">
        <f t="shared" si="160"/>
        <v>0</v>
      </c>
      <c r="AH413" s="64">
        <f t="shared" si="166"/>
        <v>0</v>
      </c>
      <c r="AI413" s="9">
        <f t="shared" si="167"/>
        <v>0</v>
      </c>
      <c r="AJ413" s="5">
        <v>0.18</v>
      </c>
      <c r="AK413" s="11">
        <f t="shared" si="168"/>
        <v>0</v>
      </c>
      <c r="AL413" s="9">
        <f t="shared" si="169"/>
        <v>0</v>
      </c>
      <c r="AP413" s="12"/>
    </row>
    <row r="414" spans="1:42" x14ac:dyDescent="0.35">
      <c r="A414" s="17"/>
      <c r="C414" s="18"/>
      <c r="E414" s="6"/>
      <c r="F414" s="19"/>
      <c r="G414" s="19"/>
      <c r="H414" s="19"/>
      <c r="I414" s="6"/>
      <c r="J414" s="55"/>
      <c r="K414" s="20"/>
      <c r="L414" s="20"/>
      <c r="M414" s="20"/>
      <c r="N414" s="8">
        <f t="shared" si="162"/>
        <v>0</v>
      </c>
      <c r="O414" s="18"/>
      <c r="P414" s="18"/>
      <c r="Q414" s="20"/>
      <c r="R414" s="8">
        <f t="shared" si="161"/>
        <v>0</v>
      </c>
      <c r="S414" s="18"/>
      <c r="T414" s="18">
        <f t="shared" si="154"/>
        <v>0</v>
      </c>
      <c r="U414" s="18">
        <f t="shared" si="155"/>
        <v>0</v>
      </c>
      <c r="V414" s="18">
        <f t="shared" si="156"/>
        <v>0</v>
      </c>
      <c r="W414" s="8">
        <f t="shared" si="163"/>
        <v>0</v>
      </c>
      <c r="X414" s="18">
        <f t="shared" si="157"/>
        <v>0</v>
      </c>
      <c r="Y414" s="18">
        <f t="shared" si="158"/>
        <v>0</v>
      </c>
      <c r="Z414" s="18">
        <f t="shared" si="159"/>
        <v>0</v>
      </c>
      <c r="AA414" s="8">
        <f t="shared" si="164"/>
        <v>0</v>
      </c>
      <c r="AB414" s="8">
        <v>39.270000000000003</v>
      </c>
      <c r="AC414" s="8">
        <v>52.462499999999999</v>
      </c>
      <c r="AD414" s="8">
        <v>72.64</v>
      </c>
      <c r="AE414" s="9">
        <f t="shared" si="165"/>
        <v>0</v>
      </c>
      <c r="AF414" s="21">
        <v>6.5000000000000002E-2</v>
      </c>
      <c r="AG414" s="10">
        <f t="shared" si="160"/>
        <v>0</v>
      </c>
      <c r="AH414" s="64">
        <f t="shared" si="166"/>
        <v>0</v>
      </c>
      <c r="AI414" s="9">
        <f t="shared" si="167"/>
        <v>0</v>
      </c>
      <c r="AJ414" s="5">
        <v>0.18</v>
      </c>
      <c r="AK414" s="11">
        <f t="shared" si="168"/>
        <v>0</v>
      </c>
      <c r="AL414" s="9">
        <f t="shared" si="169"/>
        <v>0</v>
      </c>
      <c r="AP414" s="12"/>
    </row>
    <row r="415" spans="1:42" x14ac:dyDescent="0.35">
      <c r="A415" s="17"/>
      <c r="C415" s="18"/>
      <c r="E415" s="6"/>
      <c r="F415" s="19"/>
      <c r="G415" s="19"/>
      <c r="H415" s="19"/>
      <c r="I415" s="6"/>
      <c r="J415" s="55"/>
      <c r="K415" s="18"/>
      <c r="L415" s="20"/>
      <c r="M415" s="20"/>
      <c r="N415" s="8">
        <f t="shared" si="162"/>
        <v>0</v>
      </c>
      <c r="O415" s="18"/>
      <c r="P415" s="20"/>
      <c r="Q415" s="20"/>
      <c r="R415" s="8">
        <f t="shared" si="161"/>
        <v>0</v>
      </c>
      <c r="S415" s="18"/>
      <c r="T415" s="18">
        <f t="shared" si="154"/>
        <v>0</v>
      </c>
      <c r="U415" s="18">
        <f t="shared" si="155"/>
        <v>0</v>
      </c>
      <c r="V415" s="18">
        <f t="shared" si="156"/>
        <v>0</v>
      </c>
      <c r="W415" s="8">
        <f t="shared" si="163"/>
        <v>0</v>
      </c>
      <c r="X415" s="18">
        <f t="shared" si="157"/>
        <v>0</v>
      </c>
      <c r="Y415" s="18">
        <f t="shared" si="158"/>
        <v>0</v>
      </c>
      <c r="Z415" s="18">
        <f t="shared" si="159"/>
        <v>0</v>
      </c>
      <c r="AA415" s="8">
        <f t="shared" si="164"/>
        <v>0</v>
      </c>
      <c r="AB415" s="8">
        <v>39.270000000000003</v>
      </c>
      <c r="AC415" s="8">
        <v>52.462499999999999</v>
      </c>
      <c r="AD415" s="8">
        <v>72.64</v>
      </c>
      <c r="AE415" s="9">
        <f t="shared" si="165"/>
        <v>0</v>
      </c>
      <c r="AF415" s="21">
        <v>6.5000000000000002E-2</v>
      </c>
      <c r="AG415" s="10">
        <f t="shared" si="160"/>
        <v>0</v>
      </c>
      <c r="AH415" s="64">
        <f t="shared" si="166"/>
        <v>0</v>
      </c>
      <c r="AI415" s="9">
        <f t="shared" si="167"/>
        <v>0</v>
      </c>
      <c r="AJ415" s="5">
        <v>0.18</v>
      </c>
      <c r="AK415" s="11">
        <f t="shared" si="168"/>
        <v>0</v>
      </c>
      <c r="AL415" s="9">
        <f t="shared" si="169"/>
        <v>0</v>
      </c>
      <c r="AP415" s="12"/>
    </row>
    <row r="416" spans="1:42" x14ac:dyDescent="0.35">
      <c r="A416" s="17"/>
      <c r="C416" s="18"/>
      <c r="E416" s="6"/>
      <c r="F416" s="19"/>
      <c r="G416" s="19"/>
      <c r="H416" s="19"/>
      <c r="I416" s="6"/>
      <c r="J416" s="55"/>
      <c r="K416" s="20"/>
      <c r="L416" s="20"/>
      <c r="M416" s="20"/>
      <c r="N416" s="8">
        <f t="shared" si="162"/>
        <v>0</v>
      </c>
      <c r="O416" s="18"/>
      <c r="P416" s="20"/>
      <c r="Q416" s="20"/>
      <c r="R416" s="8">
        <f t="shared" si="161"/>
        <v>0</v>
      </c>
      <c r="S416" s="18"/>
      <c r="T416" s="18">
        <f t="shared" si="154"/>
        <v>0</v>
      </c>
      <c r="U416" s="18">
        <f t="shared" si="155"/>
        <v>0</v>
      </c>
      <c r="V416" s="18">
        <f t="shared" si="156"/>
        <v>0</v>
      </c>
      <c r="W416" s="8">
        <f t="shared" si="163"/>
        <v>0</v>
      </c>
      <c r="X416" s="18">
        <f t="shared" si="157"/>
        <v>0</v>
      </c>
      <c r="Y416" s="18">
        <f t="shared" si="158"/>
        <v>0</v>
      </c>
      <c r="Z416" s="18">
        <f t="shared" si="159"/>
        <v>0</v>
      </c>
      <c r="AA416" s="8">
        <f t="shared" si="164"/>
        <v>0</v>
      </c>
      <c r="AB416" s="8">
        <v>39.270000000000003</v>
      </c>
      <c r="AC416" s="8">
        <v>52.462499999999999</v>
      </c>
      <c r="AD416" s="8">
        <v>72.64</v>
      </c>
      <c r="AE416" s="9">
        <f t="shared" si="165"/>
        <v>0</v>
      </c>
      <c r="AF416" s="21">
        <v>6.5000000000000002E-2</v>
      </c>
      <c r="AG416" s="10">
        <f t="shared" si="160"/>
        <v>0</v>
      </c>
      <c r="AH416" s="64">
        <f t="shared" si="166"/>
        <v>0</v>
      </c>
      <c r="AI416" s="9">
        <f t="shared" si="167"/>
        <v>0</v>
      </c>
      <c r="AJ416" s="5">
        <v>0.18</v>
      </c>
      <c r="AK416" s="11">
        <f t="shared" si="168"/>
        <v>0</v>
      </c>
      <c r="AL416" s="9">
        <f t="shared" si="169"/>
        <v>0</v>
      </c>
      <c r="AP416" s="12"/>
    </row>
    <row r="417" spans="1:42" x14ac:dyDescent="0.35">
      <c r="A417" s="17"/>
      <c r="C417" s="18"/>
      <c r="E417" s="6"/>
      <c r="F417" s="19"/>
      <c r="G417" s="19"/>
      <c r="H417" s="19"/>
      <c r="I417" s="6"/>
      <c r="J417" s="55"/>
      <c r="K417" s="20"/>
      <c r="L417" s="20"/>
      <c r="M417" s="20"/>
      <c r="N417" s="8">
        <f t="shared" si="162"/>
        <v>0</v>
      </c>
      <c r="O417" s="18"/>
      <c r="P417" s="18"/>
      <c r="Q417" s="18"/>
      <c r="R417" s="8">
        <f t="shared" si="161"/>
        <v>0</v>
      </c>
      <c r="S417" s="18"/>
      <c r="T417" s="18">
        <f t="shared" si="154"/>
        <v>0</v>
      </c>
      <c r="U417" s="18">
        <f t="shared" si="155"/>
        <v>0</v>
      </c>
      <c r="V417" s="18">
        <f t="shared" si="156"/>
        <v>0</v>
      </c>
      <c r="W417" s="8">
        <f t="shared" si="163"/>
        <v>0</v>
      </c>
      <c r="X417" s="18">
        <f t="shared" si="157"/>
        <v>0</v>
      </c>
      <c r="Y417" s="18">
        <f t="shared" si="158"/>
        <v>0</v>
      </c>
      <c r="Z417" s="18">
        <f t="shared" si="159"/>
        <v>0</v>
      </c>
      <c r="AA417" s="8">
        <f t="shared" si="164"/>
        <v>0</v>
      </c>
      <c r="AB417" s="8">
        <v>39.270000000000003</v>
      </c>
      <c r="AC417" s="8">
        <v>52.462499999999999</v>
      </c>
      <c r="AD417" s="8">
        <v>72.64</v>
      </c>
      <c r="AE417" s="9">
        <f t="shared" si="165"/>
        <v>0</v>
      </c>
      <c r="AF417" s="21">
        <v>6.5000000000000002E-2</v>
      </c>
      <c r="AG417" s="10">
        <f t="shared" si="160"/>
        <v>0</v>
      </c>
      <c r="AH417" s="64">
        <f t="shared" si="166"/>
        <v>0</v>
      </c>
      <c r="AI417" s="9">
        <f t="shared" si="167"/>
        <v>0</v>
      </c>
      <c r="AJ417" s="5">
        <v>0.18</v>
      </c>
      <c r="AK417" s="11">
        <f t="shared" si="168"/>
        <v>0</v>
      </c>
      <c r="AL417" s="9">
        <f t="shared" si="169"/>
        <v>0</v>
      </c>
      <c r="AP417" s="12"/>
    </row>
    <row r="418" spans="1:42" x14ac:dyDescent="0.35">
      <c r="A418" s="17"/>
      <c r="C418" s="18"/>
      <c r="E418" s="6"/>
      <c r="F418" s="19"/>
      <c r="G418" s="19"/>
      <c r="H418" s="19"/>
      <c r="I418" s="6"/>
      <c r="J418" s="55"/>
      <c r="K418" s="18"/>
      <c r="L418" s="18"/>
      <c r="M418" s="18"/>
      <c r="N418" s="8">
        <f t="shared" si="162"/>
        <v>0</v>
      </c>
      <c r="O418" s="18"/>
      <c r="P418" s="18"/>
      <c r="Q418" s="18"/>
      <c r="R418" s="8">
        <f t="shared" si="161"/>
        <v>0</v>
      </c>
      <c r="S418" s="18"/>
      <c r="T418" s="18">
        <f t="shared" si="154"/>
        <v>0</v>
      </c>
      <c r="U418" s="18">
        <f t="shared" si="155"/>
        <v>0</v>
      </c>
      <c r="V418" s="18">
        <f t="shared" si="156"/>
        <v>0</v>
      </c>
      <c r="W418" s="8">
        <f t="shared" si="163"/>
        <v>0</v>
      </c>
      <c r="X418" s="18">
        <f t="shared" si="157"/>
        <v>0</v>
      </c>
      <c r="Y418" s="18">
        <f t="shared" si="158"/>
        <v>0</v>
      </c>
      <c r="Z418" s="18">
        <f t="shared" si="159"/>
        <v>0</v>
      </c>
      <c r="AA418" s="8">
        <f t="shared" si="164"/>
        <v>0</v>
      </c>
      <c r="AB418" s="8">
        <v>39.270000000000003</v>
      </c>
      <c r="AC418" s="8">
        <v>52.462499999999999</v>
      </c>
      <c r="AD418" s="8">
        <v>72.64</v>
      </c>
      <c r="AE418" s="9">
        <f t="shared" si="165"/>
        <v>0</v>
      </c>
      <c r="AF418" s="21">
        <v>6.5000000000000002E-2</v>
      </c>
      <c r="AG418" s="10">
        <f t="shared" si="160"/>
        <v>0</v>
      </c>
      <c r="AH418" s="64">
        <f t="shared" si="166"/>
        <v>0</v>
      </c>
      <c r="AI418" s="9">
        <f t="shared" si="167"/>
        <v>0</v>
      </c>
      <c r="AJ418" s="5">
        <v>0.18</v>
      </c>
      <c r="AK418" s="11">
        <f t="shared" si="168"/>
        <v>0</v>
      </c>
      <c r="AL418" s="9">
        <f t="shared" si="169"/>
        <v>0</v>
      </c>
      <c r="AP418" s="12"/>
    </row>
    <row r="419" spans="1:42" x14ac:dyDescent="0.35">
      <c r="A419" s="17"/>
      <c r="C419" s="18"/>
      <c r="E419" s="6"/>
      <c r="F419" s="19"/>
      <c r="G419" s="19"/>
      <c r="H419" s="19"/>
      <c r="I419" s="6"/>
      <c r="J419" s="55"/>
      <c r="K419" s="18"/>
      <c r="L419" s="18"/>
      <c r="M419" s="18"/>
      <c r="N419" s="8">
        <f t="shared" si="162"/>
        <v>0</v>
      </c>
      <c r="O419" s="18"/>
      <c r="P419" s="18"/>
      <c r="Q419" s="18"/>
      <c r="R419" s="8">
        <f t="shared" si="161"/>
        <v>0</v>
      </c>
      <c r="S419" s="18"/>
      <c r="T419" s="18">
        <f t="shared" si="154"/>
        <v>0</v>
      </c>
      <c r="U419" s="18">
        <f t="shared" si="155"/>
        <v>0</v>
      </c>
      <c r="V419" s="18">
        <f t="shared" si="156"/>
        <v>0</v>
      </c>
      <c r="W419" s="8">
        <f t="shared" si="163"/>
        <v>0</v>
      </c>
      <c r="X419" s="18">
        <f t="shared" si="157"/>
        <v>0</v>
      </c>
      <c r="Y419" s="18">
        <f t="shared" si="158"/>
        <v>0</v>
      </c>
      <c r="Z419" s="18">
        <f t="shared" si="159"/>
        <v>0</v>
      </c>
      <c r="AA419" s="8">
        <f t="shared" si="164"/>
        <v>0</v>
      </c>
      <c r="AB419" s="8">
        <v>39.270000000000003</v>
      </c>
      <c r="AC419" s="8">
        <v>52.462499999999999</v>
      </c>
      <c r="AD419" s="8">
        <v>72.64</v>
      </c>
      <c r="AE419" s="9">
        <f t="shared" si="165"/>
        <v>0</v>
      </c>
      <c r="AF419" s="21">
        <v>6.5000000000000002E-2</v>
      </c>
      <c r="AG419" s="10">
        <f t="shared" si="160"/>
        <v>0</v>
      </c>
      <c r="AH419" s="64">
        <f t="shared" si="166"/>
        <v>0</v>
      </c>
      <c r="AI419" s="9">
        <f t="shared" si="167"/>
        <v>0</v>
      </c>
      <c r="AJ419" s="5">
        <v>0.18</v>
      </c>
      <c r="AK419" s="11">
        <f t="shared" si="168"/>
        <v>0</v>
      </c>
      <c r="AL419" s="9">
        <f t="shared" si="169"/>
        <v>0</v>
      </c>
      <c r="AP419" s="12"/>
    </row>
    <row r="420" spans="1:42" x14ac:dyDescent="0.35">
      <c r="A420" s="17"/>
      <c r="C420" s="18"/>
      <c r="E420" s="6"/>
      <c r="F420" s="19"/>
      <c r="G420" s="19"/>
      <c r="H420" s="19"/>
      <c r="I420" s="6"/>
      <c r="J420" s="55"/>
      <c r="K420" s="18"/>
      <c r="L420" s="18"/>
      <c r="M420" s="18"/>
      <c r="N420" s="8">
        <f t="shared" si="162"/>
        <v>0</v>
      </c>
      <c r="O420" s="18"/>
      <c r="P420" s="18"/>
      <c r="Q420" s="18"/>
      <c r="R420" s="8">
        <f t="shared" si="161"/>
        <v>0</v>
      </c>
      <c r="S420" s="18"/>
      <c r="T420" s="18">
        <f t="shared" si="154"/>
        <v>0</v>
      </c>
      <c r="U420" s="18">
        <f t="shared" si="155"/>
        <v>0</v>
      </c>
      <c r="V420" s="18">
        <f t="shared" si="156"/>
        <v>0</v>
      </c>
      <c r="W420" s="8">
        <f t="shared" si="163"/>
        <v>0</v>
      </c>
      <c r="X420" s="18">
        <f t="shared" si="157"/>
        <v>0</v>
      </c>
      <c r="Y420" s="18">
        <f t="shared" si="158"/>
        <v>0</v>
      </c>
      <c r="Z420" s="18">
        <f t="shared" si="159"/>
        <v>0</v>
      </c>
      <c r="AA420" s="8">
        <f t="shared" si="164"/>
        <v>0</v>
      </c>
      <c r="AB420" s="8">
        <v>39.270000000000003</v>
      </c>
      <c r="AC420" s="8">
        <v>52.462499999999999</v>
      </c>
      <c r="AD420" s="8">
        <v>72.64</v>
      </c>
      <c r="AE420" s="9">
        <f t="shared" si="165"/>
        <v>0</v>
      </c>
      <c r="AF420" s="21">
        <v>6.5000000000000002E-2</v>
      </c>
      <c r="AG420" s="10">
        <f t="shared" si="160"/>
        <v>0</v>
      </c>
      <c r="AH420" s="64">
        <f t="shared" si="166"/>
        <v>0</v>
      </c>
      <c r="AI420" s="9">
        <f t="shared" si="167"/>
        <v>0</v>
      </c>
      <c r="AJ420" s="5">
        <v>0.18</v>
      </c>
      <c r="AK420" s="11">
        <f t="shared" si="168"/>
        <v>0</v>
      </c>
      <c r="AL420" s="9">
        <f t="shared" si="169"/>
        <v>0</v>
      </c>
      <c r="AP420" s="12"/>
    </row>
    <row r="421" spans="1:42" x14ac:dyDescent="0.35">
      <c r="A421" s="17"/>
      <c r="C421" s="18"/>
      <c r="E421" s="6"/>
      <c r="F421" s="19"/>
      <c r="G421" s="19"/>
      <c r="H421" s="19"/>
      <c r="I421" s="6"/>
      <c r="J421" s="55"/>
      <c r="K421" s="20"/>
      <c r="L421" s="20"/>
      <c r="M421" s="20"/>
      <c r="N421" s="8">
        <f t="shared" si="162"/>
        <v>0</v>
      </c>
      <c r="O421" s="18"/>
      <c r="P421" s="18"/>
      <c r="Q421" s="18"/>
      <c r="R421" s="8">
        <f t="shared" si="161"/>
        <v>0</v>
      </c>
      <c r="S421" s="18"/>
      <c r="T421" s="18">
        <f t="shared" ref="T421:T424" si="170">K421/10</f>
        <v>0</v>
      </c>
      <c r="U421" s="18">
        <f t="shared" ref="U421:U424" si="171">L421/10</f>
        <v>0</v>
      </c>
      <c r="V421" s="18">
        <f t="shared" ref="V421:V424" si="172">M421/10</f>
        <v>0</v>
      </c>
      <c r="W421" s="8">
        <f t="shared" si="163"/>
        <v>0</v>
      </c>
      <c r="X421" s="18">
        <f t="shared" ref="X421:X424" si="173">O421/10</f>
        <v>0</v>
      </c>
      <c r="Y421" s="18">
        <f t="shared" ref="Y421:Y424" si="174">P421/10</f>
        <v>0</v>
      </c>
      <c r="Z421" s="18">
        <f t="shared" ref="Z421:Z424" si="175">Q421/10</f>
        <v>0</v>
      </c>
      <c r="AA421" s="8">
        <f t="shared" si="164"/>
        <v>0</v>
      </c>
      <c r="AB421" s="8">
        <v>39.270000000000003</v>
      </c>
      <c r="AC421" s="8">
        <v>52.462499999999999</v>
      </c>
      <c r="AD421" s="8">
        <v>72.64</v>
      </c>
      <c r="AE421" s="9">
        <f t="shared" si="165"/>
        <v>0</v>
      </c>
      <c r="AF421" s="21">
        <v>0.08</v>
      </c>
      <c r="AG421" s="10">
        <f t="shared" ref="AG421:AG424" si="176">AE421*AF421</f>
        <v>0</v>
      </c>
      <c r="AH421" s="64">
        <f t="shared" si="166"/>
        <v>0</v>
      </c>
      <c r="AI421" s="9">
        <f t="shared" si="167"/>
        <v>0</v>
      </c>
      <c r="AJ421" s="5">
        <v>0.18</v>
      </c>
      <c r="AK421" s="11">
        <f t="shared" si="168"/>
        <v>0</v>
      </c>
      <c r="AL421" s="9">
        <f t="shared" si="169"/>
        <v>0</v>
      </c>
      <c r="AP421" s="12"/>
    </row>
    <row r="422" spans="1:42" x14ac:dyDescent="0.35">
      <c r="A422" s="17"/>
      <c r="C422" s="18"/>
      <c r="E422" s="6"/>
      <c r="F422" s="19"/>
      <c r="G422" s="19"/>
      <c r="H422" s="19"/>
      <c r="I422" s="6"/>
      <c r="J422" s="55"/>
      <c r="K422" s="20"/>
      <c r="L422" s="20"/>
      <c r="M422" s="20"/>
      <c r="N422" s="8">
        <f t="shared" si="162"/>
        <v>0</v>
      </c>
      <c r="O422" s="20"/>
      <c r="P422" s="20"/>
      <c r="Q422" s="18"/>
      <c r="R422" s="8">
        <f t="shared" si="161"/>
        <v>0</v>
      </c>
      <c r="S422" s="18"/>
      <c r="T422" s="18">
        <f t="shared" si="170"/>
        <v>0</v>
      </c>
      <c r="U422" s="18">
        <f t="shared" si="171"/>
        <v>0</v>
      </c>
      <c r="V422" s="18">
        <f t="shared" si="172"/>
        <v>0</v>
      </c>
      <c r="W422" s="8">
        <f t="shared" si="163"/>
        <v>0</v>
      </c>
      <c r="X422" s="18">
        <f t="shared" si="173"/>
        <v>0</v>
      </c>
      <c r="Y422" s="18">
        <f t="shared" si="174"/>
        <v>0</v>
      </c>
      <c r="Z422" s="18">
        <f t="shared" si="175"/>
        <v>0</v>
      </c>
      <c r="AA422" s="8">
        <f t="shared" si="164"/>
        <v>0</v>
      </c>
      <c r="AB422" s="8">
        <v>39.270000000000003</v>
      </c>
      <c r="AC422" s="8">
        <v>52.462499999999999</v>
      </c>
      <c r="AD422" s="8">
        <v>72.64</v>
      </c>
      <c r="AE422" s="9">
        <f t="shared" si="165"/>
        <v>0</v>
      </c>
      <c r="AF422" s="21">
        <v>0.13769999999999999</v>
      </c>
      <c r="AG422" s="10">
        <f t="shared" si="176"/>
        <v>0</v>
      </c>
      <c r="AH422" s="64">
        <f t="shared" si="166"/>
        <v>0</v>
      </c>
      <c r="AI422" s="9">
        <f t="shared" si="167"/>
        <v>0</v>
      </c>
      <c r="AJ422" s="5">
        <v>0.18</v>
      </c>
      <c r="AK422" s="11">
        <f t="shared" si="168"/>
        <v>0</v>
      </c>
      <c r="AL422" s="9">
        <f t="shared" si="169"/>
        <v>0</v>
      </c>
      <c r="AP422" s="12"/>
    </row>
    <row r="423" spans="1:42" x14ac:dyDescent="0.35">
      <c r="A423" s="17"/>
      <c r="C423" s="18"/>
      <c r="E423" s="6"/>
      <c r="F423" s="19"/>
      <c r="G423" s="19"/>
      <c r="H423" s="19"/>
      <c r="I423" s="6"/>
      <c r="J423" s="55"/>
      <c r="K423" s="20"/>
      <c r="L423" s="20"/>
      <c r="M423" s="20"/>
      <c r="N423" s="8">
        <f t="shared" si="162"/>
        <v>0</v>
      </c>
      <c r="O423" s="18"/>
      <c r="P423" s="20"/>
      <c r="Q423" s="20"/>
      <c r="R423" s="8">
        <f t="shared" si="161"/>
        <v>0</v>
      </c>
      <c r="S423" s="18"/>
      <c r="T423" s="18">
        <f t="shared" si="170"/>
        <v>0</v>
      </c>
      <c r="U423" s="18">
        <f t="shared" si="171"/>
        <v>0</v>
      </c>
      <c r="V423" s="18">
        <f t="shared" si="172"/>
        <v>0</v>
      </c>
      <c r="W423" s="8">
        <f t="shared" si="163"/>
        <v>0</v>
      </c>
      <c r="X423" s="18">
        <f t="shared" si="173"/>
        <v>0</v>
      </c>
      <c r="Y423" s="18">
        <f t="shared" si="174"/>
        <v>0</v>
      </c>
      <c r="Z423" s="18">
        <f t="shared" si="175"/>
        <v>0</v>
      </c>
      <c r="AA423" s="8">
        <f t="shared" si="164"/>
        <v>0</v>
      </c>
      <c r="AB423" s="8">
        <v>39.270000000000003</v>
      </c>
      <c r="AC423" s="8">
        <v>52.462499999999999</v>
      </c>
      <c r="AD423" s="8">
        <v>72.64</v>
      </c>
      <c r="AE423" s="9">
        <f t="shared" si="165"/>
        <v>0</v>
      </c>
      <c r="AF423" s="21">
        <v>0.13853299999999999</v>
      </c>
      <c r="AG423" s="10">
        <f t="shared" si="176"/>
        <v>0</v>
      </c>
      <c r="AH423" s="64">
        <f t="shared" si="166"/>
        <v>0</v>
      </c>
      <c r="AI423" s="9">
        <f t="shared" si="167"/>
        <v>0</v>
      </c>
      <c r="AJ423" s="5">
        <v>0.18</v>
      </c>
      <c r="AK423" s="11">
        <f t="shared" si="168"/>
        <v>0</v>
      </c>
      <c r="AL423" s="9">
        <f t="shared" si="169"/>
        <v>0</v>
      </c>
      <c r="AP423" s="12"/>
    </row>
    <row r="424" spans="1:42" x14ac:dyDescent="0.35">
      <c r="A424" s="17"/>
      <c r="C424" s="18"/>
      <c r="E424" s="6"/>
      <c r="F424" s="19"/>
      <c r="G424" s="19"/>
      <c r="H424" s="19"/>
      <c r="I424" s="6"/>
      <c r="J424" s="55"/>
      <c r="K424" s="18"/>
      <c r="L424" s="20"/>
      <c r="M424" s="18"/>
      <c r="N424" s="8">
        <f t="shared" si="162"/>
        <v>0</v>
      </c>
      <c r="O424" s="18"/>
      <c r="P424" s="20"/>
      <c r="Q424" s="20"/>
      <c r="R424" s="8">
        <f t="shared" si="161"/>
        <v>0</v>
      </c>
      <c r="S424" s="18"/>
      <c r="T424" s="18">
        <f t="shared" si="170"/>
        <v>0</v>
      </c>
      <c r="U424" s="18">
        <f t="shared" si="171"/>
        <v>0</v>
      </c>
      <c r="V424" s="18">
        <f t="shared" si="172"/>
        <v>0</v>
      </c>
      <c r="W424" s="8">
        <f t="shared" si="163"/>
        <v>0</v>
      </c>
      <c r="X424" s="18">
        <f t="shared" si="173"/>
        <v>0</v>
      </c>
      <c r="Y424" s="18">
        <f t="shared" si="174"/>
        <v>0</v>
      </c>
      <c r="Z424" s="18">
        <f t="shared" si="175"/>
        <v>0</v>
      </c>
      <c r="AA424" s="8">
        <f t="shared" si="164"/>
        <v>0</v>
      </c>
      <c r="AB424" s="8">
        <v>39.270000000000003</v>
      </c>
      <c r="AC424" s="8">
        <v>52.462499999999999</v>
      </c>
      <c r="AD424" s="8">
        <v>72.64</v>
      </c>
      <c r="AE424" s="9">
        <f t="shared" si="165"/>
        <v>0</v>
      </c>
      <c r="AF424" s="21">
        <v>0.12</v>
      </c>
      <c r="AG424" s="10">
        <f t="shared" si="176"/>
        <v>0</v>
      </c>
      <c r="AH424" s="64">
        <f t="shared" si="166"/>
        <v>0</v>
      </c>
      <c r="AI424" s="9">
        <f t="shared" si="167"/>
        <v>0</v>
      </c>
      <c r="AJ424" s="5">
        <v>0.18</v>
      </c>
      <c r="AK424" s="11">
        <f t="shared" si="168"/>
        <v>0</v>
      </c>
      <c r="AL424" s="9">
        <f t="shared" si="169"/>
        <v>0</v>
      </c>
      <c r="AP424" s="12"/>
    </row>
    <row r="425" spans="1:42" x14ac:dyDescent="0.35">
      <c r="A425" s="6"/>
      <c r="C425" s="6"/>
      <c r="E425" s="6"/>
      <c r="F425" s="6"/>
      <c r="G425" s="6"/>
      <c r="H425" s="6"/>
      <c r="I425" s="6"/>
      <c r="J425" s="6">
        <f t="shared" ref="J425:AA425" si="177">SUM(J3:J424)</f>
        <v>7003</v>
      </c>
      <c r="K425" s="6">
        <f t="shared" si="177"/>
        <v>17679</v>
      </c>
      <c r="L425" s="6">
        <f t="shared" si="177"/>
        <v>16923</v>
      </c>
      <c r="M425" s="6">
        <f t="shared" si="177"/>
        <v>17523</v>
      </c>
      <c r="N425" s="6">
        <f t="shared" si="177"/>
        <v>52125</v>
      </c>
      <c r="O425" s="6">
        <f t="shared" si="177"/>
        <v>25222</v>
      </c>
      <c r="P425" s="6">
        <f t="shared" si="177"/>
        <v>21651</v>
      </c>
      <c r="Q425" s="6">
        <f t="shared" si="177"/>
        <v>30027</v>
      </c>
      <c r="R425" s="6">
        <f>SUM(R3:R424)</f>
        <v>76900</v>
      </c>
      <c r="S425" s="6" t="e">
        <f>SUM(S3:S424)</f>
        <v>#VALUE!</v>
      </c>
      <c r="T425" s="6">
        <f t="shared" si="177"/>
        <v>1767.5</v>
      </c>
      <c r="U425" s="6">
        <f t="shared" si="177"/>
        <v>1692.0000000000002</v>
      </c>
      <c r="V425" s="6">
        <f t="shared" si="177"/>
        <v>1752.1499999999996</v>
      </c>
      <c r="W425" s="6">
        <f t="shared" si="177"/>
        <v>5211.6499999999996</v>
      </c>
      <c r="X425" s="6">
        <f t="shared" si="177"/>
        <v>2522.2000000000003</v>
      </c>
      <c r="Y425" s="6">
        <f t="shared" si="177"/>
        <v>2165.1</v>
      </c>
      <c r="Z425" s="6">
        <f t="shared" si="177"/>
        <v>3002.7000000000003</v>
      </c>
      <c r="AA425" s="6">
        <f t="shared" si="177"/>
        <v>7689.9999999999991</v>
      </c>
      <c r="AB425" s="6"/>
      <c r="AC425" s="6"/>
      <c r="AD425" s="6"/>
      <c r="AE425" s="6" t="e">
        <f>SUM(AE3:AE424)</f>
        <v>#VALUE!</v>
      </c>
      <c r="AF425" s="7"/>
      <c r="AG425" s="6" t="e">
        <f>SUM(AG3:AG424)</f>
        <v>#VALUE!</v>
      </c>
      <c r="AH425" s="6" t="e">
        <f>SUM(AH3:AH424)</f>
        <v>#VALUE!</v>
      </c>
      <c r="AI425" s="6" t="e">
        <f>SUM(AI3:AI424)</f>
        <v>#VALUE!</v>
      </c>
      <c r="AK425" s="6" t="e">
        <f>SUM(AK3:AK424)</f>
        <v>#VALUE!</v>
      </c>
      <c r="AL425" s="6" t="e">
        <f>SUM(AL3:AL424)</f>
        <v>#VALUE!</v>
      </c>
      <c r="AP425" s="12"/>
    </row>
    <row r="426" spans="1:42" x14ac:dyDescent="0.35">
      <c r="J426" s="55"/>
      <c r="K426" s="55"/>
      <c r="L426" s="55"/>
      <c r="M426" s="55"/>
      <c r="N426" s="55"/>
      <c r="O426" s="55"/>
      <c r="P426" s="55"/>
      <c r="Q426" s="55"/>
      <c r="R426" s="55"/>
      <c r="AP426" s="15"/>
    </row>
    <row r="427" spans="1:42" x14ac:dyDescent="0.35">
      <c r="J427" s="55"/>
      <c r="K427" s="55"/>
      <c r="L427" s="55"/>
      <c r="M427" s="55"/>
      <c r="N427" s="55"/>
      <c r="O427" s="55"/>
      <c r="P427" s="55"/>
      <c r="Q427" s="55"/>
      <c r="R427" s="55"/>
      <c r="AC427" t="s">
        <v>50</v>
      </c>
      <c r="AP427" s="15"/>
    </row>
    <row r="428" spans="1:42" ht="29" x14ac:dyDescent="0.35">
      <c r="J428" s="54" t="s">
        <v>63</v>
      </c>
      <c r="K428" s="54" t="s">
        <v>354</v>
      </c>
      <c r="L428" s="54" t="s">
        <v>27</v>
      </c>
      <c r="M428" s="54" t="s">
        <v>71</v>
      </c>
      <c r="N428" s="54" t="s">
        <v>29</v>
      </c>
      <c r="O428" s="54" t="s">
        <v>73</v>
      </c>
      <c r="P428" s="54" t="s">
        <v>30</v>
      </c>
      <c r="Q428" s="54" t="s">
        <v>74</v>
      </c>
      <c r="R428" s="54" t="s">
        <v>31</v>
      </c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F428"/>
    </row>
    <row r="429" spans="1:42" x14ac:dyDescent="0.35">
      <c r="I429" s="57" t="s">
        <v>50</v>
      </c>
      <c r="J429" s="61">
        <f t="shared" ref="J429:AF429" si="178">+J425/40</f>
        <v>175.07499999999999</v>
      </c>
      <c r="K429" s="62">
        <f t="shared" si="178"/>
        <v>441.97500000000002</v>
      </c>
      <c r="L429" s="62">
        <f t="shared" si="178"/>
        <v>423.07499999999999</v>
      </c>
      <c r="M429" s="62">
        <f t="shared" si="178"/>
        <v>438.07499999999999</v>
      </c>
      <c r="N429" s="61">
        <f t="shared" si="178"/>
        <v>1303.125</v>
      </c>
      <c r="O429" s="62">
        <f t="shared" si="178"/>
        <v>630.54999999999995</v>
      </c>
      <c r="P429" s="62">
        <f t="shared" si="178"/>
        <v>541.27499999999998</v>
      </c>
      <c r="Q429" s="62">
        <f t="shared" si="178"/>
        <v>750.67499999999995</v>
      </c>
      <c r="R429" s="61">
        <f t="shared" si="178"/>
        <v>1922.5</v>
      </c>
      <c r="S429" s="80" t="e">
        <f t="shared" si="178"/>
        <v>#VALUE!</v>
      </c>
      <c r="T429" s="80">
        <f t="shared" si="178"/>
        <v>44.1875</v>
      </c>
      <c r="U429" s="80">
        <f t="shared" si="178"/>
        <v>42.300000000000004</v>
      </c>
      <c r="V429" s="80">
        <f t="shared" si="178"/>
        <v>43.803749999999994</v>
      </c>
      <c r="W429" s="80">
        <f t="shared" si="178"/>
        <v>130.29124999999999</v>
      </c>
      <c r="X429" s="80">
        <f t="shared" si="178"/>
        <v>63.055000000000007</v>
      </c>
      <c r="Y429" s="80">
        <f t="shared" si="178"/>
        <v>54.127499999999998</v>
      </c>
      <c r="Z429" s="80">
        <f t="shared" si="178"/>
        <v>75.06750000000001</v>
      </c>
      <c r="AA429" s="80">
        <f t="shared" si="178"/>
        <v>192.24999999999997</v>
      </c>
      <c r="AB429" s="81"/>
      <c r="AC429" s="57">
        <f t="shared" si="178"/>
        <v>0</v>
      </c>
      <c r="AD429" s="57">
        <f t="shared" si="178"/>
        <v>0</v>
      </c>
      <c r="AE429" s="57" t="e">
        <f t="shared" si="178"/>
        <v>#VALUE!</v>
      </c>
      <c r="AF429" s="57">
        <f t="shared" si="178"/>
        <v>0</v>
      </c>
      <c r="AG429" s="57"/>
      <c r="AH429" s="57"/>
      <c r="AI429" s="57"/>
      <c r="AJ429" s="57"/>
      <c r="AK429" s="57"/>
      <c r="AL429" s="57"/>
      <c r="AM429" s="57"/>
      <c r="AN429" s="81"/>
      <c r="AO429" s="81"/>
      <c r="AP429" s="57"/>
    </row>
    <row r="431" spans="1:42" x14ac:dyDescent="0.35">
      <c r="S431" s="79" t="e">
        <f>S429+W429+AA429</f>
        <v>#VALUE!</v>
      </c>
      <c r="X431" t="s">
        <v>50</v>
      </c>
    </row>
  </sheetData>
  <autoFilter ref="A1:AP425" xr:uid="{4909E717-3884-4AA3-A82A-69FACD0ADABD}">
    <filterColumn colId="10" showButton="0"/>
    <filterColumn colId="11" showButton="0"/>
    <filterColumn colId="12" showButton="0"/>
    <filterColumn colId="14" showButton="0"/>
    <filterColumn colId="15" showButton="0"/>
    <filterColumn colId="16" showButton="0"/>
    <filterColumn colId="19" showButton="0"/>
    <filterColumn colId="20" showButton="0"/>
    <filterColumn colId="21" showButton="0"/>
    <filterColumn colId="23" showButton="0"/>
    <filterColumn colId="24" showButton="0"/>
    <filterColumn colId="25" showButton="0"/>
  </autoFilter>
  <mergeCells count="27">
    <mergeCell ref="AO1:AO2"/>
    <mergeCell ref="AP1:AP2"/>
    <mergeCell ref="AI1:AI2"/>
    <mergeCell ref="AJ1:AJ2"/>
    <mergeCell ref="AK1:AK2"/>
    <mergeCell ref="AL1:AL2"/>
    <mergeCell ref="AM1:AM2"/>
    <mergeCell ref="AN1:AN2"/>
    <mergeCell ref="AG1:AG2"/>
    <mergeCell ref="G1:G2"/>
    <mergeCell ref="H1:H2"/>
    <mergeCell ref="K1:N1"/>
    <mergeCell ref="S1:S2"/>
    <mergeCell ref="T1:W1"/>
    <mergeCell ref="X1:AA1"/>
    <mergeCell ref="AC1:AC2"/>
    <mergeCell ref="AD1:AD2"/>
    <mergeCell ref="AE1:AE2"/>
    <mergeCell ref="AF1:AF2"/>
    <mergeCell ref="AB1:AB2"/>
    <mergeCell ref="F1:F2"/>
    <mergeCell ref="O1:R1"/>
    <mergeCell ref="A1:A2"/>
    <mergeCell ref="B1:B2"/>
    <mergeCell ref="C1:C2"/>
    <mergeCell ref="D1:D2"/>
    <mergeCell ref="E1:E2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E5727-7BBF-4063-AD7A-D62C872A14A7}">
  <dimension ref="C3:M31"/>
  <sheetViews>
    <sheetView topLeftCell="A3" workbookViewId="0">
      <selection activeCell="F21" sqref="F21"/>
    </sheetView>
  </sheetViews>
  <sheetFormatPr defaultRowHeight="14.5" x14ac:dyDescent="0.35"/>
  <cols>
    <col min="3" max="3" width="16.453125" bestFit="1" customWidth="1"/>
    <col min="4" max="4" width="37.26953125" bestFit="1" customWidth="1"/>
    <col min="5" max="5" width="16.1796875" bestFit="1" customWidth="1"/>
    <col min="6" max="6" width="10.1796875" bestFit="1" customWidth="1"/>
    <col min="7" max="7" width="14.453125" bestFit="1" customWidth="1"/>
    <col min="8" max="8" width="12.7265625" bestFit="1" customWidth="1"/>
    <col min="9" max="9" width="19.54296875" bestFit="1" customWidth="1"/>
    <col min="10" max="11" width="18.54296875" bestFit="1" customWidth="1"/>
    <col min="12" max="12" width="14.7265625" bestFit="1" customWidth="1"/>
    <col min="13" max="13" width="15.7265625" bestFit="1" customWidth="1"/>
  </cols>
  <sheetData>
    <row r="3" spans="4:8" ht="15" thickBot="1" x14ac:dyDescent="0.4"/>
    <row r="4" spans="4:8" ht="22.5" thickBot="1" x14ac:dyDescent="0.7">
      <c r="D4" s="113" t="s">
        <v>36</v>
      </c>
      <c r="E4" s="114"/>
      <c r="F4" s="114"/>
      <c r="G4" s="114"/>
      <c r="H4" s="115"/>
    </row>
    <row r="5" spans="4:8" ht="15" thickBot="1" x14ac:dyDescent="0.4">
      <c r="D5" s="22" t="s">
        <v>355</v>
      </c>
      <c r="E5" s="116"/>
      <c r="F5" s="116"/>
      <c r="G5" s="116"/>
      <c r="H5" s="116"/>
    </row>
    <row r="6" spans="4:8" x14ac:dyDescent="0.35">
      <c r="D6" s="23" t="s">
        <v>37</v>
      </c>
      <c r="E6" s="24" t="s">
        <v>38</v>
      </c>
      <c r="F6" s="24" t="s">
        <v>39</v>
      </c>
      <c r="G6" s="24" t="s">
        <v>40</v>
      </c>
      <c r="H6" s="25" t="s">
        <v>41</v>
      </c>
    </row>
    <row r="7" spans="4:8" ht="16.5" x14ac:dyDescent="0.45">
      <c r="D7" s="26" t="s">
        <v>42</v>
      </c>
      <c r="E7" s="27">
        <v>29.1</v>
      </c>
      <c r="F7" s="28">
        <v>900</v>
      </c>
      <c r="G7" s="29">
        <f>'STT Report'!Q429+'STT Report'!Z429</f>
        <v>825.74249999999995</v>
      </c>
      <c r="H7" s="30">
        <f>E7+F7-G7</f>
        <v>103.35750000000007</v>
      </c>
    </row>
    <row r="8" spans="4:8" ht="16.5" x14ac:dyDescent="0.45">
      <c r="D8" s="26" t="s">
        <v>43</v>
      </c>
      <c r="E8" s="27">
        <v>29.1</v>
      </c>
      <c r="F8" s="31">
        <v>650</v>
      </c>
      <c r="G8" s="29">
        <f>'STT Report'!P429+'STT Report'!Y429</f>
        <v>595.40249999999992</v>
      </c>
      <c r="H8" s="30">
        <f>E8+F8-G8</f>
        <v>83.697500000000105</v>
      </c>
    </row>
    <row r="9" spans="4:8" ht="16.5" x14ac:dyDescent="0.45">
      <c r="D9" s="26" t="s">
        <v>44</v>
      </c>
      <c r="E9" s="27">
        <v>68.3</v>
      </c>
      <c r="F9" s="31">
        <v>800</v>
      </c>
      <c r="G9" s="29">
        <f>'STT Report'!O429+'STT Report'!X429</f>
        <v>693.60500000000002</v>
      </c>
      <c r="H9" s="30">
        <f>E9+F9-G9</f>
        <v>174.69499999999994</v>
      </c>
    </row>
    <row r="10" spans="4:8" x14ac:dyDescent="0.35">
      <c r="D10" s="32" t="s">
        <v>45</v>
      </c>
      <c r="E10" s="33">
        <f>SUM(E7:E9)</f>
        <v>126.5</v>
      </c>
      <c r="F10" s="34">
        <f>SUM(F7:F9)</f>
        <v>2350</v>
      </c>
      <c r="G10" s="35">
        <f>SUM(G7:G9)</f>
        <v>2114.75</v>
      </c>
      <c r="H10" s="36">
        <f>SUM(H7:H9)</f>
        <v>361.75000000000011</v>
      </c>
    </row>
    <row r="11" spans="4:8" ht="16.5" x14ac:dyDescent="0.45">
      <c r="D11" s="26" t="s">
        <v>61</v>
      </c>
      <c r="E11" s="27">
        <v>274.89999999999998</v>
      </c>
      <c r="F11" s="28">
        <v>1600</v>
      </c>
      <c r="G11" s="58">
        <f>'STT Report'!J429</f>
        <v>175.07499999999999</v>
      </c>
      <c r="H11" s="30">
        <f t="shared" ref="H11:H13" si="0">(E11+F11)-G11</f>
        <v>1699.825</v>
      </c>
    </row>
    <row r="12" spans="4:8" ht="16.5" x14ac:dyDescent="0.45">
      <c r="D12" s="26"/>
      <c r="E12" s="31"/>
      <c r="F12" s="31"/>
      <c r="G12" s="31"/>
      <c r="H12" s="30">
        <f t="shared" si="0"/>
        <v>0</v>
      </c>
    </row>
    <row r="13" spans="4:8" ht="16.5" x14ac:dyDescent="0.45">
      <c r="D13" s="26"/>
      <c r="E13" s="31"/>
      <c r="F13" s="31"/>
      <c r="G13" s="31"/>
      <c r="H13" s="30">
        <f t="shared" si="0"/>
        <v>0</v>
      </c>
    </row>
    <row r="14" spans="4:8" x14ac:dyDescent="0.35">
      <c r="D14" s="32" t="s">
        <v>45</v>
      </c>
      <c r="E14" s="33">
        <f>SUM(E11:E13)</f>
        <v>274.89999999999998</v>
      </c>
      <c r="F14" s="34">
        <f>SUM(F11:F13)</f>
        <v>1600</v>
      </c>
      <c r="G14" s="33">
        <f>SUM(G11:G13)</f>
        <v>175.07499999999999</v>
      </c>
      <c r="H14" s="36">
        <f>SUM(H11:H13)</f>
        <v>1699.825</v>
      </c>
    </row>
    <row r="15" spans="4:8" ht="16.5" x14ac:dyDescent="0.45">
      <c r="D15" s="26" t="s">
        <v>46</v>
      </c>
      <c r="E15" s="27">
        <v>49.1</v>
      </c>
      <c r="F15" s="28">
        <v>336</v>
      </c>
      <c r="G15" s="29">
        <f>'STT Report'!M429+'STT Report'!V429</f>
        <v>481.87874999999997</v>
      </c>
      <c r="H15" s="30">
        <f>E15+F15-G15</f>
        <v>-96.778749999999945</v>
      </c>
    </row>
    <row r="16" spans="4:8" ht="16.5" x14ac:dyDescent="0.45">
      <c r="D16" s="26" t="s">
        <v>47</v>
      </c>
      <c r="E16" s="27">
        <v>39</v>
      </c>
      <c r="F16" s="31">
        <v>595</v>
      </c>
      <c r="G16" s="29">
        <f>'STT Report'!L429+'STT Report'!U429</f>
        <v>465.375</v>
      </c>
      <c r="H16" s="30">
        <f>E16+F16-G16</f>
        <v>168.625</v>
      </c>
    </row>
    <row r="17" spans="3:13" ht="16.5" x14ac:dyDescent="0.45">
      <c r="D17" s="26" t="s">
        <v>48</v>
      </c>
      <c r="E17" s="27">
        <v>9.6999999999999993</v>
      </c>
      <c r="F17" s="31">
        <v>619</v>
      </c>
      <c r="G17" s="29">
        <f>'STT Report'!K429+'STT Report'!T429</f>
        <v>486.16250000000002</v>
      </c>
      <c r="H17" s="30">
        <f>E17+F17-G17</f>
        <v>142.53750000000002</v>
      </c>
    </row>
    <row r="18" spans="3:13" x14ac:dyDescent="0.35">
      <c r="D18" s="32" t="s">
        <v>45</v>
      </c>
      <c r="E18" s="33">
        <f>SUM(E15+E16+E17)</f>
        <v>97.8</v>
      </c>
      <c r="F18" s="34">
        <f>SUM(F15:F17)</f>
        <v>1550</v>
      </c>
      <c r="G18" s="35">
        <f>SUM(G15:G17)</f>
        <v>1433.41625</v>
      </c>
      <c r="H18" s="36">
        <f>SUM(H15:H17)</f>
        <v>214.38375000000008</v>
      </c>
    </row>
    <row r="19" spans="3:13" ht="15" thickBot="1" x14ac:dyDescent="0.4">
      <c r="D19" s="37" t="s">
        <v>49</v>
      </c>
      <c r="E19" s="38">
        <f>E10+E14+E18</f>
        <v>499.2</v>
      </c>
      <c r="F19" s="39">
        <f>F10+F14+F18</f>
        <v>5500</v>
      </c>
      <c r="G19" s="38">
        <f>G10+G14+G18</f>
        <v>3723.24125</v>
      </c>
      <c r="H19" s="40">
        <f>H10+H14+H18</f>
        <v>2275.9587500000002</v>
      </c>
    </row>
    <row r="20" spans="3:13" x14ac:dyDescent="0.35">
      <c r="C20" t="s">
        <v>50</v>
      </c>
    </row>
    <row r="21" spans="3:13" x14ac:dyDescent="0.35">
      <c r="C21" s="41" t="s">
        <v>51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</row>
    <row r="22" spans="3:13" ht="15" thickBot="1" x14ac:dyDescent="0.4"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</row>
    <row r="23" spans="3:13" ht="26.5" thickBot="1" x14ac:dyDescent="0.4">
      <c r="C23" s="82" t="s">
        <v>52</v>
      </c>
      <c r="D23" s="83" t="s">
        <v>364</v>
      </c>
      <c r="E23" s="84" t="s">
        <v>366</v>
      </c>
      <c r="F23" s="84" t="s">
        <v>53</v>
      </c>
      <c r="G23" s="83" t="s">
        <v>54</v>
      </c>
      <c r="H23" s="83" t="s">
        <v>55</v>
      </c>
      <c r="I23" s="83" t="s">
        <v>56</v>
      </c>
      <c r="J23" s="83" t="s">
        <v>57</v>
      </c>
      <c r="K23" s="83" t="s">
        <v>64</v>
      </c>
      <c r="L23" s="42" t="s">
        <v>58</v>
      </c>
      <c r="M23" s="43" t="s">
        <v>59</v>
      </c>
    </row>
    <row r="24" spans="3:13" x14ac:dyDescent="0.35">
      <c r="C24" s="98" t="s">
        <v>357</v>
      </c>
      <c r="D24" s="44" t="s">
        <v>365</v>
      </c>
      <c r="E24" s="44">
        <v>500</v>
      </c>
      <c r="F24" s="59">
        <f t="shared" ref="F24:F30" si="1">I24+J24+K24</f>
        <v>0</v>
      </c>
      <c r="G24" s="45">
        <f>I24/10</f>
        <v>0</v>
      </c>
      <c r="H24" s="45">
        <f t="shared" ref="H24:H30" si="2">J24/10</f>
        <v>0</v>
      </c>
      <c r="I24" s="46"/>
      <c r="J24" s="46"/>
      <c r="K24" s="85"/>
      <c r="L24" s="87">
        <f t="shared" ref="L24:L30" si="3">I24+J24+G24+H24+K24</f>
        <v>0</v>
      </c>
      <c r="M24" s="91">
        <f t="shared" ref="M24:M30" si="4">L24/E24</f>
        <v>0</v>
      </c>
    </row>
    <row r="25" spans="3:13" x14ac:dyDescent="0.35">
      <c r="C25" s="99" t="s">
        <v>358</v>
      </c>
      <c r="D25" s="47" t="s">
        <v>365</v>
      </c>
      <c r="E25" s="47">
        <v>500</v>
      </c>
      <c r="F25" s="48">
        <f t="shared" si="1"/>
        <v>0</v>
      </c>
      <c r="G25" s="48">
        <f t="shared" ref="G25:G30" si="5">I25/10</f>
        <v>0</v>
      </c>
      <c r="H25" s="48">
        <f t="shared" si="2"/>
        <v>0</v>
      </c>
      <c r="I25" s="49"/>
      <c r="J25" s="49"/>
      <c r="K25" s="86"/>
      <c r="L25" s="88">
        <f t="shared" si="3"/>
        <v>0</v>
      </c>
      <c r="M25" s="92">
        <f t="shared" si="4"/>
        <v>0</v>
      </c>
    </row>
    <row r="26" spans="3:13" x14ac:dyDescent="0.35">
      <c r="C26" s="99" t="s">
        <v>359</v>
      </c>
      <c r="D26" s="47" t="s">
        <v>365</v>
      </c>
      <c r="E26" s="47">
        <v>500</v>
      </c>
      <c r="F26" s="48">
        <f t="shared" si="1"/>
        <v>0</v>
      </c>
      <c r="G26" s="48">
        <f t="shared" si="5"/>
        <v>0</v>
      </c>
      <c r="H26" s="48">
        <f t="shared" si="2"/>
        <v>0</v>
      </c>
      <c r="I26" s="49"/>
      <c r="J26" s="49"/>
      <c r="K26" s="86"/>
      <c r="L26" s="88">
        <f t="shared" si="3"/>
        <v>0</v>
      </c>
      <c r="M26" s="92">
        <f t="shared" si="4"/>
        <v>0</v>
      </c>
    </row>
    <row r="27" spans="3:13" x14ac:dyDescent="0.35">
      <c r="C27" s="99" t="s">
        <v>361</v>
      </c>
      <c r="D27" s="47" t="s">
        <v>365</v>
      </c>
      <c r="E27" s="47">
        <v>500</v>
      </c>
      <c r="F27" s="48">
        <f t="shared" si="1"/>
        <v>0</v>
      </c>
      <c r="G27" s="48">
        <f t="shared" si="5"/>
        <v>0</v>
      </c>
      <c r="H27" s="48">
        <f t="shared" si="2"/>
        <v>0</v>
      </c>
      <c r="I27" s="49"/>
      <c r="J27" s="49"/>
      <c r="K27" s="86"/>
      <c r="L27" s="89">
        <f t="shared" si="3"/>
        <v>0</v>
      </c>
      <c r="M27" s="93">
        <f t="shared" si="4"/>
        <v>0</v>
      </c>
    </row>
    <row r="28" spans="3:13" x14ac:dyDescent="0.35">
      <c r="C28" s="99" t="s">
        <v>360</v>
      </c>
      <c r="D28" s="47" t="s">
        <v>365</v>
      </c>
      <c r="E28" s="47">
        <v>500</v>
      </c>
      <c r="F28" s="48">
        <f t="shared" si="1"/>
        <v>0</v>
      </c>
      <c r="G28" s="48">
        <f t="shared" si="5"/>
        <v>0</v>
      </c>
      <c r="H28" s="48">
        <f t="shared" si="2"/>
        <v>0</v>
      </c>
      <c r="I28" s="49"/>
      <c r="J28" s="49"/>
      <c r="K28" s="86"/>
      <c r="L28" s="89">
        <f t="shared" si="3"/>
        <v>0</v>
      </c>
      <c r="M28" s="93">
        <f t="shared" si="4"/>
        <v>0</v>
      </c>
    </row>
    <row r="29" spans="3:13" x14ac:dyDescent="0.35">
      <c r="C29" s="99" t="s">
        <v>362</v>
      </c>
      <c r="D29" s="47" t="s">
        <v>365</v>
      </c>
      <c r="E29" s="47">
        <v>500</v>
      </c>
      <c r="F29" s="48">
        <f t="shared" si="1"/>
        <v>0</v>
      </c>
      <c r="G29" s="48">
        <f t="shared" si="5"/>
        <v>0</v>
      </c>
      <c r="H29" s="48">
        <f t="shared" si="2"/>
        <v>0</v>
      </c>
      <c r="I29" s="49"/>
      <c r="J29" s="49"/>
      <c r="K29" s="86"/>
      <c r="L29" s="89">
        <f t="shared" si="3"/>
        <v>0</v>
      </c>
      <c r="M29" s="93">
        <f t="shared" si="4"/>
        <v>0</v>
      </c>
    </row>
    <row r="30" spans="3:13" ht="15" thickBot="1" x14ac:dyDescent="0.4">
      <c r="C30" s="100" t="s">
        <v>363</v>
      </c>
      <c r="D30" s="94" t="s">
        <v>365</v>
      </c>
      <c r="E30" s="94">
        <v>5000</v>
      </c>
      <c r="F30" s="60">
        <f t="shared" si="1"/>
        <v>0</v>
      </c>
      <c r="G30" s="95">
        <f t="shared" si="5"/>
        <v>0</v>
      </c>
      <c r="H30" s="95">
        <f t="shared" si="2"/>
        <v>0</v>
      </c>
      <c r="I30" s="96"/>
      <c r="J30" s="96"/>
      <c r="K30" s="97"/>
      <c r="L30" s="90">
        <f t="shared" si="3"/>
        <v>0</v>
      </c>
      <c r="M30" s="93">
        <f t="shared" si="4"/>
        <v>0</v>
      </c>
    </row>
    <row r="31" spans="3:13" ht="16" thickBot="1" x14ac:dyDescent="0.4">
      <c r="C31" s="117" t="s">
        <v>60</v>
      </c>
      <c r="D31" s="118"/>
      <c r="E31" s="50">
        <f>SUM(E24:E30)</f>
        <v>8000</v>
      </c>
      <c r="F31" s="51">
        <f t="shared" ref="F31:L31" si="6">SUM(F24:F27)</f>
        <v>0</v>
      </c>
      <c r="G31" s="51">
        <f t="shared" si="6"/>
        <v>0</v>
      </c>
      <c r="H31" s="51">
        <f t="shared" si="6"/>
        <v>0</v>
      </c>
      <c r="I31" s="52">
        <f t="shared" si="6"/>
        <v>0</v>
      </c>
      <c r="J31" s="52">
        <f t="shared" si="6"/>
        <v>0</v>
      </c>
      <c r="K31" s="51">
        <f t="shared" si="6"/>
        <v>0</v>
      </c>
      <c r="L31" s="51">
        <f t="shared" si="6"/>
        <v>0</v>
      </c>
      <c r="M31" s="53">
        <f>L31/E31</f>
        <v>0</v>
      </c>
    </row>
  </sheetData>
  <mergeCells count="3">
    <mergeCell ref="D4:H4"/>
    <mergeCell ref="E5:H5"/>
    <mergeCell ref="C31:D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STT Report</vt:lpstr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786</cp:lastModifiedBy>
  <dcterms:created xsi:type="dcterms:W3CDTF">2025-01-13T06:56:13Z</dcterms:created>
  <dcterms:modified xsi:type="dcterms:W3CDTF">2026-06-30T13:22:16Z</dcterms:modified>
</cp:coreProperties>
</file>