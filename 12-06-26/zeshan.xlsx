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0FEF28B-2B17-4FDA-93B4-6FBF37F317D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8" l="1"/>
  <c r="L18" i="28"/>
  <c r="L19" i="28"/>
  <c r="L20" i="28"/>
  <c r="L21" i="28"/>
  <c r="L16" i="28"/>
  <c r="L17" i="30"/>
  <c r="L18" i="30"/>
  <c r="L19" i="30"/>
  <c r="L20" i="30"/>
  <c r="L21" i="30"/>
  <c r="L16" i="30"/>
  <c r="L17" i="29"/>
  <c r="L18" i="29"/>
  <c r="L19" i="29"/>
  <c r="L20" i="29"/>
  <c r="L21" i="29"/>
  <c r="L22" i="29"/>
  <c r="L23" i="29"/>
  <c r="L24" i="29"/>
  <c r="L16" i="29"/>
  <c r="J16" i="15"/>
  <c r="J17" i="15"/>
  <c r="J18" i="15"/>
  <c r="J19" i="15"/>
  <c r="J20" i="15"/>
  <c r="J21" i="15"/>
  <c r="J22" i="15"/>
  <c r="J23" i="15"/>
  <c r="J24" i="15"/>
  <c r="H17" i="15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C24" i="33"/>
  <c r="B24" i="33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B21" i="33"/>
  <c r="C21" i="33" s="1"/>
  <c r="F20" i="33"/>
  <c r="E20" i="33"/>
  <c r="D20" i="33"/>
  <c r="C20" i="33"/>
  <c r="B20" i="33"/>
  <c r="F19" i="33"/>
  <c r="E19" i="33"/>
  <c r="D19" i="33"/>
  <c r="B19" i="33"/>
  <c r="C19" i="33" s="1"/>
  <c r="I18" i="33"/>
  <c r="K18" i="33" s="1"/>
  <c r="F18" i="33"/>
  <c r="E18" i="33"/>
  <c r="D18" i="33"/>
  <c r="C18" i="33"/>
  <c r="B18" i="33"/>
  <c r="F17" i="33"/>
  <c r="E17" i="33"/>
  <c r="D17" i="33"/>
  <c r="B17" i="33"/>
  <c r="C17" i="33" s="1"/>
  <c r="I16" i="33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C24" i="32"/>
  <c r="B24" i="32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2" i="32" l="1"/>
  <c r="I17" i="33"/>
  <c r="I22" i="33"/>
  <c r="I24" i="32"/>
  <c r="K17" i="33"/>
  <c r="L17" i="33"/>
  <c r="I16" i="28"/>
  <c r="K16" i="28" s="1"/>
  <c r="I17" i="28"/>
  <c r="I18" i="28"/>
  <c r="I19" i="28"/>
  <c r="I20" i="28"/>
  <c r="K20" i="28" s="1"/>
  <c r="I21" i="28"/>
  <c r="I22" i="28"/>
  <c r="I23" i="28"/>
  <c r="I24" i="28"/>
  <c r="K24" i="28" s="1"/>
  <c r="L16" i="33"/>
  <c r="I16" i="31"/>
  <c r="I17" i="31"/>
  <c r="I18" i="31"/>
  <c r="K18" i="31" s="1"/>
  <c r="I19" i="31"/>
  <c r="I20" i="31"/>
  <c r="I21" i="31"/>
  <c r="I22" i="31"/>
  <c r="L22" i="31" s="1"/>
  <c r="I23" i="31"/>
  <c r="I24" i="31"/>
  <c r="I23" i="32"/>
  <c r="I19" i="33"/>
  <c r="I23" i="33"/>
  <c r="L18" i="33"/>
  <c r="I20" i="33"/>
  <c r="I24" i="33"/>
  <c r="K24" i="33" s="1"/>
  <c r="I16" i="35"/>
  <c r="I17" i="35"/>
  <c r="L17" i="35" s="1"/>
  <c r="M17" i="35" s="1"/>
  <c r="I18" i="35"/>
  <c r="L18" i="35" s="1"/>
  <c r="I19" i="35"/>
  <c r="K19" i="35" s="1"/>
  <c r="I20" i="35"/>
  <c r="I21" i="35"/>
  <c r="L21" i="35" s="1"/>
  <c r="I22" i="35"/>
  <c r="K22" i="35" s="1"/>
  <c r="I23" i="35"/>
  <c r="K23" i="35" s="1"/>
  <c r="I24" i="35"/>
  <c r="K16" i="35"/>
  <c r="L16" i="35"/>
  <c r="K17" i="35"/>
  <c r="K18" i="35"/>
  <c r="K20" i="35"/>
  <c r="L20" i="35"/>
  <c r="L22" i="35"/>
  <c r="K24" i="35"/>
  <c r="L24" i="35"/>
  <c r="I25" i="34"/>
  <c r="P28" i="34" s="1"/>
  <c r="K16" i="34"/>
  <c r="M16" i="34" s="1"/>
  <c r="L16" i="34"/>
  <c r="K17" i="34"/>
  <c r="L17" i="34"/>
  <c r="K18" i="34"/>
  <c r="M18" i="34" s="1"/>
  <c r="L18" i="34"/>
  <c r="K19" i="34"/>
  <c r="L19" i="34"/>
  <c r="K20" i="34"/>
  <c r="L20" i="34"/>
  <c r="K21" i="34"/>
  <c r="M21" i="34" s="1"/>
  <c r="L21" i="34"/>
  <c r="K22" i="34"/>
  <c r="L22" i="34"/>
  <c r="K23" i="34"/>
  <c r="M23" i="34" s="1"/>
  <c r="L23" i="34"/>
  <c r="K24" i="34"/>
  <c r="L24" i="34"/>
  <c r="K21" i="33"/>
  <c r="L21" i="33"/>
  <c r="M21" i="33"/>
  <c r="K22" i="33"/>
  <c r="L22" i="33"/>
  <c r="L19" i="33"/>
  <c r="K23" i="33"/>
  <c r="L23" i="33"/>
  <c r="K20" i="33"/>
  <c r="L20" i="33"/>
  <c r="M17" i="33"/>
  <c r="M18" i="33"/>
  <c r="K16" i="33"/>
  <c r="K24" i="32"/>
  <c r="L24" i="32"/>
  <c r="I25" i="32"/>
  <c r="P28" i="32" s="1"/>
  <c r="K16" i="32"/>
  <c r="L16" i="32"/>
  <c r="K17" i="32"/>
  <c r="M17" i="32" s="1"/>
  <c r="L17" i="32"/>
  <c r="K18" i="32"/>
  <c r="L18" i="32"/>
  <c r="K19" i="32"/>
  <c r="M19" i="32" s="1"/>
  <c r="L19" i="32"/>
  <c r="K20" i="32"/>
  <c r="L20" i="32"/>
  <c r="K21" i="32"/>
  <c r="M21" i="32" s="1"/>
  <c r="L21" i="32"/>
  <c r="K23" i="32"/>
  <c r="L23" i="32"/>
  <c r="K22" i="32"/>
  <c r="M22" i="32" s="1"/>
  <c r="L22" i="32"/>
  <c r="K17" i="31"/>
  <c r="M17" i="31" s="1"/>
  <c r="L17" i="31"/>
  <c r="K19" i="31"/>
  <c r="M19" i="31" s="1"/>
  <c r="L19" i="31"/>
  <c r="K21" i="31"/>
  <c r="L21" i="31"/>
  <c r="K24" i="31"/>
  <c r="L24" i="31"/>
  <c r="M24" i="31" s="1"/>
  <c r="I25" i="31"/>
  <c r="P28" i="31" s="1"/>
  <c r="K16" i="31"/>
  <c r="L16" i="31"/>
  <c r="L18" i="31"/>
  <c r="K20" i="31"/>
  <c r="L20" i="31"/>
  <c r="K23" i="31"/>
  <c r="M23" i="31"/>
  <c r="L23" i="31"/>
  <c r="K18" i="30"/>
  <c r="K20" i="30"/>
  <c r="K21" i="30"/>
  <c r="K23" i="30"/>
  <c r="M23" i="30" s="1"/>
  <c r="L23" i="30"/>
  <c r="I25" i="30"/>
  <c r="P28" i="30" s="1"/>
  <c r="K16" i="30"/>
  <c r="K17" i="30"/>
  <c r="K19" i="30"/>
  <c r="K22" i="30"/>
  <c r="L22" i="30"/>
  <c r="M22" i="30" s="1"/>
  <c r="K24" i="30"/>
  <c r="L24" i="30"/>
  <c r="M24" i="30" s="1"/>
  <c r="I25" i="29"/>
  <c r="P28" i="29" s="1"/>
  <c r="K16" i="29"/>
  <c r="M16" i="29"/>
  <c r="K19" i="29"/>
  <c r="M19" i="29"/>
  <c r="K21" i="29"/>
  <c r="K24" i="29"/>
  <c r="M24" i="29"/>
  <c r="K17" i="29"/>
  <c r="K20" i="29"/>
  <c r="K22" i="29"/>
  <c r="K18" i="29"/>
  <c r="M18" i="29" s="1"/>
  <c r="K23" i="29"/>
  <c r="I25" i="28"/>
  <c r="P28" i="28" s="1"/>
  <c r="K17" i="28"/>
  <c r="M17" i="28"/>
  <c r="K18" i="28"/>
  <c r="M18" i="28" s="1"/>
  <c r="K19" i="28"/>
  <c r="K21" i="28"/>
  <c r="K22" i="28"/>
  <c r="M22" i="28" s="1"/>
  <c r="L22" i="28"/>
  <c r="K23" i="28"/>
  <c r="L23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21" i="30" l="1"/>
  <c r="N21" i="30" s="1"/>
  <c r="O21" i="30" s="1"/>
  <c r="M22" i="33"/>
  <c r="M24" i="34"/>
  <c r="M20" i="34"/>
  <c r="M24" i="35"/>
  <c r="K21" i="35"/>
  <c r="M21" i="35" s="1"/>
  <c r="I25" i="33"/>
  <c r="P28" i="33" s="1"/>
  <c r="M23" i="28"/>
  <c r="M23" i="32"/>
  <c r="M18" i="32"/>
  <c r="M20" i="33"/>
  <c r="M19" i="34"/>
  <c r="M20" i="35"/>
  <c r="M22" i="35"/>
  <c r="M18" i="35"/>
  <c r="K22" i="31"/>
  <c r="M22" i="31" s="1"/>
  <c r="N22" i="31" s="1"/>
  <c r="O22" i="31" s="1"/>
  <c r="P22" i="31" s="1"/>
  <c r="M24" i="32"/>
  <c r="K19" i="33"/>
  <c r="M19" i="33" s="1"/>
  <c r="L19" i="35"/>
  <c r="M19" i="35" s="1"/>
  <c r="N19" i="35" s="1"/>
  <c r="O19" i="35" s="1"/>
  <c r="M18" i="31"/>
  <c r="L24" i="28"/>
  <c r="M24" i="28" s="1"/>
  <c r="N24" i="28" s="1"/>
  <c r="O24" i="28" s="1"/>
  <c r="P24" i="28" s="1"/>
  <c r="M16" i="28"/>
  <c r="M23" i="29"/>
  <c r="M22" i="29"/>
  <c r="N22" i="29" s="1"/>
  <c r="O22" i="29" s="1"/>
  <c r="M17" i="29"/>
  <c r="M17" i="30"/>
  <c r="N17" i="30" s="1"/>
  <c r="O17" i="30" s="1"/>
  <c r="M18" i="30"/>
  <c r="L25" i="31"/>
  <c r="P29" i="31" s="1"/>
  <c r="M20" i="32"/>
  <c r="M16" i="32"/>
  <c r="M25" i="32" s="1"/>
  <c r="L24" i="33"/>
  <c r="M24" i="33" s="1"/>
  <c r="N24" i="33" s="1"/>
  <c r="O24" i="33" s="1"/>
  <c r="M22" i="34"/>
  <c r="M17" i="34"/>
  <c r="N17" i="34" s="1"/>
  <c r="O17" i="34" s="1"/>
  <c r="L23" i="35"/>
  <c r="M23" i="35" s="1"/>
  <c r="N23" i="35" s="1"/>
  <c r="O23" i="35" s="1"/>
  <c r="I25" i="35"/>
  <c r="P28" i="35" s="1"/>
  <c r="M21" i="28"/>
  <c r="M19" i="28"/>
  <c r="N19" i="28" s="1"/>
  <c r="O19" i="28" s="1"/>
  <c r="M20" i="29"/>
  <c r="M21" i="29"/>
  <c r="M25" i="29" s="1"/>
  <c r="M20" i="31"/>
  <c r="M21" i="31"/>
  <c r="N21" i="31" s="1"/>
  <c r="M23" i="33"/>
  <c r="N23" i="33" s="1"/>
  <c r="O23" i="33" s="1"/>
  <c r="M16" i="30"/>
  <c r="N16" i="30" s="1"/>
  <c r="M20" i="30"/>
  <c r="L25" i="30"/>
  <c r="P29" i="30" s="1"/>
  <c r="M19" i="30"/>
  <c r="N19" i="30" s="1"/>
  <c r="O19" i="30" s="1"/>
  <c r="P19" i="30" s="1"/>
  <c r="M20" i="28"/>
  <c r="N20" i="35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L25" i="35"/>
  <c r="P29" i="35" s="1"/>
  <c r="P31" i="35" s="1"/>
  <c r="M16" i="35"/>
  <c r="N22" i="34"/>
  <c r="O22" i="34" s="1"/>
  <c r="N20" i="34"/>
  <c r="O20" i="34" s="1"/>
  <c r="N24" i="34"/>
  <c r="O24" i="34" s="1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N16" i="34"/>
  <c r="N20" i="33"/>
  <c r="O20" i="33" s="1"/>
  <c r="N19" i="33"/>
  <c r="O19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N23" i="32"/>
  <c r="O23" i="32" s="1"/>
  <c r="N18" i="32"/>
  <c r="O18" i="32" s="1"/>
  <c r="N24" i="32"/>
  <c r="O24" i="32" s="1"/>
  <c r="P24" i="32" s="1"/>
  <c r="N20" i="32"/>
  <c r="O20" i="32" s="1"/>
  <c r="L25" i="32"/>
  <c r="P29" i="32" s="1"/>
  <c r="P31" i="32" s="1"/>
  <c r="N22" i="32"/>
  <c r="O22" i="32" s="1"/>
  <c r="P22" i="32" s="1"/>
  <c r="K25" i="32"/>
  <c r="P30" i="32" s="1"/>
  <c r="N18" i="31"/>
  <c r="O18" i="31" s="1"/>
  <c r="N20" i="31"/>
  <c r="O20" i="31" s="1"/>
  <c r="N24" i="31"/>
  <c r="O24" i="31" s="1"/>
  <c r="N23" i="31"/>
  <c r="O23" i="31" s="1"/>
  <c r="P23" i="31"/>
  <c r="N17" i="31"/>
  <c r="O17" i="31" s="1"/>
  <c r="M16" i="31"/>
  <c r="N19" i="31"/>
  <c r="O19" i="31" s="1"/>
  <c r="N20" i="30"/>
  <c r="O20" i="30" s="1"/>
  <c r="N18" i="30"/>
  <c r="O18" i="30" s="1"/>
  <c r="P18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N17" i="29"/>
  <c r="O17" i="29" s="1"/>
  <c r="P17" i="29" s="1"/>
  <c r="N16" i="29"/>
  <c r="N20" i="29"/>
  <c r="O20" i="29" s="1"/>
  <c r="N18" i="29"/>
  <c r="O18" i="29" s="1"/>
  <c r="P18" i="29"/>
  <c r="N19" i="29"/>
  <c r="O19" i="29" s="1"/>
  <c r="N24" i="29"/>
  <c r="O24" i="29" s="1"/>
  <c r="L25" i="29"/>
  <c r="P29" i="29" s="1"/>
  <c r="K25" i="29"/>
  <c r="P30" i="29" s="1"/>
  <c r="N20" i="28"/>
  <c r="O20" i="28" s="1"/>
  <c r="P20" i="28" s="1"/>
  <c r="N22" i="28"/>
  <c r="O22" i="28" s="1"/>
  <c r="P22" i="28" s="1"/>
  <c r="K25" i="28"/>
  <c r="P30" i="28" s="1"/>
  <c r="N23" i="28"/>
  <c r="O23" i="28" s="1"/>
  <c r="P23" i="28" s="1"/>
  <c r="L25" i="28"/>
  <c r="P29" i="28" s="1"/>
  <c r="N21" i="28"/>
  <c r="O21" i="28" s="1"/>
  <c r="N18" i="28"/>
  <c r="O18" i="28" s="1"/>
  <c r="P18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4" i="26" l="1"/>
  <c r="P20" i="31"/>
  <c r="P24" i="29"/>
  <c r="P17" i="32"/>
  <c r="P31" i="34"/>
  <c r="P24" i="34"/>
  <c r="O21" i="31"/>
  <c r="P21" i="31" s="1"/>
  <c r="N16" i="32"/>
  <c r="M25" i="34"/>
  <c r="L25" i="33"/>
  <c r="P29" i="33" s="1"/>
  <c r="P17" i="31"/>
  <c r="P24" i="31"/>
  <c r="P18" i="31"/>
  <c r="P23" i="32"/>
  <c r="P19" i="32"/>
  <c r="K25" i="31"/>
  <c r="P30" i="31" s="1"/>
  <c r="P31" i="31" s="1"/>
  <c r="P20" i="34"/>
  <c r="K25" i="33"/>
  <c r="P30" i="33" s="1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1" i="18" l="1"/>
  <c r="I22" i="18"/>
  <c r="L22" i="18" s="1"/>
  <c r="I24" i="18"/>
  <c r="L24" i="18" s="1"/>
  <c r="I19" i="19"/>
  <c r="K19" i="19" s="1"/>
  <c r="I20" i="19"/>
  <c r="I21" i="19"/>
  <c r="I22" i="19"/>
  <c r="I23" i="19"/>
  <c r="K23" i="19" s="1"/>
  <c r="I24" i="19"/>
  <c r="I21" i="22"/>
  <c r="I22" i="22"/>
  <c r="P31" i="33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L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K24" i="20"/>
  <c r="K23" i="20"/>
  <c r="K20" i="19"/>
  <c r="L20" i="19"/>
  <c r="K18" i="19"/>
  <c r="K24" i="19"/>
  <c r="L24" i="19"/>
  <c r="K22" i="19"/>
  <c r="L22" i="19"/>
  <c r="L19" i="19"/>
  <c r="L21" i="19"/>
  <c r="K21" i="19"/>
  <c r="L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0" l="1"/>
  <c r="L21" i="21"/>
  <c r="L23" i="22"/>
  <c r="P33" i="33"/>
  <c r="P34" i="33" s="1"/>
  <c r="P35" i="33" s="1"/>
  <c r="O25" i="35"/>
  <c r="P16" i="35"/>
  <c r="P25" i="35" s="1"/>
  <c r="P34" i="35"/>
  <c r="P35" i="35" s="1"/>
  <c r="O25" i="33"/>
  <c r="P16" i="33"/>
  <c r="P2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M21" i="24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N24" i="24" s="1"/>
  <c r="O24" i="24" s="1"/>
  <c r="M17" i="24"/>
  <c r="M23" i="24"/>
  <c r="I25" i="23"/>
  <c r="P28" i="23" s="1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17" i="24"/>
  <c r="O17" i="24" s="1"/>
  <c r="K25" i="24"/>
  <c r="P30" i="24" s="1"/>
  <c r="N21" i="24"/>
  <c r="O21" i="24" s="1"/>
  <c r="N16" i="23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N20" i="18"/>
  <c r="O20" i="18" s="1"/>
  <c r="M16" i="17"/>
  <c r="I23" i="15"/>
  <c r="M19" i="18" l="1"/>
  <c r="N19" i="18" s="1"/>
  <c r="O19" i="18" s="1"/>
  <c r="K25" i="22"/>
  <c r="P30" i="22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 l="1"/>
  <c r="N22" i="16" s="1"/>
  <c r="M18" i="16"/>
  <c r="N18" i="16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17" l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U30" i="15" l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<sst xmlns="http://schemas.openxmlformats.org/spreadsheetml/2006/main" count="1585" uniqueCount="134">
  <si>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</si>
  <si>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</si>
  <si>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</si>
  <si>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</si>
  <si>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</si>
  <si>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</si>
  <si>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</si>
  <si>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</si>
  <si>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</si>
  <si>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</si>
  <si>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</si>
  <si>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</si>
  <si>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</si>
  <si>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</si>
  <si>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</si>
  <si>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</si>
  <si>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</si>
  <si>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</si>
  <si>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</si>
  <si>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</si>
  <si>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</si>
  <si>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</si>
  <si>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</si>
  <si>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</si>
  <si>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</si>
  <si>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</si>
  <si>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</si>
  <si>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</si>
  <si>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</si>
  <si>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</si>
  <si>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</si>
  <si>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</si>
  <si>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</si>
  <si>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</si>
  <si>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</si>
  <si>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</si>
  <si>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</si>
  <si>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</si>
  <si>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</si>
  <si>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</si>
  <si>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</si>
  <si>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</si>
  <si>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</si>
  <si>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</si>
  <si>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</si>
  <si>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</si>
  <si>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</si>
  <si>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</si>
  <si>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</si>
  <si>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</si>
  <si>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</si>
  <si>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</si>
  <si>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</si>
  <si>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</si>
  <si>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</si>
  <si>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</si>
  <si>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</si>
  <si>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</si>
  <si>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</si>
  <si>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</si>
  <si>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</si>
  <si>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</si>
  <si>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</si>
  <si>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</si>
  <si>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</si>
  <si>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</si>
  <si>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</si>
  <si>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</si>
  <si>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</si>
  <si>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</si>
  <si>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</si>
  <si>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</si>
  <si>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</si>
  <si>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</si>
  <si>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</si>
  <si>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</si>
  <si>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</si>
  <si>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</si>
  <si>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</si>
  <si>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</si>
  <si>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</si>
  <si>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</si>
  <si>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</si>
  <si>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</si>
  <si>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</si>
  <si>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</si>
  <si>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</si>
  <si>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</si>
  <si>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</si>
  <si>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</si>
  <si>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</si>
  <si>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</si>
  <si>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</si>
  <si>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</si>
  <si>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</si>
  <si>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</si>
  <si>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</si>
  <si>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</si>
  <si>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</si>
  <si>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</si>
  <si>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</si>
  <si>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</si>
  <si>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Shop Name</t>
  </si>
  <si>
    <t>Address: A</t>
  </si>
  <si>
    <t>Customer Name : Shahab Store</t>
  </si>
  <si>
    <t>Address: Defence mor</t>
  </si>
  <si>
    <t>1737799-4</t>
  </si>
  <si>
    <t>Customer Name : Allys Store</t>
  </si>
  <si>
    <t>0207759-7</t>
  </si>
  <si>
    <t>Customer Name : Trust Store</t>
  </si>
  <si>
    <t>Address: W block DHA</t>
  </si>
  <si>
    <t>059686-1</t>
  </si>
  <si>
    <t>Customer Name : Ms Store</t>
  </si>
  <si>
    <t>Address: W Block DHA</t>
  </si>
  <si>
    <t>Customer Name : Bilal Store</t>
  </si>
  <si>
    <t>Address: Dha</t>
  </si>
  <si>
    <t>Customer Name : Adnan Store</t>
  </si>
  <si>
    <t>Address: dha</t>
  </si>
  <si>
    <t>Customer Name : Besta Mart</t>
  </si>
  <si>
    <t xml:space="preserve">Customer Name : Abdullah Mart </t>
  </si>
  <si>
    <t>Customer Name : Ks Mart</t>
  </si>
  <si>
    <t>Customer Name : Hafiz store</t>
  </si>
  <si>
    <t>Customer Name : Pakistan Store</t>
  </si>
  <si>
    <t>Customer Name : Al Ghani Store</t>
  </si>
  <si>
    <t xml:space="preserve">Customer Name : Al mazz Cash &amp; Carry </t>
  </si>
  <si>
    <t xml:space="preserve">Address: Statr Life </t>
  </si>
  <si>
    <t>g357447</t>
  </si>
  <si>
    <t>g357447-3</t>
  </si>
  <si>
    <t xml:space="preserve">Customer Name : Panda Mart </t>
  </si>
  <si>
    <t>737675639-4</t>
  </si>
  <si>
    <t>Customer Name : Tahir Store</t>
  </si>
  <si>
    <t xml:space="preserve">Address: Pak Arab Society </t>
  </si>
  <si>
    <t>Zeshan</t>
  </si>
  <si>
    <t>Shop Bill Summary (Zeshan)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</si>
</sst>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4" sqref="G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4" sqref="G4"/>
      <selection pane="topRight" activeCell="G4" sqref="G4"/>
      <selection pane="bottomLeft" activeCell="G4" sqref="G4"/>
      <selection pane="bottomRight" activeCell="F4" sqref="F4:G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5" zoomScale="70" zoomScaleNormal="70" workbookViewId="0">
      <selection activeCell="T27" sqref="T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132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133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Shahab Store</v>
      </c>
      <c r="U14" s="164">
        <f>+'1'!P35</f>
        <v>3309.6730752000003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Allys Store</v>
      </c>
      <c r="U15" s="164">
        <f>+'2'!P35</f>
        <v>1629.7652387700002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90</v>
      </c>
      <c r="I16" s="1">
        <f>(G16*D16)*F16+H16*F16</f>
        <v>4721.625</v>
      </c>
      <c r="J16" s="172">
        <f>+'1'!J16+'2'!J16+'4'!J16+'3'!J16+'5'!J16+'6'!J16+'7'!J16+'8'!J16+'9'!J16+'10'!J16+'11'!J16+'12'!J16+'13'!J16+'14'!J16+'15'!J16+'16'!J16+'17'!J16+'18'!J16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41.97</v>
      </c>
      <c r="M16" s="106">
        <f>I16-K16-L16</f>
        <v>4679.6549999999997</v>
      </c>
      <c r="N16" s="101">
        <f>+'1'!N16+'2'!N16+'4'!N16+'3'!N16+'5'!N16+'6'!N16+'7'!N16+'8'!N16+'9'!N16+'10'!N16</f>
        <v>86.877899999999997</v>
      </c>
      <c r="O16" s="101">
        <f>+'1'!O16+'2'!O16+'4'!O16+'3'!O16+'5'!O16+'6'!O16+'7'!O16+'8'!O16+'9'!O16+'10'!O16</f>
        <v>2.8476644999999996</v>
      </c>
      <c r="P16" s="105">
        <f t="shared" ref="P16:P24" si="0">M16+N16+O16</f>
        <v>4769.3805645000002</v>
      </c>
      <c r="Q16" s="108"/>
      <c r="T16" s="163" t="str">
        <f>+'4'!A5</f>
        <v>Customer Name : Ms Store</v>
      </c>
      <c r="U16" s="164">
        <f>+'4'!P35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90</v>
      </c>
      <c r="I17" s="1">
        <f t="shared" ref="I17:I23" si="1">(G17*D17)*F17+H17*F17</f>
        <v>4721.625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4679.6549999999997</v>
      </c>
      <c r="N17" s="101">
        <f>+'1'!N17+'2'!N17+'4'!N17+'3'!N17+'5'!N17+'6'!N17+'7'!N17+'8'!N17+'9'!N17+'10'!N17</f>
        <v>96.321149999999989</v>
      </c>
      <c r="O17" s="101">
        <f>+'1'!O17+'2'!O17+'4'!O17+'3'!O17+'5'!O17+'6'!O17+'7'!O17+'8'!O17+'9'!O17+'10'!O17</f>
        <v>2.89488075</v>
      </c>
      <c r="P17" s="120">
        <f t="shared" si="0"/>
        <v>4778.8710307499996</v>
      </c>
      <c r="S17" s="64"/>
      <c r="T17" s="163" t="str">
        <f>+'3'!A5</f>
        <v>Customer Name : Trust Store</v>
      </c>
      <c r="U17" s="164">
        <f>+'3'!P35</f>
        <v>1511.4024351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4197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4197</v>
      </c>
      <c r="T18" s="163" t="str">
        <f>+'5'!A5</f>
        <v>Customer Name : Bilal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307</v>
      </c>
      <c r="I19" s="1">
        <f t="shared" si="1"/>
        <v>22300.48</v>
      </c>
      <c r="J19" s="172">
        <f>+'1'!J19+'2'!J19+'4'!J19+'3'!J19+'5'!J19+'6'!J19+'7'!J19+'8'!J19+'9'!J19+'10'!J19+'11'!J19+'12'!J19+'13'!J19+'14'!J19+'15'!J19+'16'!J19+'17'!J19+'18'!J19</f>
        <v>14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156.9024</v>
      </c>
      <c r="M19" s="118">
        <f t="shared" si="2"/>
        <v>22143.577600000001</v>
      </c>
      <c r="N19" s="101">
        <f>+'1'!N19+'2'!N19+'4'!N19+'3'!N19+'5'!N19+'6'!N19+'7'!N19+'8'!N19+'9'!N19+'10'!N19</f>
        <v>396.96307200000001</v>
      </c>
      <c r="O19" s="101">
        <f>+'1'!O19+'2'!O19+'4'!O19+'3'!O19+'5'!O19+'6'!O19+'7'!O19+'8'!O19+'9'!O19+'10'!O19</f>
        <v>11.006703359999999</v>
      </c>
      <c r="P19" s="120">
        <f t="shared" si="0"/>
        <v>22551.547375359998</v>
      </c>
      <c r="T19" s="163" t="str">
        <f>+'6'!A5</f>
        <v>Customer Name : Adnan Store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256</v>
      </c>
      <c r="I20" s="1">
        <f t="shared" si="1"/>
        <v>18595.84</v>
      </c>
      <c r="J20" s="172">
        <f>+'1'!J20+'2'!J20+'4'!J20+'3'!J20+'5'!J20+'6'!J20+'7'!J20+'8'!J20+'9'!J20+'10'!J20+'11'!J20+'12'!J20+'13'!J20+'14'!J20+'15'!J20+'16'!J20+'17'!J20+'18'!J20</f>
        <v>14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92.979200000000006</v>
      </c>
      <c r="M20" s="118">
        <f t="shared" si="2"/>
        <v>18502.860799999999</v>
      </c>
      <c r="N20" s="101">
        <f>+'1'!N20+'2'!N20+'4'!N20+'3'!N20+'5'!N20+'6'!N20+'7'!N20+'8'!N20+'9'!N20+'10'!N20</f>
        <v>251.16006400000001</v>
      </c>
      <c r="O20" s="101">
        <f>+'1'!O20+'2'!O20+'4'!O20+'3'!O20+'5'!O20+'6'!O20+'7'!O20+'8'!O20+'9'!O20+'10'!O20</f>
        <v>6.6021043200000005</v>
      </c>
      <c r="P20" s="120">
        <f t="shared" si="0"/>
        <v>18760.62296832</v>
      </c>
      <c r="T20" s="163" t="str">
        <f>+'7'!A5</f>
        <v>Customer Name : Besta Mart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335</v>
      </c>
      <c r="I21" s="1">
        <f t="shared" si="1"/>
        <v>24334.400000000001</v>
      </c>
      <c r="J21" s="172">
        <f>+'1'!J21+'2'!J21+'4'!J21+'3'!J21+'5'!J21+'6'!J21+'7'!J21+'8'!J21+'9'!J21+'10'!J21+'11'!J21+'12'!J21+'13'!J21+'14'!J21+'15'!J21+'16'!J21+'17'!J21+'18'!J21</f>
        <v>16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87.167999999999992</v>
      </c>
      <c r="M21" s="118">
        <f t="shared" si="2"/>
        <v>24247.232</v>
      </c>
      <c r="N21" s="101">
        <f>+'1'!N21+'2'!N21+'4'!N21+'3'!N21+'5'!N21+'6'!N21+'7'!N21+'8'!N21+'9'!N21+'10'!N21</f>
        <v>220.53503999999998</v>
      </c>
      <c r="O21" s="101">
        <f>+'1'!O21+'2'!O21+'4'!O21+'3'!O21+'5'!O21+'6'!O21+'7'!O21+'8'!O21+'9'!O21+'10'!O21</f>
        <v>6.1148351999999999</v>
      </c>
      <c r="P21" s="120">
        <f t="shared" si="0"/>
        <v>24473.881875199997</v>
      </c>
      <c r="T21" s="163" t="str">
        <f>+'8'!A5</f>
        <v xml:space="preserve">Customer Name : Abdullah Mart 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172</v>
      </c>
      <c r="I22" s="1">
        <f t="shared" si="1"/>
        <v>6747.56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112.59010000000004</v>
      </c>
      <c r="L22" s="175">
        <f>+'1'!L22+'2'!L22+'4'!L22+'3'!L22+'5'!L22+'6'!L22+'7'!L22+'8'!L22+'9'!L22+'10'!L22</f>
        <v>160.84300000000005</v>
      </c>
      <c r="M22" s="118">
        <f t="shared" si="2"/>
        <v>6474.1269000000002</v>
      </c>
      <c r="N22" s="101">
        <f>+'1'!N22+'2'!N22+'4'!N22+'3'!N22+'5'!N22+'6'!N22+'7'!N22+'8'!N22+'9'!N22+'10'!N22</f>
        <v>647.55391800000007</v>
      </c>
      <c r="O22" s="101">
        <f>+'1'!O22+'2'!O22+'4'!O22+'3'!O22+'5'!O22+'6'!O22+'7'!O22+'8'!O22+'9'!O22+'10'!O22</f>
        <v>79.264332690000003</v>
      </c>
      <c r="P22" s="120">
        <f t="shared" si="0"/>
        <v>7200.9451506900004</v>
      </c>
      <c r="T22" s="163" t="str">
        <f>+'9'!A5</f>
        <v>Customer Name : Ks Mart</v>
      </c>
      <c r="U22" s="164">
        <f>+'9'!P35</f>
        <v>448.87260225000006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Hafiz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Pakistan Store</v>
      </c>
      <c r="U24" s="164">
        <f>+'11'!P35</f>
        <v>448.87260225000006</v>
      </c>
    </row>
    <row r="25" spans="1:21 16384:16384" ht="26.5" thickBot="1" x14ac:dyDescent="0.65">
      <c r="A25" s="225" t="s">
        <v>84</v>
      </c>
      <c r="B25" s="226"/>
      <c r="C25" s="227">
        <f>H25/40</f>
        <v>33.25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1330</v>
      </c>
      <c r="I25" s="178">
        <f t="shared" si="3"/>
        <v>85618.53</v>
      </c>
      <c r="J25" s="177">
        <f t="shared" si="3"/>
        <v>57</v>
      </c>
      <c r="K25" s="178">
        <f t="shared" si="3"/>
        <v>112.59010000000004</v>
      </c>
      <c r="L25" s="179">
        <f t="shared" si="3"/>
        <v>581.83260000000007</v>
      </c>
      <c r="M25" s="141">
        <f t="shared" si="3"/>
        <v>84924.107300000003</v>
      </c>
      <c r="N25" s="142">
        <f>SUM(N16:N24)</f>
        <v>1699.4111440000001</v>
      </c>
      <c r="O25" s="143">
        <f>SUM(O16:O24)</f>
        <v>108.73052082000001</v>
      </c>
      <c r="P25" s="144">
        <f>SUM(P16:P24)</f>
        <v>86732.248964819999</v>
      </c>
      <c r="T25" s="163" t="str">
        <f>+'12'!A5</f>
        <v>Customer Name : Al Ghani Store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Al mazz Cash &amp; Carry </v>
      </c>
      <c r="U26" s="164">
        <f>+'13'!P35</f>
        <v>30932.351737199999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Panda Mart </v>
      </c>
      <c r="U27" s="164">
        <f>+'14'!P35</f>
        <v>18351.2524032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Tahir Store</v>
      </c>
      <c r="U28" s="182">
        <f>+'15'!P35</f>
        <v>32727.504565800002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92052.930273270002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85618.53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581.83260000000007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112.59010000000004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84924.107300000003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1699.4111440000001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86623.518444000001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2165.5879611</v>
      </c>
    </row>
    <row r="39" spans="2:16" ht="15.75" customHeight="1" thickBot="1" x14ac:dyDescent="0.4">
      <c r="N39" s="219" t="s">
        <v>92</v>
      </c>
      <c r="O39" s="220"/>
      <c r="P39" s="160">
        <f>P37+P38</f>
        <v>88789.106405099999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220.53503999999998</v>
      </c>
      <c r="O19" s="119">
        <f t="shared" si="1"/>
        <v>6.1148351999999999</v>
      </c>
      <c r="P19" s="120">
        <f t="shared" si="2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2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178.98496</v>
      </c>
      <c r="O20" s="119">
        <f t="shared" si="1"/>
        <v>4.2363648000000005</v>
      </c>
      <c r="P20" s="120">
        <f t="shared" si="2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220.53503999999998</v>
      </c>
      <c r="O21" s="119">
        <f t="shared" si="1"/>
        <v>6.1148351999999999</v>
      </c>
      <c r="P21" s="120">
        <f t="shared" si="2"/>
        <v>1229.0818752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352007833286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86.877899999999997</v>
      </c>
      <c r="O16" s="107">
        <f>(N16+M16)*$O$15</f>
        <v>2.8476644999999996</v>
      </c>
      <c r="P16" s="105">
        <f t="shared" ref="P16:P24" si="1">M16+N16+O16</f>
        <v>572.38056449999988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96.321149999999989</v>
      </c>
      <c r="O17" s="119">
        <f t="shared" ref="O17:O24" si="6">(N17+M17)*$O$15</f>
        <v>2.89488075</v>
      </c>
      <c r="P17" s="120">
        <f t="shared" si="1"/>
        <v>581.87103074999993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72.175104000000005</v>
      </c>
      <c r="O20" s="119">
        <f t="shared" si="6"/>
        <v>2.3657395200000004</v>
      </c>
      <c r="P20" s="120">
        <f t="shared" si="1"/>
        <v>475.51364352000002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26</v>
      </c>
      <c r="I25" s="137">
        <f t="shared" si="9"/>
        <v>1485.0900000000001</v>
      </c>
      <c r="J25" s="138"/>
      <c r="K25" s="139">
        <f t="shared" si="9"/>
        <v>0</v>
      </c>
      <c r="L25" s="140">
        <f t="shared" si="9"/>
        <v>118.80719999999999</v>
      </c>
      <c r="M25" s="141">
        <f t="shared" si="9"/>
        <v>1366.2828</v>
      </c>
      <c r="N25" s="142">
        <f>SUM(N16:N24)</f>
        <v>255.374154</v>
      </c>
      <c r="O25" s="143">
        <f>SUM(O16:O24)</f>
        <v>8.1082847699999991</v>
      </c>
      <c r="P25" s="144">
        <f>SUM(P16:P24)</f>
        <v>1629.7652387699998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1485.0900000000001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118.80719999999999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1366.2828000000002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255.374154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1621.6569540000003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8.1082847700000009</v>
      </c>
    </row>
    <row r="35" spans="2:16" ht="15.75" customHeight="1" thickBot="1" x14ac:dyDescent="0.4">
      <c r="N35" s="219" t="s">
        <v>92</v>
      </c>
      <c r="O35" s="220"/>
      <c r="P35" s="160">
        <f>P33+P34</f>
        <v>1629.7652387700002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4.8918681600000005</v>
      </c>
      <c r="P19" s="120">
        <f t="shared" si="1"/>
        <v>983.26550015999999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1342.44</v>
      </c>
      <c r="J25" s="138"/>
      <c r="K25" s="139">
        <f t="shared" si="9"/>
        <v>16.476600000000005</v>
      </c>
      <c r="L25" s="140">
        <f t="shared" si="9"/>
        <v>93.272400000000005</v>
      </c>
      <c r="M25" s="141">
        <f t="shared" si="9"/>
        <v>1232.691</v>
      </c>
      <c r="N25" s="142">
        <f>SUM(N16:N24)</f>
        <v>271.19202000000001</v>
      </c>
      <c r="O25" s="143">
        <f>SUM(O16:O24)</f>
        <v>7.5194151000000007</v>
      </c>
      <c r="P25" s="144">
        <f>SUM(P16:P24)</f>
        <v>1511.4024351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1342.44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93.272400000000005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1232.691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271.19202000000001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1503.88302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7.5194150999999998</v>
      </c>
    </row>
    <row r="35" spans="2:16" ht="15.75" customHeight="1" thickBot="1" x14ac:dyDescent="0.4">
      <c r="N35" s="219" t="s">
        <v>92</v>
      </c>
      <c r="O35" s="220"/>
      <c r="P35" s="160">
        <f>P33+P34</f>
        <v>1511.4024351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C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G12" sqref="G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11866594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125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127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1046.0159999999998</v>
      </c>
      <c r="M19" s="118">
        <f t="shared" si="5"/>
        <v>7670.7839999999997</v>
      </c>
      <c r="N19" s="118">
        <f t="shared" si="0"/>
        <v>1459.1923199999999</v>
      </c>
      <c r="O19" s="119">
        <f t="shared" si="6"/>
        <v>45.649881600000001</v>
      </c>
      <c r="P19" s="120">
        <f t="shared" si="1"/>
        <v>9175.6262016000001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697.34399999999994</v>
      </c>
      <c r="M20" s="118">
        <f t="shared" si="5"/>
        <v>5113.8559999999998</v>
      </c>
      <c r="N20" s="118">
        <f t="shared" si="0"/>
        <v>972.79487999999992</v>
      </c>
      <c r="O20" s="119">
        <f t="shared" si="6"/>
        <v>30.433254399999996</v>
      </c>
      <c r="P20" s="120">
        <f t="shared" si="1"/>
        <v>6117.0841343999991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>
        <v>8</v>
      </c>
      <c r="K21" s="1">
        <f t="shared" si="3"/>
        <v>0</v>
      </c>
      <c r="L21" s="105">
        <f t="shared" si="4"/>
        <v>1394.6879999999999</v>
      </c>
      <c r="M21" s="118">
        <f t="shared" si="5"/>
        <v>10227.712</v>
      </c>
      <c r="N21" s="118">
        <f t="shared" si="0"/>
        <v>1945.5897599999998</v>
      </c>
      <c r="O21" s="119">
        <f t="shared" si="6"/>
        <v>60.866508799999991</v>
      </c>
      <c r="P21" s="120">
        <f t="shared" si="1"/>
        <v>12234.168268799998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440</v>
      </c>
      <c r="I25" s="137">
        <f t="shared" si="9"/>
        <v>29288.800000000003</v>
      </c>
      <c r="J25" s="138"/>
      <c r="K25" s="139">
        <f t="shared" si="9"/>
        <v>109.84400000000002</v>
      </c>
      <c r="L25" s="140">
        <f t="shared" si="9"/>
        <v>3294.9679999999998</v>
      </c>
      <c r="M25" s="141">
        <f t="shared" si="9"/>
        <v>25883.987999999998</v>
      </c>
      <c r="N25" s="142">
        <f>SUM(N16:N24)</f>
        <v>4894.4714399999993</v>
      </c>
      <c r="O25" s="143">
        <f>SUM(O16:O24)</f>
        <v>153.8922972</v>
      </c>
      <c r="P25" s="144">
        <f>SUM(P16:P24)</f>
        <v>30932.351737199999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29288.800000000003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3294.9679999999998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25883.988000000001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4894.4714399999993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30778.459439999999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153.8922972</v>
      </c>
    </row>
    <row r="35" spans="2:16" ht="15.75" customHeight="1" thickBot="1" x14ac:dyDescent="0.4">
      <c r="N35" s="219" t="s">
        <v>92</v>
      </c>
      <c r="O35" s="220"/>
      <c r="P35" s="160">
        <f>P33+P34</f>
        <v>30932.351737199999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M37" sqref="M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131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3520253248545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4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697.34399999999994</v>
      </c>
      <c r="M19" s="118">
        <f t="shared" si="5"/>
        <v>5113.8559999999998</v>
      </c>
      <c r="N19" s="118">
        <f t="shared" si="0"/>
        <v>972.79487999999992</v>
      </c>
      <c r="O19" s="119">
        <f t="shared" si="6"/>
        <v>30.433254399999996</v>
      </c>
      <c r="P19" s="120">
        <f t="shared" si="1"/>
        <v>6117.0841343999991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697.34399999999994</v>
      </c>
      <c r="M20" s="118">
        <f t="shared" si="5"/>
        <v>5113.8559999999998</v>
      </c>
      <c r="N20" s="118">
        <f t="shared" si="0"/>
        <v>972.79487999999992</v>
      </c>
      <c r="O20" s="119">
        <f t="shared" si="6"/>
        <v>30.433254399999996</v>
      </c>
      <c r="P20" s="120">
        <f t="shared" si="1"/>
        <v>6117.0841343999991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697.34399999999994</v>
      </c>
      <c r="M21" s="118">
        <f t="shared" si="5"/>
        <v>5113.8559999999998</v>
      </c>
      <c r="N21" s="118">
        <f t="shared" si="0"/>
        <v>972.79487999999992</v>
      </c>
      <c r="O21" s="119">
        <f t="shared" si="6"/>
        <v>30.433254399999996</v>
      </c>
      <c r="P21" s="120">
        <f t="shared" si="1"/>
        <v>6117.0841343999991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8">SUM(G16:G24)</f>
        <v>0</v>
      </c>
      <c r="H25" s="136">
        <f t="shared" si="8"/>
        <v>240</v>
      </c>
      <c r="I25" s="137">
        <f t="shared" si="8"/>
        <v>17433.599999999999</v>
      </c>
      <c r="J25" s="138"/>
      <c r="K25" s="139">
        <f t="shared" si="8"/>
        <v>0</v>
      </c>
      <c r="L25" s="140">
        <f t="shared" si="8"/>
        <v>2092.0319999999997</v>
      </c>
      <c r="M25" s="141">
        <f t="shared" si="8"/>
        <v>15341.567999999999</v>
      </c>
      <c r="N25" s="142">
        <f>SUM(N16:N24)</f>
        <v>2918.3846399999998</v>
      </c>
      <c r="O25" s="143">
        <f>SUM(O16:O24)</f>
        <v>91.299763199999987</v>
      </c>
      <c r="P25" s="144">
        <f>SUM(P16:P24)</f>
        <v>18351.252403199996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17433.599999999999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2092.0319999999997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15341.567999999999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2918.3846399999998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18259.95264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91.299763200000001</v>
      </c>
    </row>
    <row r="35" spans="2:16" ht="15.75" customHeight="1" thickBot="1" x14ac:dyDescent="0.4">
      <c r="N35" s="219" t="s">
        <v>92</v>
      </c>
      <c r="O35" s="220"/>
      <c r="P35" s="160">
        <f>P33+P34</f>
        <v>18351.2524032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7" workbookViewId="0">
      <selection activeCell="L17" sqref="L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131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3520150244143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I16*12%</f>
        <v>503.64</v>
      </c>
      <c r="M16" s="106">
        <f>I16-K16-L16</f>
        <v>3693.36</v>
      </c>
      <c r="N16" s="106">
        <f t="shared" ref="N16:N24" si="0">(M16*$N$15)+(J16*F16)*$N$15</f>
        <v>858.70620000000008</v>
      </c>
      <c r="O16" s="107">
        <f>(N16+M16)*$O$15</f>
        <v>22.760331000000001</v>
      </c>
      <c r="P16" s="105">
        <f t="shared" ref="P16:P24" si="1">M16+N16+O16</f>
        <v>4574.8265310000006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>
        <v>4</v>
      </c>
      <c r="K17" s="1">
        <f t="shared" ref="K17:K21" si="3">I17*$K$13</f>
        <v>0</v>
      </c>
      <c r="L17" s="105">
        <f t="shared" ref="L17:L21" si="4">I17*12%</f>
        <v>503.64</v>
      </c>
      <c r="M17" s="118">
        <f t="shared" ref="M17:M23" si="5">I17-K17-L17</f>
        <v>3693.36</v>
      </c>
      <c r="N17" s="118">
        <f t="shared" si="0"/>
        <v>858.70620000000008</v>
      </c>
      <c r="O17" s="119">
        <f t="shared" ref="O17:O24" si="6">(N17+M17)*$O$15</f>
        <v>22.760331000000001</v>
      </c>
      <c r="P17" s="120">
        <f t="shared" si="1"/>
        <v>4574.8265310000006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>
        <v>4</v>
      </c>
      <c r="K18" s="1">
        <f t="shared" si="3"/>
        <v>0</v>
      </c>
      <c r="L18" s="105">
        <f t="shared" si="4"/>
        <v>503.64</v>
      </c>
      <c r="M18" s="118">
        <f t="shared" si="5"/>
        <v>3693.36</v>
      </c>
      <c r="N18" s="118">
        <f t="shared" si="0"/>
        <v>858.70620000000008</v>
      </c>
      <c r="O18" s="119">
        <f t="shared" si="6"/>
        <v>22.760331000000001</v>
      </c>
      <c r="P18" s="120">
        <f t="shared" si="1"/>
        <v>4574.8265310000006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697.34399999999994</v>
      </c>
      <c r="M19" s="118">
        <f t="shared" si="5"/>
        <v>5113.8559999999998</v>
      </c>
      <c r="N19" s="118">
        <f t="shared" si="0"/>
        <v>1188.9715199999998</v>
      </c>
      <c r="O19" s="119">
        <f t="shared" si="6"/>
        <v>31.514137600000002</v>
      </c>
      <c r="P19" s="120">
        <f t="shared" si="1"/>
        <v>6334.3416576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697.34399999999994</v>
      </c>
      <c r="M20" s="118">
        <f t="shared" si="5"/>
        <v>5113.8559999999998</v>
      </c>
      <c r="N20" s="118">
        <f t="shared" si="0"/>
        <v>1188.9715199999998</v>
      </c>
      <c r="O20" s="119">
        <f t="shared" si="6"/>
        <v>31.514137600000002</v>
      </c>
      <c r="P20" s="120">
        <f t="shared" si="1"/>
        <v>6334.3416576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697.34399999999994</v>
      </c>
      <c r="M21" s="118">
        <f t="shared" si="5"/>
        <v>5113.8559999999998</v>
      </c>
      <c r="N21" s="118">
        <f t="shared" si="0"/>
        <v>1188.9715199999998</v>
      </c>
      <c r="O21" s="119">
        <f t="shared" si="6"/>
        <v>31.514137600000002</v>
      </c>
      <c r="P21" s="120">
        <f t="shared" si="1"/>
        <v>6334.3416576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480</v>
      </c>
      <c r="I25" s="137">
        <f t="shared" si="9"/>
        <v>30024.600000000002</v>
      </c>
      <c r="J25" s="138"/>
      <c r="K25" s="139">
        <f t="shared" si="9"/>
        <v>0</v>
      </c>
      <c r="L25" s="140">
        <f t="shared" si="9"/>
        <v>3602.9520000000002</v>
      </c>
      <c r="M25" s="141">
        <f t="shared" si="9"/>
        <v>26421.648000000001</v>
      </c>
      <c r="N25" s="142">
        <f>SUM(N16:N24)</f>
        <v>6143.03316</v>
      </c>
      <c r="O25" s="143">
        <f>SUM(O16:O24)</f>
        <v>162.82340579999999</v>
      </c>
      <c r="P25" s="144">
        <f>SUM(P16:P24)</f>
        <v>32727.504565800002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30024.600000000002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3602.9520000000002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26421.648000000001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6143.03316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32564.68116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162.82340580000002</v>
      </c>
    </row>
    <row r="35" spans="2:16" ht="15.75" customHeight="1" thickBot="1" x14ac:dyDescent="0.4">
      <c r="N35" s="219" t="s">
        <v>92</v>
      </c>
      <c r="O35" s="220"/>
      <c r="P35" s="160">
        <f>P33+P34</f>
        <v>32727.504565800002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2026-06-16T09:47:01Z</dcterms:modified>
</cp:coreProperties>
</file>