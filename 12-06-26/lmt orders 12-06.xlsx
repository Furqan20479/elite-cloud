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9DBBBD8-F237-468D-943B-9438BABA91E5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7" l="1"/>
  <c r="H26" i="19"/>
  <c r="H26" i="18"/>
  <c r="H26" i="20"/>
  <c r="H26" i="21"/>
  <c r="H26" i="22"/>
  <c r="H26" i="16"/>
  <c r="H20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7" i="35"/>
  <c r="I16" i="30"/>
  <c r="I17" i="30"/>
  <c r="K17" i="30" s="1"/>
  <c r="I18" i="30"/>
  <c r="I19" i="30"/>
  <c r="I20" i="30"/>
  <c r="I21" i="30"/>
  <c r="K21" i="30" s="1"/>
  <c r="I22" i="30"/>
  <c r="I23" i="30"/>
  <c r="I24" i="30"/>
  <c r="I16" i="32"/>
  <c r="I25" i="32" s="1"/>
  <c r="P28" i="32" s="1"/>
  <c r="I17" i="32"/>
  <c r="I18" i="32"/>
  <c r="I19" i="32"/>
  <c r="I20" i="32"/>
  <c r="K20" i="32" s="1"/>
  <c r="I21" i="32"/>
  <c r="I16" i="33"/>
  <c r="L16" i="33" s="1"/>
  <c r="I16" i="31"/>
  <c r="I17" i="31"/>
  <c r="K17" i="31" s="1"/>
  <c r="I18" i="31"/>
  <c r="I19" i="31"/>
  <c r="K19" i="31" s="1"/>
  <c r="I20" i="31"/>
  <c r="I21" i="31"/>
  <c r="K21" i="31" s="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I24" i="32"/>
  <c r="L24" i="32" s="1"/>
  <c r="I19" i="33"/>
  <c r="I23" i="33"/>
  <c r="L23" i="33" s="1"/>
  <c r="L17" i="33"/>
  <c r="L18" i="33"/>
  <c r="M18" i="33" s="1"/>
  <c r="I25" i="35"/>
  <c r="P28" i="35" s="1"/>
  <c r="K16" i="35"/>
  <c r="L16" i="35"/>
  <c r="K17" i="35"/>
  <c r="M17" i="35" s="1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 s="1"/>
  <c r="K23" i="35"/>
  <c r="L23" i="35"/>
  <c r="K24" i="35"/>
  <c r="M24" i="35" s="1"/>
  <c r="L24" i="35"/>
  <c r="L16" i="34"/>
  <c r="K17" i="34"/>
  <c r="L17" i="34"/>
  <c r="K19" i="34"/>
  <c r="L19" i="34"/>
  <c r="L20" i="34"/>
  <c r="K21" i="34"/>
  <c r="L21" i="34"/>
  <c r="K22" i="34"/>
  <c r="K23" i="34"/>
  <c r="M23" i="34" s="1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L24" i="33"/>
  <c r="M17" i="33"/>
  <c r="K16" i="33"/>
  <c r="K24" i="32"/>
  <c r="L16" i="32"/>
  <c r="K17" i="32"/>
  <c r="L17" i="32"/>
  <c r="K18" i="32"/>
  <c r="L18" i="32"/>
  <c r="K19" i="32"/>
  <c r="L19" i="32"/>
  <c r="L20" i="32"/>
  <c r="K21" i="32"/>
  <c r="L21" i="32"/>
  <c r="L23" i="32"/>
  <c r="K22" i="32"/>
  <c r="L22" i="32"/>
  <c r="L17" i="31"/>
  <c r="L19" i="31"/>
  <c r="K22" i="31"/>
  <c r="L22" i="31"/>
  <c r="K24" i="31"/>
  <c r="L24" i="31"/>
  <c r="K16" i="31"/>
  <c r="L16" i="31"/>
  <c r="K18" i="31"/>
  <c r="L18" i="31"/>
  <c r="K20" i="31"/>
  <c r="L20" i="31"/>
  <c r="L23" i="31"/>
  <c r="K18" i="30"/>
  <c r="L18" i="30"/>
  <c r="K20" i="30"/>
  <c r="L20" i="30"/>
  <c r="L21" i="30"/>
  <c r="K23" i="30"/>
  <c r="L23" i="30"/>
  <c r="K16" i="30"/>
  <c r="L16" i="30"/>
  <c r="K19" i="30"/>
  <c r="L19" i="30"/>
  <c r="K22" i="30"/>
  <c r="L22" i="30"/>
  <c r="K24" i="30"/>
  <c r="M24" i="30" s="1"/>
  <c r="L24" i="30"/>
  <c r="K16" i="29"/>
  <c r="L16" i="29"/>
  <c r="K21" i="29"/>
  <c r="K24" i="29"/>
  <c r="M24" i="29" s="1"/>
  <c r="L24" i="29"/>
  <c r="K20" i="29"/>
  <c r="L20" i="29"/>
  <c r="K22" i="29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2" l="1"/>
  <c r="L17" i="30"/>
  <c r="I25" i="30"/>
  <c r="P28" i="30" s="1"/>
  <c r="M24" i="31"/>
  <c r="P24" i="31" s="1"/>
  <c r="L21" i="31"/>
  <c r="K16" i="32"/>
  <c r="M24" i="33"/>
  <c r="M23" i="35"/>
  <c r="M17" i="31"/>
  <c r="I16" i="27"/>
  <c r="I17" i="27"/>
  <c r="I18" i="27"/>
  <c r="L18" i="27" s="1"/>
  <c r="I19" i="27"/>
  <c r="I20" i="27"/>
  <c r="I22" i="27"/>
  <c r="I23" i="27"/>
  <c r="L23" i="27" s="1"/>
  <c r="I24" i="27"/>
  <c r="L17" i="29"/>
  <c r="L18" i="34"/>
  <c r="M24" i="34"/>
  <c r="P24" i="34" s="1"/>
  <c r="I25" i="34"/>
  <c r="P28" i="34" s="1"/>
  <c r="M21" i="30"/>
  <c r="M24" i="32"/>
  <c r="M22" i="29"/>
  <c r="N22" i="29" s="1"/>
  <c r="O22" i="29" s="1"/>
  <c r="M23" i="30"/>
  <c r="M22" i="31"/>
  <c r="M21" i="35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L25" i="34"/>
  <c r="P29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K17" i="27"/>
  <c r="L17" i="27"/>
  <c r="K20" i="27"/>
  <c r="L20" i="27"/>
  <c r="K21" i="27"/>
  <c r="L21" i="27"/>
  <c r="K22" i="27"/>
  <c r="L22" i="27"/>
  <c r="K24" i="27"/>
  <c r="L24" i="27"/>
  <c r="K19" i="27"/>
  <c r="L19" i="27"/>
  <c r="K18" i="27"/>
  <c r="K17" i="26"/>
  <c r="L17" i="26"/>
  <c r="K19" i="26"/>
  <c r="L22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7" l="1"/>
  <c r="P28" i="27" s="1"/>
  <c r="K23" i="27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L19" i="22" s="1"/>
  <c r="I20" i="22"/>
  <c r="I21" i="22"/>
  <c r="I22" i="22"/>
  <c r="I16" i="25"/>
  <c r="L16" i="25" s="1"/>
  <c r="I17" i="25"/>
  <c r="I18" i="25"/>
  <c r="I19" i="25"/>
  <c r="I20" i="25"/>
  <c r="K20" i="25" s="1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I22" i="19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16" i="25"/>
  <c r="K24" i="25"/>
  <c r="L22" i="25"/>
  <c r="L17" i="25"/>
  <c r="K17" i="25"/>
  <c r="L23" i="25"/>
  <c r="K23" i="25"/>
  <c r="K17" i="24"/>
  <c r="K21" i="24"/>
  <c r="L23" i="24"/>
  <c r="K23" i="24"/>
  <c r="K17" i="23"/>
  <c r="K16" i="22"/>
  <c r="L16" i="22"/>
  <c r="K18" i="22"/>
  <c r="L18" i="22"/>
  <c r="K20" i="22"/>
  <c r="L20" i="22"/>
  <c r="K22" i="22"/>
  <c r="L22" i="22"/>
  <c r="L17" i="22"/>
  <c r="K17" i="22"/>
  <c r="L21" i="22"/>
  <c r="K21" i="22"/>
  <c r="L24" i="20"/>
  <c r="L20" i="19"/>
  <c r="K18" i="19"/>
  <c r="K22" i="19"/>
  <c r="L22" i="19"/>
  <c r="L21" i="19"/>
  <c r="K21" i="19"/>
  <c r="L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9" l="1"/>
  <c r="L20" i="25"/>
  <c r="I25" i="25"/>
  <c r="P28" i="25" s="1"/>
  <c r="K23" i="20"/>
  <c r="K19" i="22"/>
  <c r="K23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I23" i="15"/>
  <c r="M19" i="25" l="1"/>
  <c r="N19" i="25" s="1"/>
  <c r="O19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4" i="16"/>
  <c r="N24" i="16" s="1"/>
  <c r="P19" i="18"/>
  <c r="M25" i="18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8"/>
  <c r="O16" i="17"/>
  <c r="O25" i="17" s="1"/>
  <c r="N25" i="17"/>
  <c r="P32" i="17" s="1"/>
  <c r="O16" i="16"/>
  <c r="N22" i="15" l="1"/>
  <c r="P25" i="20"/>
  <c r="N25" i="18"/>
  <c r="P32" i="18" s="1"/>
  <c r="P33" i="18" s="1"/>
  <c r="P34" i="18" s="1"/>
  <c r="P35" i="18" s="1"/>
  <c r="U16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<sst xmlns="http://schemas.openxmlformats.org/spreadsheetml/2006/main" count="1582" uniqueCount="118">
  <si>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</si>
  <si>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</si>
  <si>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</si>
  <si>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</si>
  <si>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</si>
  <si>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</si>
  <si>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</si>
  <si>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</si>
  <si>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</si>
  <si>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</si>
  <si>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</si>
  <si>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</si>
  <si>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</si>
  <si>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</si>
  <si>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</si>
  <si>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</si>
  <si>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</si>
  <si>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</si>
  <si>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</si>
  <si>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</si>
  <si>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</si>
  <si>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</si>
  <si>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</si>
  <si>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</si>
  <si>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</si>
  <si>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</si>
  <si>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</si>
  <si>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</si>
  <si>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</si>
  <si>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</si>
  <si>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</si>
  <si>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</si>
  <si>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</si>
  <si>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</si>
  <si>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</si>
  <si>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</si>
  <si>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</si>
  <si>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</si>
  <si>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</si>
  <si>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</si>
  <si>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</si>
  <si>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</si>
  <si>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</si>
  <si>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</si>
  <si>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</si>
  <si>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</si>
  <si>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</si>
  <si>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</si>
  <si>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</si>
  <si>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</si>
  <si>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</si>
  <si>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</si>
  <si>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</si>
  <si>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</si>
  <si>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</si>
  <si>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</si>
  <si>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</si>
  <si>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</si>
  <si>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</si>
  <si>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</si>
  <si>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</si>
  <si>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</si>
  <si>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</si>
  <si>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</si>
  <si>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</si>
  <si>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</si>
  <si>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</si>
  <si>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</si>
  <si>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</si>
  <si>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</si>
  <si>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</si>
  <si>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</si>
  <si>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</si>
  <si>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</si>
  <si>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</si>
  <si>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</si>
  <si>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</si>
  <si>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</si>
  <si>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</si>
  <si>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</si>
  <si>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</si>
  <si>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</si>
  <si>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</si>
  <si>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</si>
  <si>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</si>
  <si>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</si>
  <si>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</si>
  <si>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</si>
  <si>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</si>
  <si>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</si>
  <si>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</si>
  <si>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</si>
  <si>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</si>
  <si>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</si>
  <si>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</si>
  <si>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</si>
  <si>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</si>
  <si>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</si>
  <si>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</si>
  <si>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</si>
  <si>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</si>
  <si>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</si>
  <si>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</si>
  <si>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</si>
  <si>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</si>
  <si>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 xml:space="preserve">Customer Name : 24/7 Mart </t>
  </si>
  <si>
    <t>Address: Askari 10</t>
  </si>
  <si>
    <t>Customer Name : Clinix</t>
  </si>
  <si>
    <t>Address: Multan Road</t>
  </si>
  <si>
    <t>Customer Name : Rafaqat &amp; Sons (Risen)</t>
  </si>
  <si>
    <t>Address: Sabza zaarr</t>
  </si>
  <si>
    <t>Customer Name : Rehman Garden (Risen)</t>
  </si>
  <si>
    <t>Address: Jharan wala Road (rehman Garden)</t>
  </si>
  <si>
    <t xml:space="preserve">Customer Name : Pak Madina </t>
  </si>
  <si>
    <t>7591263-6</t>
  </si>
  <si>
    <t>Ctns</t>
  </si>
  <si>
    <t>Shop Bill Summary (LMT)</t>
  </si>
  <si>
    <t>0150979-9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</si>
</sst>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7" fillId="0" borderId="0" xfId="0" applyFont="1" applyAlignment="1">
      <alignment horizontal="center" vertic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36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7" sqref="H2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7" sqref="H27"/>
      <selection pane="topRight" activeCell="H27" sqref="H27"/>
      <selection pane="bottomLeft" activeCell="H27" sqref="H27"/>
      <selection pane="bottomRight" activeCell="H27" sqref="H2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3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6.1796875" bestFit="1" customWidth="1"/>
    <col min="21" max="21" width="12.453125" customWidth="1"/>
  </cols>
  <sheetData>
    <row r="2" spans="1:22 16383:16384" ht="21" x14ac:dyDescent="0.5">
      <c r="A2" s="200" t="s">
        <v>45</v>
      </c>
      <c r="B2" s="200"/>
      <c r="C2" s="200"/>
    </row>
    <row r="3" spans="1:22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2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2 16383:16384" ht="15" customHeight="1" x14ac:dyDescent="0.35">
      <c r="A5" s="205" t="s">
        <v>104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22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2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2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2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2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2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2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38" t="s">
        <v>116</v>
      </c>
      <c r="U12" s="240"/>
      <c r="V12" s="238" t="s">
        <v>115</v>
      </c>
      <c r="XFD12" t="s">
        <v>62</v>
      </c>
    </row>
    <row r="13" spans="1:22 16383:16384" ht="15" thickBot="1" x14ac:dyDescent="0.4">
      <c r="A13" s="208"/>
      <c r="J13" s="78"/>
      <c r="K13" s="78"/>
      <c r="L13" s="79">
        <v>0.05</v>
      </c>
      <c r="T13" s="239"/>
      <c r="U13" s="241"/>
      <c r="V13" s="239"/>
      <c r="XFD13" t="s">
        <v>63</v>
      </c>
    </row>
    <row r="14" spans="1:22 16383:16384" ht="29.25" customHeight="1" x14ac:dyDescent="0.6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15" t="s">
        <v>68</v>
      </c>
      <c r="H14" s="216"/>
      <c r="I14" s="216" t="s">
        <v>69</v>
      </c>
      <c r="J14" s="216" t="s">
        <v>70</v>
      </c>
      <c r="K14" s="216"/>
      <c r="L14" s="218"/>
      <c r="M14" s="21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24/7 Mart </v>
      </c>
      <c r="U14" s="164">
        <f>+'1'!P35</f>
        <v>16934.054547600001</v>
      </c>
      <c r="V14" s="183">
        <v>6</v>
      </c>
      <c r="XFD14" t="s">
        <v>75</v>
      </c>
    </row>
    <row r="15" spans="1:22 16383:16384" ht="29.25" customHeight="1" thickBot="1" x14ac:dyDescent="0.65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7"/>
      <c r="J15" s="171" t="s">
        <v>78</v>
      </c>
      <c r="K15" s="171" t="s">
        <v>79</v>
      </c>
      <c r="L15" s="174" t="s">
        <v>80</v>
      </c>
      <c r="M15" s="21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Clinix</v>
      </c>
      <c r="U15" s="164">
        <f>+'2'!P35</f>
        <v>912107.59071000014</v>
      </c>
      <c r="V15" s="183">
        <v>333</v>
      </c>
      <c r="XFD15" t="s">
        <v>81</v>
      </c>
    </row>
    <row r="16" spans="1:22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1440</v>
      </c>
      <c r="I16" s="1">
        <f>(G16*D16)*F16+H16*F16</f>
        <v>75546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6043.68</v>
      </c>
      <c r="M16" s="106">
        <f>I16-K16-L16</f>
        <v>69502.320000000007</v>
      </c>
      <c r="N16" s="101">
        <f>+'1'!N16+'2'!N16+'4'!N16+'3'!N16+'5'!N16+'6'!N16+'7'!N16+'8'!N16+'9'!N16+'10'!N16</f>
        <v>12819.316799999999</v>
      </c>
      <c r="O16" s="101">
        <f>+'1'!O16+'2'!O16+'4'!O16+'3'!O16+'5'!O16+'6'!O16+'7'!O16+'8'!O16+'9'!O16+'10'!O16</f>
        <v>552.9295679999999</v>
      </c>
      <c r="P16" s="105">
        <f t="shared" ref="P16:P24" si="0">M16+N16+O16</f>
        <v>82874.566368000014</v>
      </c>
      <c r="Q16" s="108"/>
      <c r="T16" s="163" t="str">
        <f>+'4'!A5</f>
        <v>Customer Name : Rehman Garden (Risen)</v>
      </c>
      <c r="U16" s="164">
        <f>+'4'!P35</f>
        <v>33613.565050000005</v>
      </c>
      <c r="V16" s="183">
        <v>12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3520</v>
      </c>
      <c r="I17" s="1">
        <f t="shared" ref="I17:I23" si="1">(G17*D17)*F17+H17*F17</f>
        <v>184668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14773.44</v>
      </c>
      <c r="M17" s="118">
        <f t="shared" ref="M17:M23" si="2">I17-K17-L17</f>
        <v>169894.56</v>
      </c>
      <c r="N17" s="101">
        <f>+'1'!N17+'2'!N17+'4'!N17+'3'!N17+'5'!N17+'6'!N17+'7'!N17+'8'!N17+'9'!N17+'10'!N17</f>
        <v>30812.695200000002</v>
      </c>
      <c r="O17" s="101">
        <f>+'1'!O17+'2'!O17+'4'!O17+'3'!O17+'5'!O17+'6'!O17+'7'!O17+'8'!O17+'9'!O17+'10'!O17</f>
        <v>1097.750532</v>
      </c>
      <c r="P17" s="120">
        <f t="shared" si="0"/>
        <v>201805.00573200002</v>
      </c>
      <c r="S17" s="64"/>
      <c r="T17" s="163" t="str">
        <f>+'3'!A5</f>
        <v>Customer Name : Rafaqat &amp; Sons (Risen)</v>
      </c>
      <c r="U17" s="164">
        <f>+'3'!P35</f>
        <v>24399.576367199999</v>
      </c>
      <c r="V17" s="183">
        <v>8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2120</v>
      </c>
      <c r="I18" s="1">
        <f t="shared" si="1"/>
        <v>111220.5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8897.64</v>
      </c>
      <c r="M18" s="118">
        <f t="shared" si="2"/>
        <v>102322.86</v>
      </c>
      <c r="N18" s="101">
        <f>+'1'!N18+'2'!N18+'4'!N18+'3'!N18+'5'!N18+'6'!N18+'7'!N18+'8'!N18+'9'!N18+'10'!N18</f>
        <v>18958.688400000003</v>
      </c>
      <c r="O18" s="101">
        <f>+'1'!O18+'2'!O18+'4'!O18+'3'!O18+'5'!O18+'6'!O18+'7'!O18+'8'!O18+'9'!O18+'10'!O18</f>
        <v>794.83625400000017</v>
      </c>
      <c r="P18" s="120">
        <f t="shared" si="0"/>
        <v>122076.38465399999</v>
      </c>
      <c r="T18" s="163" t="str">
        <f>+'5'!A5</f>
        <v xml:space="preserve">Customer Name : Pak Madina </v>
      </c>
      <c r="U18" s="164">
        <f>+'5'!P35</f>
        <v>13309.524181000001</v>
      </c>
      <c r="V18" s="183">
        <v>5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200</v>
      </c>
      <c r="I19" s="1">
        <f t="shared" si="1"/>
        <v>14528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1162.24</v>
      </c>
      <c r="M19" s="118">
        <f t="shared" si="2"/>
        <v>13365.76</v>
      </c>
      <c r="N19" s="101">
        <f>+'1'!N19+'2'!N19+'4'!N19+'3'!N19+'5'!N19+'6'!N19+'7'!N19+'8'!N19+'9'!N19+'10'!N19</f>
        <v>2940.4672</v>
      </c>
      <c r="O19" s="101">
        <f>+'1'!O19+'2'!O19+'4'!O19+'3'!O19+'5'!O19+'6'!O19+'7'!O19+'8'!O19+'9'!O19+'10'!O19</f>
        <v>211.98095360000002</v>
      </c>
      <c r="P19" s="120">
        <f t="shared" si="0"/>
        <v>16518.208153600001</v>
      </c>
      <c r="T19" s="163" t="str">
        <f>+'6'!A5</f>
        <v xml:space="preserve">Customer Name : </v>
      </c>
      <c r="U19" s="164">
        <f>+'6'!P35</f>
        <v>0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5200</v>
      </c>
      <c r="I20" s="1">
        <f t="shared" si="1"/>
        <v>377728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30218.240000000002</v>
      </c>
      <c r="M20" s="118">
        <f t="shared" si="2"/>
        <v>347509.76000000001</v>
      </c>
      <c r="N20" s="101">
        <f>+'1'!N20+'2'!N20+'4'!N20+'3'!N20+'5'!N20+'6'!N20+'7'!N20+'8'!N20+'9'!N20+'10'!N20</f>
        <v>62979.461119999993</v>
      </c>
      <c r="O20" s="101">
        <f>+'1'!O20+'2'!O20+'4'!O20+'3'!O20+'5'!O20+'6'!O20+'7'!O20+'8'!O20+'9'!O20+'10'!O20</f>
        <v>2117.6710143999999</v>
      </c>
      <c r="P20" s="120">
        <f t="shared" si="0"/>
        <v>412606.89213440003</v>
      </c>
      <c r="T20" s="163" t="str">
        <f>+'7'!A5</f>
        <v xml:space="preserve">Customer Name : </v>
      </c>
      <c r="U20" s="164">
        <f>+'7'!P35</f>
        <v>0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2040</v>
      </c>
      <c r="I21" s="1">
        <f t="shared" si="1"/>
        <v>148185.60000000001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11854.848000000002</v>
      </c>
      <c r="M21" s="118">
        <f t="shared" si="2"/>
        <v>136330.75200000001</v>
      </c>
      <c r="N21" s="101">
        <f>+'1'!N21+'2'!N21+'4'!N21+'3'!N21+'5'!N21+'6'!N21+'7'!N21+'8'!N21+'9'!N21+'10'!N21</f>
        <v>25288.017920000002</v>
      </c>
      <c r="O21" s="101">
        <f>+'1'!O21+'2'!O21+'4'!O21+'3'!O21+'5'!O21+'6'!O21+'7'!O21+'8'!O21+'9'!O21+'10'!O21</f>
        <v>1068.9934848</v>
      </c>
      <c r="P21" s="120">
        <f t="shared" si="0"/>
        <v>162687.76340480003</v>
      </c>
      <c r="T21" s="163" t="str">
        <f>+'8'!A5</f>
        <v xml:space="preserve">Customer Name : </v>
      </c>
      <c r="U21" s="164">
        <f>+'8'!P35</f>
        <v>0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2 16384:16384" ht="26.5" thickBot="1" x14ac:dyDescent="0.65">
      <c r="A25" s="219" t="s">
        <v>84</v>
      </c>
      <c r="B25" s="220"/>
      <c r="C25" s="221">
        <f>H25/40</f>
        <v>364</v>
      </c>
      <c r="D25" s="222"/>
      <c r="E25" s="222"/>
      <c r="F25" s="222"/>
      <c r="G25" s="176">
        <f t="shared" ref="G25:M25" si="3">SUM(G16:G24)</f>
        <v>0</v>
      </c>
      <c r="H25" s="177">
        <f t="shared" si="3"/>
        <v>14560</v>
      </c>
      <c r="I25" s="178">
        <f t="shared" si="3"/>
        <v>913445.29999999993</v>
      </c>
      <c r="J25" s="177">
        <f t="shared" si="3"/>
        <v>0</v>
      </c>
      <c r="K25" s="178">
        <f t="shared" si="3"/>
        <v>54.922000000000011</v>
      </c>
      <c r="L25" s="179">
        <f t="shared" si="3"/>
        <v>73028.54800000001</v>
      </c>
      <c r="M25" s="141">
        <f t="shared" si="3"/>
        <v>840361.83</v>
      </c>
      <c r="N25" s="142">
        <f>SUM(N16:N24)</f>
        <v>154114.52659999998</v>
      </c>
      <c r="O25" s="143">
        <f>SUM(O16:O24)</f>
        <v>5887.9542558000003</v>
      </c>
      <c r="P25" s="144">
        <f>SUM(P16:P24)</f>
        <v>1000364.3108558002</v>
      </c>
      <c r="T25" s="163" t="str">
        <f>+'12'!A5</f>
        <v xml:space="preserve">Customer Name : </v>
      </c>
      <c r="U25" s="164">
        <f>+'12'!P35</f>
        <v>0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2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1000364.3108558001</v>
      </c>
    </row>
    <row r="31" spans="1:22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2 16384:16384" x14ac:dyDescent="0.35">
      <c r="B32" s="223" t="s">
        <v>85</v>
      </c>
      <c r="C32" s="224"/>
      <c r="D32" s="224"/>
      <c r="E32" s="224"/>
      <c r="F32" s="224"/>
      <c r="G32" s="224"/>
      <c r="H32" s="224"/>
      <c r="I32" s="224"/>
      <c r="J32" s="224"/>
      <c r="K32" s="224"/>
      <c r="L32" s="225"/>
      <c r="N32" s="232" t="s">
        <v>86</v>
      </c>
      <c r="O32" s="233"/>
      <c r="P32" s="152">
        <f>I25</f>
        <v>913445.29999999993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N33" s="234" t="s">
        <v>87</v>
      </c>
      <c r="O33" s="235"/>
      <c r="P33" s="153">
        <f>L25</f>
        <v>73028.54800000001</v>
      </c>
    </row>
    <row r="34" spans="2:16" ht="15" customHeight="1" x14ac:dyDescent="0.35">
      <c r="B34" s="226"/>
      <c r="C34" s="227"/>
      <c r="D34" s="227"/>
      <c r="E34" s="227"/>
      <c r="F34" s="227"/>
      <c r="G34" s="227"/>
      <c r="H34" s="227"/>
      <c r="I34" s="227"/>
      <c r="J34" s="227"/>
      <c r="K34" s="227"/>
      <c r="L34" s="228"/>
      <c r="N34" s="234" t="s">
        <v>4</v>
      </c>
      <c r="O34" s="235"/>
      <c r="P34" s="154">
        <f>K25</f>
        <v>54.922000000000011</v>
      </c>
    </row>
    <row r="35" spans="2:16" ht="15" customHeight="1" x14ac:dyDescent="0.35">
      <c r="B35" s="226"/>
      <c r="C35" s="227"/>
      <c r="D35" s="227"/>
      <c r="E35" s="227"/>
      <c r="F35" s="227"/>
      <c r="G35" s="227"/>
      <c r="H35" s="227"/>
      <c r="I35" s="227"/>
      <c r="J35" s="227"/>
      <c r="K35" s="227"/>
      <c r="L35" s="228"/>
      <c r="M35" s="2"/>
      <c r="N35" s="234" t="s">
        <v>88</v>
      </c>
      <c r="O35" s="235"/>
      <c r="P35" s="153">
        <f>P32-P33-P34</f>
        <v>840361.82999999984</v>
      </c>
    </row>
    <row r="36" spans="2:16" ht="15" customHeight="1" x14ac:dyDescent="0.35">
      <c r="B36" s="226"/>
      <c r="C36" s="227"/>
      <c r="D36" s="227"/>
      <c r="E36" s="227"/>
      <c r="F36" s="227"/>
      <c r="G36" s="227"/>
      <c r="H36" s="227"/>
      <c r="I36" s="227"/>
      <c r="J36" s="227"/>
      <c r="K36" s="227"/>
      <c r="L36" s="228"/>
      <c r="M36" s="2"/>
      <c r="N36" s="155" t="s">
        <v>89</v>
      </c>
      <c r="O36" s="156">
        <f>IF(B12="Registered",18%,22%)</f>
        <v>0.22</v>
      </c>
      <c r="P36" s="153">
        <f>N25</f>
        <v>154114.52659999998</v>
      </c>
    </row>
    <row r="37" spans="2:16" ht="15" customHeight="1" x14ac:dyDescent="0.35">
      <c r="B37" s="226"/>
      <c r="C37" s="227"/>
      <c r="D37" s="227"/>
      <c r="E37" s="227"/>
      <c r="F37" s="227"/>
      <c r="G37" s="227"/>
      <c r="H37" s="227"/>
      <c r="I37" s="227"/>
      <c r="J37" s="227"/>
      <c r="K37" s="227"/>
      <c r="L37" s="228"/>
      <c r="M37" s="2"/>
      <c r="N37" s="236" t="s">
        <v>90</v>
      </c>
      <c r="O37" s="237"/>
      <c r="P37" s="153">
        <f>P35+P36</f>
        <v>994476.35659999982</v>
      </c>
    </row>
    <row r="38" spans="2:16" ht="15" customHeight="1" thickBot="1" x14ac:dyDescent="0.4">
      <c r="B38" s="229"/>
      <c r="C38" s="230"/>
      <c r="D38" s="230"/>
      <c r="E38" s="230"/>
      <c r="F38" s="230"/>
      <c r="G38" s="230"/>
      <c r="H38" s="230"/>
      <c r="I38" s="230"/>
      <c r="J38" s="230"/>
      <c r="K38" s="230"/>
      <c r="L38" s="231"/>
      <c r="M38" s="157"/>
      <c r="N38" s="158" t="s">
        <v>91</v>
      </c>
      <c r="O38" s="159">
        <f>IF(B11="Filer",0.5%,2.5%)</f>
        <v>2.5000000000000001E-2</v>
      </c>
      <c r="P38" s="153">
        <f>O38*P37</f>
        <v>24861.908914999996</v>
      </c>
    </row>
    <row r="39" spans="2:16" ht="15.75" customHeight="1" thickBot="1" x14ac:dyDescent="0.4">
      <c r="N39" s="242" t="s">
        <v>92</v>
      </c>
      <c r="O39" s="243"/>
      <c r="P39" s="160">
        <f>P37+P38</f>
        <v>1019338.2655149999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44"/>
      <c r="J40" s="245"/>
      <c r="K40" s="246"/>
    </row>
    <row r="41" spans="2:16" ht="15.75" customHeight="1" x14ac:dyDescent="0.35"/>
  </sheetData>
  <mergeCells count="48">
    <mergeCell ref="V12:V13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1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 t="shared" ref="O16:O24" si="1">(N16+M16)*$O$15</f>
        <v>11.776781999999999</v>
      </c>
      <c r="P16" s="105">
        <f t="shared" ref="P16:P24" si="2">M16+N16+O16</f>
        <v>2367.1331819999996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424.7364</v>
      </c>
      <c r="O17" s="119">
        <f t="shared" si="1"/>
        <v>11.776781999999999</v>
      </c>
      <c r="P17" s="120">
        <f t="shared" si="2"/>
        <v>2367.1331819999996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/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424.7364</v>
      </c>
      <c r="O18" s="119">
        <f t="shared" si="1"/>
        <v>11.776781999999999</v>
      </c>
      <c r="P18" s="120">
        <f t="shared" si="2"/>
        <v>2367.1331819999996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588.09343999999999</v>
      </c>
      <c r="O19" s="119">
        <f t="shared" si="1"/>
        <v>16.306227200000002</v>
      </c>
      <c r="P19" s="120">
        <f t="shared" si="2"/>
        <v>3277.5516672000003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588.09343999999999</v>
      </c>
      <c r="O20" s="119">
        <f t="shared" si="1"/>
        <v>16.306227200000002</v>
      </c>
      <c r="P20" s="120">
        <f t="shared" si="2"/>
        <v>3277.5516672000003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588.09343999999999</v>
      </c>
      <c r="O21" s="119">
        <f t="shared" si="1"/>
        <v>16.306227200000002</v>
      </c>
      <c r="P21" s="120">
        <f t="shared" si="2"/>
        <v>3277.5516672000003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3038.4895200000001</v>
      </c>
      <c r="O25" s="143">
        <f>SUM(O16:O24)</f>
        <v>84.249027600000005</v>
      </c>
      <c r="P25" s="144">
        <f>SUM(P16:P24)</f>
        <v>16934.054547600001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6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15012.300000000001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1200.9839999999999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13811.316000000001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3038.4895200000001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16849.805520000002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84.249027600000005</v>
      </c>
    </row>
    <row r="35" spans="2:16" ht="15.75" customHeight="1" thickBot="1" x14ac:dyDescent="0.4">
      <c r="N35" s="242" t="s">
        <v>92</v>
      </c>
      <c r="O35" s="243"/>
      <c r="P35" s="160">
        <f>P33+P34</f>
        <v>16934.054547600001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2" workbookViewId="0">
      <selection activeCell="A25" sqref="A25:B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108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117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1280</v>
      </c>
      <c r="I16" s="102">
        <f>(G16*D16)*F16+H16*F16</f>
        <v>67152</v>
      </c>
      <c r="J16" s="103"/>
      <c r="K16" s="104">
        <f>I16*$K$13</f>
        <v>0</v>
      </c>
      <c r="L16" s="105">
        <f>I16*8%</f>
        <v>5372.16</v>
      </c>
      <c r="M16" s="106">
        <f>I16-K16-L16</f>
        <v>61779.839999999997</v>
      </c>
      <c r="N16" s="106">
        <f t="shared" ref="N16:N24" si="0">(M16*$N$15)+(J16*F16)*$N$15</f>
        <v>11120.3712</v>
      </c>
      <c r="O16" s="107">
        <f>(N16+M16)*$O$15</f>
        <v>364.50105599999995</v>
      </c>
      <c r="P16" s="105">
        <f t="shared" ref="P16:P24" si="1">M16+N16+O16</f>
        <v>73264.712255999984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3400</v>
      </c>
      <c r="I17" s="116">
        <f t="shared" ref="I17:I23" si="2">(G17*D17)*F17+H17*F17</f>
        <v>178372.5</v>
      </c>
      <c r="J17" s="117"/>
      <c r="K17" s="1">
        <f t="shared" ref="K17:K21" si="3">I17*$K$13</f>
        <v>0</v>
      </c>
      <c r="L17" s="105">
        <f t="shared" ref="L17:L21" si="4">I17*8%</f>
        <v>14269.800000000001</v>
      </c>
      <c r="M17" s="118">
        <f t="shared" ref="M17:M23" si="5">I17-K17-L17</f>
        <v>164102.70000000001</v>
      </c>
      <c r="N17" s="118">
        <f t="shared" si="0"/>
        <v>29538.486000000001</v>
      </c>
      <c r="O17" s="119">
        <f t="shared" ref="O17:O24" si="6">(N17+M17)*$O$15</f>
        <v>968.20593000000008</v>
      </c>
      <c r="P17" s="120">
        <f t="shared" si="1"/>
        <v>194609.39193000001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1840</v>
      </c>
      <c r="I18" s="116">
        <f t="shared" si="2"/>
        <v>96531</v>
      </c>
      <c r="J18" s="117"/>
      <c r="K18" s="1">
        <f t="shared" si="3"/>
        <v>0</v>
      </c>
      <c r="L18" s="105">
        <f t="shared" si="4"/>
        <v>7722.4800000000005</v>
      </c>
      <c r="M18" s="118">
        <f t="shared" si="5"/>
        <v>88808.52</v>
      </c>
      <c r="N18" s="118">
        <f t="shared" si="0"/>
        <v>15985.533600000001</v>
      </c>
      <c r="O18" s="119">
        <f t="shared" si="6"/>
        <v>523.97026800000003</v>
      </c>
      <c r="P18" s="120">
        <f t="shared" si="1"/>
        <v>105318.023868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126*40</f>
        <v>5040</v>
      </c>
      <c r="I20" s="116">
        <f t="shared" si="2"/>
        <v>366105.59999999998</v>
      </c>
      <c r="J20" s="117"/>
      <c r="K20" s="1">
        <f t="shared" si="3"/>
        <v>0</v>
      </c>
      <c r="L20" s="105">
        <f t="shared" si="4"/>
        <v>29288.448</v>
      </c>
      <c r="M20" s="118">
        <f t="shared" si="5"/>
        <v>336817.152</v>
      </c>
      <c r="N20" s="118">
        <f t="shared" si="0"/>
        <v>60627.087359999998</v>
      </c>
      <c r="O20" s="119">
        <f t="shared" si="6"/>
        <v>1987.2211968000001</v>
      </c>
      <c r="P20" s="120">
        <f t="shared" si="1"/>
        <v>399431.46055680001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1760</v>
      </c>
      <c r="I21" s="116">
        <f t="shared" si="2"/>
        <v>127846.39999999999</v>
      </c>
      <c r="J21" s="117"/>
      <c r="K21" s="1">
        <f t="shared" si="3"/>
        <v>0</v>
      </c>
      <c r="L21" s="105">
        <f t="shared" si="4"/>
        <v>10227.712</v>
      </c>
      <c r="M21" s="118">
        <f t="shared" si="5"/>
        <v>117618.68799999999</v>
      </c>
      <c r="N21" s="118">
        <f t="shared" si="0"/>
        <v>21171.363839999998</v>
      </c>
      <c r="O21" s="119">
        <f t="shared" si="6"/>
        <v>693.9502592</v>
      </c>
      <c r="P21" s="120">
        <f t="shared" si="1"/>
        <v>139484.00209920001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13320</v>
      </c>
      <c r="I25" s="137">
        <f t="shared" si="9"/>
        <v>836007.5</v>
      </c>
      <c r="J25" s="138"/>
      <c r="K25" s="139">
        <f t="shared" si="9"/>
        <v>0</v>
      </c>
      <c r="L25" s="140">
        <f t="shared" si="9"/>
        <v>66880.600000000006</v>
      </c>
      <c r="M25" s="141">
        <f t="shared" si="9"/>
        <v>769126.9</v>
      </c>
      <c r="N25" s="142">
        <f>SUM(N16:N24)</f>
        <v>138442.842</v>
      </c>
      <c r="O25" s="143">
        <f>SUM(O16:O24)</f>
        <v>4537.8487100000002</v>
      </c>
      <c r="P25" s="144">
        <f>SUM(P16:P24)</f>
        <v>912107.59071000002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333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836007.5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66880.600000000006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769126.9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138442.842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907569.74200000009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4537.8487100000002</v>
      </c>
    </row>
    <row r="35" spans="2:16" ht="15.75" customHeight="1" thickBot="1" x14ac:dyDescent="0.4">
      <c r="N35" s="242" t="s">
        <v>92</v>
      </c>
      <c r="O35" s="243"/>
      <c r="P35" s="160">
        <f>P33+P34</f>
        <v>912107.59071000014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109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110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849.47280000000001</v>
      </c>
      <c r="O18" s="119">
        <f t="shared" si="6"/>
        <v>23.553563999999998</v>
      </c>
      <c r="P18" s="120">
        <f t="shared" si="1"/>
        <v>4734.2663639999992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1176.18688</v>
      </c>
      <c r="O19" s="119">
        <f t="shared" si="6"/>
        <v>32.612454400000004</v>
      </c>
      <c r="P19" s="120">
        <f t="shared" si="1"/>
        <v>6555.1033344000007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1176.18688</v>
      </c>
      <c r="O20" s="119">
        <f t="shared" si="6"/>
        <v>32.612454400000004</v>
      </c>
      <c r="P20" s="120">
        <f t="shared" si="1"/>
        <v>6555.1033344000007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32.612454400000004</v>
      </c>
      <c r="P21" s="120">
        <f t="shared" si="1"/>
        <v>6555.1033344000007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320</v>
      </c>
      <c r="I25" s="137">
        <f t="shared" si="9"/>
        <v>21630.600000000002</v>
      </c>
      <c r="J25" s="138"/>
      <c r="K25" s="139">
        <f t="shared" si="9"/>
        <v>0</v>
      </c>
      <c r="L25" s="140">
        <f t="shared" si="9"/>
        <v>1730.4479999999999</v>
      </c>
      <c r="M25" s="141">
        <f t="shared" si="9"/>
        <v>19900.152000000002</v>
      </c>
      <c r="N25" s="142">
        <f>SUM(N16:N24)</f>
        <v>4378.0334400000002</v>
      </c>
      <c r="O25" s="143">
        <f>SUM(O16:O24)</f>
        <v>121.39092720000001</v>
      </c>
      <c r="P25" s="144">
        <f>SUM(P16:P24)</f>
        <v>24399.576367200003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8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21630.600000000002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1730.4479999999999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19900.152000000002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4378.0334400000002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24278.185440000001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121.39092720000001</v>
      </c>
    </row>
    <row r="35" spans="2:16" ht="15.75" customHeight="1" thickBot="1" x14ac:dyDescent="0.4">
      <c r="N35" s="242" t="s">
        <v>92</v>
      </c>
      <c r="O35" s="243"/>
      <c r="P35" s="160">
        <f>P33+P34</f>
        <v>24399.576367199999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3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111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112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849.47280000000001</v>
      </c>
      <c r="O16" s="107">
        <f>(N16+M16)*$O$15</f>
        <v>117.76781999999999</v>
      </c>
      <c r="P16" s="105">
        <f t="shared" ref="P16:P24" si="1">M16+N16+O16</f>
        <v>4828.4806199999994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I17*8%</f>
        <v>335.76</v>
      </c>
      <c r="M17" s="118">
        <f t="shared" ref="M17:M23" si="5">I17-K17-L17</f>
        <v>3861.24</v>
      </c>
      <c r="N17" s="118">
        <f t="shared" si="0"/>
        <v>849.47280000000001</v>
      </c>
      <c r="O17" s="119">
        <f t="shared" ref="O17:O24" si="6">(N17+M17)*$O$15</f>
        <v>117.76781999999999</v>
      </c>
      <c r="P17" s="120">
        <f t="shared" si="1"/>
        <v>4828.4806199999994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/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1274.2092</v>
      </c>
      <c r="O18" s="119">
        <f t="shared" si="6"/>
        <v>176.65173000000001</v>
      </c>
      <c r="P18" s="120">
        <f t="shared" si="1"/>
        <v>7242.7209299999995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1176.18688</v>
      </c>
      <c r="O19" s="119">
        <f t="shared" si="6"/>
        <v>163.06227200000001</v>
      </c>
      <c r="P19" s="120">
        <f t="shared" si="1"/>
        <v>6685.5531520000004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81.531136000000004</v>
      </c>
      <c r="P20" s="120">
        <f t="shared" si="1"/>
        <v>3342.7765760000002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163.06227200000001</v>
      </c>
      <c r="P21" s="120">
        <f t="shared" si="1"/>
        <v>6685.5531520000004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480</v>
      </c>
      <c r="I25" s="137">
        <f t="shared" si="9"/>
        <v>29217.5</v>
      </c>
      <c r="J25" s="138"/>
      <c r="K25" s="139">
        <f t="shared" si="9"/>
        <v>0</v>
      </c>
      <c r="L25" s="140">
        <f t="shared" si="9"/>
        <v>2337.4</v>
      </c>
      <c r="M25" s="141">
        <f t="shared" si="9"/>
        <v>26880.100000000002</v>
      </c>
      <c r="N25" s="142">
        <f>SUM(N16:N24)</f>
        <v>5913.6220000000003</v>
      </c>
      <c r="O25" s="143">
        <f>SUM(O16:O24)</f>
        <v>819.84305000000006</v>
      </c>
      <c r="P25" s="144">
        <f>SUM(P16:P24)</f>
        <v>33613.565050000005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12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29217.5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2337.4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26880.1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5913.6220000000003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32793.722000000002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819.84305000000006</v>
      </c>
    </row>
    <row r="35" spans="2:16" ht="15.75" customHeight="1" thickBot="1" x14ac:dyDescent="0.4">
      <c r="N35" s="242" t="s">
        <v>92</v>
      </c>
      <c r="O35" s="243"/>
      <c r="P35" s="160">
        <f>P33+P34</f>
        <v>33613.565050000005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112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58.883909999999993</v>
      </c>
      <c r="P16" s="105">
        <f t="shared" ref="P16:P24" si="1">M16+N16+O16</f>
        <v>2414.2403099999997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424.7364</v>
      </c>
      <c r="O18" s="119">
        <f t="shared" si="6"/>
        <v>58.883909999999993</v>
      </c>
      <c r="P18" s="120">
        <f t="shared" si="1"/>
        <v>2414.2403099999997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163.06227200000001</v>
      </c>
      <c r="P21" s="120">
        <f t="shared" si="1"/>
        <v>6685.5531520000004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879.11599999999999</v>
      </c>
      <c r="M25" s="141">
        <f t="shared" si="9"/>
        <v>10643.362000000001</v>
      </c>
      <c r="N25" s="142">
        <f>SUM(N16:N24)</f>
        <v>2341.53964</v>
      </c>
      <c r="O25" s="143">
        <f>SUM(O16:O24)</f>
        <v>324.62254099999996</v>
      </c>
      <c r="P25" s="144">
        <f>SUM(P16:P24)</f>
        <v>13309.524180999999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11577.400000000001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879.11599999999999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54.922000000000011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10643.362000000001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2341.53964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12984.90164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324.62254100000001</v>
      </c>
    </row>
    <row r="35" spans="2:16" ht="15.75" customHeight="1" thickBot="1" x14ac:dyDescent="0.4">
      <c r="N35" s="242" t="s">
        <v>92</v>
      </c>
      <c r="O35" s="243"/>
      <c r="P35" s="160">
        <f>P33+P34</f>
        <v>13309.524181000001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0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0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46185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46184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0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09" t="s">
        <v>64</v>
      </c>
      <c r="B14" s="210"/>
      <c r="C14" s="213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1"/>
      <c r="B15" s="212"/>
      <c r="C15" s="21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2" t="s">
        <v>92</v>
      </c>
      <c r="O35" s="243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44"/>
      <c r="J36" s="245"/>
      <c r="K36" s="24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2026-06-12T06:29:56Z</dcterms:modified>
</cp:coreProperties>
</file>