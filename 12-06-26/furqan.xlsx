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D3EE1D89-1B8A-49EF-9B10-888CB7D4280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C11" i="28" s="1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 s="1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 s="1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 s="1"/>
  <c r="N20" i="32"/>
  <c r="O20" i="32" s="1"/>
  <c r="M25" i="32"/>
  <c r="N16" i="32"/>
  <c r="L25" i="32"/>
  <c r="P29" i="32" s="1"/>
  <c r="P31" i="32" s="1"/>
  <c r="N22" i="32"/>
  <c r="O22" i="32" s="1"/>
  <c r="P22" i="32" s="1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 s="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N18" i="30"/>
  <c r="O18" i="30" s="1"/>
  <c r="P18" i="30" s="1"/>
  <c r="K25" i="30"/>
  <c r="P30" i="30" s="1"/>
  <c r="P31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 s="1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 s="1"/>
  <c r="N20" i="28"/>
  <c r="O20" i="28" s="1"/>
  <c r="P20" i="28"/>
  <c r="N22" i="28"/>
  <c r="O22" i="28" s="1"/>
  <c r="P22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8" i="28"/>
  <c r="O18" i="28" s="1"/>
  <c r="P18" i="28" s="1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16" i="32" l="1"/>
  <c r="P25" i="32" s="1"/>
  <c r="P16" i="30"/>
  <c r="N25" i="35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N20" i="18" s="1"/>
  <c r="O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M19" i="18"/>
  <c r="N19" i="18" s="1"/>
  <c r="O19" i="18" s="1"/>
  <c r="K25" i="19"/>
  <c r="P30" i="19" s="1"/>
  <c r="P31" i="19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21" i="15" l="1"/>
  <c r="P31" i="21"/>
  <c r="M17" i="15"/>
  <c r="P31" i="17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<sst xmlns="http://schemas.openxmlformats.org/spreadsheetml/2006/main" count="1580" uniqueCount="119">
  <si>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</si>
  <si>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</si>
  <si>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</si>
  <si>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</si>
  <si>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</si>
  <si>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</si>
  <si>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</si>
  <si>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</si>
  <si>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</si>
  <si>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</si>
  <si>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</si>
  <si>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</si>
  <si>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</si>
  <si>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</si>
  <si>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</si>
  <si>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</si>
  <si>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</si>
  <si>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</si>
  <si>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</si>
  <si>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</si>
  <si>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</si>
  <si>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</si>
  <si>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</si>
  <si>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</si>
  <si>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</si>
  <si>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</si>
  <si>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</si>
  <si>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</si>
  <si>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</si>
  <si>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</si>
  <si>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</si>
  <si>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</si>
  <si>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</si>
  <si>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</si>
  <si>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</si>
  <si>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</si>
  <si>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</si>
  <si>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</si>
  <si>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</si>
  <si>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</si>
  <si>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</si>
  <si>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</si>
  <si>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</si>
  <si>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</si>
  <si>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</si>
  <si>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</si>
  <si>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</si>
  <si>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</si>
  <si>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</si>
  <si>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</si>
  <si>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</si>
  <si>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</si>
  <si>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</si>
  <si>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</si>
  <si>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</si>
  <si>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</si>
  <si>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</si>
  <si>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</si>
  <si>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</si>
  <si>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</si>
  <si>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</si>
  <si>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</si>
  <si>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</si>
  <si>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</si>
  <si>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</si>
  <si>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</si>
  <si>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</si>
  <si>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</si>
  <si>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</si>
  <si>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</si>
  <si>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</si>
  <si>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</si>
  <si>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</si>
  <si>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</si>
  <si>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</si>
  <si>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</si>
  <si>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</si>
  <si>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</si>
  <si>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</si>
  <si>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</si>
  <si>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</si>
  <si>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</si>
  <si>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</si>
  <si>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</si>
  <si>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</si>
  <si>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</si>
  <si>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</si>
  <si>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</si>
  <si>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</si>
  <si>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</si>
  <si>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</si>
  <si>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</si>
  <si>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</si>
  <si>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</si>
  <si>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</si>
  <si>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</si>
  <si>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</si>
  <si>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</si>
  <si>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</si>
  <si>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</si>
  <si>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</si>
  <si>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</si>
  <si>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Customer Name : Shop Name</t>
  </si>
  <si>
    <t>Address: A</t>
  </si>
  <si>
    <t>Shop Bill Summary (Furqan)</t>
  </si>
  <si>
    <t>Customer Name : M sadiq Store</t>
  </si>
  <si>
    <t>Address:Gulberg</t>
  </si>
  <si>
    <t>Customer Name : Somoro Bakery</t>
  </si>
  <si>
    <t>Address: Refer Range Road</t>
  </si>
  <si>
    <t>Customer Name : Al Makkah Store</t>
  </si>
  <si>
    <t xml:space="preserve">Address: Refer Range </t>
  </si>
  <si>
    <t>Customer Name : Imtiaz Store</t>
  </si>
  <si>
    <t>Address: Rafer Range Road</t>
  </si>
  <si>
    <t xml:space="preserve">Customer Name : Even Mart </t>
  </si>
  <si>
    <t>Customer Name : Hiker Mart</t>
  </si>
  <si>
    <t>Customer Name : Hygiene Store</t>
  </si>
  <si>
    <t>Address: Ghazi Road</t>
  </si>
  <si>
    <t>Customer Name : Attock Pump</t>
  </si>
  <si>
    <t>F7890478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</si>
</sst>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4" sqref="G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4" sqref="G4"/>
      <selection pane="topRight" activeCell="G4" sqref="G4"/>
      <selection pane="bottomLeft" activeCell="G4" sqref="G4"/>
      <selection pane="bottomRight" activeCell="G4" sqref="G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3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6" t="s">
        <v>45</v>
      </c>
      <c r="B2" s="196"/>
      <c r="C2" s="196"/>
    </row>
    <row r="3" spans="1:21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1" t="s">
        <v>96</v>
      </c>
      <c r="B5" s="201"/>
      <c r="C5" s="201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21 16383:16384" ht="15" customHeight="1" x14ac:dyDescent="0.35">
      <c r="A6" s="201"/>
      <c r="B6" s="201"/>
      <c r="C6" s="201"/>
      <c r="F6" s="70"/>
      <c r="G6" s="74"/>
      <c r="K6" s="198" t="s">
        <v>52</v>
      </c>
      <c r="L6" s="198"/>
      <c r="M6" s="198"/>
      <c r="N6" s="200" t="s">
        <v>42</v>
      </c>
      <c r="O6" s="200"/>
      <c r="P6" s="20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21 16383:16384" hidden="1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21 16383:16384" x14ac:dyDescent="0.35">
      <c r="A10" s="203"/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21 16383:16384" ht="15" thickBot="1" x14ac:dyDescent="0.4">
      <c r="A11" s="203"/>
      <c r="B11" s="76"/>
      <c r="C11" s="77"/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21 16383:16384" ht="14.65" customHeight="1" x14ac:dyDescent="0.35">
      <c r="A12" s="203"/>
      <c r="B12" s="76"/>
      <c r="C12" s="77"/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T12" s="212" t="s">
        <v>104</v>
      </c>
      <c r="U12" s="213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4"/>
      <c r="U13" s="215"/>
      <c r="XFD13" t="s">
        <v>63</v>
      </c>
    </row>
    <row r="14" spans="1:21 16383:16384" ht="29.25" customHeight="1" x14ac:dyDescent="0.6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06" t="s">
        <v>68</v>
      </c>
      <c r="H14" s="207"/>
      <c r="I14" s="207" t="s">
        <v>69</v>
      </c>
      <c r="J14" s="207" t="s">
        <v>70</v>
      </c>
      <c r="K14" s="207"/>
      <c r="L14" s="209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 sadiq Store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8"/>
      <c r="J15" s="171" t="s">
        <v>78</v>
      </c>
      <c r="K15" s="171" t="s">
        <v>79</v>
      </c>
      <c r="L15" s="174" t="s">
        <v>80</v>
      </c>
      <c r="M15" s="21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Somoro Bakery</v>
      </c>
      <c r="U15" s="164">
        <f>+'2'!P35</f>
        <v>538.64712270000007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10</v>
      </c>
      <c r="I16" s="1">
        <f>(G16*D16)*F16+H16*F16</f>
        <v>524.625</v>
      </c>
      <c r="J16" s="172">
        <f>+'1'!J16+'2'!J16+'4'!J16+'3'!J16+'5'!J16+'6'!J16+'7'!J16+'8'!J16+'9'!J16+'10'!J16+'11'!J16+'12'!J16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41.97</v>
      </c>
      <c r="M16" s="106">
        <f>I16-K16-L16</f>
        <v>482.65499999999997</v>
      </c>
      <c r="N16" s="101">
        <f>+'1'!N16+'2'!N16+'4'!N16+'3'!N16+'5'!N16+'6'!N16+'7'!N16+'8'!N16+'9'!N16+'10'!N16</f>
        <v>106.1841</v>
      </c>
      <c r="O16" s="101">
        <f>+'1'!O16+'2'!O16+'4'!O16+'3'!O16+'5'!O16+'6'!O16+'7'!O16+'8'!O16+'9'!O16+'10'!O16</f>
        <v>14.720977499999998</v>
      </c>
      <c r="P16" s="105">
        <f t="shared" ref="P16:P24" si="0">M16+N16+O16</f>
        <v>603.56007749999992</v>
      </c>
      <c r="Q16" s="108"/>
      <c r="T16" s="163" t="str">
        <f>+'4'!A5</f>
        <v>Customer Name : Imtiaz Store</v>
      </c>
      <c r="U16" s="164">
        <f>+'4'!P35</f>
        <v>2291.3286855000001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41.97</v>
      </c>
      <c r="M17" s="118">
        <f t="shared" ref="M17:M23" si="2">I17-K17-L17</f>
        <v>482.65499999999997</v>
      </c>
      <c r="N17" s="101">
        <f>+'1'!N17+'2'!N17+'4'!N17+'3'!N17+'5'!N17+'6'!N17+'7'!N17+'8'!N17+'9'!N17+'10'!N17</f>
        <v>106.1841</v>
      </c>
      <c r="O17" s="101">
        <f>+'1'!O17+'2'!O17+'4'!O17+'3'!O17+'5'!O17+'6'!O17+'7'!O17+'8'!O17+'9'!O17+'10'!O17</f>
        <v>14.720977499999998</v>
      </c>
      <c r="P17" s="120">
        <f t="shared" si="0"/>
        <v>603.56007749999992</v>
      </c>
      <c r="S17" s="64"/>
      <c r="T17" s="163" t="str">
        <f>+'3'!A5</f>
        <v>Customer Name : Al Makkah Store</v>
      </c>
      <c r="U17" s="164">
        <f>+'3'!P35</f>
        <v>3592.2757517500004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6</v>
      </c>
      <c r="I18" s="1">
        <f t="shared" si="1"/>
        <v>314.77499999999998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25.181999999999999</v>
      </c>
      <c r="M18" s="118">
        <f t="shared" si="2"/>
        <v>289.59299999999996</v>
      </c>
      <c r="N18" s="101">
        <f>+'1'!N18+'2'!N18+'4'!N18+'3'!N18+'5'!N18+'6'!N18+'7'!N18+'8'!N18+'9'!N18+'10'!N18</f>
        <v>63.710459999999991</v>
      </c>
      <c r="O18" s="101">
        <f>+'1'!O18+'2'!O18+'4'!O18+'3'!O18+'5'!O18+'6'!O18+'7'!O18+'8'!O18+'9'!O18+'10'!O18</f>
        <v>1.7665172999999998</v>
      </c>
      <c r="P18" s="120">
        <f t="shared" si="0"/>
        <v>355.06997729999995</v>
      </c>
      <c r="T18" s="163" t="str">
        <f>+'5'!A5</f>
        <v xml:space="preserve">Customer Name : Even Mart </v>
      </c>
      <c r="U18" s="164">
        <f>+'5'!P35</f>
        <v>269.32356135000003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36</v>
      </c>
      <c r="I19" s="1">
        <f t="shared" si="1"/>
        <v>2615.04</v>
      </c>
      <c r="J19" s="172">
        <f>+'1'!J19+'2'!J19+'4'!J19+'3'!J19+'5'!J19+'6'!J19+'7'!J19+'8'!J19+'9'!J19+'10'!J19+'11'!J19+'12'!J19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209.20320000000001</v>
      </c>
      <c r="M19" s="118">
        <f t="shared" si="2"/>
        <v>2405.8368</v>
      </c>
      <c r="N19" s="101">
        <f>+'1'!N19+'2'!N19+'4'!N19+'3'!N19+'5'!N19+'6'!N19+'7'!N19+'8'!N19+'9'!N19+'10'!N19</f>
        <v>545.26489600000002</v>
      </c>
      <c r="O19" s="101">
        <f>+'1'!O19+'2'!O19+'4'!O19+'3'!O19+'5'!O19+'6'!O19+'7'!O19+'8'!O19+'9'!O19+'10'!O19</f>
        <v>63.993806079999999</v>
      </c>
      <c r="P19" s="120">
        <f t="shared" si="0"/>
        <v>3015.0955020800002</v>
      </c>
      <c r="T19" s="163" t="str">
        <f>+'6'!A5</f>
        <v>Customer Name : Hiker Mart</v>
      </c>
      <c r="U19" s="164">
        <f>+'6'!P35</f>
        <v>1687.7686080000001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10</v>
      </c>
      <c r="I20" s="1">
        <f t="shared" si="1"/>
        <v>726.4</v>
      </c>
      <c r="J20" s="172">
        <f>+'1'!J20+'2'!J20+'4'!J20+'3'!J20+'5'!J20+'6'!J20+'7'!J20+'8'!J20+'9'!J20+'10'!J20+'11'!J20+'12'!J20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194.96575999999999</v>
      </c>
      <c r="O20" s="101">
        <f>+'1'!O20+'2'!O20+'4'!O20+'3'!O20+'5'!O20+'6'!O20+'7'!O20+'8'!O20+'9'!O20+'10'!O20</f>
        <v>21.581344000000001</v>
      </c>
      <c r="P20" s="120">
        <f t="shared" si="0"/>
        <v>884.835104</v>
      </c>
      <c r="T20" s="163" t="str">
        <f>+'7'!A5</f>
        <v>Customer Name : Hygiene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30</v>
      </c>
      <c r="I21" s="1">
        <f t="shared" si="1"/>
        <v>2179.1999999999998</v>
      </c>
      <c r="J21" s="172">
        <f>+'1'!J21+'2'!J21+'4'!J21+'3'!J21+'5'!J21+'6'!J21+'7'!J21+'8'!J21+'9'!J21+'10'!J21+'11'!J21+'12'!J21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174.33600000000001</v>
      </c>
      <c r="M21" s="118">
        <f t="shared" si="2"/>
        <v>2004.8639999999998</v>
      </c>
      <c r="N21" s="101">
        <f>+'1'!N21+'2'!N21+'4'!N21+'3'!N21+'5'!N21+'6'!N21+'7'!N21+'8'!N21+'9'!N21+'10'!N21</f>
        <v>441.07007999999996</v>
      </c>
      <c r="O21" s="101">
        <f>+'1'!O21+'2'!O21+'4'!O21+'3'!O21+'5'!O21+'6'!O21+'7'!O21+'8'!O21+'9'!O21+'10'!O21</f>
        <v>61.148352000000003</v>
      </c>
      <c r="P21" s="120">
        <f t="shared" si="0"/>
        <v>2507.0824320000002</v>
      </c>
      <c r="T21" s="163" t="str">
        <f>+'8'!A5</f>
        <v>Customer Name : Attock Pump</v>
      </c>
      <c r="U21" s="164">
        <f>+'8'!P35</f>
        <v>846.70272737999994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28</v>
      </c>
      <c r="I22" s="1">
        <f t="shared" si="1"/>
        <v>1098.44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38.445400000000006</v>
      </c>
      <c r="L22" s="175">
        <f>+'1'!L22+'2'!L22+'4'!L22+'3'!L22+'5'!L22+'6'!L22+'7'!L22+'8'!L22+'9'!L22+'10'!L22</f>
        <v>54.922000000000011</v>
      </c>
      <c r="M22" s="118">
        <f t="shared" si="2"/>
        <v>1005.0726</v>
      </c>
      <c r="N22" s="101">
        <f>+'1'!N22+'2'!N22+'4'!N22+'3'!N22+'5'!N22+'6'!N22+'7'!N22+'8'!N22+'9'!N22+'10'!N22</f>
        <v>221.115972</v>
      </c>
      <c r="O22" s="101">
        <f>+'1'!O22+'2'!O22+'4'!O22+'3'!O22+'5'!O22+'6'!O22+'7'!O22+'8'!O22+'9'!O22+'10'!O22</f>
        <v>30.654714300000006</v>
      </c>
      <c r="P22" s="120">
        <f t="shared" si="0"/>
        <v>1256.8432863</v>
      </c>
      <c r="T22" s="163" t="str">
        <f>+'9'!A5</f>
        <v>Customer Name : Shop Name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Shop Name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Shop Name</v>
      </c>
      <c r="U24" s="164">
        <f>+'11'!P35</f>
        <v>0</v>
      </c>
    </row>
    <row r="25" spans="1:21 16384:16384" ht="26.5" thickBot="1" x14ac:dyDescent="0.65">
      <c r="A25" s="222" t="s">
        <v>84</v>
      </c>
      <c r="B25" s="223"/>
      <c r="C25" s="224">
        <f>H25/40</f>
        <v>3.25</v>
      </c>
      <c r="D25" s="218"/>
      <c r="E25" s="218"/>
      <c r="F25" s="218"/>
      <c r="G25" s="176">
        <f t="shared" ref="G25:M25" si="3">SUM(G16:G24)</f>
        <v>0</v>
      </c>
      <c r="H25" s="177">
        <f t="shared" si="3"/>
        <v>130</v>
      </c>
      <c r="I25" s="178">
        <f t="shared" si="3"/>
        <v>7983.1049999999996</v>
      </c>
      <c r="J25" s="177">
        <f t="shared" si="3"/>
        <v>4</v>
      </c>
      <c r="K25" s="178">
        <f t="shared" si="3"/>
        <v>38.445400000000006</v>
      </c>
      <c r="L25" s="179">
        <f t="shared" si="3"/>
        <v>605.69520000000011</v>
      </c>
      <c r="M25" s="141">
        <f t="shared" si="3"/>
        <v>7338.9643999999989</v>
      </c>
      <c r="N25" s="142">
        <f>SUM(N16:N24)</f>
        <v>1678.4953680000001</v>
      </c>
      <c r="O25" s="143">
        <f>SUM(O16:O24)</f>
        <v>208.58668867999998</v>
      </c>
      <c r="P25" s="144">
        <f>SUM(P16:P24)</f>
        <v>9226.0464566800001</v>
      </c>
      <c r="T25" s="163" t="str">
        <f>+'12'!A5</f>
        <v>Customer Name : Shop Name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9226.0464566800001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7983.1049999999996</v>
      </c>
    </row>
    <row r="29" spans="1:21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605.69520000000011</v>
      </c>
    </row>
    <row r="30" spans="1:21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38.445400000000006</v>
      </c>
    </row>
    <row r="31" spans="1:21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7338.9643999999998</v>
      </c>
    </row>
    <row r="32" spans="1:21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1678.4953680000001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9017.4597680000006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225.43649420000003</v>
      </c>
    </row>
    <row r="35" spans="2:16" ht="15.75" customHeight="1" thickBot="1" x14ac:dyDescent="0.4">
      <c r="N35" s="216" t="s">
        <v>92</v>
      </c>
      <c r="O35" s="217"/>
      <c r="P35" s="160">
        <f>P33+P34</f>
        <v>9242.8962621999999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106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2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107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13.137734700000003</v>
      </c>
      <c r="P25" s="144">
        <f>SUM(P16:P24)</f>
        <v>538.64712270000007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470.76000000000005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23.538000000000004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16.476600000000005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430.74540000000002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525.50938800000006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13.137734700000003</v>
      </c>
    </row>
    <row r="35" spans="2:16" ht="15.75" customHeight="1" thickBot="1" x14ac:dyDescent="0.4">
      <c r="N35" s="216" t="s">
        <v>92</v>
      </c>
      <c r="O35" s="217"/>
      <c r="P35" s="160">
        <f>P33+P34</f>
        <v>538.64712270000007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4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109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110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9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50</v>
      </c>
      <c r="I25" s="137">
        <f t="shared" si="9"/>
        <v>3096.1250000000005</v>
      </c>
      <c r="J25" s="138"/>
      <c r="K25" s="139">
        <f t="shared" si="9"/>
        <v>13.730500000000003</v>
      </c>
      <c r="L25" s="140">
        <f t="shared" si="9"/>
        <v>235.92099999999999</v>
      </c>
      <c r="M25" s="141">
        <f t="shared" si="9"/>
        <v>2846.4735000000001</v>
      </c>
      <c r="N25" s="142">
        <f>SUM(N16:N24)</f>
        <v>658.18577000000005</v>
      </c>
      <c r="O25" s="143">
        <f>SUM(O16:O24)</f>
        <v>87.616481749999991</v>
      </c>
      <c r="P25" s="144">
        <f>SUM(P16:P24)</f>
        <v>3592.2757517499999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3096.1250000000005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235.92099999999999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13.730500000000003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2846.4735000000005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658.18577000000005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3504.6592700000006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87.61648175000002</v>
      </c>
    </row>
    <row r="35" spans="2:16" ht="15.75" customHeight="1" thickBot="1" x14ac:dyDescent="0.4">
      <c r="N35" s="216" t="s">
        <v>92</v>
      </c>
      <c r="O35" s="217"/>
      <c r="P35" s="160">
        <f>P33+P34</f>
        <v>3592.2757517500004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3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111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112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14.720977499999998</v>
      </c>
      <c r="P16" s="105">
        <f t="shared" ref="P16:P24" si="1">M16+N16+O16</f>
        <v>603.56007749999992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>
        <v>1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15.9808</v>
      </c>
      <c r="O20" s="119">
        <f t="shared" si="6"/>
        <v>0.39952000000000004</v>
      </c>
      <c r="P20" s="120">
        <f t="shared" si="1"/>
        <v>16.380320000000001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30</v>
      </c>
      <c r="I25" s="137">
        <f t="shared" si="9"/>
        <v>1977.4250000000002</v>
      </c>
      <c r="J25" s="138"/>
      <c r="K25" s="139">
        <f t="shared" si="9"/>
        <v>0</v>
      </c>
      <c r="L25" s="140">
        <f t="shared" si="9"/>
        <v>158.19399999999999</v>
      </c>
      <c r="M25" s="141">
        <f t="shared" si="9"/>
        <v>1819.231</v>
      </c>
      <c r="N25" s="142">
        <f>SUM(N16:N24)</f>
        <v>416.21162000000004</v>
      </c>
      <c r="O25" s="143">
        <f>SUM(O16:O24)</f>
        <v>55.886065500000001</v>
      </c>
      <c r="P25" s="144">
        <f>SUM(P16:P24)</f>
        <v>2291.3286854999997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1977.4250000000002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158.19399999999999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1819.2310000000002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416.21162000000004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2235.4426200000003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55.886065500000008</v>
      </c>
    </row>
    <row r="35" spans="2:16" ht="15.75" customHeight="1" thickBot="1" x14ac:dyDescent="0.4">
      <c r="N35" s="216" t="s">
        <v>92</v>
      </c>
      <c r="O35" s="217"/>
      <c r="P35" s="160">
        <f>P33+P34</f>
        <v>2291.3286855000001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5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113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9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235.38000000000002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11.769000000000002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8.2383000000000024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215.37270000000001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262.75469400000003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16" t="s">
        <v>92</v>
      </c>
      <c r="O35" s="217"/>
      <c r="P35" s="160">
        <f>P33+P34</f>
        <v>269.32356135000003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6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114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108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20.782304</v>
      </c>
      <c r="P19" s="120">
        <f t="shared" si="1"/>
        <v>852.07446399999992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20.382784000000001</v>
      </c>
      <c r="P21" s="120">
        <f t="shared" si="1"/>
        <v>835.69414400000005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41.165087999999997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1452.8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116.224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1336.576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1646.6035200000001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6" t="s">
        <v>92</v>
      </c>
      <c r="O35" s="217"/>
      <c r="P35" s="160">
        <f>P33+P34</f>
        <v>1687.7686080000001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7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116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9">
        <v>3520116120603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8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117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116</v>
      </c>
      <c r="B6" s="198"/>
      <c r="C6" s="198"/>
      <c r="F6" s="70"/>
      <c r="G6" s="74"/>
      <c r="K6" s="198" t="s">
        <v>52</v>
      </c>
      <c r="L6" s="198"/>
      <c r="M6" s="198"/>
      <c r="N6" s="200" t="s">
        <v>96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 t="s">
        <v>118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6</v>
      </c>
      <c r="I18" s="116">
        <f t="shared" si="2"/>
        <v>314.77499999999998</v>
      </c>
      <c r="J18" s="117"/>
      <c r="K18" s="1">
        <f t="shared" si="3"/>
        <v>0</v>
      </c>
      <c r="L18" s="105">
        <f t="shared" si="4"/>
        <v>25.181999999999999</v>
      </c>
      <c r="M18" s="118">
        <f t="shared" si="5"/>
        <v>289.59299999999996</v>
      </c>
      <c r="N18" s="118">
        <f t="shared" si="0"/>
        <v>63.710459999999991</v>
      </c>
      <c r="O18" s="119">
        <f t="shared" si="6"/>
        <v>1.7665172999999998</v>
      </c>
      <c r="P18" s="120">
        <f t="shared" si="1"/>
        <v>355.06997729999995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12</v>
      </c>
      <c r="I25" s="137">
        <f t="shared" si="9"/>
        <v>750.61500000000001</v>
      </c>
      <c r="J25" s="138"/>
      <c r="K25" s="139">
        <f t="shared" si="9"/>
        <v>0</v>
      </c>
      <c r="L25" s="140">
        <f t="shared" si="9"/>
        <v>60.049199999999999</v>
      </c>
      <c r="M25" s="141">
        <f t="shared" si="9"/>
        <v>690.56579999999997</v>
      </c>
      <c r="N25" s="142">
        <f>SUM(N16:N24)</f>
        <v>151.924476</v>
      </c>
      <c r="O25" s="143">
        <f>SUM(O16:O24)</f>
        <v>4.2124513800000001</v>
      </c>
      <c r="P25" s="144">
        <f>SUM(P16:P24)</f>
        <v>846.70272737999994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750.61500000000001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60.049199999999999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690.56579999999997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151.924476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842.49027599999999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4.2124513800000001</v>
      </c>
    </row>
    <row r="35" spans="2:16" ht="15.75" customHeight="1" thickBot="1" x14ac:dyDescent="0.4">
      <c r="N35" s="216" t="s">
        <v>92</v>
      </c>
      <c r="O35" s="217"/>
      <c r="P35" s="160">
        <f>P33+P34</f>
        <v>846.70272737999994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0"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9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167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44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46185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46184</v>
      </c>
      <c r="O5" s="197"/>
      <c r="P5" s="197"/>
      <c r="R5" s="70"/>
      <c r="S5" s="71"/>
    </row>
    <row r="6" spans="1:19 16383:16384" ht="15" customHeight="1" x14ac:dyDescent="0.35">
      <c r="A6" s="198" t="s">
        <v>103</v>
      </c>
      <c r="B6" s="198"/>
      <c r="C6" s="198"/>
      <c r="F6" s="70"/>
      <c r="G6" s="74"/>
      <c r="K6" s="198" t="s">
        <v>52</v>
      </c>
      <c r="L6" s="198"/>
      <c r="M6" s="198"/>
      <c r="N6" s="200" t="s">
        <v>97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95</v>
      </c>
      <c r="B10" s="75">
        <v>0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2026-06-12T12:48:22Z</dcterms:modified>
</cp:coreProperties>
</file>