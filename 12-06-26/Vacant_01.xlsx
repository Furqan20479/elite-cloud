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7358C5AE-183D-4085-AF85-46527D864616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G26" i="16" l="1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N20" i="15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<sst xmlns="http://schemas.openxmlformats.org/spreadsheetml/2006/main" count="1579" uniqueCount="106">
  <si>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</si>
  <si>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</si>
  <si>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</si>
  <si>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</si>
  <si>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</si>
  <si>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</si>
  <si>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</si>
  <si>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</si>
  <si>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</si>
  <si>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</si>
  <si>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</si>
  <si>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</si>
  <si>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</si>
  <si>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</si>
  <si>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</si>
  <si>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</si>
  <si>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</si>
  <si>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</si>
  <si>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</si>
  <si>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</si>
  <si>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</si>
  <si>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</si>
  <si>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</si>
  <si>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</si>
  <si>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</si>
  <si>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</si>
  <si>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</si>
  <si>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</si>
  <si>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</si>
  <si>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</si>
  <si>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</si>
  <si>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</si>
  <si>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</si>
  <si>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</si>
  <si>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</si>
  <si>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</si>
  <si>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</si>
  <si>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</si>
  <si>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</si>
  <si>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</si>
  <si>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</si>
  <si>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</si>
  <si>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</si>
  <si>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</si>
  <si>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</si>
  <si>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</si>
  <si>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</si>
  <si>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</si>
  <si>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</si>
  <si>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</si>
  <si>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</si>
  <si>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</si>
  <si>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</si>
  <si>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</si>
  <si>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</si>
  <si>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</si>
  <si>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</si>
  <si>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</si>
  <si>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</si>
  <si>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</si>
  <si>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</si>
  <si>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</si>
  <si>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</si>
  <si>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</si>
  <si>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</si>
  <si>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</si>
  <si>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</si>
  <si>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</si>
  <si>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</si>
  <si>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</si>
  <si>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</si>
  <si>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</si>
  <si>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</si>
  <si>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</si>
  <si>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</si>
  <si>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</si>
  <si>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</si>
  <si>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</si>
  <si>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</si>
  <si>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</si>
  <si>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</si>
  <si>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</si>
  <si>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</si>
  <si>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</si>
  <si>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</si>
  <si>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</si>
  <si>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</si>
  <si>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</si>
  <si>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</si>
  <si>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</si>
  <si>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</si>
  <si>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</si>
  <si>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</si>
  <si>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</si>
  <si>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</si>
  <si>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</si>
  <si>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</si>
  <si>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</si>
  <si>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</si>
  <si>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</si>
  <si>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</si>
  <si>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</si>
  <si>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</si>
  <si>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</si>
  <si>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Vacant_01</t>
  </si>
  <si>
    <t>Shop Bill Summary (Vacant_01)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</si>
</sst>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10" zoomScale="70" zoomScaleNormal="70" workbookViewId="0">
      <selection activeCell="S19" sqref="S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104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46184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105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</v>
      </c>
      <c r="U14" s="164">
        <f>+'1'!P35</f>
        <v>1517419.1330257251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1613</v>
      </c>
      <c r="I16" s="1">
        <f>(G16*D16)*F16+H16*F16</f>
        <v>84622.012499999997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6769.7609999999995</v>
      </c>
      <c r="M16" s="106">
        <f>I16-K16-L16</f>
        <v>77852.251499999998</v>
      </c>
      <c r="N16" s="101">
        <f>+'1'!N16+'2'!N16+'4'!N16+'3'!N16+'5'!N16+'6'!N16+'7'!N16+'8'!N16+'9'!N16+'10'!N16</f>
        <v>17127.495330000002</v>
      </c>
      <c r="O16" s="101">
        <f>+'1'!O16+'2'!O16+'4'!O16+'3'!O16+'5'!O16+'6'!O16+'7'!O16+'8'!O16+'9'!O16+'10'!O16</f>
        <v>2374.4936707500001</v>
      </c>
      <c r="P16" s="105">
        <f t="shared" ref="P16:P24" si="0">M16+N16+O16</f>
        <v>97354.240500750006</v>
      </c>
      <c r="Q16" s="108"/>
      <c r="T16" s="163" t="str">
        <f>+'4'!A5</f>
        <v xml:space="preserve">Customer Name : 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2442</v>
      </c>
      <c r="I17" s="1">
        <f t="shared" ref="I17:I23" si="1">(G17*D17)*F17+H17*F17</f>
        <v>128113.425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10249.074000000001</v>
      </c>
      <c r="M17" s="118">
        <f t="shared" ref="M17:M23" si="2">I17-K17-L17</f>
        <v>117864.351</v>
      </c>
      <c r="N17" s="101">
        <f>+'1'!N17+'2'!N17+'4'!N17+'3'!N17+'5'!N17+'6'!N17+'7'!N17+'8'!N17+'9'!N17+'10'!N17</f>
        <v>25930.157219999997</v>
      </c>
      <c r="O17" s="101">
        <f>+'1'!O17+'2'!O17+'4'!O17+'3'!O17+'5'!O17+'6'!O17+'7'!O17+'8'!O17+'9'!O17+'10'!O17</f>
        <v>3594.8627054999997</v>
      </c>
      <c r="P17" s="120">
        <f t="shared" si="0"/>
        <v>147389.3709255</v>
      </c>
      <c r="S17" s="64"/>
      <c r="T17" s="163" t="str">
        <f>+'3'!A5</f>
        <v xml:space="preserve">Customer Name : 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1036</v>
      </c>
      <c r="I18" s="1">
        <f t="shared" si="1"/>
        <v>54351.15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4348.0920000000006</v>
      </c>
      <c r="M18" s="118">
        <f t="shared" si="2"/>
        <v>50003.058000000005</v>
      </c>
      <c r="N18" s="101">
        <f>+'1'!N18+'2'!N18+'4'!N18+'3'!N18+'5'!N18+'6'!N18+'7'!N18+'8'!N18+'9'!N18+'10'!N18</f>
        <v>11000.672760000001</v>
      </c>
      <c r="O18" s="101">
        <f>+'1'!O18+'2'!O18+'4'!O18+'3'!O18+'5'!O18+'6'!O18+'7'!O18+'8'!O18+'9'!O18+'10'!O18</f>
        <v>1525.0932690000002</v>
      </c>
      <c r="P18" s="120">
        <f t="shared" si="0"/>
        <v>62528.824029000003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5269</v>
      </c>
      <c r="I19" s="1">
        <f t="shared" si="1"/>
        <v>382740.16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30619.212799999998</v>
      </c>
      <c r="M19" s="118">
        <f t="shared" si="2"/>
        <v>352120.9472</v>
      </c>
      <c r="N19" s="101">
        <f>+'1'!N19+'2'!N19+'4'!N19+'3'!N19+'5'!N19+'6'!N19+'7'!N19+'8'!N19+'9'!N19+'10'!N19</f>
        <v>77466.608384000006</v>
      </c>
      <c r="O19" s="101">
        <f>+'1'!O19+'2'!O19+'4'!O19+'3'!O19+'5'!O19+'6'!O19+'7'!O19+'8'!O19+'9'!O19+'10'!O19</f>
        <v>10739.688889600002</v>
      </c>
      <c r="P19" s="120">
        <f t="shared" si="0"/>
        <v>440327.2444736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3838</v>
      </c>
      <c r="I20" s="1">
        <f t="shared" si="1"/>
        <v>278792.32000000001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22303.385600000001</v>
      </c>
      <c r="M20" s="118">
        <f t="shared" si="2"/>
        <v>256488.9344</v>
      </c>
      <c r="N20" s="101">
        <f>+'1'!N20+'2'!N20+'4'!N20+'3'!N20+'5'!N20+'6'!N20+'7'!N20+'8'!N20+'9'!N20+'10'!N20</f>
        <v>56427.565567999998</v>
      </c>
      <c r="O20" s="101">
        <f>+'1'!O20+'2'!O20+'4'!O20+'3'!O20+'5'!O20+'6'!O20+'7'!O20+'8'!O20+'9'!O20+'10'!O20</f>
        <v>7822.9124991999997</v>
      </c>
      <c r="P20" s="120">
        <f t="shared" si="0"/>
        <v>320739.41246719996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4835</v>
      </c>
      <c r="I21" s="1">
        <f t="shared" si="1"/>
        <v>351214.4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28097.152000000002</v>
      </c>
      <c r="M21" s="118">
        <f t="shared" si="2"/>
        <v>323117.24800000002</v>
      </c>
      <c r="N21" s="101">
        <f>+'1'!N21+'2'!N21+'4'!N21+'3'!N21+'5'!N21+'6'!N21+'7'!N21+'8'!N21+'9'!N21+'10'!N21</f>
        <v>71085.794560000009</v>
      </c>
      <c r="O21" s="101">
        <f>+'1'!O21+'2'!O21+'4'!O21+'3'!O21+'5'!O21+'6'!O21+'7'!O21+'8'!O21+'9'!O21+'10'!O21</f>
        <v>9855.0760640000008</v>
      </c>
      <c r="P21" s="120">
        <f t="shared" si="0"/>
        <v>404058.11862400005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1003</v>
      </c>
      <c r="I22" s="1">
        <f t="shared" si="1"/>
        <v>39347.69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1377.1691500000002</v>
      </c>
      <c r="L22" s="175">
        <f>+'1'!L22+'2'!L22+'4'!L22+'3'!L22+'5'!L22+'6'!L22+'7'!L22+'8'!L22+'9'!L22+'10'!L22</f>
        <v>1967.3845000000001</v>
      </c>
      <c r="M22" s="118">
        <f t="shared" si="2"/>
        <v>36003.136350000001</v>
      </c>
      <c r="N22" s="101">
        <f>+'1'!N22+'2'!N22+'4'!N22+'3'!N22+'5'!N22+'6'!N22+'7'!N22+'8'!N22+'9'!N22+'10'!N22</f>
        <v>7920.6899970000004</v>
      </c>
      <c r="O22" s="101">
        <f>+'1'!O22+'2'!O22+'4'!O22+'3'!O22+'5'!O22+'6'!O22+'7'!O22+'8'!O22+'9'!O22+'10'!O22</f>
        <v>1098.0956586750001</v>
      </c>
      <c r="P22" s="120">
        <f t="shared" si="0"/>
        <v>45021.922005675005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500.9</v>
      </c>
      <c r="D25" s="205"/>
      <c r="E25" s="205"/>
      <c r="F25" s="205"/>
      <c r="G25" s="176">
        <f t="shared" ref="G25:M25" si="3">SUM(G16:G24)</f>
        <v>0</v>
      </c>
      <c r="H25" s="177">
        <f t="shared" si="3"/>
        <v>20036</v>
      </c>
      <c r="I25" s="178">
        <f t="shared" si="3"/>
        <v>1319181.1575000002</v>
      </c>
      <c r="J25" s="177">
        <f t="shared" si="3"/>
        <v>0</v>
      </c>
      <c r="K25" s="178">
        <f t="shared" si="3"/>
        <v>1377.1691500000002</v>
      </c>
      <c r="L25" s="179">
        <f t="shared" si="3"/>
        <v>104354.0619</v>
      </c>
      <c r="M25" s="141">
        <f t="shared" si="3"/>
        <v>1213449.9264500001</v>
      </c>
      <c r="N25" s="142">
        <f>SUM(N16:N24)</f>
        <v>266958.98381900002</v>
      </c>
      <c r="O25" s="143">
        <f>SUM(O16:O24)</f>
        <v>37010.222756725001</v>
      </c>
      <c r="P25" s="144">
        <f>SUM(P16:P24)</f>
        <v>1517419.1330257251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1517419.1330257251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1319181.1575000002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104354.0619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1377.1691500000002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1213449.9264500001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266958.98381900002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1480408.9102690001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37010.222756725001</v>
      </c>
    </row>
    <row r="39" spans="2:16" ht="15.75" customHeight="1" thickBot="1" x14ac:dyDescent="0.4">
      <c r="N39" s="203" t="s">
        <v>92</v>
      </c>
      <c r="O39" s="204"/>
      <c r="P39" s="160">
        <f>P37+P38</f>
        <v>1517419.1330257251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0" workbookViewId="0">
      <selection activeCell="R15" sqref="R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1613</v>
      </c>
      <c r="I16" s="102">
        <f>(G16*D16)*F16+H16*F16</f>
        <v>84622.012499999997</v>
      </c>
      <c r="J16" s="103"/>
      <c r="K16" s="104">
        <f>I16*$K$13</f>
        <v>0</v>
      </c>
      <c r="L16" s="105">
        <f>I16*8%</f>
        <v>6769.7609999999995</v>
      </c>
      <c r="M16" s="106">
        <f>I16-K16-L16</f>
        <v>77852.251499999998</v>
      </c>
      <c r="N16" s="106">
        <f t="shared" ref="N16:N24" si="0">(M16*$N$15)+(J16*F16)*$N$15</f>
        <v>17127.495330000002</v>
      </c>
      <c r="O16" s="107">
        <f t="shared" ref="O16:O24" si="1">(N16+M16)*$O$15</f>
        <v>2374.4936707500001</v>
      </c>
      <c r="P16" s="105">
        <f t="shared" ref="P16:P24" si="2">M16+N16+O16</f>
        <v>97354.240500750006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2442</v>
      </c>
      <c r="I17" s="116">
        <f t="shared" ref="I17:I23" si="3">(G17*D17)*F17+H17*F17</f>
        <v>128113.425</v>
      </c>
      <c r="J17" s="117"/>
      <c r="K17" s="1">
        <f t="shared" ref="K17:K21" si="4">I17*$K$13</f>
        <v>0</v>
      </c>
      <c r="L17" s="105">
        <f t="shared" ref="L17:L21" si="5">I17*8%</f>
        <v>10249.074000000001</v>
      </c>
      <c r="M17" s="118">
        <f t="shared" ref="M17:M23" si="6">I17-K17-L17</f>
        <v>117864.351</v>
      </c>
      <c r="N17" s="118">
        <f t="shared" si="0"/>
        <v>25930.157219999997</v>
      </c>
      <c r="O17" s="119">
        <f t="shared" si="1"/>
        <v>3594.8627054999997</v>
      </c>
      <c r="P17" s="120">
        <f t="shared" si="2"/>
        <v>147389.3709255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1036</v>
      </c>
      <c r="I18" s="116">
        <f t="shared" si="3"/>
        <v>54351.15</v>
      </c>
      <c r="J18" s="117"/>
      <c r="K18" s="1">
        <f t="shared" si="4"/>
        <v>0</v>
      </c>
      <c r="L18" s="105">
        <f t="shared" si="5"/>
        <v>4348.0920000000006</v>
      </c>
      <c r="M18" s="118">
        <f t="shared" si="6"/>
        <v>50003.058000000005</v>
      </c>
      <c r="N18" s="118">
        <f t="shared" si="0"/>
        <v>11000.672760000001</v>
      </c>
      <c r="O18" s="119">
        <f t="shared" si="1"/>
        <v>1525.0932690000002</v>
      </c>
      <c r="P18" s="120">
        <f t="shared" si="2"/>
        <v>62528.824029000003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5269</v>
      </c>
      <c r="I19" s="116">
        <f t="shared" si="3"/>
        <v>382740.16</v>
      </c>
      <c r="J19" s="117"/>
      <c r="K19" s="1">
        <f t="shared" si="4"/>
        <v>0</v>
      </c>
      <c r="L19" s="105">
        <f t="shared" si="5"/>
        <v>30619.212799999998</v>
      </c>
      <c r="M19" s="118">
        <f t="shared" si="6"/>
        <v>352120.9472</v>
      </c>
      <c r="N19" s="118">
        <f t="shared" si="0"/>
        <v>77466.608384000006</v>
      </c>
      <c r="O19" s="119">
        <f t="shared" si="1"/>
        <v>10739.688889600002</v>
      </c>
      <c r="P19" s="120">
        <f t="shared" si="2"/>
        <v>440327.2444736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3838</v>
      </c>
      <c r="I20" s="116">
        <f t="shared" si="3"/>
        <v>278792.32000000001</v>
      </c>
      <c r="J20" s="117"/>
      <c r="K20" s="1">
        <f t="shared" si="4"/>
        <v>0</v>
      </c>
      <c r="L20" s="105">
        <f t="shared" si="5"/>
        <v>22303.385600000001</v>
      </c>
      <c r="M20" s="118">
        <f t="shared" si="6"/>
        <v>256488.9344</v>
      </c>
      <c r="N20" s="118">
        <f t="shared" si="0"/>
        <v>56427.565567999998</v>
      </c>
      <c r="O20" s="119">
        <f t="shared" si="1"/>
        <v>7822.9124991999997</v>
      </c>
      <c r="P20" s="120">
        <f t="shared" si="2"/>
        <v>320739.41246719996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4835</v>
      </c>
      <c r="I21" s="116">
        <f t="shared" si="3"/>
        <v>351214.4</v>
      </c>
      <c r="J21" s="117"/>
      <c r="K21" s="1">
        <f t="shared" si="4"/>
        <v>0</v>
      </c>
      <c r="L21" s="105">
        <f t="shared" si="5"/>
        <v>28097.152000000002</v>
      </c>
      <c r="M21" s="118">
        <f t="shared" si="6"/>
        <v>323117.24800000002</v>
      </c>
      <c r="N21" s="118">
        <f t="shared" si="0"/>
        <v>71085.794560000009</v>
      </c>
      <c r="O21" s="119">
        <f t="shared" si="1"/>
        <v>9855.0760640000008</v>
      </c>
      <c r="P21" s="120">
        <f t="shared" si="2"/>
        <v>404058.11862400005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1003</v>
      </c>
      <c r="I22" s="116">
        <f t="shared" si="3"/>
        <v>39347.69</v>
      </c>
      <c r="J22" s="117"/>
      <c r="K22" s="1">
        <f>I22*3.5%</f>
        <v>1377.1691500000002</v>
      </c>
      <c r="L22" s="120">
        <f>I22*5%</f>
        <v>1967.3845000000001</v>
      </c>
      <c r="M22" s="118">
        <f t="shared" si="6"/>
        <v>36003.136350000001</v>
      </c>
      <c r="N22" s="118">
        <f t="shared" si="0"/>
        <v>7920.6899970000004</v>
      </c>
      <c r="O22" s="119">
        <f t="shared" si="1"/>
        <v>1098.0956586750001</v>
      </c>
      <c r="P22" s="120">
        <f t="shared" si="2"/>
        <v>45021.922005675005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20036</v>
      </c>
      <c r="I25" s="137">
        <f t="shared" si="9"/>
        <v>1319181.1575000002</v>
      </c>
      <c r="J25" s="138"/>
      <c r="K25" s="139">
        <f t="shared" si="9"/>
        <v>1377.1691500000002</v>
      </c>
      <c r="L25" s="140">
        <f t="shared" si="9"/>
        <v>104354.0619</v>
      </c>
      <c r="M25" s="141">
        <f t="shared" si="9"/>
        <v>1213449.9264500001</v>
      </c>
      <c r="N25" s="142">
        <f>SUM(N16:N24)</f>
        <v>266958.98381900002</v>
      </c>
      <c r="O25" s="143">
        <f>SUM(O16:O24)</f>
        <v>37010.222756725001</v>
      </c>
      <c r="P25" s="144">
        <f>SUM(P16:P24)</f>
        <v>1517419.1330257251</v>
      </c>
    </row>
    <row r="26" spans="1:19 16384:16384" x14ac:dyDescent="0.35">
      <c r="A26" s="145"/>
      <c r="B26" s="145"/>
      <c r="C26" s="145"/>
      <c r="D26" s="145"/>
      <c r="E26" s="145"/>
      <c r="F26" s="145"/>
      <c r="G26" s="146">
        <f>H25/40</f>
        <v>500.9</v>
      </c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1319181.1575000002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104354.0619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1377.1691500000002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1213449.9264500001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266958.98381900002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1480408.9102690001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37010.222756725001</v>
      </c>
    </row>
    <row r="35" spans="2:16" ht="15.75" customHeight="1" thickBot="1" x14ac:dyDescent="0.4">
      <c r="N35" s="203" t="s">
        <v>92</v>
      </c>
      <c r="O35" s="204"/>
      <c r="P35" s="160">
        <f>P33+P34</f>
        <v>1517419.1330257251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2026-06-12T07:53:17Z</dcterms:modified>
</cp:coreProperties>
</file>