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2FA0569E-3B55-4E55-A4CC-CE2E6DEE21C7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I23" i="32" s="1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I20" i="31"/>
  <c r="I21" i="31"/>
  <c r="I22" i="31"/>
  <c r="I23" i="31"/>
  <c r="I24" i="31"/>
  <c r="I22" i="33"/>
  <c r="I16" i="35"/>
  <c r="I17" i="35"/>
  <c r="I18" i="35"/>
  <c r="I19" i="35"/>
  <c r="I20" i="35"/>
  <c r="I21" i="35"/>
  <c r="I16" i="33"/>
  <c r="L16" i="33" s="1"/>
  <c r="I17" i="33"/>
  <c r="K17" i="33" s="1"/>
  <c r="I18" i="33"/>
  <c r="K18" i="33" s="1"/>
  <c r="I16" i="30"/>
  <c r="K16" i="30" s="1"/>
  <c r="I17" i="30"/>
  <c r="I18" i="30"/>
  <c r="I19" i="30"/>
  <c r="I20" i="30"/>
  <c r="L20" i="30" s="1"/>
  <c r="I21" i="30"/>
  <c r="I16" i="32"/>
  <c r="I17" i="32"/>
  <c r="I18" i="32"/>
  <c r="K18" i="32" s="1"/>
  <c r="I19" i="32"/>
  <c r="I20" i="32"/>
  <c r="I21" i="32"/>
  <c r="I22" i="32"/>
  <c r="K22" i="32" s="1"/>
  <c r="I21" i="33"/>
  <c r="I16" i="34"/>
  <c r="I17" i="34"/>
  <c r="I18" i="34"/>
  <c r="K18" i="34" s="1"/>
  <c r="I19" i="34"/>
  <c r="I20" i="34"/>
  <c r="I21" i="34"/>
  <c r="I22" i="34"/>
  <c r="K22" i="34" s="1"/>
  <c r="I23" i="34"/>
  <c r="I24" i="34"/>
  <c r="I17" i="29"/>
  <c r="I19" i="29"/>
  <c r="K19" i="29" s="1"/>
  <c r="I22" i="29"/>
  <c r="I24" i="32"/>
  <c r="K24" i="32" s="1"/>
  <c r="I19" i="33"/>
  <c r="I23" i="33"/>
  <c r="K23" i="33" s="1"/>
  <c r="I16" i="29"/>
  <c r="I18" i="29"/>
  <c r="I20" i="29"/>
  <c r="I21" i="29"/>
  <c r="K21" i="29" s="1"/>
  <c r="I23" i="29"/>
  <c r="I24" i="29"/>
  <c r="K24" i="29" s="1"/>
  <c r="I22" i="30"/>
  <c r="I23" i="30"/>
  <c r="L23" i="30" s="1"/>
  <c r="I24" i="30"/>
  <c r="I20" i="33"/>
  <c r="K20" i="33" s="1"/>
  <c r="I24" i="33"/>
  <c r="I22" i="35"/>
  <c r="K22" i="35" s="1"/>
  <c r="I23" i="35"/>
  <c r="L23" i="35" s="1"/>
  <c r="M23" i="35" s="1"/>
  <c r="I24" i="35"/>
  <c r="L24" i="35" s="1"/>
  <c r="L17" i="33"/>
  <c r="L18" i="33"/>
  <c r="M18" i="33" s="1"/>
  <c r="K16" i="35"/>
  <c r="L16" i="35"/>
  <c r="K17" i="35"/>
  <c r="M17" i="35"/>
  <c r="L17" i="35"/>
  <c r="K18" i="35"/>
  <c r="L18" i="35"/>
  <c r="K19" i="35"/>
  <c r="L19" i="35"/>
  <c r="K20" i="35"/>
  <c r="L20" i="35"/>
  <c r="K21" i="35"/>
  <c r="M21" i="35" s="1"/>
  <c r="L21" i="35"/>
  <c r="K23" i="35"/>
  <c r="I25" i="34"/>
  <c r="P28" i="34" s="1"/>
  <c r="K16" i="34"/>
  <c r="L16" i="34"/>
  <c r="K17" i="34"/>
  <c r="L17" i="34"/>
  <c r="K19" i="34"/>
  <c r="L19" i="34"/>
  <c r="K20" i="34"/>
  <c r="L20" i="34"/>
  <c r="K21" i="34"/>
  <c r="L21" i="34"/>
  <c r="K23" i="34"/>
  <c r="L23" i="34"/>
  <c r="M23" i="34" s="1"/>
  <c r="K24" i="34"/>
  <c r="L24" i="34"/>
  <c r="K21" i="33"/>
  <c r="L21" i="33"/>
  <c r="K22" i="33"/>
  <c r="L22" i="33"/>
  <c r="K19" i="33"/>
  <c r="L19" i="33"/>
  <c r="K24" i="33"/>
  <c r="L24" i="33"/>
  <c r="M17" i="33"/>
  <c r="K16" i="33"/>
  <c r="I25" i="32"/>
  <c r="P28" i="32" s="1"/>
  <c r="K16" i="32"/>
  <c r="L16" i="32"/>
  <c r="K17" i="32"/>
  <c r="L17" i="32"/>
  <c r="K19" i="32"/>
  <c r="L19" i="32"/>
  <c r="K20" i="32"/>
  <c r="L20" i="32"/>
  <c r="K21" i="32"/>
  <c r="L21" i="32"/>
  <c r="K23" i="32"/>
  <c r="L23" i="32"/>
  <c r="L22" i="32"/>
  <c r="K17" i="31"/>
  <c r="L17" i="31"/>
  <c r="M17" i="31" s="1"/>
  <c r="K19" i="31"/>
  <c r="L19" i="31"/>
  <c r="K21" i="31"/>
  <c r="L21" i="31"/>
  <c r="K22" i="31"/>
  <c r="L22" i="31"/>
  <c r="K24" i="31"/>
  <c r="L24" i="31"/>
  <c r="M24" i="31" s="1"/>
  <c r="I25" i="31"/>
  <c r="P28" i="31" s="1"/>
  <c r="K16" i="31"/>
  <c r="L16" i="31"/>
  <c r="K18" i="31"/>
  <c r="L18" i="31"/>
  <c r="K20" i="31"/>
  <c r="L20" i="31"/>
  <c r="K23" i="31"/>
  <c r="L23" i="31"/>
  <c r="K18" i="30"/>
  <c r="L18" i="30"/>
  <c r="K20" i="30"/>
  <c r="K21" i="30"/>
  <c r="L21" i="30"/>
  <c r="K23" i="30"/>
  <c r="I25" i="30"/>
  <c r="P28" i="30" s="1"/>
  <c r="L16" i="30"/>
  <c r="K17" i="30"/>
  <c r="L17" i="30"/>
  <c r="K19" i="30"/>
  <c r="L19" i="30"/>
  <c r="K22" i="30"/>
  <c r="L22" i="30"/>
  <c r="K24" i="30"/>
  <c r="L24" i="30"/>
  <c r="K16" i="29"/>
  <c r="L16" i="29"/>
  <c r="L19" i="29"/>
  <c r="L21" i="29"/>
  <c r="K17" i="29"/>
  <c r="L17" i="29"/>
  <c r="K20" i="29"/>
  <c r="L20" i="29"/>
  <c r="K22" i="29"/>
  <c r="L22" i="29"/>
  <c r="K23" i="29"/>
  <c r="L23" i="29"/>
  <c r="I25" i="28"/>
  <c r="P28" i="28" s="1"/>
  <c r="K16" i="28"/>
  <c r="L16" i="28"/>
  <c r="K17" i="28"/>
  <c r="L17" i="28"/>
  <c r="K18" i="28"/>
  <c r="L18" i="28"/>
  <c r="K19" i="28"/>
  <c r="L19" i="28"/>
  <c r="K20" i="28"/>
  <c r="L20" i="28"/>
  <c r="K21" i="28"/>
  <c r="L21" i="28"/>
  <c r="K22" i="28"/>
  <c r="L22" i="28"/>
  <c r="K23" i="28"/>
  <c r="L23" i="28"/>
  <c r="K24" i="28"/>
  <c r="L24" i="28"/>
  <c r="T25" i="15"/>
  <c r="T24" i="15"/>
  <c r="J24" i="15"/>
  <c r="J23" i="15"/>
  <c r="J22" i="15"/>
  <c r="J21" i="15"/>
  <c r="J20" i="15"/>
  <c r="J19" i="15"/>
  <c r="J18" i="15"/>
  <c r="J17" i="15"/>
  <c r="J16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M22" i="31" l="1"/>
  <c r="M23" i="28"/>
  <c r="M23" i="32"/>
  <c r="M24" i="28"/>
  <c r="N24" i="28" s="1"/>
  <c r="O24" i="28" s="1"/>
  <c r="P24" i="28" s="1"/>
  <c r="M23" i="29"/>
  <c r="N23" i="29" s="1"/>
  <c r="O23" i="29" s="1"/>
  <c r="M23" i="31"/>
  <c r="M24" i="33"/>
  <c r="L22" i="35"/>
  <c r="M22" i="35" s="1"/>
  <c r="N22" i="35" s="1"/>
  <c r="O22" i="35" s="1"/>
  <c r="M18" i="35"/>
  <c r="N18" i="35" s="1"/>
  <c r="O18" i="35" s="1"/>
  <c r="M23" i="30"/>
  <c r="L18" i="32"/>
  <c r="L23" i="33"/>
  <c r="M23" i="33" s="1"/>
  <c r="N23" i="33" s="1"/>
  <c r="O23" i="33" s="1"/>
  <c r="L22" i="34"/>
  <c r="M22" i="34" s="1"/>
  <c r="N22" i="34" s="1"/>
  <c r="O22" i="34" s="1"/>
  <c r="L18" i="34"/>
  <c r="I25" i="29"/>
  <c r="P28" i="29" s="1"/>
  <c r="M17" i="28"/>
  <c r="N17" i="28" s="1"/>
  <c r="O17" i="28" s="1"/>
  <c r="M22" i="29"/>
  <c r="N22" i="29" s="1"/>
  <c r="O22" i="29" s="1"/>
  <c r="M24" i="30"/>
  <c r="M21" i="30"/>
  <c r="M22" i="33"/>
  <c r="N22" i="33" s="1"/>
  <c r="O22" i="33" s="1"/>
  <c r="I25" i="35"/>
  <c r="P28" i="35" s="1"/>
  <c r="I22" i="27"/>
  <c r="I23" i="27"/>
  <c r="I24" i="27"/>
  <c r="K24" i="27" s="1"/>
  <c r="M18" i="28"/>
  <c r="L18" i="29"/>
  <c r="M20" i="29"/>
  <c r="N20" i="29" s="1"/>
  <c r="O20" i="29" s="1"/>
  <c r="L24" i="29"/>
  <c r="M24" i="29" s="1"/>
  <c r="N24" i="29" s="1"/>
  <c r="O24" i="29" s="1"/>
  <c r="P24" i="29" s="1"/>
  <c r="M19" i="32"/>
  <c r="M17" i="32"/>
  <c r="L24" i="32"/>
  <c r="M24" i="32" s="1"/>
  <c r="N24" i="32" s="1"/>
  <c r="O24" i="32" s="1"/>
  <c r="P24" i="32" s="1"/>
  <c r="L20" i="33"/>
  <c r="M16" i="34"/>
  <c r="N16" i="34" s="1"/>
  <c r="I25" i="33"/>
  <c r="P28" i="33" s="1"/>
  <c r="K24" i="35"/>
  <c r="M24" i="35" s="1"/>
  <c r="K18" i="29"/>
  <c r="M18" i="29" s="1"/>
  <c r="N18" i="29" s="1"/>
  <c r="O18" i="29" s="1"/>
  <c r="M24" i="34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M20" i="34"/>
  <c r="N20" i="34" s="1"/>
  <c r="O20" i="34" s="1"/>
  <c r="M19" i="33"/>
  <c r="M19" i="34"/>
  <c r="M19" i="28"/>
  <c r="M16" i="29"/>
  <c r="N16" i="29" s="1"/>
  <c r="M17" i="30"/>
  <c r="N17" i="30" s="1"/>
  <c r="O17" i="30" s="1"/>
  <c r="M16" i="32"/>
  <c r="N16" i="32" s="1"/>
  <c r="M17" i="29"/>
  <c r="N17" i="29" s="1"/>
  <c r="O17" i="29" s="1"/>
  <c r="P17" i="29" s="1"/>
  <c r="M17" i="34"/>
  <c r="N17" i="34" s="1"/>
  <c r="O17" i="34" s="1"/>
  <c r="M18" i="32"/>
  <c r="M19" i="35"/>
  <c r="M19" i="31"/>
  <c r="M20" i="31"/>
  <c r="N20" i="31" s="1"/>
  <c r="O20" i="31" s="1"/>
  <c r="M20" i="33"/>
  <c r="M20" i="35"/>
  <c r="N20" i="35" s="1"/>
  <c r="O20" i="35" s="1"/>
  <c r="P20" i="35" s="1"/>
  <c r="M21" i="29"/>
  <c r="M21" i="34"/>
  <c r="N21" i="34" s="1"/>
  <c r="O21" i="34" s="1"/>
  <c r="M21" i="32"/>
  <c r="M21" i="31"/>
  <c r="N21" i="31" s="1"/>
  <c r="O21" i="31" s="1"/>
  <c r="M21" i="28"/>
  <c r="N21" i="28" s="1"/>
  <c r="O21" i="28" s="1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21" i="35"/>
  <c r="O21" i="35" s="1"/>
  <c r="N17" i="35"/>
  <c r="O17" i="35" s="1"/>
  <c r="N23" i="35"/>
  <c r="O23" i="35" s="1"/>
  <c r="N19" i="35"/>
  <c r="O19" i="35" s="1"/>
  <c r="M16" i="35"/>
  <c r="N24" i="34"/>
  <c r="O24" i="34" s="1"/>
  <c r="P24" i="34"/>
  <c r="K25" i="34"/>
  <c r="P30" i="34" s="1"/>
  <c r="N23" i="34"/>
  <c r="O23" i="34" s="1"/>
  <c r="P23" i="34" s="1"/>
  <c r="N19" i="34"/>
  <c r="O19" i="34" s="1"/>
  <c r="N20" i="33"/>
  <c r="O20" i="33" s="1"/>
  <c r="N19" i="33"/>
  <c r="O19" i="33" s="1"/>
  <c r="N24" i="33"/>
  <c r="O24" i="33" s="1"/>
  <c r="N18" i="33"/>
  <c r="O18" i="33" s="1"/>
  <c r="N21" i="33"/>
  <c r="O21" i="33" s="1"/>
  <c r="N17" i="33"/>
  <c r="O17" i="33" s="1"/>
  <c r="M16" i="33"/>
  <c r="N21" i="32"/>
  <c r="O21" i="32" s="1"/>
  <c r="N19" i="32"/>
  <c r="O19" i="32" s="1"/>
  <c r="N17" i="32"/>
  <c r="O17" i="32" s="1"/>
  <c r="N23" i="32"/>
  <c r="O23" i="32" s="1"/>
  <c r="N18" i="32"/>
  <c r="O18" i="32" s="1"/>
  <c r="K25" i="32"/>
  <c r="P30" i="32" s="1"/>
  <c r="N24" i="31"/>
  <c r="O24" i="31" s="1"/>
  <c r="N23" i="31"/>
  <c r="O23" i="31" s="1"/>
  <c r="P23" i="3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K25" i="30"/>
  <c r="P30" i="30" s="1"/>
  <c r="N24" i="30"/>
  <c r="O24" i="30" s="1"/>
  <c r="P24" i="30" s="1"/>
  <c r="N23" i="30"/>
  <c r="O23" i="30" s="1"/>
  <c r="N21" i="29"/>
  <c r="O21" i="29" s="1"/>
  <c r="L25" i="29"/>
  <c r="P29" i="29" s="1"/>
  <c r="K25" i="28"/>
  <c r="P30" i="28" s="1"/>
  <c r="N23" i="28"/>
  <c r="O23" i="28" s="1"/>
  <c r="P23" i="28" s="1"/>
  <c r="N19" i="28"/>
  <c r="O19" i="28" s="1"/>
  <c r="L25" i="28"/>
  <c r="P29" i="28" s="1"/>
  <c r="M16" i="28"/>
  <c r="N18" i="28"/>
  <c r="O18" i="28" s="1"/>
  <c r="P18" i="28" s="1"/>
  <c r="J25" i="15"/>
  <c r="K16" i="27"/>
  <c r="L16" i="27"/>
  <c r="K17" i="27"/>
  <c r="L17" i="27"/>
  <c r="K20" i="27"/>
  <c r="L20" i="27"/>
  <c r="K21" i="27"/>
  <c r="L21" i="27"/>
  <c r="K22" i="27"/>
  <c r="L22" i="27"/>
  <c r="K23" i="27"/>
  <c r="L24" i="27"/>
  <c r="K19" i="27"/>
  <c r="L19" i="27"/>
  <c r="K18" i="27"/>
  <c r="L18" i="27"/>
  <c r="K17" i="26"/>
  <c r="L17" i="26"/>
  <c r="K19" i="26"/>
  <c r="L19" i="26"/>
  <c r="K22" i="26"/>
  <c r="L22" i="26"/>
  <c r="K23" i="26"/>
  <c r="L23" i="26"/>
  <c r="K18" i="26"/>
  <c r="L18" i="26"/>
  <c r="K20" i="26"/>
  <c r="L20" i="26"/>
  <c r="K21" i="26"/>
  <c r="L21" i="26"/>
  <c r="K24" i="26"/>
  <c r="L24" i="26"/>
  <c r="I25" i="26"/>
  <c r="P28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P23" i="32" l="1"/>
  <c r="M24" i="26"/>
  <c r="I25" i="27"/>
  <c r="P28" i="27" s="1"/>
  <c r="K25" i="29"/>
  <c r="P30" i="29" s="1"/>
  <c r="P24" i="31"/>
  <c r="L25" i="34"/>
  <c r="P29" i="34" s="1"/>
  <c r="L25" i="35"/>
  <c r="P29" i="35" s="1"/>
  <c r="L25" i="32"/>
  <c r="P29" i="32" s="1"/>
  <c r="L23" i="27"/>
  <c r="M23" i="27" s="1"/>
  <c r="N23" i="27" s="1"/>
  <c r="O23" i="27" s="1"/>
  <c r="K25" i="35"/>
  <c r="P30" i="35" s="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4" i="27"/>
  <c r="O24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L25" i="27" l="1"/>
  <c r="P29" i="27" s="1"/>
  <c r="P31" i="35"/>
  <c r="P33" i="32"/>
  <c r="I21" i="18"/>
  <c r="L21" i="18" s="1"/>
  <c r="I24" i="18"/>
  <c r="L24" i="18" s="1"/>
  <c r="I20" i="19"/>
  <c r="L20" i="19" s="1"/>
  <c r="I22" i="19"/>
  <c r="K22" i="19" s="1"/>
  <c r="I23" i="19"/>
  <c r="I24" i="19"/>
  <c r="I22" i="18"/>
  <c r="L22" i="18" s="1"/>
  <c r="I19" i="19"/>
  <c r="K19" i="19" s="1"/>
  <c r="I21" i="19"/>
  <c r="I16" i="22"/>
  <c r="I17" i="22"/>
  <c r="I18" i="22"/>
  <c r="K18" i="22" s="1"/>
  <c r="I19" i="22"/>
  <c r="K19" i="22" s="1"/>
  <c r="I20" i="22"/>
  <c r="L20" i="22" s="1"/>
  <c r="I21" i="22"/>
  <c r="K21" i="22" s="1"/>
  <c r="I22" i="22"/>
  <c r="K22" i="22" s="1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L23" i="23" s="1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I25" i="25"/>
  <c r="P28" i="25" s="1"/>
  <c r="K16" i="25"/>
  <c r="L16" i="25"/>
  <c r="K24" i="25"/>
  <c r="L24" i="25"/>
  <c r="L22" i="25"/>
  <c r="L17" i="25"/>
  <c r="K17" i="25"/>
  <c r="L19" i="25"/>
  <c r="K19" i="25"/>
  <c r="L23" i="25"/>
  <c r="K23" i="25"/>
  <c r="K17" i="24"/>
  <c r="K21" i="24"/>
  <c r="L23" i="24"/>
  <c r="K23" i="24"/>
  <c r="K16" i="22"/>
  <c r="L16" i="22"/>
  <c r="K20" i="22"/>
  <c r="L17" i="22"/>
  <c r="K17" i="22"/>
  <c r="L19" i="22"/>
  <c r="L23" i="22"/>
  <c r="K24" i="20"/>
  <c r="L24" i="20"/>
  <c r="K23" i="20"/>
  <c r="K20" i="19"/>
  <c r="K18" i="19"/>
  <c r="K24" i="19"/>
  <c r="L24" i="19"/>
  <c r="L19" i="19"/>
  <c r="L21" i="19"/>
  <c r="K21" i="19"/>
  <c r="L23" i="19"/>
  <c r="K23" i="19"/>
  <c r="K21" i="18"/>
  <c r="K22" i="18"/>
  <c r="M22" i="18" s="1"/>
  <c r="K24" i="18"/>
  <c r="M24" i="18" s="1"/>
  <c r="L18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7" i="23" l="1"/>
  <c r="M17" i="23" s="1"/>
  <c r="N17" i="23" s="1"/>
  <c r="O17" i="23" s="1"/>
  <c r="L21" i="22"/>
  <c r="L24" i="17"/>
  <c r="L22" i="19"/>
  <c r="L22" i="22"/>
  <c r="L18" i="22"/>
  <c r="K23" i="23"/>
  <c r="M23" i="23" s="1"/>
  <c r="N23" i="23" s="1"/>
  <c r="O23" i="23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M16" i="23"/>
  <c r="N16" i="23" s="1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3" i="19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8" i="17"/>
  <c r="N18" i="17" s="1"/>
  <c r="O18" i="17" s="1"/>
  <c r="M24" i="19"/>
  <c r="N24" i="19" s="1"/>
  <c r="O24" i="19" s="1"/>
  <c r="M20" i="22"/>
  <c r="N20" i="22" s="1"/>
  <c r="O20" i="22" s="1"/>
  <c r="M23" i="18"/>
  <c r="N23" i="18" s="1"/>
  <c r="O23" i="18" s="1"/>
  <c r="K25" i="22"/>
  <c r="P30" i="22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L25" i="22"/>
  <c r="P29" i="22" s="1"/>
  <c r="M16" i="22"/>
  <c r="M21" i="21"/>
  <c r="N21" i="21" s="1"/>
  <c r="M17" i="19"/>
  <c r="N17" i="19" s="1"/>
  <c r="O17" i="19" s="1"/>
  <c r="M21" i="19"/>
  <c r="N23" i="19"/>
  <c r="O23" i="19" s="1"/>
  <c r="L25" i="19"/>
  <c r="P29" i="19" s="1"/>
  <c r="N24" i="18"/>
  <c r="O24" i="18" s="1"/>
  <c r="N18" i="18"/>
  <c r="O18" i="18" s="1"/>
  <c r="N22" i="18"/>
  <c r="O22" i="18" s="1"/>
  <c r="M16" i="17"/>
  <c r="I23" i="15"/>
  <c r="L21" i="15" l="1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P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8" i="15" l="1"/>
  <c r="P19" i="18"/>
  <c r="M25" i="18"/>
  <c r="N16" i="18"/>
  <c r="N16" i="15" s="1"/>
  <c r="M18" i="16"/>
  <c r="N18" i="16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7"/>
  <c r="O25" i="17" s="1"/>
  <c r="N25" i="17"/>
  <c r="P32" i="17" s="1"/>
  <c r="O16" i="16"/>
  <c r="O16" i="18" l="1"/>
  <c r="N25" i="18"/>
  <c r="P32" i="18" s="1"/>
  <c r="P33" i="18" s="1"/>
  <c r="P33" i="20"/>
  <c r="P34" i="20" s="1"/>
  <c r="P35" i="20" s="1"/>
  <c r="U18" i="15" s="1"/>
  <c r="N22" i="15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<sst xmlns="http://schemas.openxmlformats.org/spreadsheetml/2006/main" count="1581" uniqueCount="123">
  <si>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</si>
  <si>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</si>
  <si>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</si>
  <si>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</si>
  <si>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</si>
  <si>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</si>
  <si>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</si>
  <si>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</si>
  <si>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</si>
  <si>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</si>
  <si>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</si>
  <si>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</si>
  <si>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</si>
  <si>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</si>
  <si>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</si>
  <si>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</si>
  <si>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</si>
  <si>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</si>
  <si>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</si>
  <si>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</si>
  <si>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</si>
  <si>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</si>
  <si>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</si>
  <si>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</si>
  <si>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</si>
  <si>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</si>
  <si>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</si>
  <si>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</si>
  <si>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</si>
  <si>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</si>
  <si>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</si>
  <si>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</si>
  <si>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</si>
  <si>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</si>
  <si>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</si>
  <si>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</si>
  <si>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</si>
  <si>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</si>
  <si>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</si>
  <si>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</si>
  <si>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</si>
  <si>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</si>
  <si>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</si>
  <si>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</si>
  <si>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</si>
  <si>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</si>
  <si>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</si>
  <si>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</si>
  <si>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</si>
  <si>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</si>
  <si>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</si>
  <si>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</si>
  <si>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</si>
  <si>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</si>
  <si>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</si>
  <si>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</si>
  <si>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</si>
  <si>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</si>
  <si>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</si>
  <si>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</si>
  <si>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</si>
  <si>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</si>
  <si>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</si>
  <si>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</si>
  <si>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</si>
  <si>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</si>
  <si>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</si>
  <si>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</si>
  <si>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</si>
  <si>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</si>
  <si>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</si>
  <si>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</si>
  <si>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</si>
  <si>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</si>
  <si>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</si>
  <si>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</si>
  <si>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</si>
  <si>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</si>
  <si>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</si>
  <si>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</si>
  <si>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</si>
  <si>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</si>
  <si>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</si>
  <si>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</si>
  <si>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</si>
  <si>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</si>
  <si>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</si>
  <si>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</si>
  <si>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</si>
  <si>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</si>
  <si>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</si>
  <si>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</si>
  <si>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</si>
  <si>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</si>
  <si>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</si>
  <si>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</si>
  <si>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</si>
  <si>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</si>
  <si>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</si>
  <si>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</si>
  <si>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</si>
  <si>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</si>
  <si>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</si>
  <si>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</si>
  <si>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 xml:space="preserve">Customer Name : Madina Bakers </t>
  </si>
  <si>
    <t>Address: Dha Phase 5</t>
  </si>
  <si>
    <t>7599495-3</t>
  </si>
  <si>
    <t>Customer Name : Tanveer Store</t>
  </si>
  <si>
    <t>Address: lala Book depot</t>
  </si>
  <si>
    <t xml:space="preserve">Customer Name : Food Rite </t>
  </si>
  <si>
    <t>Address: Dha phase 5</t>
  </si>
  <si>
    <t>Customer Name : Shaheen Bakers</t>
  </si>
  <si>
    <t>Address: Sadar Market</t>
  </si>
  <si>
    <t>Customer Name : Progressive mart</t>
  </si>
  <si>
    <t>Address: Phase 8</t>
  </si>
  <si>
    <t>Customer Name : Rehmat Store</t>
  </si>
  <si>
    <t xml:space="preserve">Address: Phase 8 Eden Park </t>
  </si>
  <si>
    <t xml:space="preserve">Customer Name : Premier Mart </t>
  </si>
  <si>
    <t>Address: Phase 6</t>
  </si>
  <si>
    <t>D470937</t>
  </si>
  <si>
    <t>Shop Bill Summary (Mubeen)</t>
  </si>
  <si>
    <t xml:space="preserve">Mubeen </t>
  </si>
  <si>
    <t>Customer Name : Bravo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</si>
</sst>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19" sqref="J1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18" zoomScale="70" zoomScaleNormal="70" workbookViewId="0">
      <selection activeCell="S31" sqref="S3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121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120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Madina Bakers </v>
      </c>
      <c r="U14" s="164">
        <f>+'1'!P35</f>
        <v>1702.7365662000002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Tanveer Store</v>
      </c>
      <c r="U15" s="164">
        <f>+'2'!P35</f>
        <v>3099.3405109999999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30</v>
      </c>
      <c r="I16" s="1">
        <f>(G16*D16)*F16+H16*F16</f>
        <v>1573.875</v>
      </c>
      <c r="J16" s="172">
        <f>+'1'!J16+'2'!J16+'4'!J16+'3'!J16+'5'!J16+'6'!J16+'7'!J16+'8'!J16+'9'!J16+'10'!J16+'11'!J16+'12'!J16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125.91</v>
      </c>
      <c r="M16" s="106">
        <f>I16-K16-L16</f>
        <v>1447.9649999999999</v>
      </c>
      <c r="N16" s="101">
        <f>+'1'!N16+'2'!N16+'4'!N16+'3'!N16+'5'!N16+'6'!N16+'7'!N16+'8'!N16+'9'!N16+'10'!N16</f>
        <v>318.5523</v>
      </c>
      <c r="O16" s="101">
        <f>+'1'!O16+'2'!O16+'4'!O16+'3'!O16+'5'!O16+'6'!O16+'7'!O16+'8'!O16+'9'!O16+'10'!O16</f>
        <v>26.497759500000001</v>
      </c>
      <c r="P16" s="105">
        <f t="shared" ref="P16:P24" si="0">M16+N16+O16</f>
        <v>1793.0150595</v>
      </c>
      <c r="Q16" s="108"/>
      <c r="T16" s="163" t="str">
        <f>+'4'!A5</f>
        <v>Customer Name : Shaheen Bakers</v>
      </c>
      <c r="U16" s="164">
        <f>+'4'!P35</f>
        <v>3375.5372160000002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64</v>
      </c>
      <c r="I17" s="1">
        <f t="shared" ref="I17:I23" si="1">(G17*D17)*F17+H17*F17</f>
        <v>3357.6</v>
      </c>
      <c r="J17" s="172">
        <f>+'1'!J17+'2'!J17+'4'!J17+'3'!J17+'5'!J17+'6'!J17+'7'!J17+'8'!J17+'9'!J17+'10'!J17+'11'!J17+'12'!J17</f>
        <v>6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268.608</v>
      </c>
      <c r="M17" s="118">
        <f t="shared" ref="M17:M23" si="2">I17-K17-L17</f>
        <v>3088.9919999999997</v>
      </c>
      <c r="N17" s="101">
        <f>+'1'!N17+'2'!N17+'4'!N17+'3'!N17+'5'!N17+'6'!N17+'7'!N17+'8'!N17+'9'!N17+'10'!N17</f>
        <v>748.82873999999993</v>
      </c>
      <c r="O17" s="101">
        <f>+'1'!O17+'2'!O17+'4'!O17+'3'!O17+'5'!O17+'6'!O17+'7'!O17+'8'!O17+'9'!O17+'10'!O17</f>
        <v>55.2119547</v>
      </c>
      <c r="P17" s="120">
        <f t="shared" si="0"/>
        <v>3893.0326946999999</v>
      </c>
      <c r="S17" s="64"/>
      <c r="T17" s="163" t="str">
        <f>+'3'!A5</f>
        <v xml:space="preserve">Customer Name : Food Rite </v>
      </c>
      <c r="U17" s="164">
        <f>+'3'!P35</f>
        <v>5813.4381135000003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50</v>
      </c>
      <c r="I18" s="1">
        <f t="shared" si="1"/>
        <v>2623.125</v>
      </c>
      <c r="J18" s="172">
        <f>+'1'!J18+'2'!J18+'4'!J18+'3'!J18+'5'!J18+'6'!J18+'7'!J18+'8'!J18+'9'!J18+'10'!J18+'11'!J18+'12'!J18</f>
        <v>1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209.84999999999997</v>
      </c>
      <c r="M18" s="118">
        <f t="shared" si="2"/>
        <v>2413.2750000000001</v>
      </c>
      <c r="N18" s="101">
        <f>+'1'!N18+'2'!N18+'4'!N18+'3'!N18+'5'!N18+'6'!N18+'7'!N18+'8'!N18+'9'!N18+'10'!N18</f>
        <v>542.46225000000004</v>
      </c>
      <c r="O18" s="101">
        <f>+'1'!O18+'2'!O18+'4'!O18+'3'!O18+'5'!O18+'6'!O18+'7'!O18+'8'!O18+'9'!O18+'10'!O18</f>
        <v>56.228258249999996</v>
      </c>
      <c r="P18" s="120">
        <f t="shared" si="0"/>
        <v>3011.9655082500003</v>
      </c>
      <c r="T18" s="163" t="str">
        <f>+'5'!A5</f>
        <v>Customer Name : Progressive mart</v>
      </c>
      <c r="U18" s="164">
        <f>+'5'!P35</f>
        <v>5700.0051747000007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106</v>
      </c>
      <c r="I19" s="1">
        <f t="shared" si="1"/>
        <v>7699.84</v>
      </c>
      <c r="J19" s="172">
        <f>+'1'!J19+'2'!J19+'4'!J19+'3'!J19+'5'!J19+'6'!J19+'7'!J19+'8'!J19+'9'!J19+'10'!J19+'11'!J19+'12'!J19</f>
        <v>4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615.98720000000003</v>
      </c>
      <c r="M19" s="118">
        <f t="shared" si="2"/>
        <v>7083.8528000000006</v>
      </c>
      <c r="N19" s="101">
        <f>+'1'!N19+'2'!N19+'4'!N19+'3'!N19+'5'!N19+'6'!N19+'7'!N19+'8'!N19+'9'!N19+'10'!N19</f>
        <v>1622.3708159999996</v>
      </c>
      <c r="O19" s="101">
        <f>+'1'!O19+'2'!O19+'4'!O19+'3'!O19+'5'!O19+'6'!O19+'7'!O19+'8'!O19+'9'!O19+'10'!O19</f>
        <v>87.877547520000007</v>
      </c>
      <c r="P19" s="120">
        <f t="shared" si="0"/>
        <v>8794.1011635199993</v>
      </c>
      <c r="T19" s="163" t="str">
        <f>+'6'!A5</f>
        <v>Customer Name : Bravo Store</v>
      </c>
      <c r="U19" s="164">
        <f>+'6'!P35</f>
        <v>2437.9008974999997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80</v>
      </c>
      <c r="I20" s="1">
        <f t="shared" si="1"/>
        <v>5811.2</v>
      </c>
      <c r="J20" s="172">
        <f>+'1'!J20+'2'!J20+'4'!J20+'3'!J20+'5'!J20+'6'!J20+'7'!J20+'8'!J20+'9'!J20+'10'!J20+'11'!J20+'12'!J20</f>
        <v>7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464.89600000000002</v>
      </c>
      <c r="M20" s="118">
        <f t="shared" si="2"/>
        <v>5346.3040000000001</v>
      </c>
      <c r="N20" s="101">
        <f>+'1'!N20+'2'!N20+'4'!N20+'3'!N20+'5'!N20+'6'!N20+'7'!N20+'8'!N20+'9'!N20+'10'!N20</f>
        <v>1288.0524799999998</v>
      </c>
      <c r="O20" s="101">
        <f>+'1'!O20+'2'!O20+'4'!O20+'3'!O20+'5'!O20+'6'!O20+'7'!O20+'8'!O20+'9'!O20+'10'!O20</f>
        <v>83.049312000000015</v>
      </c>
      <c r="P20" s="120">
        <f t="shared" si="0"/>
        <v>6717.4057920000005</v>
      </c>
      <c r="T20" s="163" t="str">
        <f>+'7'!A5</f>
        <v>Customer Name : Rehmat Store</v>
      </c>
      <c r="U20" s="164">
        <f>+'7'!P35</f>
        <v>9929.0192255999991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102</v>
      </c>
      <c r="I21" s="1">
        <f t="shared" si="1"/>
        <v>7409.28</v>
      </c>
      <c r="J21" s="172">
        <f>+'1'!J21+'2'!J21+'4'!J21+'3'!J21+'5'!J21+'6'!J21+'7'!J21+'8'!J21+'9'!J21+'10'!J21+'11'!J21+'12'!J21</f>
        <v>3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592.74239999999998</v>
      </c>
      <c r="M21" s="118">
        <f t="shared" si="2"/>
        <v>6816.5375999999997</v>
      </c>
      <c r="N21" s="101">
        <f>+'1'!N21+'2'!N21+'4'!N21+'3'!N21+'5'!N21+'6'!N21+'7'!N21+'8'!N21+'9'!N21+'10'!N21</f>
        <v>1547.580672</v>
      </c>
      <c r="O21" s="101">
        <f>+'1'!O21+'2'!O21+'4'!O21+'3'!O21+'5'!O21+'6'!O21+'7'!O21+'8'!O21+'9'!O21+'10'!O21</f>
        <v>118.77947520000001</v>
      </c>
      <c r="P21" s="120">
        <f t="shared" si="0"/>
        <v>8482.8977472000006</v>
      </c>
      <c r="T21" s="163" t="str">
        <f>+'8'!A5</f>
        <v xml:space="preserve">Customer Name : Premier Mart </v>
      </c>
      <c r="U21" s="164">
        <f>+'8'!P35</f>
        <v>3414.4710722699997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64</v>
      </c>
      <c r="I22" s="1">
        <f t="shared" si="1"/>
        <v>2510.7200000000003</v>
      </c>
      <c r="J22" s="172">
        <f>+'1'!J22+'2'!J22+'4'!J22+'3'!J22+'5'!J22+'6'!J22+'7'!J22+'8'!J22+'9'!J22+'10'!J22+'11'!J22+'12'!J22</f>
        <v>0</v>
      </c>
      <c r="K22" s="172">
        <f>+'1'!K22+'2'!K22+'4'!K22+'3'!K22+'5'!K22+'6'!K22+'7'!K22+'8'!K22+'9'!K22+'10'!K22</f>
        <v>87.875200000000021</v>
      </c>
      <c r="L22" s="175">
        <f>+'1'!L22+'2'!L22+'4'!L22+'3'!L22+'5'!L22+'6'!L22+'7'!L22+'8'!L22+'9'!L22+'10'!L22</f>
        <v>125.53600000000003</v>
      </c>
      <c r="M22" s="118">
        <f t="shared" si="2"/>
        <v>2297.3088000000002</v>
      </c>
      <c r="N22" s="101">
        <f>+'1'!N22+'2'!N22+'4'!N22+'3'!N22+'5'!N22+'6'!N22+'7'!N22+'8'!N22+'9'!N22+'10'!N22</f>
        <v>447.97521600000005</v>
      </c>
      <c r="O22" s="101">
        <f>+'1'!O22+'2'!O22+'4'!O22+'3'!O22+'5'!O22+'6'!O22+'7'!O22+'8'!O22+'9'!O22+'10'!O22</f>
        <v>34.746795600000006</v>
      </c>
      <c r="P22" s="120">
        <f t="shared" si="0"/>
        <v>2780.0308116000006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12.4</v>
      </c>
      <c r="D25" s="205"/>
      <c r="E25" s="205"/>
      <c r="F25" s="205"/>
      <c r="G25" s="176">
        <f t="shared" ref="G25:M25" si="3">SUM(G16:G24)</f>
        <v>0</v>
      </c>
      <c r="H25" s="177">
        <f t="shared" si="3"/>
        <v>496</v>
      </c>
      <c r="I25" s="178">
        <f t="shared" si="3"/>
        <v>30985.64</v>
      </c>
      <c r="J25" s="177">
        <f t="shared" si="3"/>
        <v>21</v>
      </c>
      <c r="K25" s="178">
        <f t="shared" si="3"/>
        <v>87.875200000000021</v>
      </c>
      <c r="L25" s="179">
        <f t="shared" si="3"/>
        <v>2403.5295999999998</v>
      </c>
      <c r="M25" s="141">
        <f t="shared" si="3"/>
        <v>28494.235199999999</v>
      </c>
      <c r="N25" s="142">
        <f>SUM(N16:N24)</f>
        <v>6515.8224739999996</v>
      </c>
      <c r="O25" s="143">
        <f>SUM(O16:O24)</f>
        <v>462.39110277000003</v>
      </c>
      <c r="P25" s="144">
        <f>SUM(P16:P24)</f>
        <v>35472.448776770005</v>
      </c>
      <c r="T25" s="163" t="str">
        <f>+'12'!A5</f>
        <v xml:space="preserve">Customer Name : </v>
      </c>
      <c r="U25" s="164">
        <f>+'12'!P35</f>
        <v>0</v>
      </c>
    </row>
    <row r="26" spans="1:21 16384:16384" ht="26" hidden="1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hidden="1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hidden="1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hidden="1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35472.448776769997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2">
        <f>I25</f>
        <v>30985.64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3">
        <f>L25</f>
        <v>2403.5295999999998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4">
        <f>K25</f>
        <v>87.875200000000021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3">
        <f>P32-P33-P34</f>
        <v>28494.235199999999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5" t="s">
        <v>89</v>
      </c>
      <c r="O36" s="156">
        <f>IF(B12="Registered",18%,22%)</f>
        <v>0.22</v>
      </c>
      <c r="P36" s="153">
        <f>N25</f>
        <v>6515.8224739999996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3">
        <f>P35+P36</f>
        <v>35010.057673999996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7"/>
      <c r="N38" s="158" t="s">
        <v>91</v>
      </c>
      <c r="O38" s="159">
        <f>IF(B11="Filer",0.5%,2.5%)</f>
        <v>2.5000000000000001E-2</v>
      </c>
      <c r="P38" s="153">
        <f>O38*P37</f>
        <v>875.25144184999999</v>
      </c>
    </row>
    <row r="39" spans="2:16" ht="15.75" customHeight="1" thickBot="1" x14ac:dyDescent="0.4">
      <c r="N39" s="203" t="s">
        <v>92</v>
      </c>
      <c r="O39" s="204"/>
      <c r="P39" s="160">
        <f>P37+P38</f>
        <v>35885.309115849996</v>
      </c>
    </row>
    <row r="40" spans="2:16" ht="15" thickBot="1" x14ac:dyDescent="0.4">
      <c r="B40" s="161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5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3520132293185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3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6"/>
        <v>1435.8180000000002</v>
      </c>
      <c r="N22" s="118">
        <f t="shared" si="0"/>
        <v>258.44724000000002</v>
      </c>
      <c r="O22" s="119">
        <f t="shared" si="1"/>
        <v>8.4713262000000018</v>
      </c>
      <c r="P22" s="120">
        <f t="shared" si="2"/>
        <v>1702.7365662000002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54.922000000000011</v>
      </c>
      <c r="L25" s="140">
        <f t="shared" si="9"/>
        <v>78.460000000000022</v>
      </c>
      <c r="M25" s="141">
        <f t="shared" si="9"/>
        <v>1435.8180000000002</v>
      </c>
      <c r="N25" s="142">
        <f>SUM(N16:N24)</f>
        <v>258.44724000000002</v>
      </c>
      <c r="O25" s="143">
        <f>SUM(O16:O24)</f>
        <v>8.4713262000000018</v>
      </c>
      <c r="P25" s="144">
        <f>SUM(P16:P24)</f>
        <v>1702.7365662000002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1569.2000000000003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78.460000000000022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54.922000000000011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1435.8180000000002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258.44724000000002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1694.2652400000002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8.4713262000000018</v>
      </c>
    </row>
    <row r="35" spans="2:16" ht="15.75" customHeight="1" thickBot="1" x14ac:dyDescent="0.4">
      <c r="N35" s="203" t="s">
        <v>92</v>
      </c>
      <c r="O35" s="204"/>
      <c r="P35" s="160">
        <f>P33+P34</f>
        <v>1702.7365662000002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107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108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</v>
      </c>
      <c r="I19" s="116">
        <f t="shared" si="2"/>
        <v>871.68000000000006</v>
      </c>
      <c r="J19" s="117">
        <v>1</v>
      </c>
      <c r="K19" s="1">
        <f t="shared" si="3"/>
        <v>0</v>
      </c>
      <c r="L19" s="105">
        <f t="shared" si="4"/>
        <v>69.734400000000008</v>
      </c>
      <c r="M19" s="118">
        <f t="shared" si="5"/>
        <v>801.94560000000001</v>
      </c>
      <c r="N19" s="118">
        <f t="shared" si="0"/>
        <v>192.40883199999999</v>
      </c>
      <c r="O19" s="119">
        <f t="shared" si="6"/>
        <v>24.858860800000002</v>
      </c>
      <c r="P19" s="120">
        <f t="shared" si="1"/>
        <v>1019.2132928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2"/>
        <v>871.68000000000006</v>
      </c>
      <c r="J21" s="117"/>
      <c r="K21" s="1">
        <f t="shared" si="3"/>
        <v>0</v>
      </c>
      <c r="L21" s="105">
        <f t="shared" si="4"/>
        <v>69.734400000000008</v>
      </c>
      <c r="M21" s="118">
        <f t="shared" si="5"/>
        <v>801.94560000000001</v>
      </c>
      <c r="N21" s="118">
        <f t="shared" si="0"/>
        <v>176.428032</v>
      </c>
      <c r="O21" s="119">
        <f t="shared" si="6"/>
        <v>24.459340800000003</v>
      </c>
      <c r="P21" s="120">
        <f t="shared" si="1"/>
        <v>1002.8329728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24</v>
      </c>
      <c r="I22" s="116">
        <f t="shared" si="2"/>
        <v>941.5200000000001</v>
      </c>
      <c r="J22" s="117"/>
      <c r="K22" s="1">
        <f>I22*3.5%</f>
        <v>32.95320000000001</v>
      </c>
      <c r="L22" s="120">
        <f>I22*5%</f>
        <v>47.076000000000008</v>
      </c>
      <c r="M22" s="118">
        <f t="shared" si="5"/>
        <v>861.49080000000004</v>
      </c>
      <c r="N22" s="118">
        <f t="shared" si="0"/>
        <v>189.527976</v>
      </c>
      <c r="O22" s="119">
        <f t="shared" si="6"/>
        <v>26.275469400000006</v>
      </c>
      <c r="P22" s="120">
        <f t="shared" si="1"/>
        <v>1077.2942454000001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48</v>
      </c>
      <c r="I25" s="137">
        <f t="shared" si="9"/>
        <v>2684.88</v>
      </c>
      <c r="J25" s="138"/>
      <c r="K25" s="139">
        <f t="shared" si="9"/>
        <v>32.95320000000001</v>
      </c>
      <c r="L25" s="140">
        <f t="shared" si="9"/>
        <v>186.54480000000001</v>
      </c>
      <c r="M25" s="141">
        <f t="shared" si="9"/>
        <v>2465.3820000000001</v>
      </c>
      <c r="N25" s="142">
        <f>SUM(N16:N24)</f>
        <v>558.36483999999996</v>
      </c>
      <c r="O25" s="143">
        <f>SUM(O16:O24)</f>
        <v>75.593671000000015</v>
      </c>
      <c r="P25" s="144">
        <f>SUM(P16:P24)</f>
        <v>3099.3405110000003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2684.88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186.54480000000001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32.95320000000001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2465.3820000000001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558.36483999999996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3023.7468399999998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75.593671000000001</v>
      </c>
    </row>
    <row r="35" spans="2:16" ht="15.75" customHeight="1" thickBot="1" x14ac:dyDescent="0.4">
      <c r="N35" s="203" t="s">
        <v>92</v>
      </c>
      <c r="O35" s="204"/>
      <c r="P35" s="160">
        <f>P33+P34</f>
        <v>3099.3405109999999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109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110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>
        <v>1</v>
      </c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223.90995000000001</v>
      </c>
      <c r="O17" s="119">
        <f t="shared" ref="O17:O24" si="6">(N17+M17)*$O$15</f>
        <v>29.730498749999999</v>
      </c>
      <c r="P17" s="120">
        <f t="shared" si="1"/>
        <v>1218.9504487499999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20</v>
      </c>
      <c r="I18" s="116">
        <f t="shared" si="2"/>
        <v>1049.25</v>
      </c>
      <c r="J18" s="117">
        <v>1</v>
      </c>
      <c r="K18" s="1">
        <f t="shared" si="3"/>
        <v>0</v>
      </c>
      <c r="L18" s="105">
        <f t="shared" si="4"/>
        <v>83.94</v>
      </c>
      <c r="M18" s="118">
        <f t="shared" si="5"/>
        <v>965.31</v>
      </c>
      <c r="N18" s="118">
        <f t="shared" si="0"/>
        <v>223.90995000000001</v>
      </c>
      <c r="O18" s="119">
        <f t="shared" si="6"/>
        <v>29.730498749999999</v>
      </c>
      <c r="P18" s="120">
        <f t="shared" si="1"/>
        <v>1218.9504487499999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>
        <v>1</v>
      </c>
      <c r="K20" s="1">
        <f t="shared" si="3"/>
        <v>0</v>
      </c>
      <c r="L20" s="105">
        <f t="shared" si="4"/>
        <v>116.224</v>
      </c>
      <c r="M20" s="118">
        <f t="shared" si="5"/>
        <v>1336.576</v>
      </c>
      <c r="N20" s="118">
        <f t="shared" si="0"/>
        <v>310.02751999999998</v>
      </c>
      <c r="O20" s="119">
        <f t="shared" si="6"/>
        <v>41.165088000000004</v>
      </c>
      <c r="P20" s="120">
        <f t="shared" si="1"/>
        <v>1687.7686080000001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>
        <v>1</v>
      </c>
      <c r="K21" s="1">
        <f t="shared" si="3"/>
        <v>0</v>
      </c>
      <c r="L21" s="105">
        <f t="shared" si="4"/>
        <v>116.224</v>
      </c>
      <c r="M21" s="118">
        <f t="shared" si="5"/>
        <v>1336.576</v>
      </c>
      <c r="N21" s="118">
        <f t="shared" si="0"/>
        <v>310.02751999999998</v>
      </c>
      <c r="O21" s="119">
        <f t="shared" si="6"/>
        <v>41.165088000000004</v>
      </c>
      <c r="P21" s="120">
        <f t="shared" si="1"/>
        <v>1687.7686080000001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80</v>
      </c>
      <c r="I25" s="137">
        <f t="shared" si="9"/>
        <v>5004.1000000000004</v>
      </c>
      <c r="J25" s="138"/>
      <c r="K25" s="139">
        <f t="shared" si="9"/>
        <v>0</v>
      </c>
      <c r="L25" s="140">
        <f t="shared" si="9"/>
        <v>400.32799999999997</v>
      </c>
      <c r="M25" s="141">
        <f t="shared" si="9"/>
        <v>4603.7719999999999</v>
      </c>
      <c r="N25" s="142">
        <f>SUM(N16:N24)</f>
        <v>1067.8749400000002</v>
      </c>
      <c r="O25" s="143">
        <f>SUM(O16:O24)</f>
        <v>141.79117350000001</v>
      </c>
      <c r="P25" s="144">
        <f>SUM(P16:P24)</f>
        <v>5813.4381135000003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5004.1000000000004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400.32799999999997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4603.7720000000008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1067.8749400000002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5671.6469400000005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141.79117350000001</v>
      </c>
    </row>
    <row r="35" spans="2:16" ht="15.75" customHeight="1" thickBot="1" x14ac:dyDescent="0.4">
      <c r="N35" s="203" t="s">
        <v>92</v>
      </c>
      <c r="O35" s="204"/>
      <c r="P35" s="160">
        <f>P33+P34</f>
        <v>5813.4381135000003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5" workbookViewId="0">
      <selection activeCell="H12" sqref="H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111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112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">
        <f t="shared" si="3"/>
        <v>0</v>
      </c>
      <c r="L19" s="105">
        <f t="shared" si="4"/>
        <v>87.167999999999992</v>
      </c>
      <c r="M19" s="118">
        <f t="shared" si="5"/>
        <v>1002.4319999999999</v>
      </c>
      <c r="N19" s="118">
        <f t="shared" si="0"/>
        <v>220.53503999999998</v>
      </c>
      <c r="O19" s="119">
        <f t="shared" si="6"/>
        <v>30.574176000000001</v>
      </c>
      <c r="P19" s="120">
        <f t="shared" si="1"/>
        <v>1253.5412160000001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>
        <v>2</v>
      </c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178.98496</v>
      </c>
      <c r="O20" s="119">
        <f t="shared" si="6"/>
        <v>21.181824000000002</v>
      </c>
      <c r="P20" s="120">
        <f t="shared" si="1"/>
        <v>868.45478400000002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220.53503999999998</v>
      </c>
      <c r="O21" s="119">
        <f t="shared" si="6"/>
        <v>30.574176000000001</v>
      </c>
      <c r="P21" s="120">
        <f t="shared" si="1"/>
        <v>1253.5412160000001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232.44799999999998</v>
      </c>
      <c r="M25" s="141">
        <f t="shared" si="9"/>
        <v>2673.1519999999996</v>
      </c>
      <c r="N25" s="142">
        <f>SUM(N16:N24)</f>
        <v>620.05503999999996</v>
      </c>
      <c r="O25" s="143">
        <f>SUM(O16:O24)</f>
        <v>82.330175999999994</v>
      </c>
      <c r="P25" s="144">
        <f>SUM(P16:P24)</f>
        <v>3375.5372160000002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2905.6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232.44799999999998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2673.152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3293.2070400000002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82.330176000000009</v>
      </c>
    </row>
    <row r="35" spans="2:16" ht="15.75" customHeight="1" thickBot="1" x14ac:dyDescent="0.4">
      <c r="N35" s="203" t="s">
        <v>92</v>
      </c>
      <c r="O35" s="204"/>
      <c r="P35" s="160">
        <f>P33+P34</f>
        <v>3375.5372160000002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114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6284286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15</v>
      </c>
      <c r="I16" s="102">
        <f>(G16*D16)*F16+H16*F16</f>
        <v>786.9375</v>
      </c>
      <c r="J16" s="103"/>
      <c r="K16" s="104">
        <f>I16*$K$13</f>
        <v>0</v>
      </c>
      <c r="L16" s="105">
        <f>I16*8%</f>
        <v>62.954999999999998</v>
      </c>
      <c r="M16" s="106">
        <f>I16-K16-L16</f>
        <v>723.98249999999996</v>
      </c>
      <c r="N16" s="106">
        <f t="shared" ref="N16:N24" si="0">(M16*$N$15)+(J16*F16)*$N$15</f>
        <v>159.27615</v>
      </c>
      <c r="O16" s="107">
        <f>(N16+M16)*$O$15</f>
        <v>4.4162932499999998</v>
      </c>
      <c r="P16" s="105">
        <f t="shared" ref="P16:P24" si="1">M16+N16+O16</f>
        <v>887.67494324999996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>
        <v>2</v>
      </c>
      <c r="K17" s="1">
        <f t="shared" ref="K17:K21" si="3">I17*$K$13</f>
        <v>0</v>
      </c>
      <c r="L17" s="105">
        <f t="shared" ref="L17:L21" si="4">I17*8%</f>
        <v>41.97</v>
      </c>
      <c r="M17" s="118">
        <f t="shared" ref="M17:M23" si="5">I17-K17-L17</f>
        <v>482.65499999999997</v>
      </c>
      <c r="N17" s="118">
        <f t="shared" si="0"/>
        <v>129.26760000000002</v>
      </c>
      <c r="O17" s="119">
        <f t="shared" ref="O17:O24" si="6">(N17+M17)*$O$15</f>
        <v>3.0596130000000001</v>
      </c>
      <c r="P17" s="120">
        <f t="shared" si="1"/>
        <v>614.982213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15</v>
      </c>
      <c r="I18" s="116">
        <f t="shared" si="2"/>
        <v>786.9375</v>
      </c>
      <c r="J18" s="117"/>
      <c r="K18" s="1">
        <f t="shared" si="3"/>
        <v>0</v>
      </c>
      <c r="L18" s="105">
        <f t="shared" si="4"/>
        <v>62.954999999999998</v>
      </c>
      <c r="M18" s="118">
        <f t="shared" si="5"/>
        <v>723.98249999999996</v>
      </c>
      <c r="N18" s="118">
        <f t="shared" si="0"/>
        <v>159.27615</v>
      </c>
      <c r="O18" s="119">
        <f t="shared" si="6"/>
        <v>4.4162932499999998</v>
      </c>
      <c r="P18" s="120">
        <f t="shared" si="1"/>
        <v>887.67494324999996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">
        <f t="shared" si="3"/>
        <v>0</v>
      </c>
      <c r="L19" s="105">
        <f t="shared" si="4"/>
        <v>87.167999999999992</v>
      </c>
      <c r="M19" s="118">
        <f t="shared" si="5"/>
        <v>1002.4319999999999</v>
      </c>
      <c r="N19" s="118">
        <f t="shared" si="0"/>
        <v>220.53503999999998</v>
      </c>
      <c r="O19" s="119">
        <f t="shared" si="6"/>
        <v>6.1148351999999999</v>
      </c>
      <c r="P19" s="120">
        <f t="shared" si="1"/>
        <v>1229.0818752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>
        <v>2</v>
      </c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178.98496</v>
      </c>
      <c r="O20" s="119">
        <f t="shared" si="6"/>
        <v>4.2363648000000005</v>
      </c>
      <c r="P20" s="120">
        <f t="shared" si="1"/>
        <v>851.50932480000006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220.53503999999998</v>
      </c>
      <c r="O21" s="119">
        <f t="shared" si="6"/>
        <v>6.1148351999999999</v>
      </c>
      <c r="P21" s="120">
        <f t="shared" si="1"/>
        <v>1229.0818752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80</v>
      </c>
      <c r="I25" s="137">
        <f t="shared" si="9"/>
        <v>5004.1000000000004</v>
      </c>
      <c r="J25" s="138"/>
      <c r="K25" s="139">
        <f t="shared" si="9"/>
        <v>0</v>
      </c>
      <c r="L25" s="140">
        <f t="shared" si="9"/>
        <v>400.32800000000003</v>
      </c>
      <c r="M25" s="141">
        <f t="shared" si="9"/>
        <v>4603.7719999999999</v>
      </c>
      <c r="N25" s="142">
        <f>SUM(N16:N24)</f>
        <v>1067.8749400000002</v>
      </c>
      <c r="O25" s="143">
        <f>SUM(O16:O24)</f>
        <v>28.358234699999997</v>
      </c>
      <c r="P25" s="144">
        <f>SUM(P16:P24)</f>
        <v>5700.0051746999998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5004.1000000000004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400.32800000000003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4603.7719999999999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1067.8749400000002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5671.6469400000005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28.358234700000004</v>
      </c>
    </row>
    <row r="35" spans="2:16" ht="15.75" customHeight="1" thickBot="1" x14ac:dyDescent="0.4">
      <c r="N35" s="203" t="s">
        <v>92</v>
      </c>
      <c r="O35" s="204"/>
      <c r="P35" s="160">
        <f>P33+P34</f>
        <v>5700.0051747000007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9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122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118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15</v>
      </c>
      <c r="I16" s="102">
        <f>(G16*D16)*F16+H16*F16</f>
        <v>786.9375</v>
      </c>
      <c r="J16" s="103"/>
      <c r="K16" s="104">
        <f>I16*$K$13</f>
        <v>0</v>
      </c>
      <c r="L16" s="105">
        <f>I16*8%</f>
        <v>62.954999999999998</v>
      </c>
      <c r="M16" s="106">
        <f>I16-K16-L16</f>
        <v>723.98249999999996</v>
      </c>
      <c r="N16" s="106">
        <f t="shared" ref="N16:N24" si="0">(M16*$N$15)+(J16*F16)*$N$15</f>
        <v>159.27615</v>
      </c>
      <c r="O16" s="107">
        <f>(N16+M16)*$O$15</f>
        <v>22.081466250000002</v>
      </c>
      <c r="P16" s="105">
        <f t="shared" ref="P16:P24" si="1">M16+N16+O16</f>
        <v>905.34011624999994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>
        <v>2</v>
      </c>
      <c r="K17" s="1">
        <f t="shared" ref="K17:K21" si="3">I17*$K$13</f>
        <v>0</v>
      </c>
      <c r="L17" s="105">
        <f t="shared" ref="L17:L21" si="4">I17*8%</f>
        <v>41.97</v>
      </c>
      <c r="M17" s="118">
        <f t="shared" ref="M17:M23" si="5">I17-K17-L17</f>
        <v>482.65499999999997</v>
      </c>
      <c r="N17" s="118">
        <f t="shared" si="0"/>
        <v>129.26760000000002</v>
      </c>
      <c r="O17" s="119">
        <f t="shared" ref="O17:O24" si="6">(N17+M17)*$O$15</f>
        <v>15.298065000000001</v>
      </c>
      <c r="P17" s="120">
        <f t="shared" si="1"/>
        <v>627.22066499999994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15</v>
      </c>
      <c r="I18" s="116">
        <f t="shared" si="2"/>
        <v>786.9375</v>
      </c>
      <c r="J18" s="117"/>
      <c r="K18" s="1">
        <f t="shared" si="3"/>
        <v>0</v>
      </c>
      <c r="L18" s="105">
        <f t="shared" si="4"/>
        <v>62.954999999999998</v>
      </c>
      <c r="M18" s="118">
        <f t="shared" si="5"/>
        <v>723.98249999999996</v>
      </c>
      <c r="N18" s="118">
        <f t="shared" si="0"/>
        <v>159.27615</v>
      </c>
      <c r="O18" s="119">
        <f t="shared" si="6"/>
        <v>22.081466250000002</v>
      </c>
      <c r="P18" s="120">
        <f t="shared" si="1"/>
        <v>905.34011624999994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0</v>
      </c>
      <c r="L25" s="140">
        <f t="shared" si="9"/>
        <v>167.88</v>
      </c>
      <c r="M25" s="141">
        <f t="shared" si="9"/>
        <v>1930.62</v>
      </c>
      <c r="N25" s="142">
        <f>SUM(N16:N24)</f>
        <v>447.81990000000008</v>
      </c>
      <c r="O25" s="143">
        <f>SUM(O16:O24)</f>
        <v>59.460997500000005</v>
      </c>
      <c r="P25" s="144">
        <f>SUM(P16:P24)</f>
        <v>2437.9008974999997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2098.5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167.88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1930.62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447.81990000000008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2378.4398999999999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59.460997499999998</v>
      </c>
    </row>
    <row r="35" spans="2:16" ht="15.75" customHeight="1" thickBot="1" x14ac:dyDescent="0.4">
      <c r="N35" s="203" t="s">
        <v>92</v>
      </c>
      <c r="O35" s="204"/>
      <c r="P35" s="160">
        <f>P33+P34</f>
        <v>2437.9008974999997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116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34601123341403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620.05503999999996</v>
      </c>
      <c r="O19" s="119">
        <f t="shared" si="6"/>
        <v>16.4660352</v>
      </c>
      <c r="P19" s="120">
        <f t="shared" si="1"/>
        <v>3309.6730752000003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620.05503999999996</v>
      </c>
      <c r="O20" s="119">
        <f t="shared" si="6"/>
        <v>16.4660352</v>
      </c>
      <c r="P20" s="120">
        <f t="shared" si="1"/>
        <v>3309.6730752000003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620.05503999999996</v>
      </c>
      <c r="O21" s="119">
        <f t="shared" si="6"/>
        <v>16.4660352</v>
      </c>
      <c r="P21" s="120">
        <f t="shared" si="1"/>
        <v>3309.6730752000003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120</v>
      </c>
      <c r="I25" s="137">
        <f t="shared" si="9"/>
        <v>8716.7999999999993</v>
      </c>
      <c r="J25" s="138"/>
      <c r="K25" s="139">
        <f t="shared" si="9"/>
        <v>0</v>
      </c>
      <c r="L25" s="140">
        <f t="shared" si="9"/>
        <v>697.34400000000005</v>
      </c>
      <c r="M25" s="141">
        <f t="shared" si="9"/>
        <v>8019.4560000000001</v>
      </c>
      <c r="N25" s="142">
        <f>SUM(N16:N24)</f>
        <v>1860.1651199999999</v>
      </c>
      <c r="O25" s="143">
        <f>SUM(O16:O24)</f>
        <v>49.398105600000001</v>
      </c>
      <c r="P25" s="144">
        <f>SUM(P16:P24)</f>
        <v>9929.0192256000009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8716.7999999999993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697.34400000000005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8019.4559999999992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1860.1651199999999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9879.6211199999998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49.398105600000001</v>
      </c>
    </row>
    <row r="35" spans="2:16" ht="15.75" customHeight="1" thickBot="1" x14ac:dyDescent="0.4">
      <c r="N35" s="203" t="s">
        <v>92</v>
      </c>
      <c r="O35" s="204"/>
      <c r="P35" s="160">
        <f>P33+P34</f>
        <v>9929.0192255999991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E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117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118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119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24</v>
      </c>
      <c r="I17" s="116">
        <f t="shared" ref="I17:I23" si="2">(G17*D17)*F17+H17*F17</f>
        <v>1259.0999999999999</v>
      </c>
      <c r="J17" s="117">
        <v>1</v>
      </c>
      <c r="K17" s="1">
        <f t="shared" ref="K17:K21" si="3">I17*$K$13</f>
        <v>0</v>
      </c>
      <c r="L17" s="105">
        <f t="shared" ref="L17:L21" si="4">I17*8%</f>
        <v>100.72799999999999</v>
      </c>
      <c r="M17" s="118">
        <f t="shared" ref="M17:M23" si="5">I17-K17-L17</f>
        <v>1158.3719999999998</v>
      </c>
      <c r="N17" s="118">
        <f t="shared" si="0"/>
        <v>266.38358999999997</v>
      </c>
      <c r="O17" s="119">
        <f t="shared" ref="O17:O24" si="6">(N17+M17)*$O$15</f>
        <v>7.1237779499999991</v>
      </c>
      <c r="P17" s="120">
        <f t="shared" si="1"/>
        <v>1431.8793679499997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24</v>
      </c>
      <c r="I19" s="116">
        <f t="shared" si="2"/>
        <v>1743.3600000000001</v>
      </c>
      <c r="J19" s="117">
        <v>1</v>
      </c>
      <c r="K19" s="1">
        <f t="shared" si="3"/>
        <v>0</v>
      </c>
      <c r="L19" s="105">
        <f t="shared" si="4"/>
        <v>139.46880000000002</v>
      </c>
      <c r="M19" s="118">
        <f t="shared" si="5"/>
        <v>1603.8912</v>
      </c>
      <c r="N19" s="118">
        <f t="shared" si="0"/>
        <v>368.83686399999999</v>
      </c>
      <c r="O19" s="119">
        <f t="shared" si="6"/>
        <v>9.86364032</v>
      </c>
      <c r="P19" s="120">
        <f t="shared" si="1"/>
        <v>1982.59170432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48</v>
      </c>
      <c r="I25" s="137">
        <f t="shared" si="9"/>
        <v>3002.46</v>
      </c>
      <c r="J25" s="138"/>
      <c r="K25" s="139">
        <f t="shared" si="9"/>
        <v>0</v>
      </c>
      <c r="L25" s="140">
        <f t="shared" si="9"/>
        <v>240.1968</v>
      </c>
      <c r="M25" s="141">
        <f t="shared" si="9"/>
        <v>2762.2631999999999</v>
      </c>
      <c r="N25" s="142">
        <f>SUM(N16:N24)</f>
        <v>635.22045400000002</v>
      </c>
      <c r="O25" s="143">
        <f>SUM(O16:O24)</f>
        <v>16.987418269999999</v>
      </c>
      <c r="P25" s="144">
        <f>SUM(P16:P24)</f>
        <v>3414.4710722699997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3002.46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240.1968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2762.2631999999999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635.22045400000002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3397.4836539999997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16.987418269999999</v>
      </c>
    </row>
    <row r="35" spans="2:16" ht="15.75" customHeight="1" thickBot="1" x14ac:dyDescent="0.4">
      <c r="N35" s="203" t="s">
        <v>92</v>
      </c>
      <c r="O35" s="204"/>
      <c r="P35" s="160">
        <f>P33+P34</f>
        <v>3414.4710722699997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C11" sqref="C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2026-06-12T05:04:43Z</dcterms:modified>
</cp:coreProperties>
</file>