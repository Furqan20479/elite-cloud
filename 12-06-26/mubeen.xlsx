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78B0E526-D576-494D-A7A1-A1073A6B1E87}" xr6:coauthVersionLast="47" xr6:coauthVersionMax="47" xr10:uidLastSave="{00000000-0000-0000-0000-000000000000}"/>
  <bookViews>
    <workbookView xWindow="-110" yWindow="-110" windowWidth="19420" windowHeight="10420" tabRatio="949" activeTab="7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9" l="1"/>
  <c r="L18" i="19"/>
  <c r="L19" i="19"/>
  <c r="L20" i="19"/>
  <c r="L21" i="19"/>
  <c r="L16" i="19"/>
  <c r="H17" i="15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23" i="32" l="1"/>
  <c r="K23" i="32" s="1"/>
  <c r="I16" i="31"/>
  <c r="I17" i="31"/>
  <c r="I18" i="31"/>
  <c r="I19" i="31"/>
  <c r="L19" i="31" s="1"/>
  <c r="I20" i="31"/>
  <c r="I21" i="31"/>
  <c r="I22" i="31"/>
  <c r="L22" i="31" s="1"/>
  <c r="I23" i="31"/>
  <c r="K23" i="31" s="1"/>
  <c r="I24" i="31"/>
  <c r="I22" i="33"/>
  <c r="L22" i="33" s="1"/>
  <c r="I16" i="35"/>
  <c r="K16" i="35" s="1"/>
  <c r="I17" i="35"/>
  <c r="L17" i="35" s="1"/>
  <c r="I18" i="35"/>
  <c r="I19" i="35"/>
  <c r="L19" i="35" s="1"/>
  <c r="I20" i="35"/>
  <c r="K20" i="35" s="1"/>
  <c r="I21" i="35"/>
  <c r="L21" i="35" s="1"/>
  <c r="I16" i="33"/>
  <c r="L16" i="33" s="1"/>
  <c r="I17" i="33"/>
  <c r="K17" i="33" s="1"/>
  <c r="I18" i="33"/>
  <c r="K18" i="33" s="1"/>
  <c r="I16" i="30"/>
  <c r="K16" i="30" s="1"/>
  <c r="I17" i="30"/>
  <c r="I18" i="30"/>
  <c r="K18" i="30" s="1"/>
  <c r="I19" i="30"/>
  <c r="I20" i="30"/>
  <c r="L20" i="30" s="1"/>
  <c r="I21" i="30"/>
  <c r="I16" i="32"/>
  <c r="K16" i="32" s="1"/>
  <c r="I17" i="32"/>
  <c r="I18" i="32"/>
  <c r="K18" i="32" s="1"/>
  <c r="I19" i="32"/>
  <c r="I20" i="32"/>
  <c r="I21" i="32"/>
  <c r="K21" i="32" s="1"/>
  <c r="I22" i="32"/>
  <c r="K22" i="32" s="1"/>
  <c r="I21" i="33"/>
  <c r="I16" i="34"/>
  <c r="L16" i="34" s="1"/>
  <c r="I17" i="34"/>
  <c r="K17" i="34" s="1"/>
  <c r="I18" i="34"/>
  <c r="K18" i="34" s="1"/>
  <c r="I19" i="34"/>
  <c r="I20" i="34"/>
  <c r="I21" i="34"/>
  <c r="L21" i="34" s="1"/>
  <c r="I22" i="34"/>
  <c r="K22" i="34" s="1"/>
  <c r="I23" i="34"/>
  <c r="I24" i="34"/>
  <c r="L24" i="34" s="1"/>
  <c r="I17" i="29"/>
  <c r="K17" i="29" s="1"/>
  <c r="I19" i="29"/>
  <c r="K19" i="29" s="1"/>
  <c r="I22" i="29"/>
  <c r="I24" i="32"/>
  <c r="K24" i="32" s="1"/>
  <c r="I19" i="33"/>
  <c r="K19" i="33" s="1"/>
  <c r="I23" i="33"/>
  <c r="K23" i="33" s="1"/>
  <c r="I16" i="29"/>
  <c r="I18" i="29"/>
  <c r="I20" i="29"/>
  <c r="I21" i="29"/>
  <c r="K21" i="29" s="1"/>
  <c r="I23" i="29"/>
  <c r="I24" i="29"/>
  <c r="K24" i="29" s="1"/>
  <c r="I22" i="30"/>
  <c r="K22" i="30" s="1"/>
  <c r="I23" i="30"/>
  <c r="L23" i="30" s="1"/>
  <c r="I24" i="30"/>
  <c r="I20" i="33"/>
  <c r="K20" i="33" s="1"/>
  <c r="I24" i="33"/>
  <c r="L24" i="33" s="1"/>
  <c r="I22" i="35"/>
  <c r="K22" i="35" s="1"/>
  <c r="I23" i="35"/>
  <c r="L23" i="35" s="1"/>
  <c r="I24" i="35"/>
  <c r="L24" i="35" s="1"/>
  <c r="L17" i="33"/>
  <c r="M17" i="33" s="1"/>
  <c r="L18" i="33"/>
  <c r="M18" i="33" s="1"/>
  <c r="K18" i="35"/>
  <c r="L18" i="35"/>
  <c r="K19" i="35"/>
  <c r="L20" i="35"/>
  <c r="K21" i="35"/>
  <c r="K23" i="35"/>
  <c r="K16" i="34"/>
  <c r="L17" i="34"/>
  <c r="K19" i="34"/>
  <c r="L19" i="34"/>
  <c r="K20" i="34"/>
  <c r="L20" i="34"/>
  <c r="K21" i="34"/>
  <c r="K23" i="34"/>
  <c r="L23" i="34"/>
  <c r="M23" i="34" s="1"/>
  <c r="K24" i="34"/>
  <c r="K21" i="33"/>
  <c r="L21" i="33"/>
  <c r="K22" i="33"/>
  <c r="L19" i="33"/>
  <c r="K24" i="33"/>
  <c r="K16" i="33"/>
  <c r="I25" i="32"/>
  <c r="P28" i="32" s="1"/>
  <c r="L16" i="32"/>
  <c r="K17" i="32"/>
  <c r="L17" i="32"/>
  <c r="K19" i="32"/>
  <c r="L19" i="32"/>
  <c r="K20" i="32"/>
  <c r="L20" i="32"/>
  <c r="L23" i="32"/>
  <c r="K17" i="31"/>
  <c r="L17" i="31"/>
  <c r="M17" i="31" s="1"/>
  <c r="K19" i="31"/>
  <c r="K21" i="31"/>
  <c r="L21" i="31"/>
  <c r="K22" i="31"/>
  <c r="K24" i="31"/>
  <c r="L24" i="31"/>
  <c r="M24" i="31" s="1"/>
  <c r="I25" i="31"/>
  <c r="P28" i="31" s="1"/>
  <c r="K16" i="31"/>
  <c r="L16" i="31"/>
  <c r="K18" i="31"/>
  <c r="L18" i="31"/>
  <c r="K20" i="31"/>
  <c r="L20" i="31"/>
  <c r="L23" i="31"/>
  <c r="L18" i="30"/>
  <c r="K21" i="30"/>
  <c r="L21" i="30"/>
  <c r="L16" i="30"/>
  <c r="K17" i="30"/>
  <c r="L17" i="30"/>
  <c r="K19" i="30"/>
  <c r="L19" i="30"/>
  <c r="K24" i="30"/>
  <c r="L24" i="30"/>
  <c r="K16" i="29"/>
  <c r="L16" i="29"/>
  <c r="L21" i="29"/>
  <c r="K20" i="29"/>
  <c r="L20" i="29"/>
  <c r="K22" i="29"/>
  <c r="L22" i="29"/>
  <c r="K23" i="29"/>
  <c r="L23" i="29"/>
  <c r="I25" i="28"/>
  <c r="P28" i="28" s="1"/>
  <c r="K16" i="28"/>
  <c r="L16" i="28"/>
  <c r="K17" i="28"/>
  <c r="L17" i="28"/>
  <c r="K18" i="28"/>
  <c r="L18" i="28"/>
  <c r="K19" i="28"/>
  <c r="L19" i="28"/>
  <c r="K20" i="28"/>
  <c r="L20" i="28"/>
  <c r="K21" i="28"/>
  <c r="L21" i="28"/>
  <c r="K22" i="28"/>
  <c r="L22" i="28"/>
  <c r="K23" i="28"/>
  <c r="L23" i="28"/>
  <c r="K24" i="28"/>
  <c r="L24" i="28"/>
  <c r="T25" i="15"/>
  <c r="T24" i="15"/>
  <c r="J24" i="15"/>
  <c r="J23" i="15"/>
  <c r="J22" i="15"/>
  <c r="J21" i="15"/>
  <c r="J20" i="15"/>
  <c r="J19" i="15"/>
  <c r="J18" i="15"/>
  <c r="J17" i="15"/>
  <c r="J16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1" i="35" l="1"/>
  <c r="L19" i="29"/>
  <c r="I25" i="30"/>
  <c r="P28" i="30" s="1"/>
  <c r="K20" i="30"/>
  <c r="M20" i="30" s="1"/>
  <c r="N20" i="30" s="1"/>
  <c r="O20" i="30" s="1"/>
  <c r="I25" i="34"/>
  <c r="P28" i="34" s="1"/>
  <c r="K17" i="35"/>
  <c r="M17" i="35" s="1"/>
  <c r="L17" i="29"/>
  <c r="M17" i="29" s="1"/>
  <c r="N17" i="29" s="1"/>
  <c r="O17" i="29" s="1"/>
  <c r="P17" i="29" s="1"/>
  <c r="L22" i="30"/>
  <c r="K23" i="30"/>
  <c r="L21" i="32"/>
  <c r="L16" i="35"/>
  <c r="I16" i="26"/>
  <c r="K16" i="26" s="1"/>
  <c r="I17" i="26"/>
  <c r="I18" i="26"/>
  <c r="I19" i="26"/>
  <c r="K19" i="26" s="1"/>
  <c r="I20" i="26"/>
  <c r="K20" i="26" s="1"/>
  <c r="I21" i="26"/>
  <c r="I22" i="26"/>
  <c r="I23" i="26"/>
  <c r="K23" i="26" s="1"/>
  <c r="I24" i="26"/>
  <c r="L24" i="26" s="1"/>
  <c r="I16" i="27"/>
  <c r="I17" i="27"/>
  <c r="I18" i="27"/>
  <c r="K18" i="27" s="1"/>
  <c r="I19" i="27"/>
  <c r="L19" i="27" s="1"/>
  <c r="I20" i="27"/>
  <c r="I21" i="27"/>
  <c r="L22" i="32"/>
  <c r="M23" i="35"/>
  <c r="N23" i="35" s="1"/>
  <c r="O23" i="35" s="1"/>
  <c r="M22" i="31"/>
  <c r="M23" i="28"/>
  <c r="M23" i="32"/>
  <c r="M24" i="28"/>
  <c r="N24" i="28" s="1"/>
  <c r="O24" i="28" s="1"/>
  <c r="P24" i="28" s="1"/>
  <c r="M23" i="29"/>
  <c r="N23" i="29" s="1"/>
  <c r="O23" i="29" s="1"/>
  <c r="M23" i="31"/>
  <c r="M24" i="33"/>
  <c r="L22" i="35"/>
  <c r="M22" i="35" s="1"/>
  <c r="N22" i="35" s="1"/>
  <c r="O22" i="35" s="1"/>
  <c r="M18" i="35"/>
  <c r="N18" i="35" s="1"/>
  <c r="O18" i="35" s="1"/>
  <c r="M23" i="30"/>
  <c r="L18" i="32"/>
  <c r="L23" i="33"/>
  <c r="M23" i="33" s="1"/>
  <c r="N23" i="33" s="1"/>
  <c r="O23" i="33" s="1"/>
  <c r="L22" i="34"/>
  <c r="M22" i="34" s="1"/>
  <c r="N22" i="34" s="1"/>
  <c r="O22" i="34" s="1"/>
  <c r="L18" i="34"/>
  <c r="I25" i="29"/>
  <c r="P28" i="29" s="1"/>
  <c r="M17" i="28"/>
  <c r="N17" i="28" s="1"/>
  <c r="O17" i="28" s="1"/>
  <c r="M22" i="29"/>
  <c r="N22" i="29" s="1"/>
  <c r="O22" i="29" s="1"/>
  <c r="M24" i="30"/>
  <c r="M21" i="30"/>
  <c r="M22" i="33"/>
  <c r="N22" i="33" s="1"/>
  <c r="O22" i="33" s="1"/>
  <c r="I25" i="35"/>
  <c r="P28" i="35" s="1"/>
  <c r="I22" i="27"/>
  <c r="I23" i="27"/>
  <c r="K23" i="27" s="1"/>
  <c r="I24" i="27"/>
  <c r="K24" i="27" s="1"/>
  <c r="M18" i="28"/>
  <c r="L18" i="29"/>
  <c r="M20" i="29"/>
  <c r="N20" i="29" s="1"/>
  <c r="O20" i="29" s="1"/>
  <c r="L24" i="29"/>
  <c r="M24" i="29" s="1"/>
  <c r="N24" i="29" s="1"/>
  <c r="O24" i="29" s="1"/>
  <c r="P24" i="29" s="1"/>
  <c r="M19" i="32"/>
  <c r="M17" i="32"/>
  <c r="L24" i="32"/>
  <c r="M24" i="32" s="1"/>
  <c r="N24" i="32" s="1"/>
  <c r="O24" i="32" s="1"/>
  <c r="P24" i="32" s="1"/>
  <c r="L20" i="33"/>
  <c r="M20" i="33" s="1"/>
  <c r="N20" i="33" s="1"/>
  <c r="O20" i="33" s="1"/>
  <c r="M16" i="34"/>
  <c r="N16" i="34" s="1"/>
  <c r="I25" i="33"/>
  <c r="P28" i="33" s="1"/>
  <c r="K24" i="35"/>
  <c r="M24" i="35" s="1"/>
  <c r="K18" i="29"/>
  <c r="M18" i="29" s="1"/>
  <c r="N18" i="29" s="1"/>
  <c r="O18" i="29" s="1"/>
  <c r="M24" i="34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M20" i="34"/>
  <c r="N20" i="34" s="1"/>
  <c r="O20" i="34" s="1"/>
  <c r="M19" i="33"/>
  <c r="M19" i="34"/>
  <c r="N19" i="34" s="1"/>
  <c r="O19" i="34" s="1"/>
  <c r="M19" i="28"/>
  <c r="M16" i="29"/>
  <c r="N16" i="29" s="1"/>
  <c r="M17" i="30"/>
  <c r="N17" i="30" s="1"/>
  <c r="O17" i="30" s="1"/>
  <c r="M16" i="32"/>
  <c r="N16" i="32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1" i="28"/>
  <c r="N21" i="28" s="1"/>
  <c r="O21" i="28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21" i="35"/>
  <c r="O21" i="35" s="1"/>
  <c r="N17" i="35"/>
  <c r="O17" i="35" s="1"/>
  <c r="M16" i="35"/>
  <c r="N24" i="34"/>
  <c r="O24" i="34" s="1"/>
  <c r="K25" i="34"/>
  <c r="P30" i="34" s="1"/>
  <c r="N23" i="34"/>
  <c r="O23" i="34" s="1"/>
  <c r="P23" i="34" s="1"/>
  <c r="N19" i="33"/>
  <c r="O19" i="33" s="1"/>
  <c r="N24" i="33"/>
  <c r="O24" i="33" s="1"/>
  <c r="N18" i="33"/>
  <c r="O18" i="33" s="1"/>
  <c r="N21" i="33"/>
  <c r="O21" i="33" s="1"/>
  <c r="N17" i="33"/>
  <c r="O17" i="33" s="1"/>
  <c r="M16" i="33"/>
  <c r="N19" i="32"/>
  <c r="O19" i="32" s="1"/>
  <c r="N17" i="32"/>
  <c r="O17" i="32" s="1"/>
  <c r="N23" i="32"/>
  <c r="O23" i="32" s="1"/>
  <c r="K25" i="32"/>
  <c r="P30" i="32" s="1"/>
  <c r="N24" i="31"/>
  <c r="O24" i="31" s="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K25" i="30"/>
  <c r="P30" i="30" s="1"/>
  <c r="N24" i="30"/>
  <c r="O24" i="30" s="1"/>
  <c r="P24" i="30" s="1"/>
  <c r="N23" i="30"/>
  <c r="O23" i="30" s="1"/>
  <c r="N21" i="29"/>
  <c r="O21" i="29" s="1"/>
  <c r="L25" i="29"/>
  <c r="P29" i="29" s="1"/>
  <c r="K25" i="28"/>
  <c r="P30" i="28" s="1"/>
  <c r="N23" i="28"/>
  <c r="O23" i="28" s="1"/>
  <c r="P23" i="28" s="1"/>
  <c r="N19" i="28"/>
  <c r="O19" i="28" s="1"/>
  <c r="L25" i="28"/>
  <c r="P29" i="28" s="1"/>
  <c r="M16" i="28"/>
  <c r="N18" i="28"/>
  <c r="O18" i="28" s="1"/>
  <c r="P18" i="28" s="1"/>
  <c r="J25" i="15"/>
  <c r="K16" i="27"/>
  <c r="L16" i="27"/>
  <c r="K17" i="27"/>
  <c r="L17" i="27"/>
  <c r="K20" i="27"/>
  <c r="L20" i="27"/>
  <c r="K21" i="27"/>
  <c r="L21" i="27"/>
  <c r="K22" i="27"/>
  <c r="L22" i="27"/>
  <c r="K19" i="27"/>
  <c r="L18" i="27"/>
  <c r="K17" i="26"/>
  <c r="L17" i="26"/>
  <c r="L19" i="26"/>
  <c r="K22" i="26"/>
  <c r="L22" i="26"/>
  <c r="L23" i="26"/>
  <c r="K18" i="26"/>
  <c r="L18" i="26"/>
  <c r="K21" i="26"/>
  <c r="L21" i="26"/>
  <c r="I25" i="26"/>
  <c r="P28" i="26" s="1"/>
  <c r="T23" i="15"/>
  <c r="T22" i="15"/>
  <c r="T21" i="15"/>
  <c r="T20" i="15"/>
  <c r="T19" i="15"/>
  <c r="T18" i="15"/>
  <c r="T17" i="15"/>
  <c r="T16" i="15"/>
  <c r="T15" i="15"/>
  <c r="T14" i="15"/>
  <c r="L20" i="26" l="1"/>
  <c r="L16" i="26"/>
  <c r="K24" i="26"/>
  <c r="M24" i="26" s="1"/>
  <c r="N24" i="26" s="1"/>
  <c r="O24" i="26" s="1"/>
  <c r="P24" i="34"/>
  <c r="L25" i="33"/>
  <c r="P29" i="33" s="1"/>
  <c r="L24" i="27"/>
  <c r="P23" i="31"/>
  <c r="P23" i="32"/>
  <c r="I25" i="27"/>
  <c r="P28" i="27" s="1"/>
  <c r="K25" i="29"/>
  <c r="P30" i="29" s="1"/>
  <c r="P24" i="31"/>
  <c r="L25" i="34"/>
  <c r="P29" i="34" s="1"/>
  <c r="L25" i="35"/>
  <c r="P29" i="35" s="1"/>
  <c r="L25" i="32"/>
  <c r="P29" i="32" s="1"/>
  <c r="P31" i="32" s="1"/>
  <c r="L23" i="27"/>
  <c r="M23" i="27" s="1"/>
  <c r="N23" i="27" s="1"/>
  <c r="O23" i="27" s="1"/>
  <c r="K25" i="35"/>
  <c r="P30" i="35" s="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4"/>
  <c r="P18" i="31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4" i="27"/>
  <c r="O24" i="27" s="1"/>
  <c r="K25" i="27"/>
  <c r="P30" i="27" s="1"/>
  <c r="L25" i="26"/>
  <c r="P29" i="26" s="1"/>
  <c r="N20" i="26"/>
  <c r="O20" i="26" s="1"/>
  <c r="N17" i="26"/>
  <c r="O17" i="26" s="1"/>
  <c r="P17" i="26" s="1"/>
  <c r="M16" i="26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K25" i="26" l="1"/>
  <c r="P30" i="26" s="1"/>
  <c r="L25" i="27"/>
  <c r="P29" i="27" s="1"/>
  <c r="P31" i="35"/>
  <c r="P33" i="32"/>
  <c r="I21" i="18"/>
  <c r="L21" i="18" s="1"/>
  <c r="I24" i="18"/>
  <c r="L24" i="18" s="1"/>
  <c r="I20" i="19"/>
  <c r="I22" i="19"/>
  <c r="K22" i="19" s="1"/>
  <c r="I23" i="19"/>
  <c r="I24" i="19"/>
  <c r="I22" i="18"/>
  <c r="L22" i="18" s="1"/>
  <c r="I19" i="19"/>
  <c r="K19" i="19" s="1"/>
  <c r="I21" i="19"/>
  <c r="I16" i="22"/>
  <c r="I17" i="22"/>
  <c r="I18" i="22"/>
  <c r="K18" i="22" s="1"/>
  <c r="I19" i="22"/>
  <c r="K19" i="22" s="1"/>
  <c r="I20" i="22"/>
  <c r="L20" i="22" s="1"/>
  <c r="I21" i="22"/>
  <c r="K21" i="22" s="1"/>
  <c r="I22" i="22"/>
  <c r="K22" i="22" s="1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L23" i="23" s="1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L23" i="25"/>
  <c r="K23" i="25"/>
  <c r="K17" i="24"/>
  <c r="K21" i="24"/>
  <c r="L23" i="24"/>
  <c r="K23" i="24"/>
  <c r="K16" i="22"/>
  <c r="L16" i="22"/>
  <c r="K20" i="22"/>
  <c r="L17" i="22"/>
  <c r="K17" i="22"/>
  <c r="L19" i="22"/>
  <c r="L23" i="22"/>
  <c r="K24" i="20"/>
  <c r="L24" i="20"/>
  <c r="K20" i="19"/>
  <c r="K18" i="19"/>
  <c r="K24" i="19"/>
  <c r="L24" i="19"/>
  <c r="K21" i="19"/>
  <c r="L23" i="19"/>
  <c r="K23" i="19"/>
  <c r="K21" i="18"/>
  <c r="K22" i="18"/>
  <c r="M22" i="18" s="1"/>
  <c r="K24" i="18"/>
  <c r="M24" i="18" s="1"/>
  <c r="L18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3" i="20" l="1"/>
  <c r="K17" i="23"/>
  <c r="M17" i="23" s="1"/>
  <c r="N17" i="23" s="1"/>
  <c r="O17" i="23" s="1"/>
  <c r="L21" i="22"/>
  <c r="M21" i="22" s="1"/>
  <c r="N21" i="22" s="1"/>
  <c r="O21" i="22" s="1"/>
  <c r="P21" i="22" s="1"/>
  <c r="L24" i="17"/>
  <c r="L22" i="19"/>
  <c r="L22" i="22"/>
  <c r="L18" i="22"/>
  <c r="L25" i="22" s="1"/>
  <c r="P29" i="22" s="1"/>
  <c r="K23" i="23"/>
  <c r="M23" i="23" s="1"/>
  <c r="N23" i="23" s="1"/>
  <c r="O23" i="23" s="1"/>
  <c r="K21" i="25"/>
  <c r="K16" i="24"/>
  <c r="K18" i="18"/>
  <c r="M18" i="18" s="1"/>
  <c r="N18" i="18" s="1"/>
  <c r="O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L24" i="21"/>
  <c r="M24" i="21" s="1"/>
  <c r="N24" i="21" s="1"/>
  <c r="O24" i="21" s="1"/>
  <c r="P24" i="21" s="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M24" i="24" s="1"/>
  <c r="N24" i="24" s="1"/>
  <c r="O24" i="24" s="1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N23" i="25" s="1"/>
  <c r="O23" i="25" s="1"/>
  <c r="P23" i="25" s="1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N18" i="24" s="1"/>
  <c r="O18" i="24" s="1"/>
  <c r="L19" i="23"/>
  <c r="M19" i="23" s="1"/>
  <c r="N19" i="23" s="1"/>
  <c r="O19" i="23" s="1"/>
  <c r="M17" i="22"/>
  <c r="N17" i="22" s="1"/>
  <c r="O17" i="22" s="1"/>
  <c r="L20" i="21"/>
  <c r="M20" i="21" s="1"/>
  <c r="N20" i="21" s="1"/>
  <c r="O20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8" i="17"/>
  <c r="N18" i="17" s="1"/>
  <c r="O18" i="17" s="1"/>
  <c r="M24" i="19"/>
  <c r="N24" i="19" s="1"/>
  <c r="O24" i="19" s="1"/>
  <c r="M20" i="22"/>
  <c r="N20" i="22" s="1"/>
  <c r="O20" i="22" s="1"/>
  <c r="M23" i="18"/>
  <c r="N23" i="18" s="1"/>
  <c r="O23" i="18" s="1"/>
  <c r="K25" i="22"/>
  <c r="P30" i="22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19" i="25"/>
  <c r="O19" i="25" s="1"/>
  <c r="K25" i="24"/>
  <c r="P30" i="24" s="1"/>
  <c r="M16" i="22"/>
  <c r="M21" i="21"/>
  <c r="N21" i="21" s="1"/>
  <c r="M17" i="19"/>
  <c r="N17" i="19" s="1"/>
  <c r="O17" i="19" s="1"/>
  <c r="M21" i="19"/>
  <c r="N23" i="19"/>
  <c r="O23" i="19" s="1"/>
  <c r="L25" i="19"/>
  <c r="P29" i="19" s="1"/>
  <c r="N24" i="18"/>
  <c r="O24" i="18" s="1"/>
  <c r="N22" i="18"/>
  <c r="O22" i="18" s="1"/>
  <c r="M16" i="17"/>
  <c r="I23" i="15"/>
  <c r="M18" i="22" l="1"/>
  <c r="N18" i="22" s="1"/>
  <c r="O18" i="22" s="1"/>
  <c r="L21" i="15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P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M16" i="15"/>
  <c r="M22" i="15"/>
  <c r="M18" i="15"/>
  <c r="P19" i="18"/>
  <c r="M25" i="18"/>
  <c r="N16" i="18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O16" i="18" l="1"/>
  <c r="N25" i="18"/>
  <c r="P32" i="18" s="1"/>
  <c r="P33" i="18" s="1"/>
  <c r="P33" i="20"/>
  <c r="P34" i="20" s="1"/>
  <c r="P35" i="20" s="1"/>
  <c r="U18" i="15" s="1"/>
  <c r="N22" i="15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<sst xmlns="http://schemas.openxmlformats.org/spreadsheetml/2006/main" count="1583" uniqueCount="125">
  <si>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</si>
  <si>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</si>
  <si>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</si>
  <si>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</si>
  <si>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</si>
  <si>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</si>
  <si>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</si>
  <si>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</si>
  <si>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</si>
  <si>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</si>
  <si>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</si>
  <si>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</si>
  <si>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</si>
  <si>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</si>
  <si>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</si>
  <si>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</si>
  <si>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</si>
  <si>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</si>
  <si>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</si>
  <si>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</si>
  <si>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</si>
  <si>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</si>
  <si>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</si>
  <si>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</si>
  <si>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</si>
  <si>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</si>
  <si>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</si>
  <si>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</si>
  <si>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</si>
  <si>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</si>
  <si>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</si>
  <si>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</si>
  <si>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</si>
  <si>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</si>
  <si>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</si>
  <si>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</si>
  <si>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</si>
  <si>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</si>
  <si>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</si>
  <si>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</si>
  <si>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</si>
  <si>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</si>
  <si>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</si>
  <si>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</si>
  <si>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</si>
  <si>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</si>
  <si>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</si>
  <si>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</si>
  <si>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</si>
  <si>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</si>
  <si>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</si>
  <si>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</si>
  <si>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</si>
  <si>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</si>
  <si>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</si>
  <si>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</si>
  <si>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</si>
  <si>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</si>
  <si>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</si>
  <si>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</si>
  <si>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</si>
  <si>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</si>
  <si>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</si>
  <si>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</si>
  <si>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</si>
  <si>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</si>
  <si>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</si>
  <si>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</si>
  <si>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</si>
  <si>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</si>
  <si>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</si>
  <si>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</si>
  <si>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</si>
  <si>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</si>
  <si>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</si>
  <si>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</si>
  <si>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</si>
  <si>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</si>
  <si>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</si>
  <si>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</si>
  <si>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</si>
  <si>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</si>
  <si>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</si>
  <si>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</si>
  <si>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</si>
  <si>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</si>
  <si>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</si>
  <si>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</si>
  <si>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</si>
  <si>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</si>
  <si>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</si>
  <si>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</si>
  <si>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</si>
  <si>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</si>
  <si>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</si>
  <si>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</si>
  <si>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</si>
  <si>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</si>
  <si>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</si>
  <si>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</si>
  <si>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</si>
  <si>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</si>
  <si>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</si>
  <si>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</si>
  <si>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 xml:space="preserve">Customer Name : Madina Bakers </t>
  </si>
  <si>
    <t>Address: Dha Phase 5</t>
  </si>
  <si>
    <t>7599495-3</t>
  </si>
  <si>
    <t>Customer Name : Tanveer Store</t>
  </si>
  <si>
    <t>Address: lala Book depot</t>
  </si>
  <si>
    <t xml:space="preserve">Customer Name : Food Rite </t>
  </si>
  <si>
    <t>Address: Dha phase 5</t>
  </si>
  <si>
    <t>Customer Name : Shaheen Bakers</t>
  </si>
  <si>
    <t>Address: Sadar Market</t>
  </si>
  <si>
    <t>Customer Name : Progressive mart</t>
  </si>
  <si>
    <t>Address: Phase 8</t>
  </si>
  <si>
    <t>Customer Name : Rehmat Store</t>
  </si>
  <si>
    <t xml:space="preserve">Address: Phase 8 Eden Park </t>
  </si>
  <si>
    <t xml:space="preserve">Customer Name : Premier Mart </t>
  </si>
  <si>
    <t>Address: Phase 6</t>
  </si>
  <si>
    <t>D470937</t>
  </si>
  <si>
    <t>Shop Bill Summary (Mubeen)</t>
  </si>
  <si>
    <t xml:space="preserve">Mubeen </t>
  </si>
  <si>
    <t>Customer Name : Bravo Store</t>
  </si>
  <si>
    <t>4031762-5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</si>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</sst>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10" zoomScale="70" zoomScaleNormal="70" workbookViewId="0">
      <selection activeCell="T18" sqref="T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121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120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Madina Bakers 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Tanveer Store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15</v>
      </c>
      <c r="I16" s="1">
        <f>(G16*D16)*F16+H16*F16</f>
        <v>786.9375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62.954999999999998</v>
      </c>
      <c r="M16" s="106">
        <f>I16-K16-L16</f>
        <v>723.98249999999996</v>
      </c>
      <c r="N16" s="101">
        <f>+'1'!N16+'2'!N16+'4'!N16+'3'!N16+'5'!N16+'6'!N16+'7'!N16+'8'!N16+'9'!N16+'10'!N16</f>
        <v>130.31684999999999</v>
      </c>
      <c r="O16" s="101">
        <f>+'1'!O16+'2'!O16+'4'!O16+'3'!O16+'5'!O16+'6'!O16+'7'!O16+'8'!O16+'9'!O16+'10'!O16</f>
        <v>4.2714967499999998</v>
      </c>
      <c r="P16" s="105">
        <f t="shared" ref="P16:P24" si="0">M16+N16+O16</f>
        <v>858.57084674999999</v>
      </c>
      <c r="Q16" s="108"/>
      <c r="T16" s="163" t="str">
        <f>+'4'!A5</f>
        <v>Customer Name : Shaheen Bakers</v>
      </c>
      <c r="U16" s="164">
        <f>+'4'!P35</f>
        <v>3375.5372160000002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30</v>
      </c>
      <c r="I17" s="1">
        <f t="shared" ref="I17:I23" si="1">(G17*D17)*F17+H17*F17</f>
        <v>1573.875</v>
      </c>
      <c r="J17" s="172">
        <f>+'1'!J17+'2'!J17+'4'!J17+'3'!J17+'5'!J17+'6'!J17+'7'!J17+'8'!J17+'9'!J17+'10'!J17+'11'!J17+'12'!J17</f>
        <v>3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167.88</v>
      </c>
      <c r="M17" s="118">
        <f t="shared" ref="M17:M23" si="2">I17-K17-L17</f>
        <v>1405.9949999999999</v>
      </c>
      <c r="N17" s="101">
        <f>+'1'!N17+'2'!N17+'4'!N17+'3'!N17+'5'!N17+'6'!N17+'7'!N17+'8'!N17+'9'!N17+'10'!N17</f>
        <v>281.40885000000003</v>
      </c>
      <c r="O17" s="101">
        <f>+'1'!O17+'2'!O17+'4'!O17+'3'!O17+'5'!O17+'6'!O17+'7'!O17+'8'!O17+'9'!O17+'10'!O17</f>
        <v>8.4370192500000005</v>
      </c>
      <c r="P17" s="120">
        <f t="shared" si="0"/>
        <v>1695.84086925</v>
      </c>
      <c r="S17" s="64"/>
      <c r="T17" s="163" t="str">
        <f>+'3'!A5</f>
        <v xml:space="preserve">Customer Name : Food Rite </v>
      </c>
      <c r="U17" s="164">
        <f>+'3'!P35</f>
        <v>5267.5008117000007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35</v>
      </c>
      <c r="I18" s="1">
        <f t="shared" si="1"/>
        <v>1836.1875</v>
      </c>
      <c r="J18" s="172">
        <f>+'1'!J18+'2'!J18+'4'!J18+'3'!J18+'5'!J18+'6'!J18+'7'!J18+'8'!J18+'9'!J18+'10'!J18+'11'!J18+'12'!J18</f>
        <v>1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188.86500000000001</v>
      </c>
      <c r="M18" s="118">
        <f t="shared" si="2"/>
        <v>1647.3225</v>
      </c>
      <c r="N18" s="101">
        <f>+'1'!N18+'2'!N18+'4'!N18+'3'!N18+'5'!N18+'6'!N18+'7'!N18+'8'!N18+'9'!N18+'10'!N18</f>
        <v>305.96129999999999</v>
      </c>
      <c r="O18" s="101">
        <f>+'1'!O18+'2'!O18+'4'!O18+'3'!O18+'5'!O18+'6'!O18+'7'!O18+'8'!O18+'9'!O18+'10'!O18</f>
        <v>9.7664189999999991</v>
      </c>
      <c r="P18" s="120">
        <f t="shared" si="0"/>
        <v>1963.050219</v>
      </c>
      <c r="T18" s="163" t="str">
        <f>+'5'!A5</f>
        <v>Customer Name : Progressive mart</v>
      </c>
      <c r="U18" s="164">
        <f>+'5'!P35</f>
        <v>5504.8752992999989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70</v>
      </c>
      <c r="I19" s="1">
        <f t="shared" si="1"/>
        <v>5084.8</v>
      </c>
      <c r="J19" s="172">
        <f>+'1'!J19+'2'!J19+'4'!J19+'3'!J19+'5'!J19+'6'!J19+'7'!J19+'8'!J19+'9'!J19+'10'!J19+'11'!J19+'12'!J19</f>
        <v>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406.78399999999999</v>
      </c>
      <c r="M19" s="118">
        <f t="shared" si="2"/>
        <v>4678.0160000000005</v>
      </c>
      <c r="N19" s="101">
        <f>+'1'!N19+'2'!N19+'4'!N19+'3'!N19+'5'!N19+'6'!N19+'7'!N19+'8'!N19+'9'!N19+'10'!N19</f>
        <v>1021.02784</v>
      </c>
      <c r="O19" s="101">
        <f>+'1'!O19+'2'!O19+'4'!O19+'3'!O19+'5'!O19+'6'!O19+'7'!O19+'8'!O19+'9'!O19+'10'!O19</f>
        <v>52.954560000000001</v>
      </c>
      <c r="P19" s="120">
        <f t="shared" si="0"/>
        <v>5751.9984000000004</v>
      </c>
      <c r="T19" s="163" t="str">
        <f>+'6'!A5</f>
        <v>Customer Name : Bravo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80</v>
      </c>
      <c r="I20" s="1">
        <f t="shared" si="1"/>
        <v>5811.2</v>
      </c>
      <c r="J20" s="172">
        <f>+'1'!J20+'2'!J20+'4'!J20+'3'!J20+'5'!J20+'6'!J20+'7'!J20+'8'!J20+'9'!J20+'10'!J20+'11'!J20+'12'!J20</f>
        <v>7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523.00800000000004</v>
      </c>
      <c r="M20" s="118">
        <f t="shared" si="2"/>
        <v>5288.192</v>
      </c>
      <c r="N20" s="101">
        <f>+'1'!N20+'2'!N20+'4'!N20+'3'!N20+'5'!N20+'6'!N20+'7'!N20+'8'!N20+'9'!N20+'10'!N20</f>
        <v>1188.6809599999999</v>
      </c>
      <c r="O20" s="101">
        <f>+'1'!O20+'2'!O20+'4'!O20+'3'!O20+'5'!O20+'6'!O20+'7'!O20+'8'!O20+'9'!O20+'10'!O20</f>
        <v>49.329824000000002</v>
      </c>
      <c r="P20" s="120">
        <f t="shared" si="0"/>
        <v>6526.2027840000001</v>
      </c>
      <c r="T20" s="163" t="str">
        <f>+'7'!A5</f>
        <v>Customer Name : Rehmat Store</v>
      </c>
      <c r="U20" s="164">
        <f>+'7'!P35</f>
        <v>9929.0192255999991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90</v>
      </c>
      <c r="I21" s="1">
        <f t="shared" si="1"/>
        <v>6537.6</v>
      </c>
      <c r="J21" s="172">
        <f>+'1'!J21+'2'!J21+'4'!J21+'3'!J21+'5'!J21+'6'!J21+'7'!J21+'8'!J21+'9'!J21+'10'!J21+'11'!J21+'12'!J21</f>
        <v>3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581.12</v>
      </c>
      <c r="M21" s="118">
        <f t="shared" si="2"/>
        <v>5956.4800000000005</v>
      </c>
      <c r="N21" s="101">
        <f>+'1'!N21+'2'!N21+'4'!N21+'3'!N21+'5'!N21+'6'!N21+'7'!N21+'8'!N21+'9'!N21+'10'!N21</f>
        <v>1264.2265599999998</v>
      </c>
      <c r="O21" s="101">
        <f>+'1'!O21+'2'!O21+'4'!O21+'3'!O21+'5'!O21+'6'!O21+'7'!O21+'8'!O21+'9'!O21+'10'!O21</f>
        <v>60.562873599999996</v>
      </c>
      <c r="P21" s="120">
        <f t="shared" si="0"/>
        <v>7281.2694336000004</v>
      </c>
      <c r="T21" s="163" t="str">
        <f>+'8'!A5</f>
        <v xml:space="preserve">Customer Name : Premier Mart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8</v>
      </c>
      <c r="D25" s="221"/>
      <c r="E25" s="221"/>
      <c r="F25" s="221"/>
      <c r="G25" s="176">
        <f t="shared" ref="G25:M25" si="3">SUM(G16:G24)</f>
        <v>0</v>
      </c>
      <c r="H25" s="177">
        <f t="shared" si="3"/>
        <v>320</v>
      </c>
      <c r="I25" s="178">
        <f t="shared" si="3"/>
        <v>21630.6</v>
      </c>
      <c r="J25" s="177">
        <f t="shared" si="3"/>
        <v>16</v>
      </c>
      <c r="K25" s="178">
        <f t="shared" si="3"/>
        <v>0</v>
      </c>
      <c r="L25" s="179">
        <f t="shared" si="3"/>
        <v>1930.6120000000001</v>
      </c>
      <c r="M25" s="141">
        <f t="shared" si="3"/>
        <v>19699.988000000001</v>
      </c>
      <c r="N25" s="142">
        <f>SUM(N16:N24)</f>
        <v>4191.6223600000003</v>
      </c>
      <c r="O25" s="143">
        <f>SUM(O16:O24)</f>
        <v>185.32219259999999</v>
      </c>
      <c r="P25" s="144">
        <f>SUM(P16:P24)</f>
        <v>24076.932552600003</v>
      </c>
      <c r="T25" s="163" t="str">
        <f>+'12'!A5</f>
        <v xml:space="preserve">Customer Name : </v>
      </c>
      <c r="U25" s="164">
        <f>+'12'!P35</f>
        <v>0</v>
      </c>
    </row>
    <row r="26" spans="1:21 16384:16384" ht="26" hidden="1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hidden="1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hidden="1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hidden="1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24076.932552599996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21630.6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1930.6120000000001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0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19699.987999999998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4191.6223600000003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23891.610359999999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597.29025899999999</v>
      </c>
    </row>
    <row r="39" spans="2:16" ht="15.75" customHeight="1" thickBot="1" x14ac:dyDescent="0.4">
      <c r="N39" s="219" t="s">
        <v>92</v>
      </c>
      <c r="O39" s="220"/>
      <c r="P39" s="160">
        <f>P37+P38</f>
        <v>24488.900619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3520132293185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J19" sqref="J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107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108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I25" sqref="I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109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110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123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300403176219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I17*12%</f>
        <v>125.91</v>
      </c>
      <c r="M17" s="118">
        <f t="shared" ref="M17:M23" si="5">I17-K17-L17</f>
        <v>923.34</v>
      </c>
      <c r="N17" s="118">
        <f t="shared" si="0"/>
        <v>175.64445000000001</v>
      </c>
      <c r="O17" s="119">
        <f t="shared" ref="O17:O24" si="6">(N17+M17)*$O$15</f>
        <v>5.4949222500000001</v>
      </c>
      <c r="P17" s="120">
        <f t="shared" si="1"/>
        <v>1104.4793722499999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</v>
      </c>
      <c r="I18" s="116">
        <f t="shared" si="2"/>
        <v>1049.25</v>
      </c>
      <c r="J18" s="117">
        <v>1</v>
      </c>
      <c r="K18" s="1">
        <f t="shared" si="3"/>
        <v>0</v>
      </c>
      <c r="L18" s="105">
        <f t="shared" si="4"/>
        <v>125.91</v>
      </c>
      <c r="M18" s="118">
        <f t="shared" si="5"/>
        <v>923.34</v>
      </c>
      <c r="N18" s="118">
        <f t="shared" si="0"/>
        <v>175.64445000000001</v>
      </c>
      <c r="O18" s="119">
        <f t="shared" si="6"/>
        <v>5.4949222500000001</v>
      </c>
      <c r="P18" s="120">
        <f t="shared" si="1"/>
        <v>1104.4793722499999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>
        <v>1</v>
      </c>
      <c r="K20" s="1">
        <f t="shared" si="3"/>
        <v>0</v>
      </c>
      <c r="L20" s="105">
        <f t="shared" si="4"/>
        <v>174.33599999999998</v>
      </c>
      <c r="M20" s="118">
        <f t="shared" si="5"/>
        <v>1278.4639999999999</v>
      </c>
      <c r="N20" s="118">
        <f t="shared" si="0"/>
        <v>243.19871999999998</v>
      </c>
      <c r="O20" s="119">
        <f t="shared" si="6"/>
        <v>7.6083135999999989</v>
      </c>
      <c r="P20" s="120">
        <f t="shared" si="1"/>
        <v>1529.2710335999998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>
        <v>1</v>
      </c>
      <c r="K21" s="1">
        <f t="shared" si="3"/>
        <v>0</v>
      </c>
      <c r="L21" s="105">
        <f t="shared" si="4"/>
        <v>174.33599999999998</v>
      </c>
      <c r="M21" s="118">
        <f t="shared" si="5"/>
        <v>1278.4639999999999</v>
      </c>
      <c r="N21" s="118">
        <f t="shared" si="0"/>
        <v>243.19871999999998</v>
      </c>
      <c r="O21" s="119">
        <f t="shared" si="6"/>
        <v>7.6083135999999989</v>
      </c>
      <c r="P21" s="120">
        <f t="shared" si="1"/>
        <v>1529.2710335999998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0</v>
      </c>
      <c r="L25" s="140">
        <f t="shared" si="9"/>
        <v>600.49199999999996</v>
      </c>
      <c r="M25" s="141">
        <f t="shared" si="9"/>
        <v>4403.6080000000002</v>
      </c>
      <c r="N25" s="142">
        <f>SUM(N16:N24)</f>
        <v>837.68633999999997</v>
      </c>
      <c r="O25" s="143">
        <f>SUM(O16:O24)</f>
        <v>26.206471699999998</v>
      </c>
      <c r="P25" s="144">
        <f>SUM(P16:P24)</f>
        <v>5267.5008116999998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5004.1000000000004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600.49199999999996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4403.6080000000002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837.68633999999997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5241.2943400000004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26.206471700000002</v>
      </c>
    </row>
    <row r="35" spans="2:16" ht="15.75" customHeight="1" thickBot="1" x14ac:dyDescent="0.4">
      <c r="N35" s="219" t="s">
        <v>92</v>
      </c>
      <c r="O35" s="220"/>
      <c r="P35" s="160">
        <f>P33+P34</f>
        <v>5267.5008117000007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A9" sqref="A9:C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220.53503999999998</v>
      </c>
      <c r="O19" s="119">
        <f t="shared" si="6"/>
        <v>30.574176000000001</v>
      </c>
      <c r="P19" s="120">
        <f t="shared" si="1"/>
        <v>1253.5412160000001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2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178.98496</v>
      </c>
      <c r="O20" s="119">
        <f t="shared" si="6"/>
        <v>21.181824000000002</v>
      </c>
      <c r="P20" s="120">
        <f t="shared" si="1"/>
        <v>868.45478400000002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30.574176000000001</v>
      </c>
      <c r="P21" s="120">
        <f t="shared" si="1"/>
        <v>1253.5412160000001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620.05503999999996</v>
      </c>
      <c r="O25" s="143">
        <f>SUM(O16:O24)</f>
        <v>82.330175999999994</v>
      </c>
      <c r="P25" s="144">
        <f>SUM(P16:P24)</f>
        <v>3375.5372160000002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232.44799999999998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82.330176000000009</v>
      </c>
    </row>
    <row r="35" spans="2:16" ht="15.75" customHeight="1" thickBot="1" x14ac:dyDescent="0.4">
      <c r="N35" s="219" t="s">
        <v>92</v>
      </c>
      <c r="O35" s="220"/>
      <c r="P35" s="160">
        <f>P33+P34</f>
        <v>3375.5372160000002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abSelected="1" workbookViewId="0">
      <selection activeCell="I4" sqref="I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114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6284286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I11" t="s">
        <v>124</v>
      </c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3277876176746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15</v>
      </c>
      <c r="I16" s="102">
        <f>(G16*D16)*F16+H16*F16</f>
        <v>786.9375</v>
      </c>
      <c r="J16" s="103"/>
      <c r="K16" s="104">
        <f>I16*$K$13</f>
        <v>0</v>
      </c>
      <c r="L16" s="105">
        <f>I16*8%</f>
        <v>62.954999999999998</v>
      </c>
      <c r="M16" s="106">
        <f>I16-K16-L16</f>
        <v>723.98249999999996</v>
      </c>
      <c r="N16" s="106">
        <f t="shared" ref="N16:N24" si="0">(M16*$N$15)+(J16*F16)*$N$15</f>
        <v>130.31684999999999</v>
      </c>
      <c r="O16" s="107">
        <f>(N16+M16)*$O$15</f>
        <v>4.2714967499999998</v>
      </c>
      <c r="P16" s="105">
        <f t="shared" ref="P16:P24" si="1">M16+N16+O16</f>
        <v>858.57084674999999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>
        <v>2</v>
      </c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105.76439999999999</v>
      </c>
      <c r="O17" s="119">
        <f t="shared" ref="O17:O24" si="6">(N17+M17)*$O$15</f>
        <v>2.942097</v>
      </c>
      <c r="P17" s="120">
        <f t="shared" si="1"/>
        <v>591.36149699999999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15</v>
      </c>
      <c r="I18" s="116">
        <f t="shared" si="2"/>
        <v>786.9375</v>
      </c>
      <c r="J18" s="117"/>
      <c r="K18" s="1">
        <f t="shared" si="3"/>
        <v>0</v>
      </c>
      <c r="L18" s="105">
        <f t="shared" si="4"/>
        <v>62.954999999999998</v>
      </c>
      <c r="M18" s="118">
        <f t="shared" si="5"/>
        <v>723.98249999999996</v>
      </c>
      <c r="N18" s="118">
        <f t="shared" si="0"/>
        <v>130.31684999999999</v>
      </c>
      <c r="O18" s="119">
        <f t="shared" si="6"/>
        <v>4.2714967499999998</v>
      </c>
      <c r="P18" s="120">
        <f t="shared" si="1"/>
        <v>858.57084674999999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180.43775999999997</v>
      </c>
      <c r="O19" s="119">
        <f t="shared" si="6"/>
        <v>5.9143487999999991</v>
      </c>
      <c r="P19" s="120">
        <f t="shared" si="1"/>
        <v>1188.7841087999998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2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146.44224</v>
      </c>
      <c r="O20" s="119">
        <f t="shared" si="6"/>
        <v>4.0736511999999996</v>
      </c>
      <c r="P20" s="120">
        <f t="shared" si="1"/>
        <v>818.80389119999995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180.43775999999997</v>
      </c>
      <c r="O21" s="119">
        <f t="shared" si="6"/>
        <v>5.9143487999999991</v>
      </c>
      <c r="P21" s="120">
        <f t="shared" si="1"/>
        <v>1188.7841087999998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0</v>
      </c>
      <c r="L25" s="140">
        <f t="shared" si="9"/>
        <v>400.32800000000003</v>
      </c>
      <c r="M25" s="141">
        <f t="shared" si="9"/>
        <v>4603.7719999999999</v>
      </c>
      <c r="N25" s="142">
        <f>SUM(N16:N24)</f>
        <v>873.71585999999979</v>
      </c>
      <c r="O25" s="143">
        <f>SUM(O16:O24)</f>
        <v>27.387439299999997</v>
      </c>
      <c r="P25" s="144">
        <f>SUM(P16:P24)</f>
        <v>5504.8752992999998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5004.1000000000004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400.32800000000003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4603.7719999999999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873.71585999999979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5477.4878599999993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27.387439299999997</v>
      </c>
    </row>
    <row r="35" spans="2:16" ht="15.75" customHeight="1" thickBot="1" x14ac:dyDescent="0.4">
      <c r="N35" s="219" t="s">
        <v>92</v>
      </c>
      <c r="O35" s="220"/>
      <c r="P35" s="160">
        <f>P33+P34</f>
        <v>5504.8752992999989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J18" sqref="J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118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116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34601123341403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620.05503999999996</v>
      </c>
      <c r="O19" s="119">
        <f t="shared" si="6"/>
        <v>16.4660352</v>
      </c>
      <c r="P19" s="120">
        <f t="shared" si="1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620.05503999999996</v>
      </c>
      <c r="O20" s="119">
        <f t="shared" si="6"/>
        <v>16.4660352</v>
      </c>
      <c r="P20" s="120">
        <f t="shared" si="1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16.4660352</v>
      </c>
      <c r="P21" s="120">
        <f t="shared" si="1"/>
        <v>3309.6730752000003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120</v>
      </c>
      <c r="I25" s="137">
        <f t="shared" si="9"/>
        <v>8716.7999999999993</v>
      </c>
      <c r="J25" s="138"/>
      <c r="K25" s="139">
        <f t="shared" si="9"/>
        <v>0</v>
      </c>
      <c r="L25" s="140">
        <f t="shared" si="9"/>
        <v>697.34400000000005</v>
      </c>
      <c r="M25" s="141">
        <f t="shared" si="9"/>
        <v>8019.4560000000001</v>
      </c>
      <c r="N25" s="142">
        <f>SUM(N16:N24)</f>
        <v>1860.1651199999999</v>
      </c>
      <c r="O25" s="143">
        <f>SUM(O16:O24)</f>
        <v>49.398105600000001</v>
      </c>
      <c r="P25" s="144">
        <f>SUM(P16:P24)</f>
        <v>9929.0192256000009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8716.7999999999993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697.34400000000005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8019.4559999999992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1860.1651199999999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9879.6211199999998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49.398105600000001</v>
      </c>
    </row>
    <row r="35" spans="2:16" ht="15.75" customHeight="1" thickBot="1" x14ac:dyDescent="0.4">
      <c r="N35" s="219" t="s">
        <v>92</v>
      </c>
      <c r="O35" s="220"/>
      <c r="P35" s="160">
        <f>P33+P34</f>
        <v>9929.0192255999991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G6" sqref="G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117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118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119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2026-06-22T04:29:04Z</dcterms:modified>
</cp:coreProperties>
</file>