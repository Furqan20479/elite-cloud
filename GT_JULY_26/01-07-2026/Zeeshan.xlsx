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460DDD16-0620-45ED-B468-99A59BE118DF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33" i="15" l="1"/>
  <c r="T32" i="15"/>
  <c r="T31" i="15"/>
  <c r="T30" i="15"/>
  <c r="T29" i="15"/>
  <c r="U33" i="15"/>
  <c r="U32" i="15"/>
  <c r="U31" i="15"/>
  <c r="U30" i="15"/>
  <c r="U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6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M18" i="15"/>
  <c r="N16" i="18"/>
  <c r="N16" i="15" s="1"/>
  <c r="M18" i="16"/>
  <c r="N18" i="16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<sst xmlns="http://schemas.openxmlformats.org/spreadsheetml/2006/main" count="1584" uniqueCount="122">
  <si>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</si>
  <si>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</si>
  <si>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</si>
  <si>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</si>
  <si>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</si>
  <si>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</si>
  <si>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</si>
  <si>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</si>
  <si>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</si>
  <si>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</si>
  <si>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</si>
  <si>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</si>
  <si>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</si>
  <si>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</si>
  <si>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</si>
  <si>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</si>
  <si>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</si>
  <si>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</si>
  <si>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</si>
  <si>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</si>
  <si>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</si>
  <si>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</si>
  <si>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</si>
  <si>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</si>
  <si>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</si>
  <si>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</si>
  <si>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</si>
  <si>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</si>
  <si>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</si>
  <si>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</si>
  <si>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</si>
  <si>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</si>
  <si>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</si>
  <si>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</si>
  <si>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</si>
  <si>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</si>
  <si>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</si>
  <si>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</si>
  <si>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</si>
  <si>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</si>
  <si>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</si>
  <si>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</si>
  <si>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</si>
  <si>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</si>
  <si>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</si>
  <si>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</si>
  <si>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</si>
  <si>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</si>
  <si>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</si>
  <si>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</si>
  <si>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</si>
  <si>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</si>
  <si>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</si>
  <si>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</si>
  <si>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</si>
  <si>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</si>
  <si>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</si>
  <si>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</si>
  <si>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</si>
  <si>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</si>
  <si>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</si>
  <si>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</si>
  <si>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</si>
  <si>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</si>
  <si>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</si>
  <si>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</si>
  <si>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</si>
  <si>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</si>
  <si>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</si>
  <si>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</si>
  <si>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</si>
  <si>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</si>
  <si>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</si>
  <si>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</si>
  <si>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</si>
  <si>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</si>
  <si>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</si>
  <si>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</si>
  <si>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</si>
  <si>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</si>
  <si>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</si>
  <si>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</si>
  <si>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</si>
  <si>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</si>
  <si>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</si>
  <si>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</si>
  <si>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</si>
  <si>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</si>
  <si>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</si>
  <si>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</si>
  <si>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</si>
  <si>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</si>
  <si>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</si>
  <si>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</si>
  <si>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</si>
  <si>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</si>
  <si>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</si>
  <si>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</si>
  <si>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</si>
  <si>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</si>
  <si>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</si>
  <si>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</si>
  <si>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</si>
  <si>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</si>
  <si>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</si>
  <si>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>Shop Bill Summary (Vacant_01)</t>
  </si>
  <si>
    <t>Umair Rehman</t>
  </si>
  <si>
    <t>Umer Nawaz</t>
  </si>
  <si>
    <t>Customer Name : Nishat Store</t>
  </si>
  <si>
    <t>Address: Nishat colony</t>
  </si>
  <si>
    <t>247279-4</t>
  </si>
  <si>
    <t>Customer Name : Bilal Store</t>
  </si>
  <si>
    <t xml:space="preserve">Address: Nishat </t>
  </si>
  <si>
    <t>Customer Name : Qadri Store</t>
  </si>
  <si>
    <t>Customer Name : Ahmed Store</t>
  </si>
  <si>
    <t>Address: Nishat</t>
  </si>
  <si>
    <t>Customer Name : Green Mart</t>
  </si>
  <si>
    <t>Address: Askari 11</t>
  </si>
  <si>
    <t>Customer Name : 786 Store</t>
  </si>
  <si>
    <t>8058676-4</t>
  </si>
  <si>
    <t>Customer Name : Sharif Mart</t>
  </si>
  <si>
    <t>9616030-7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</si>
</sst>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106</v>
      </c>
    </row>
    <row r="15" spans="1:2" x14ac:dyDescent="0.35">
      <c r="A15">
        <v>10</v>
      </c>
      <c r="B15" t="s">
        <v>107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6" zoomScale="70" zoomScaleNormal="70" workbookViewId="0">
      <selection activeCell="S19" sqref="S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104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105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Nishat Store</v>
      </c>
      <c r="U14" s="164">
        <f>+'1'!P35</f>
        <v>528.13693494000006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Bilal Store</v>
      </c>
      <c r="U15" s="164">
        <f>+'2'!P35</f>
        <v>501.4164864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>Customer Name : Qadri Store</v>
      </c>
      <c r="U16" s="164">
        <f>+'3'!P35</f>
        <v>501.4164864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>Customer Name : Ahmed Store</v>
      </c>
      <c r="U17" s="164">
        <f>+'4'!P35</f>
        <v>269.32356135000003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Green Mart</v>
      </c>
      <c r="U18" s="164">
        <f>+'5'!P35</f>
        <v>16794.300212400001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65</v>
      </c>
      <c r="I19" s="1">
        <f t="shared" si="1"/>
        <v>4721.6000000000004</v>
      </c>
      <c r="J19" s="172">
        <f>+'1'!J19+'2'!J19+'4'!J19+'3'!J19+'5'!J19+'6'!J19+'7'!J19+'8'!J19+'9'!J19+'10'!J19+'11'!J19+'12'!J19+'13'!J19+'14'!J19+'15'!J19+'16'!J19+'17'!J19+'18'!J19+'19'!J19+'20'!J19</f>
        <v>3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377.72800000000001</v>
      </c>
      <c r="M19" s="118">
        <f t="shared" si="2"/>
        <v>4343.8720000000003</v>
      </c>
      <c r="N19" s="101">
        <f>+'1'!N19+'2'!N19+'4'!N19+'3'!N19+'5'!N19+'6'!N19+'7'!N19+'8'!N19+'9'!N19+'10'!N19</f>
        <v>1003.59424</v>
      </c>
      <c r="O19" s="101">
        <f>+'1'!O19+'2'!O19+'4'!O19+'3'!O19+'5'!O19+'6'!O19+'7'!O19+'8'!O19+'9'!O19+'10'!O19</f>
        <v>26.7373312</v>
      </c>
      <c r="P19" s="120">
        <f t="shared" si="0"/>
        <v>5374.2035712000006</v>
      </c>
      <c r="T19" s="163" t="str">
        <f>+'6'!A5</f>
        <v>Customer Name : 786 Store</v>
      </c>
      <c r="U19" s="164">
        <f>+'6'!P35</f>
        <v>3309.6730752000003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65</v>
      </c>
      <c r="I20" s="1">
        <f t="shared" si="1"/>
        <v>4721.6000000000004</v>
      </c>
      <c r="J20" s="172">
        <f>+'1'!J20+'2'!J20+'4'!J20+'3'!J20+'5'!J20+'6'!J20+'7'!J20+'8'!J20+'9'!J20+'10'!J20+'11'!J20+'12'!J20+'13'!J20+'14'!J20+'15'!J20+'16'!J20+'17'!J20+'18'!J20+'19'!J20+'20'!J20</f>
        <v>3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377.72800000000001</v>
      </c>
      <c r="M20" s="118">
        <f t="shared" si="2"/>
        <v>4343.8720000000003</v>
      </c>
      <c r="N20" s="101">
        <f>+'1'!N20+'2'!N20+'4'!N20+'3'!N20+'5'!N20+'6'!N20+'7'!N20+'8'!N20+'9'!N20+'10'!N20</f>
        <v>1003.59424</v>
      </c>
      <c r="O20" s="101">
        <f>+'1'!O20+'2'!O20+'4'!O20+'3'!O20+'5'!O20+'6'!O20+'7'!O20+'8'!O20+'9'!O20+'10'!O20</f>
        <v>26.7373312</v>
      </c>
      <c r="P20" s="120">
        <f t="shared" si="0"/>
        <v>5374.2035712000006</v>
      </c>
      <c r="T20" s="163" t="str">
        <f>+'7'!A5</f>
        <v>Customer Name : Sharif Mart</v>
      </c>
      <c r="U20" s="164">
        <f>+'7'!P35</f>
        <v>2474.2244544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112</v>
      </c>
      <c r="I21" s="1">
        <f t="shared" si="1"/>
        <v>8135.68</v>
      </c>
      <c r="J21" s="172">
        <f>+'1'!J21+'2'!J21+'4'!J21+'3'!J21+'5'!J21+'6'!J21+'7'!J21+'8'!J21+'9'!J21+'10'!J21+'11'!J21+'12'!J21+'13'!J21+'14'!J21+'15'!J21+'16'!J21+'17'!J21+'18'!J21+'19'!J21+'20'!J21</f>
        <v>5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650.85439999999994</v>
      </c>
      <c r="M21" s="118">
        <f t="shared" si="2"/>
        <v>7484.8256000000001</v>
      </c>
      <c r="N21" s="101">
        <f>+'1'!N21+'2'!N21+'4'!N21+'3'!N21+'5'!N21+'6'!N21+'7'!N21+'8'!N21+'9'!N21+'10'!N21</f>
        <v>1726.5656319999998</v>
      </c>
      <c r="O21" s="101">
        <f>+'1'!O21+'2'!O21+'4'!O21+'3'!O21+'5'!O21+'6'!O21+'7'!O21+'8'!O21+'9'!O21+'10'!O21</f>
        <v>65.624428800000004</v>
      </c>
      <c r="P21" s="120">
        <f t="shared" si="0"/>
        <v>9277.0156607999998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98</v>
      </c>
      <c r="I22" s="1">
        <f t="shared" si="1"/>
        <v>3844.5400000000004</v>
      </c>
      <c r="J22" s="172">
        <f>+'1'!J22+'2'!J22+'4'!J22+'3'!J22+'5'!J22+'6'!J22+'7'!J22+'8'!J22+'9'!J22+'10'!J22+'11'!J22+'12'!J22+'13'!J22+'14'!J22+'15'!J22+'16'!J22+'17'!J22+'18'!J22+'19'!J22+'20'!J22</f>
        <v>4</v>
      </c>
      <c r="K22" s="172">
        <f>+'1'!K22+'2'!K22+'4'!K22+'3'!K22+'5'!K22+'6'!K22+'7'!K22+'8'!K22+'9'!K22+'10'!K22</f>
        <v>134.55890000000002</v>
      </c>
      <c r="L22" s="175">
        <f>+'1'!L22+'2'!L22+'4'!L22+'3'!L22+'5'!L22+'6'!L22+'7'!L22+'8'!L22+'9'!L22+'10'!L22</f>
        <v>192.22700000000003</v>
      </c>
      <c r="M22" s="118">
        <f t="shared" si="2"/>
        <v>3517.7541000000006</v>
      </c>
      <c r="N22" s="101">
        <f>+'1'!N22+'2'!N22+'4'!N22+'3'!N22+'5'!N22+'6'!N22+'7'!N22+'8'!N22+'9'!N22+'10'!N22</f>
        <v>808.42830200000003</v>
      </c>
      <c r="O22" s="101">
        <f>+'1'!O22+'2'!O22+'4'!O22+'3'!O22+'5'!O22+'6'!O22+'7'!O22+'8'!O22+'9'!O22+'10'!O22</f>
        <v>26.886005890000007</v>
      </c>
      <c r="P22" s="120">
        <f t="shared" si="0"/>
        <v>4353.0684078900003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8.5</v>
      </c>
      <c r="D25" s="205"/>
      <c r="E25" s="205"/>
      <c r="F25" s="205"/>
      <c r="G25" s="176">
        <f t="shared" ref="G25:M25" si="3">SUM(G16:G24)</f>
        <v>0</v>
      </c>
      <c r="H25" s="177">
        <f t="shared" si="3"/>
        <v>340</v>
      </c>
      <c r="I25" s="178">
        <f t="shared" si="3"/>
        <v>21423.420000000002</v>
      </c>
      <c r="J25" s="177">
        <f t="shared" si="3"/>
        <v>15</v>
      </c>
      <c r="K25" s="178">
        <f t="shared" si="3"/>
        <v>134.55890000000002</v>
      </c>
      <c r="L25" s="179">
        <f t="shared" si="3"/>
        <v>1598.5373999999999</v>
      </c>
      <c r="M25" s="141">
        <f t="shared" si="3"/>
        <v>19690.323700000001</v>
      </c>
      <c r="N25" s="142">
        <f>SUM(N16:N24)</f>
        <v>4542.1824139999999</v>
      </c>
      <c r="O25" s="143">
        <f>SUM(O16:O24)</f>
        <v>145.98509709000001</v>
      </c>
      <c r="P25" s="144">
        <f>SUM(P16:P24)</f>
        <v>24378.491211090004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24378.49121109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12" t="s">
        <v>85</v>
      </c>
      <c r="C36" s="213"/>
      <c r="D36" s="213"/>
      <c r="E36" s="213"/>
      <c r="F36" s="213"/>
      <c r="G36" s="213"/>
      <c r="H36" s="213"/>
      <c r="I36" s="213"/>
      <c r="J36" s="213"/>
      <c r="K36" s="213"/>
      <c r="L36" s="214"/>
      <c r="N36" s="221" t="s">
        <v>86</v>
      </c>
      <c r="O36" s="222"/>
      <c r="P36" s="152">
        <f>I25</f>
        <v>21423.420000000002</v>
      </c>
    </row>
    <row r="37" spans="1:21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N37" s="223" t="s">
        <v>87</v>
      </c>
      <c r="O37" s="224"/>
      <c r="P37" s="153">
        <f>L25</f>
        <v>1598.5373999999999</v>
      </c>
    </row>
    <row r="38" spans="1:21" ht="15" customHeight="1" x14ac:dyDescent="0.35">
      <c r="B38" s="215"/>
      <c r="C38" s="216"/>
      <c r="D38" s="216"/>
      <c r="E38" s="216"/>
      <c r="F38" s="216"/>
      <c r="G38" s="216"/>
      <c r="H38" s="216"/>
      <c r="I38" s="216"/>
      <c r="J38" s="216"/>
      <c r="K38" s="216"/>
      <c r="L38" s="217"/>
      <c r="N38" s="223" t="s">
        <v>4</v>
      </c>
      <c r="O38" s="224"/>
      <c r="P38" s="154">
        <f>K25</f>
        <v>134.55890000000002</v>
      </c>
    </row>
    <row r="39" spans="1:21" ht="15" customHeight="1" x14ac:dyDescent="0.35">
      <c r="B39" s="215"/>
      <c r="C39" s="216"/>
      <c r="D39" s="216"/>
      <c r="E39" s="216"/>
      <c r="F39" s="216"/>
      <c r="G39" s="216"/>
      <c r="H39" s="216"/>
      <c r="I39" s="216"/>
      <c r="J39" s="216"/>
      <c r="K39" s="216"/>
      <c r="L39" s="217"/>
      <c r="M39" s="2"/>
      <c r="N39" s="223" t="s">
        <v>88</v>
      </c>
      <c r="O39" s="224"/>
      <c r="P39" s="153">
        <f>P36-P37-P38</f>
        <v>19690.323700000001</v>
      </c>
    </row>
    <row r="40" spans="1:21" ht="15" customHeight="1" x14ac:dyDescent="0.35">
      <c r="B40" s="215"/>
      <c r="C40" s="216"/>
      <c r="D40" s="216"/>
      <c r="E40" s="216"/>
      <c r="F40" s="216"/>
      <c r="G40" s="216"/>
      <c r="H40" s="216"/>
      <c r="I40" s="216"/>
      <c r="J40" s="216"/>
      <c r="K40" s="216"/>
      <c r="L40" s="217"/>
      <c r="M40" s="2"/>
      <c r="N40" s="155" t="s">
        <v>89</v>
      </c>
      <c r="O40" s="156">
        <f>IF(B12="Registered",18%,22%)</f>
        <v>0.22</v>
      </c>
      <c r="P40" s="153">
        <f>N25</f>
        <v>4542.1824139999999</v>
      </c>
    </row>
    <row r="41" spans="1:21" ht="15" customHeight="1" x14ac:dyDescent="0.35">
      <c r="B41" s="215"/>
      <c r="C41" s="216"/>
      <c r="D41" s="216"/>
      <c r="E41" s="216"/>
      <c r="F41" s="216"/>
      <c r="G41" s="216"/>
      <c r="H41" s="216"/>
      <c r="I41" s="216"/>
      <c r="J41" s="216"/>
      <c r="K41" s="216"/>
      <c r="L41" s="217"/>
      <c r="M41" s="2"/>
      <c r="N41" s="225" t="s">
        <v>90</v>
      </c>
      <c r="O41" s="226"/>
      <c r="P41" s="153">
        <f>P39+P40</f>
        <v>24232.506114</v>
      </c>
    </row>
    <row r="42" spans="1:21" ht="15" customHeight="1" thickBot="1" x14ac:dyDescent="0.4">
      <c r="B42" s="218"/>
      <c r="C42" s="219"/>
      <c r="D42" s="219"/>
      <c r="E42" s="219"/>
      <c r="F42" s="219"/>
      <c r="G42" s="219"/>
      <c r="H42" s="219"/>
      <c r="I42" s="219"/>
      <c r="J42" s="219"/>
      <c r="K42" s="219"/>
      <c r="L42" s="220"/>
      <c r="M42" s="157"/>
      <c r="N42" s="158" t="s">
        <v>91</v>
      </c>
      <c r="O42" s="159">
        <f>IF(B11="Filer",0.5%,2.5%)</f>
        <v>2.5000000000000001E-2</v>
      </c>
      <c r="P42" s="153">
        <f>O42*P41</f>
        <v>605.81265285000006</v>
      </c>
    </row>
    <row r="43" spans="1:21" ht="15.75" customHeight="1" thickBot="1" x14ac:dyDescent="0.4">
      <c r="N43" s="203" t="s">
        <v>92</v>
      </c>
      <c r="O43" s="204"/>
      <c r="P43" s="160">
        <f>P41+P42</f>
        <v>24838.31876685</v>
      </c>
    </row>
    <row r="44" spans="1:21" ht="15" thickBot="1" x14ac:dyDescent="0.4">
      <c r="B44" s="161" t="s">
        <v>93</v>
      </c>
      <c r="C44" s="205"/>
      <c r="D44" s="205"/>
      <c r="E44" s="205"/>
      <c r="F44" s="205"/>
      <c r="G44" s="205"/>
      <c r="H44" s="205"/>
      <c r="I44" s="206"/>
      <c r="J44" s="207"/>
      <c r="K44" s="20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6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3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6"/>
        <v>430.74540000000002</v>
      </c>
      <c r="N22" s="118">
        <f t="shared" si="0"/>
        <v>94.763987999999998</v>
      </c>
      <c r="O22" s="119">
        <f t="shared" si="1"/>
        <v>2.6275469400000002</v>
      </c>
      <c r="P22" s="120">
        <f t="shared" si="2"/>
        <v>528.13693494000006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2.6275469400000002</v>
      </c>
      <c r="P25" s="144">
        <f>SUM(P16:P24)</f>
        <v>528.13693494000006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470.76000000000005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23.538000000000004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16.476600000000005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430.74540000000002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525.50938800000006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2.6275469400000002</v>
      </c>
    </row>
    <row r="35" spans="2:16" ht="15.75" customHeight="1" thickBot="1" x14ac:dyDescent="0.4">
      <c r="N35" s="203" t="s">
        <v>92</v>
      </c>
      <c r="O35" s="204"/>
      <c r="P35" s="160">
        <f>P33+P34</f>
        <v>528.13693494000006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6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112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88.214016000000001</v>
      </c>
      <c r="O21" s="119">
        <f t="shared" si="6"/>
        <v>12.229670400000002</v>
      </c>
      <c r="P21" s="120">
        <f t="shared" si="1"/>
        <v>501.4164864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0</v>
      </c>
      <c r="L25" s="140">
        <f t="shared" si="9"/>
        <v>34.867200000000004</v>
      </c>
      <c r="M25" s="141">
        <f t="shared" si="9"/>
        <v>400.97280000000001</v>
      </c>
      <c r="N25" s="142">
        <f>SUM(N16:N24)</f>
        <v>88.214016000000001</v>
      </c>
      <c r="O25" s="143">
        <f>SUM(O16:O24)</f>
        <v>12.229670400000002</v>
      </c>
      <c r="P25" s="144">
        <f>SUM(P16:P24)</f>
        <v>501.4164864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435.84000000000003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34.867200000000004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400.97280000000001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88.214016000000001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489.18681600000002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12.229670400000002</v>
      </c>
    </row>
    <row r="35" spans="2:16" ht="15.75" customHeight="1" thickBot="1" x14ac:dyDescent="0.4">
      <c r="N35" s="203" t="s">
        <v>92</v>
      </c>
      <c r="O35" s="204"/>
      <c r="P35" s="160">
        <f>P33+P34</f>
        <v>501.4164864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6" workbookViewId="0">
      <selection activeCell="H16" sqref="H16: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112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88.214016000000001</v>
      </c>
      <c r="O21" s="119">
        <f t="shared" si="6"/>
        <v>12.229670400000002</v>
      </c>
      <c r="P21" s="120">
        <f t="shared" si="1"/>
        <v>501.4164864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0</v>
      </c>
      <c r="L25" s="140">
        <f t="shared" si="9"/>
        <v>34.867200000000004</v>
      </c>
      <c r="M25" s="141">
        <f t="shared" si="9"/>
        <v>400.97280000000001</v>
      </c>
      <c r="N25" s="142">
        <f>SUM(N16:N24)</f>
        <v>88.214016000000001</v>
      </c>
      <c r="O25" s="143">
        <f>SUM(O16:O24)</f>
        <v>12.229670400000002</v>
      </c>
      <c r="P25" s="144">
        <f>SUM(P16:P24)</f>
        <v>501.4164864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435.84000000000003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34.867200000000004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400.97280000000001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88.214016000000001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489.18681600000002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12.229670400000002</v>
      </c>
    </row>
    <row r="35" spans="2:16" ht="15.75" customHeight="1" thickBot="1" x14ac:dyDescent="0.4">
      <c r="N35" s="203" t="s">
        <v>92</v>
      </c>
      <c r="O35" s="204"/>
      <c r="P35" s="160">
        <f>P33+P34</f>
        <v>501.4164864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5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115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">
        <f>I22*3.5%</f>
        <v>8.2383000000000024</v>
      </c>
      <c r="L22" s="120">
        <f>I22*5%</f>
        <v>11.769000000000002</v>
      </c>
      <c r="M22" s="118">
        <f t="shared" si="5"/>
        <v>215.37270000000001</v>
      </c>
      <c r="N22" s="118">
        <f t="shared" si="0"/>
        <v>47.381993999999999</v>
      </c>
      <c r="O22" s="119">
        <f t="shared" si="6"/>
        <v>6.5688673500000014</v>
      </c>
      <c r="P22" s="120">
        <f t="shared" si="1"/>
        <v>269.32356135000003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8.2383000000000024</v>
      </c>
      <c r="L25" s="140">
        <f t="shared" si="9"/>
        <v>11.769000000000002</v>
      </c>
      <c r="M25" s="141">
        <f t="shared" si="9"/>
        <v>215.37270000000001</v>
      </c>
      <c r="N25" s="142">
        <f>SUM(N16:N24)</f>
        <v>47.381993999999999</v>
      </c>
      <c r="O25" s="143">
        <f>SUM(O16:O24)</f>
        <v>6.5688673500000014</v>
      </c>
      <c r="P25" s="144">
        <f>SUM(P16:P24)</f>
        <v>269.32356135000003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235.38000000000002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11.769000000000002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8.2383000000000024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215.37270000000001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47.381993999999999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262.75469400000003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6.5688673500000014</v>
      </c>
    </row>
    <row r="35" spans="2:16" ht="15.75" customHeight="1" thickBot="1" x14ac:dyDescent="0.4">
      <c r="N35" s="203" t="s">
        <v>92</v>
      </c>
      <c r="O35" s="204"/>
      <c r="P35" s="160">
        <f>P33+P34</f>
        <v>269.32356135000003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7" workbookViewId="0">
      <selection activeCell="J23" sqref="J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117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2302644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16.4660352</v>
      </c>
      <c r="P20" s="120">
        <f t="shared" si="1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>
        <v>4</v>
      </c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1240.1100799999999</v>
      </c>
      <c r="O21" s="119">
        <f t="shared" si="6"/>
        <v>32.932070400000001</v>
      </c>
      <c r="P21" s="120">
        <f t="shared" si="1"/>
        <v>6619.3461504000006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>
        <v>4</v>
      </c>
      <c r="K22" s="1">
        <f>I22*3.5%</f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666.28232000000003</v>
      </c>
      <c r="O22" s="119">
        <f t="shared" si="6"/>
        <v>17.689591600000004</v>
      </c>
      <c r="P22" s="120">
        <f t="shared" si="1"/>
        <v>3555.6079116000005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240</v>
      </c>
      <c r="I25" s="137">
        <f t="shared" si="9"/>
        <v>14760.8</v>
      </c>
      <c r="J25" s="138"/>
      <c r="K25" s="139">
        <f t="shared" si="9"/>
        <v>109.84400000000002</v>
      </c>
      <c r="L25" s="140">
        <f t="shared" si="9"/>
        <v>1086.712</v>
      </c>
      <c r="M25" s="141">
        <f t="shared" si="9"/>
        <v>13564.244000000001</v>
      </c>
      <c r="N25" s="142">
        <f>SUM(N16:N24)</f>
        <v>3146.5024800000001</v>
      </c>
      <c r="O25" s="143">
        <f>SUM(O16:O24)</f>
        <v>83.553732400000001</v>
      </c>
      <c r="P25" s="144">
        <f>SUM(P16:P24)</f>
        <v>16794.300212400001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14760.8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1086.712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109.84400000000002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13564.244000000001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3146.5024800000001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16710.746480000002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83.553732400000015</v>
      </c>
    </row>
    <row r="35" spans="2:16" ht="15.75" customHeight="1" thickBot="1" x14ac:dyDescent="0.4">
      <c r="N35" s="203" t="s">
        <v>92</v>
      </c>
      <c r="O35" s="204"/>
      <c r="P35" s="160">
        <f>P33+P34</f>
        <v>16794.300212400001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J21" sqref="J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115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119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236.51583999999997</v>
      </c>
      <c r="O19" s="119">
        <f t="shared" si="6"/>
        <v>6.194739199999999</v>
      </c>
      <c r="P19" s="120">
        <f t="shared" si="1"/>
        <v>1245.1425791999998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>
        <v>1</v>
      </c>
      <c r="K20" s="1">
        <f t="shared" si="3"/>
        <v>0</v>
      </c>
      <c r="L20" s="105">
        <f t="shared" si="4"/>
        <v>87.167999999999992</v>
      </c>
      <c r="M20" s="118">
        <f t="shared" si="5"/>
        <v>1002.4319999999999</v>
      </c>
      <c r="N20" s="118">
        <f t="shared" si="0"/>
        <v>236.51583999999997</v>
      </c>
      <c r="O20" s="119">
        <f t="shared" si="6"/>
        <v>6.194739199999999</v>
      </c>
      <c r="P20" s="120">
        <f t="shared" si="1"/>
        <v>1245.1425791999998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4.0765568000000005</v>
      </c>
      <c r="P21" s="120">
        <f t="shared" si="1"/>
        <v>819.38791680000008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232.44799999999998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3" t="s">
        <v>92</v>
      </c>
      <c r="O35" s="204"/>
      <c r="P35" s="160">
        <f>P33+P34</f>
        <v>3309.6730752000003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115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121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4.0765568000000005</v>
      </c>
      <c r="P19" s="120">
        <f t="shared" si="1"/>
        <v>819.38791680000008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147.02336</v>
      </c>
      <c r="O20" s="119">
        <f t="shared" si="6"/>
        <v>4.0765568000000005</v>
      </c>
      <c r="P20" s="120">
        <f t="shared" si="1"/>
        <v>819.38791680000008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>
        <v>1</v>
      </c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163.00415999999998</v>
      </c>
      <c r="O21" s="119">
        <f t="shared" si="6"/>
        <v>4.1564607999999996</v>
      </c>
      <c r="P21" s="120">
        <f t="shared" si="1"/>
        <v>835.44862079999996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30</v>
      </c>
      <c r="I25" s="137">
        <f t="shared" si="9"/>
        <v>2179.1999999999998</v>
      </c>
      <c r="J25" s="138"/>
      <c r="K25" s="139">
        <f t="shared" si="9"/>
        <v>0</v>
      </c>
      <c r="L25" s="140">
        <f t="shared" si="9"/>
        <v>174.33600000000001</v>
      </c>
      <c r="M25" s="141">
        <f t="shared" si="9"/>
        <v>2004.864</v>
      </c>
      <c r="N25" s="142">
        <f>SUM(N16:N24)</f>
        <v>457.05088000000001</v>
      </c>
      <c r="O25" s="143">
        <f>SUM(O16:O24)</f>
        <v>12.309574400000001</v>
      </c>
      <c r="P25" s="144">
        <f>SUM(P16:P24)</f>
        <v>2474.2244544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2179.1999999999998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174.33600000000001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2004.8639999999998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457.05088000000001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2461.9148799999998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12.309574399999999</v>
      </c>
    </row>
    <row r="35" spans="2:16" ht="15.75" customHeight="1" thickBot="1" x14ac:dyDescent="0.4">
      <c r="N35" s="203" t="s">
        <v>92</v>
      </c>
      <c r="O35" s="204"/>
      <c r="P35" s="160">
        <f>P33+P34</f>
        <v>2474.2244544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2026-06-30T12:48:12Z</dcterms:modified>
</cp:coreProperties>
</file>