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E679C39F-CF30-451F-B6C6-FAD84922EE88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33" i="15" l="1"/>
  <c r="T32" i="15"/>
  <c r="T31" i="15"/>
  <c r="T30" i="15"/>
  <c r="T29" i="15"/>
  <c r="U33" i="15"/>
  <c r="U32" i="15"/>
  <c r="U31" i="15"/>
  <c r="U30" i="15"/>
  <c r="U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7" i="23" l="1"/>
  <c r="L22" i="19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L21" i="15" l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6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P19" i="18"/>
  <c r="M22" i="15"/>
  <c r="M18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N22" i="15" l="1"/>
  <c r="O16" i="18"/>
  <c r="N25" i="18"/>
  <c r="P32" i="18" s="1"/>
  <c r="P33" i="18" s="1"/>
  <c r="P34" i="18" s="1"/>
  <c r="P35" i="18" s="1"/>
  <c r="U17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16" i="16"/>
  <c r="P22" i="15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<sst xmlns="http://schemas.openxmlformats.org/spreadsheetml/2006/main" count="1583" uniqueCount="124">
  <si>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</si>
  <si>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</si>
  <si>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</si>
  <si>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</si>
  <si>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</si>
  <si>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</si>
  <si>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</si>
  <si>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</si>
  <si>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</si>
  <si>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</si>
  <si>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</si>
  <si>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</si>
  <si>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</si>
  <si>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</si>
  <si>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</si>
  <si>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</si>
  <si>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</si>
  <si>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</si>
  <si>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</si>
  <si>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</si>
  <si>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</si>
  <si>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</si>
  <si>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</si>
  <si>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</si>
  <si>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</si>
  <si>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</si>
  <si>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</si>
  <si>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</si>
  <si>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</si>
  <si>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</si>
  <si>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</si>
  <si>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</si>
  <si>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</si>
  <si>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</si>
  <si>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</si>
  <si>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</si>
  <si>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</si>
  <si>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</si>
  <si>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</si>
  <si>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</si>
  <si>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</si>
  <si>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</si>
  <si>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</si>
  <si>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</si>
  <si>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</si>
  <si>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</si>
  <si>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</si>
  <si>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</si>
  <si>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</si>
  <si>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</si>
  <si>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</si>
  <si>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</si>
  <si>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</si>
  <si>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</si>
  <si>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</si>
  <si>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</si>
  <si>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</si>
  <si>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</si>
  <si>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</si>
  <si>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</si>
  <si>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</si>
  <si>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</si>
  <si>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</si>
  <si>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</si>
  <si>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</si>
  <si>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</si>
  <si>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</si>
  <si>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</si>
  <si>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</si>
  <si>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</si>
  <si>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</si>
  <si>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</si>
  <si>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</si>
  <si>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</si>
  <si>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</si>
  <si>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</si>
  <si>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</si>
  <si>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</si>
  <si>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</si>
  <si>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</si>
  <si>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</si>
  <si>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</si>
  <si>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</si>
  <si>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</si>
  <si>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</si>
  <si>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</si>
  <si>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</si>
  <si>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</si>
  <si>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</si>
  <si>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</si>
  <si>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</si>
  <si>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</si>
  <si>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</si>
  <si>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</si>
  <si>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</si>
  <si>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</si>
  <si>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</si>
  <si>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</si>
  <si>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</si>
  <si>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</si>
  <si>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</si>
  <si>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</si>
  <si>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</si>
  <si>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</si>
  <si>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</si>
  <si>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>Shop Bill Summary (Vacant_01)</t>
  </si>
  <si>
    <t>Umair Rehman</t>
  </si>
  <si>
    <t>Umer Nawaz</t>
  </si>
  <si>
    <t>Customer Name : Awan Store</t>
  </si>
  <si>
    <t>Address: Kacha Lawerance Road</t>
  </si>
  <si>
    <t>STRN / NTN :G0858352</t>
  </si>
  <si>
    <t xml:space="preserve">Customer Name : Choudhary General Store </t>
  </si>
  <si>
    <t>Customer Name : Lawrance Bakery</t>
  </si>
  <si>
    <t>Customer Name : Sohna Departmental Store</t>
  </si>
  <si>
    <t>Address: Bridwood Road</t>
  </si>
  <si>
    <t>Customer Name : Shahid Bakery</t>
  </si>
  <si>
    <t>Address: Temple Road</t>
  </si>
  <si>
    <t>Customer Name : Khan Nimko</t>
  </si>
  <si>
    <t>Address: Chiragh din Road</t>
  </si>
  <si>
    <t>Customer Name : Hafiz Store</t>
  </si>
  <si>
    <t>Customer Name : Shell Petro Mart</t>
  </si>
  <si>
    <t>Address: Toilenten Market</t>
  </si>
  <si>
    <t>g0858352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</si>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</sst>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106</v>
      </c>
    </row>
    <row r="15" spans="1:2" x14ac:dyDescent="0.35">
      <c r="A15">
        <v>10</v>
      </c>
      <c r="B15" t="s">
        <v>107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0" zoomScale="70" zoomScaleNormal="7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104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105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Awan Store</v>
      </c>
      <c r="U14" s="164">
        <f>+'1'!P35</f>
        <v>528.13693494000006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Choudhary General Store </v>
      </c>
      <c r="U15" s="164">
        <f>+'2'!P35</f>
        <v>528.13693494000006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46</v>
      </c>
      <c r="I16" s="1">
        <f>(G16*D16)*F16+H16*F16</f>
        <v>2413.2750000000001</v>
      </c>
      <c r="J16" s="172">
        <f>+'1'!J16+'2'!J16+'4'!J16+'3'!J16+'5'!J16+'6'!J16+'7'!J16+'8'!J16+'9'!J16+'10'!J16+'11'!J16+'12'!J16+'13'!J16+'14'!J16+'15'!J16+'16'!J16+'17'!J16+'18'!J16+'19'!J16+'20'!J16</f>
        <v>2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193.06199999999998</v>
      </c>
      <c r="M16" s="106">
        <f>I16-K16-L16</f>
        <v>2220.2130000000002</v>
      </c>
      <c r="N16" s="101">
        <f>+'1'!N16+'2'!N16+'4'!N16+'3'!N16+'5'!N16+'6'!N16+'7'!N16+'8'!N16+'9'!N16+'10'!N16</f>
        <v>511.53036000000003</v>
      </c>
      <c r="O16" s="101">
        <f>+'1'!O16+'2'!O16+'4'!O16+'3'!O16+'5'!O16+'6'!O16+'7'!O16+'8'!O16+'9'!O16+'10'!O16</f>
        <v>61.227514799999994</v>
      </c>
      <c r="P16" s="105">
        <f t="shared" ref="P16:P24" si="0">M16+N16+O16</f>
        <v>2792.9708748000003</v>
      </c>
      <c r="Q16" s="108"/>
      <c r="T16" s="163" t="str">
        <f>+'3'!A5</f>
        <v>Customer Name : Lawrance Bakery</v>
      </c>
      <c r="U16" s="164">
        <f>+'3'!P35</f>
        <v>1760.4564498000002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92</v>
      </c>
      <c r="I17" s="1">
        <f t="shared" ref="I17:I23" si="1">(G17*D17)*F17+H17*F17</f>
        <v>4826.55</v>
      </c>
      <c r="J17" s="172">
        <f>+'1'!J17+'2'!J17+'4'!J17+'3'!J17+'5'!J17+'6'!J17+'7'!J17+'8'!J17+'9'!J17+'10'!J17+'11'!J17+'12'!J17+'13'!J17+'14'!J17+'15'!J17+'16'!J17+'17'!J17+'18'!J17+'19'!J17+'20'!J17</f>
        <v>5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386.12400000000002</v>
      </c>
      <c r="M17" s="118">
        <f t="shared" ref="M17:M23" si="2">I17-K17-L17</f>
        <v>4440.4260000000004</v>
      </c>
      <c r="N17" s="101">
        <f>+'1'!N17+'2'!N17+'4'!N17+'3'!N17+'5'!N17+'6'!N17+'7'!N17+'8'!N17+'9'!N17+'10'!N17</f>
        <v>1034.60247</v>
      </c>
      <c r="O17" s="101">
        <f>+'1'!O17+'2'!O17+'4'!O17+'3'!O17+'5'!O17+'6'!O17+'7'!O17+'8'!O17+'9'!O17+'10'!O17</f>
        <v>74.943940349999991</v>
      </c>
      <c r="P17" s="120">
        <f t="shared" si="0"/>
        <v>5549.9724103500002</v>
      </c>
      <c r="S17" s="64"/>
      <c r="T17" s="163" t="str">
        <f>+'4'!A5</f>
        <v>Customer Name : Sohna Departmental Store</v>
      </c>
      <c r="U17" s="164">
        <f>+'4'!P35</f>
        <v>2390.3320994999999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Shahid Bakery</v>
      </c>
      <c r="U18" s="164">
        <f>+'5'!P35</f>
        <v>3375.5372160000002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66</v>
      </c>
      <c r="I19" s="1">
        <f t="shared" si="1"/>
        <v>4794.24</v>
      </c>
      <c r="J19" s="172">
        <f>+'1'!J19+'2'!J19+'4'!J19+'3'!J19+'5'!J19+'6'!J19+'7'!J19+'8'!J19+'9'!J19+'10'!J19+'11'!J19+'12'!J19+'13'!J19+'14'!J19+'15'!J19+'16'!J19+'17'!J19+'18'!J19+'19'!J19+'20'!J19</f>
        <v>4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383.53920000000005</v>
      </c>
      <c r="M19" s="118">
        <f t="shared" si="2"/>
        <v>4410.7007999999996</v>
      </c>
      <c r="N19" s="101">
        <f>+'1'!N19+'2'!N19+'4'!N19+'3'!N19+'5'!N19+'6'!N19+'7'!N19+'8'!N19+'9'!N19+'10'!N19</f>
        <v>1034.277376</v>
      </c>
      <c r="O19" s="101">
        <f>+'1'!O19+'2'!O19+'4'!O19+'3'!O19+'5'!O19+'6'!O19+'7'!O19+'8'!O19+'9'!O19+'10'!O19</f>
        <v>117.86798848000001</v>
      </c>
      <c r="P19" s="120">
        <f t="shared" si="0"/>
        <v>5562.84616448</v>
      </c>
      <c r="T19" s="163" t="str">
        <f>+'6'!A5</f>
        <v>Customer Name : Khan Nimko</v>
      </c>
      <c r="U19" s="164">
        <f>+'6'!P35</f>
        <v>1654.8365376000004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71</v>
      </c>
      <c r="I20" s="1">
        <f t="shared" si="1"/>
        <v>5157.4399999999996</v>
      </c>
      <c r="J20" s="172">
        <f>+'1'!J20+'2'!J20+'4'!J20+'3'!J20+'5'!J20+'6'!J20+'7'!J20+'8'!J20+'9'!J20+'10'!J20+'11'!J20+'12'!J20+'13'!J20+'14'!J20+'15'!J20+'16'!J20+'17'!J20+'18'!J20+'19'!J20+'20'!J20</f>
        <v>4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412.59519999999998</v>
      </c>
      <c r="M20" s="118">
        <f t="shared" si="2"/>
        <v>4744.8447999999999</v>
      </c>
      <c r="N20" s="101">
        <f>+'1'!N20+'2'!N20+'4'!N20+'3'!N20+'5'!N20+'6'!N20+'7'!N20+'8'!N20+'9'!N20+'10'!N20</f>
        <v>1107.7890560000001</v>
      </c>
      <c r="O20" s="101">
        <f>+'1'!O20+'2'!O20+'4'!O20+'3'!O20+'5'!O20+'6'!O20+'7'!O20+'8'!O20+'9'!O20+'10'!O20</f>
        <v>119.90626688</v>
      </c>
      <c r="P20" s="120">
        <f t="shared" si="0"/>
        <v>5972.5401228800001</v>
      </c>
      <c r="T20" s="163" t="str">
        <f>+'7'!A5</f>
        <v>Customer Name : Hafiz Store</v>
      </c>
      <c r="U20" s="164">
        <f>+'7'!P35</f>
        <v>3077.6531874000002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64</v>
      </c>
      <c r="I21" s="1">
        <f t="shared" si="1"/>
        <v>4648.96</v>
      </c>
      <c r="J21" s="172">
        <f>+'1'!J21+'2'!J21+'4'!J21+'3'!J21+'5'!J21+'6'!J21+'7'!J21+'8'!J21+'9'!J21+'10'!J21+'11'!J21+'12'!J21+'13'!J21+'14'!J21+'15'!J21+'16'!J21+'17'!J21+'18'!J21+'19'!J21+'20'!J21</f>
        <v>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371.91680000000002</v>
      </c>
      <c r="M21" s="118">
        <f t="shared" si="2"/>
        <v>4277.0432000000001</v>
      </c>
      <c r="N21" s="101">
        <f>+'1'!N21+'2'!N21+'4'!N21+'3'!N21+'5'!N21+'6'!N21+'7'!N21+'8'!N21+'9'!N21+'10'!N21</f>
        <v>972.91110400000002</v>
      </c>
      <c r="O21" s="101">
        <f>+'1'!O21+'2'!O21+'4'!O21+'3'!O21+'5'!O21+'6'!O21+'7'!O21+'8'!O21+'9'!O21+'10'!O21</f>
        <v>108.42013952000001</v>
      </c>
      <c r="P21" s="120">
        <f t="shared" si="0"/>
        <v>5358.3744435199997</v>
      </c>
      <c r="T21" s="163" t="str">
        <f>+'8'!A5</f>
        <v>Customer Name : Shell Petro Mart</v>
      </c>
      <c r="U21" s="164">
        <f>+'8'!P35</f>
        <v>15002.413443000003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70</v>
      </c>
      <c r="I22" s="1">
        <f t="shared" si="1"/>
        <v>2746.1000000000004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96.113500000000016</v>
      </c>
      <c r="L22" s="175">
        <f>+'1'!L22+'2'!L22+'4'!L22+'3'!L22+'5'!L22+'6'!L22+'7'!L22+'8'!L22+'9'!L22+'10'!L22</f>
        <v>137.30500000000004</v>
      </c>
      <c r="M22" s="118">
        <f t="shared" si="2"/>
        <v>2512.6815000000006</v>
      </c>
      <c r="N22" s="101">
        <f>+'1'!N22+'2'!N22+'4'!N22+'3'!N22+'5'!N22+'6'!N22+'7'!N22+'8'!N22+'9'!N22+'10'!N22</f>
        <v>552.78993000000003</v>
      </c>
      <c r="O22" s="101">
        <f>+'1'!O22+'2'!O22+'4'!O22+'3'!O22+'5'!O22+'6'!O22+'7'!O22+'8'!O22+'9'!O22+'10'!O22</f>
        <v>15.327357150000001</v>
      </c>
      <c r="P22" s="120">
        <f t="shared" si="0"/>
        <v>3080.7987871500004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10.225</v>
      </c>
      <c r="D25" s="221"/>
      <c r="E25" s="221"/>
      <c r="F25" s="221"/>
      <c r="G25" s="176">
        <f t="shared" ref="G25:M25" si="3">SUM(G16:G24)</f>
        <v>0</v>
      </c>
      <c r="H25" s="177">
        <f t="shared" si="3"/>
        <v>409</v>
      </c>
      <c r="I25" s="178">
        <f t="shared" si="3"/>
        <v>24586.565000000002</v>
      </c>
      <c r="J25" s="177">
        <f t="shared" si="3"/>
        <v>17</v>
      </c>
      <c r="K25" s="178">
        <f t="shared" si="3"/>
        <v>96.113500000000016</v>
      </c>
      <c r="L25" s="179">
        <f t="shared" si="3"/>
        <v>1884.5422000000001</v>
      </c>
      <c r="M25" s="141">
        <f t="shared" si="3"/>
        <v>22605.909299999999</v>
      </c>
      <c r="N25" s="142">
        <f>SUM(N16:N24)</f>
        <v>5213.9002959999998</v>
      </c>
      <c r="O25" s="143">
        <f>SUM(O16:O24)</f>
        <v>497.69320718000006</v>
      </c>
      <c r="P25" s="144">
        <f>SUM(P16:P24)</f>
        <v>28317.502803179999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28317.502803180003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8" t="s">
        <v>85</v>
      </c>
      <c r="C36" s="229"/>
      <c r="D36" s="229"/>
      <c r="E36" s="229"/>
      <c r="F36" s="229"/>
      <c r="G36" s="229"/>
      <c r="H36" s="229"/>
      <c r="I36" s="229"/>
      <c r="J36" s="229"/>
      <c r="K36" s="229"/>
      <c r="L36" s="230"/>
      <c r="N36" s="237" t="s">
        <v>86</v>
      </c>
      <c r="O36" s="238"/>
      <c r="P36" s="152">
        <f>I25</f>
        <v>24586.565000000002</v>
      </c>
    </row>
    <row r="37" spans="1:21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N37" s="239" t="s">
        <v>87</v>
      </c>
      <c r="O37" s="240"/>
      <c r="P37" s="153">
        <f>L25</f>
        <v>1884.5422000000001</v>
      </c>
    </row>
    <row r="38" spans="1:21" ht="15" customHeight="1" x14ac:dyDescent="0.35">
      <c r="B38" s="231"/>
      <c r="C38" s="232"/>
      <c r="D38" s="232"/>
      <c r="E38" s="232"/>
      <c r="F38" s="232"/>
      <c r="G38" s="232"/>
      <c r="H38" s="232"/>
      <c r="I38" s="232"/>
      <c r="J38" s="232"/>
      <c r="K38" s="232"/>
      <c r="L38" s="233"/>
      <c r="N38" s="239" t="s">
        <v>4</v>
      </c>
      <c r="O38" s="240"/>
      <c r="P38" s="154">
        <f>K25</f>
        <v>96.113500000000016</v>
      </c>
    </row>
    <row r="39" spans="1:21" ht="15" customHeight="1" x14ac:dyDescent="0.35">
      <c r="B39" s="231"/>
      <c r="C39" s="232"/>
      <c r="D39" s="232"/>
      <c r="E39" s="232"/>
      <c r="F39" s="232"/>
      <c r="G39" s="232"/>
      <c r="H39" s="232"/>
      <c r="I39" s="232"/>
      <c r="J39" s="232"/>
      <c r="K39" s="232"/>
      <c r="L39" s="233"/>
      <c r="M39" s="2"/>
      <c r="N39" s="239" t="s">
        <v>88</v>
      </c>
      <c r="O39" s="240"/>
      <c r="P39" s="153">
        <f>P36-P37-P38</f>
        <v>22605.909300000003</v>
      </c>
    </row>
    <row r="40" spans="1:21" ht="15" customHeight="1" x14ac:dyDescent="0.35">
      <c r="B40" s="231"/>
      <c r="C40" s="232"/>
      <c r="D40" s="232"/>
      <c r="E40" s="232"/>
      <c r="F40" s="232"/>
      <c r="G40" s="232"/>
      <c r="H40" s="232"/>
      <c r="I40" s="232"/>
      <c r="J40" s="232"/>
      <c r="K40" s="232"/>
      <c r="L40" s="233"/>
      <c r="M40" s="2"/>
      <c r="N40" s="155" t="s">
        <v>89</v>
      </c>
      <c r="O40" s="156">
        <f>IF(B12="Registered",18%,22%)</f>
        <v>0.22</v>
      </c>
      <c r="P40" s="153">
        <f>N25</f>
        <v>5213.9002959999998</v>
      </c>
    </row>
    <row r="41" spans="1:21" ht="15" customHeight="1" x14ac:dyDescent="0.35">
      <c r="B41" s="231"/>
      <c r="C41" s="232"/>
      <c r="D41" s="232"/>
      <c r="E41" s="232"/>
      <c r="F41" s="232"/>
      <c r="G41" s="232"/>
      <c r="H41" s="232"/>
      <c r="I41" s="232"/>
      <c r="J41" s="232"/>
      <c r="K41" s="232"/>
      <c r="L41" s="233"/>
      <c r="M41" s="2"/>
      <c r="N41" s="241" t="s">
        <v>90</v>
      </c>
      <c r="O41" s="242"/>
      <c r="P41" s="153">
        <f>P39+P40</f>
        <v>27819.809596000003</v>
      </c>
    </row>
    <row r="42" spans="1:21" ht="15" customHeight="1" thickBot="1" x14ac:dyDescent="0.4">
      <c r="B42" s="234"/>
      <c r="C42" s="235"/>
      <c r="D42" s="235"/>
      <c r="E42" s="235"/>
      <c r="F42" s="235"/>
      <c r="G42" s="235"/>
      <c r="H42" s="235"/>
      <c r="I42" s="235"/>
      <c r="J42" s="235"/>
      <c r="K42" s="235"/>
      <c r="L42" s="236"/>
      <c r="M42" s="157"/>
      <c r="N42" s="158" t="s">
        <v>91</v>
      </c>
      <c r="O42" s="159">
        <f>IF(B11="Filer",0.5%,2.5%)</f>
        <v>2.5000000000000001E-2</v>
      </c>
      <c r="P42" s="153">
        <f>O42*P41</f>
        <v>695.49523990000012</v>
      </c>
    </row>
    <row r="43" spans="1:21" ht="15.75" customHeight="1" thickBot="1" x14ac:dyDescent="0.4">
      <c r="N43" s="219" t="s">
        <v>92</v>
      </c>
      <c r="O43" s="220"/>
      <c r="P43" s="160">
        <f>P41+P42</f>
        <v>28515.304835900002</v>
      </c>
    </row>
    <row r="44" spans="1:21" ht="15" thickBot="1" x14ac:dyDescent="0.4">
      <c r="B44" s="161" t="s">
        <v>93</v>
      </c>
      <c r="C44" s="221"/>
      <c r="D44" s="221"/>
      <c r="E44" s="221"/>
      <c r="F44" s="221"/>
      <c r="G44" s="221"/>
      <c r="H44" s="221"/>
      <c r="I44" s="222"/>
      <c r="J44" s="223"/>
      <c r="K44" s="22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7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110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122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3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6"/>
        <v>430.74540000000002</v>
      </c>
      <c r="N22" s="118">
        <f t="shared" si="0"/>
        <v>94.763987999999998</v>
      </c>
      <c r="O22" s="119">
        <f t="shared" si="1"/>
        <v>2.6275469400000002</v>
      </c>
      <c r="P22" s="120">
        <f t="shared" si="2"/>
        <v>528.13693494000006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2.6275469400000002</v>
      </c>
      <c r="P25" s="144">
        <f>SUM(P16:P24)</f>
        <v>528.13693494000006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470.76000000000005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23.538000000000004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16.476600000000005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430.74540000000002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525.50938800000006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2.6275469400000002</v>
      </c>
    </row>
    <row r="35" spans="2:16" ht="15.75" customHeight="1" thickBot="1" x14ac:dyDescent="0.4">
      <c r="N35" s="219" t="s">
        <v>92</v>
      </c>
      <c r="O35" s="220"/>
      <c r="P35" s="160">
        <f>P33+P34</f>
        <v>528.13693494000006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E12" sqref="E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3640272298333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2.6275469400000002</v>
      </c>
      <c r="P22" s="120">
        <f t="shared" si="1"/>
        <v>528.13693494000006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2.6275469400000002</v>
      </c>
      <c r="P25" s="144">
        <f>SUM(P16:P24)</f>
        <v>528.13693494000006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470.76000000000005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23.538000000000004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16.476600000000005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430.74540000000002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525.50938800000006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2.6275469400000002</v>
      </c>
    </row>
    <row r="35" spans="2:16" ht="15.75" customHeight="1" thickBot="1" x14ac:dyDescent="0.4">
      <c r="N35" s="219" t="s">
        <v>92</v>
      </c>
      <c r="O35" s="220"/>
      <c r="P35" s="160">
        <f>P33+P34</f>
        <v>528.13693494000006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7928848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8.7584898000000013</v>
      </c>
      <c r="P25" s="144">
        <f>SUM(P16:P24)</f>
        <v>1760.4564498000002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1569.2000000000003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78.460000000000022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1435.8180000000002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1751.6979600000002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8.7584898000000013</v>
      </c>
    </row>
    <row r="35" spans="2:16" ht="15.75" customHeight="1" thickBot="1" x14ac:dyDescent="0.4">
      <c r="N35" s="219" t="s">
        <v>92</v>
      </c>
      <c r="O35" s="220"/>
      <c r="P35" s="160">
        <f>P33+P34</f>
        <v>1760.4564498000002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activeCell="J18" sqref="J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114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7928848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447.81990000000002</v>
      </c>
      <c r="O17" s="119">
        <f t="shared" ref="O17:O24" si="6">(N17+M17)*$O$15</f>
        <v>11.8921995</v>
      </c>
      <c r="P17" s="120">
        <f t="shared" si="1"/>
        <v>2390.3320994999999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11.8921995</v>
      </c>
      <c r="P25" s="144">
        <f>SUM(P16:P24)</f>
        <v>2390.3320994999999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2098.5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167.88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1930.62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2378.4398999999999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11.8921995</v>
      </c>
    </row>
    <row r="35" spans="2:16" ht="15.75" customHeight="1" thickBot="1" x14ac:dyDescent="0.4">
      <c r="N35" s="219" t="s">
        <v>92</v>
      </c>
      <c r="O35" s="220"/>
      <c r="P35" s="160">
        <f>P33+P34</f>
        <v>2390.3320994999999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4" workbookViewId="0">
      <selection activeCell="J24" sqref="J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116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236.51583999999997</v>
      </c>
      <c r="O19" s="119">
        <f t="shared" si="6"/>
        <v>30.973695999999997</v>
      </c>
      <c r="P19" s="120">
        <f t="shared" si="1"/>
        <v>1269.9215359999998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>
        <v>1</v>
      </c>
      <c r="K20" s="1">
        <f t="shared" si="3"/>
        <v>0</v>
      </c>
      <c r="L20" s="105">
        <f t="shared" si="4"/>
        <v>87.167999999999992</v>
      </c>
      <c r="M20" s="118">
        <f t="shared" si="5"/>
        <v>1002.4319999999999</v>
      </c>
      <c r="N20" s="118">
        <f t="shared" si="0"/>
        <v>236.51583999999997</v>
      </c>
      <c r="O20" s="119">
        <f t="shared" si="6"/>
        <v>30.973695999999997</v>
      </c>
      <c r="P20" s="120">
        <f t="shared" si="1"/>
        <v>1269.9215359999998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20.382784000000001</v>
      </c>
      <c r="P21" s="120">
        <f t="shared" si="1"/>
        <v>835.69414400000005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2673.152</v>
      </c>
      <c r="N25" s="142">
        <f>SUM(N16:N24)</f>
        <v>620.05503999999996</v>
      </c>
      <c r="O25" s="143">
        <f>SUM(O16:O24)</f>
        <v>82.330175999999994</v>
      </c>
      <c r="P25" s="144">
        <f>SUM(P16:P24)</f>
        <v>3375.5372159999997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232.44799999999998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3293.2070400000002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19" t="s">
        <v>92</v>
      </c>
      <c r="O35" s="220"/>
      <c r="P35" s="160">
        <f>P33+P34</f>
        <v>3375.5372160000002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J23" sqref="J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118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3520262710933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</v>
      </c>
      <c r="I19" s="116">
        <f t="shared" si="2"/>
        <v>581.12</v>
      </c>
      <c r="J19" s="117">
        <v>1</v>
      </c>
      <c r="K19" s="1">
        <f t="shared" si="3"/>
        <v>0</v>
      </c>
      <c r="L19" s="105">
        <f t="shared" si="4"/>
        <v>46.489600000000003</v>
      </c>
      <c r="M19" s="118">
        <f t="shared" si="5"/>
        <v>534.63040000000001</v>
      </c>
      <c r="N19" s="118">
        <f t="shared" si="0"/>
        <v>133.59948800000001</v>
      </c>
      <c r="O19" s="119">
        <f t="shared" si="6"/>
        <v>3.3411494400000006</v>
      </c>
      <c r="P19" s="120">
        <f t="shared" si="1"/>
        <v>671.57103744000005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</v>
      </c>
      <c r="I20" s="116">
        <f t="shared" si="2"/>
        <v>290.56</v>
      </c>
      <c r="J20" s="117"/>
      <c r="K20" s="1">
        <f t="shared" si="3"/>
        <v>0</v>
      </c>
      <c r="L20" s="105">
        <f t="shared" si="4"/>
        <v>23.244800000000001</v>
      </c>
      <c r="M20" s="118">
        <f t="shared" si="5"/>
        <v>267.3152</v>
      </c>
      <c r="N20" s="118">
        <f t="shared" si="0"/>
        <v>58.809344000000003</v>
      </c>
      <c r="O20" s="119">
        <f t="shared" si="6"/>
        <v>1.6306227200000001</v>
      </c>
      <c r="P20" s="120">
        <f t="shared" si="1"/>
        <v>327.75516672000003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</v>
      </c>
      <c r="I21" s="116">
        <f t="shared" si="2"/>
        <v>581.12</v>
      </c>
      <c r="J21" s="117"/>
      <c r="K21" s="1">
        <f t="shared" si="3"/>
        <v>0</v>
      </c>
      <c r="L21" s="105">
        <f t="shared" si="4"/>
        <v>46.489600000000003</v>
      </c>
      <c r="M21" s="118">
        <f t="shared" si="5"/>
        <v>534.63040000000001</v>
      </c>
      <c r="N21" s="118">
        <f t="shared" si="0"/>
        <v>117.61868800000001</v>
      </c>
      <c r="O21" s="119">
        <f t="shared" si="6"/>
        <v>3.2612454400000002</v>
      </c>
      <c r="P21" s="120">
        <f t="shared" si="1"/>
        <v>655.51033344000007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</v>
      </c>
      <c r="I25" s="137">
        <f t="shared" si="9"/>
        <v>1452.8000000000002</v>
      </c>
      <c r="J25" s="138"/>
      <c r="K25" s="139">
        <f t="shared" si="9"/>
        <v>0</v>
      </c>
      <c r="L25" s="140">
        <f t="shared" si="9"/>
        <v>116.22400000000002</v>
      </c>
      <c r="M25" s="141">
        <f t="shared" si="9"/>
        <v>1336.576</v>
      </c>
      <c r="N25" s="142">
        <f>SUM(N16:N24)</f>
        <v>310.02752000000004</v>
      </c>
      <c r="O25" s="143">
        <f>SUM(O16:O24)</f>
        <v>8.2330176000000002</v>
      </c>
      <c r="P25" s="144">
        <f>SUM(P16:P24)</f>
        <v>1654.8365376000002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1452.8000000000002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116.22400000000002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1336.5760000000002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310.02752000000004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1646.6035200000003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8.2330176000000019</v>
      </c>
    </row>
    <row r="35" spans="2:16" ht="15.75" customHeight="1" thickBot="1" x14ac:dyDescent="0.4">
      <c r="N35" s="219" t="s">
        <v>92</v>
      </c>
      <c r="O35" s="220"/>
      <c r="P35" s="160">
        <f>P33+P34</f>
        <v>1654.8365376000004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J21" sqref="J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118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14368567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I16*$K$13</f>
        <v>0</v>
      </c>
      <c r="L16" s="105">
        <f>I16*8%</f>
        <v>25.181999999999999</v>
      </c>
      <c r="M16" s="106">
        <f>I16-K16-L16</f>
        <v>289.59299999999996</v>
      </c>
      <c r="N16" s="106">
        <f t="shared" ref="N16:N24" si="0">(M16*$N$15)+(J16*F16)*$N$15</f>
        <v>63.710459999999991</v>
      </c>
      <c r="O16" s="107">
        <f>(N16+M16)*$O$15</f>
        <v>1.7665172999999998</v>
      </c>
      <c r="P16" s="105">
        <f t="shared" ref="P16:P24" si="1">M16+N16+O16</f>
        <v>355.06997729999995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>
        <v>1</v>
      </c>
      <c r="K17" s="1">
        <f t="shared" ref="K17:K21" si="3">I17*$K$13</f>
        <v>0</v>
      </c>
      <c r="L17" s="105">
        <f t="shared" ref="L17:L21" si="4">I17*8%</f>
        <v>50.363999999999997</v>
      </c>
      <c r="M17" s="118">
        <f t="shared" ref="M17:M23" si="5">I17-K17-L17</f>
        <v>579.18599999999992</v>
      </c>
      <c r="N17" s="118">
        <f t="shared" si="0"/>
        <v>138.96266999999997</v>
      </c>
      <c r="O17" s="119">
        <f t="shared" ref="O17:O24" si="6">(N17+M17)*$O$15</f>
        <v>3.5907433499999999</v>
      </c>
      <c r="P17" s="120">
        <f t="shared" si="1"/>
        <v>721.73941334999995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3</v>
      </c>
      <c r="I19" s="116">
        <f t="shared" si="2"/>
        <v>217.92000000000002</v>
      </c>
      <c r="J19" s="117"/>
      <c r="K19" s="1">
        <f t="shared" si="3"/>
        <v>0</v>
      </c>
      <c r="L19" s="105">
        <f t="shared" si="4"/>
        <v>17.433600000000002</v>
      </c>
      <c r="M19" s="118">
        <f t="shared" si="5"/>
        <v>200.4864</v>
      </c>
      <c r="N19" s="118">
        <f t="shared" si="0"/>
        <v>44.107008</v>
      </c>
      <c r="O19" s="119">
        <f t="shared" si="6"/>
        <v>1.2229670400000001</v>
      </c>
      <c r="P19" s="120">
        <f t="shared" si="1"/>
        <v>245.81637504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>
        <v>1</v>
      </c>
      <c r="K20" s="1">
        <f t="shared" si="3"/>
        <v>0</v>
      </c>
      <c r="L20" s="105">
        <f t="shared" si="4"/>
        <v>69.734400000000008</v>
      </c>
      <c r="M20" s="118">
        <f t="shared" si="5"/>
        <v>801.94560000000001</v>
      </c>
      <c r="N20" s="118">
        <f t="shared" si="0"/>
        <v>192.40883199999999</v>
      </c>
      <c r="O20" s="119">
        <f t="shared" si="6"/>
        <v>4.9717721599999996</v>
      </c>
      <c r="P20" s="120">
        <f t="shared" si="1"/>
        <v>999.32620415999997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88.214016000000001</v>
      </c>
      <c r="O21" s="119">
        <f t="shared" si="6"/>
        <v>2.4459340800000002</v>
      </c>
      <c r="P21" s="120">
        <f t="shared" si="1"/>
        <v>491.63275007999999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">
        <f>I22*3.5%</f>
        <v>8.2383000000000024</v>
      </c>
      <c r="L22" s="120">
        <f>I22*5%</f>
        <v>11.769000000000002</v>
      </c>
      <c r="M22" s="118">
        <f t="shared" si="5"/>
        <v>215.37270000000001</v>
      </c>
      <c r="N22" s="118">
        <f t="shared" si="0"/>
        <v>47.381993999999999</v>
      </c>
      <c r="O22" s="119">
        <f t="shared" si="6"/>
        <v>1.3137734700000001</v>
      </c>
      <c r="P22" s="120">
        <f t="shared" si="1"/>
        <v>264.06846747000003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45</v>
      </c>
      <c r="I25" s="137">
        <f t="shared" si="9"/>
        <v>2705.145</v>
      </c>
      <c r="J25" s="138"/>
      <c r="K25" s="139">
        <f t="shared" si="9"/>
        <v>8.2383000000000024</v>
      </c>
      <c r="L25" s="140">
        <f t="shared" si="9"/>
        <v>209.3502</v>
      </c>
      <c r="M25" s="141">
        <f t="shared" si="9"/>
        <v>2487.5564999999997</v>
      </c>
      <c r="N25" s="142">
        <f>SUM(N16:N24)</f>
        <v>574.7849799999999</v>
      </c>
      <c r="O25" s="143">
        <f>SUM(O16:O24)</f>
        <v>15.3117074</v>
      </c>
      <c r="P25" s="144">
        <f>SUM(P16:P24)</f>
        <v>3077.6531873999998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2705.145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209.3502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8.2383000000000024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2487.5565000000001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574.7849799999999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3062.34148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15.311707400000001</v>
      </c>
    </row>
    <row r="35" spans="2:16" ht="15.75" customHeight="1" thickBot="1" x14ac:dyDescent="0.4">
      <c r="N35" s="219" t="s">
        <v>92</v>
      </c>
      <c r="O35" s="220"/>
      <c r="P35" s="160">
        <f>P33+P34</f>
        <v>3077.6531874000002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7" workbookViewId="0">
      <selection activeCell="N11" sqref="N11:P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121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H13" t="s">
        <v>123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447.81990000000002</v>
      </c>
      <c r="O16" s="107">
        <f>(N16+M16)*$O$15</f>
        <v>59.460997499999998</v>
      </c>
      <c r="P16" s="105">
        <f t="shared" ref="P16:P24" si="1">M16+N16+O16</f>
        <v>2437.9008974999997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447.81990000000002</v>
      </c>
      <c r="O17" s="119">
        <f t="shared" ref="O17:O24" si="6">(N17+M17)*$O$15</f>
        <v>59.460997499999998</v>
      </c>
      <c r="P17" s="120">
        <f t="shared" si="1"/>
        <v>2437.9008974999997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82.330176000000009</v>
      </c>
      <c r="P19" s="120">
        <f t="shared" si="1"/>
        <v>3375.5372160000002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82.330176000000009</v>
      </c>
      <c r="P20" s="120">
        <f t="shared" si="1"/>
        <v>3375.5372160000002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82.330176000000009</v>
      </c>
      <c r="P21" s="120">
        <f t="shared" si="1"/>
        <v>3375.5372160000002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200</v>
      </c>
      <c r="I25" s="137">
        <f t="shared" si="9"/>
        <v>12913.800000000001</v>
      </c>
      <c r="J25" s="138"/>
      <c r="K25" s="139">
        <f t="shared" si="9"/>
        <v>0</v>
      </c>
      <c r="L25" s="140">
        <f t="shared" si="9"/>
        <v>1033.104</v>
      </c>
      <c r="M25" s="141">
        <f t="shared" si="9"/>
        <v>11880.696</v>
      </c>
      <c r="N25" s="142">
        <f>SUM(N16:N24)</f>
        <v>2755.8049200000005</v>
      </c>
      <c r="O25" s="143">
        <f>SUM(O16:O24)</f>
        <v>365.91252300000002</v>
      </c>
      <c r="P25" s="144">
        <f>SUM(P16:P24)</f>
        <v>15002.413443000001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12913.800000000001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1033.104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11880.696000000002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2755.8049200000005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14636.500920000002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365.91252300000008</v>
      </c>
    </row>
    <row r="35" spans="2:16" ht="15.75" customHeight="1" thickBot="1" x14ac:dyDescent="0.4">
      <c r="N35" s="219" t="s">
        <v>92</v>
      </c>
      <c r="O35" s="220"/>
      <c r="P35" s="160">
        <f>P33+P34</f>
        <v>15002.413443000003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2026-06-30T12:44:40Z</dcterms:modified>
</cp:coreProperties>
</file>