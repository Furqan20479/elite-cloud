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291A3D0-1731-4C42-A945-06A59D6ABF7C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33" i="15" l="1"/>
  <c r="T32" i="15"/>
  <c r="T31" i="15"/>
  <c r="T30" i="15"/>
  <c r="T29" i="15"/>
  <c r="U33" i="15"/>
  <c r="U32" i="15"/>
  <c r="U31" i="15"/>
  <c r="U30" i="15"/>
  <c r="U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18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22" i="15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<sst xmlns="http://schemas.openxmlformats.org/spreadsheetml/2006/main" count="1581" uniqueCount="114">
  <si>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</si>
  <si>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</si>
  <si>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</si>
  <si>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</si>
  <si>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</si>
  <si>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</si>
  <si>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</si>
  <si>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</si>
  <si>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</si>
  <si>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</si>
  <si>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</si>
  <si>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</si>
  <si>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</si>
  <si>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</si>
  <si>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</si>
  <si>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</si>
  <si>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</si>
  <si>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</si>
  <si>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</si>
  <si>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</si>
  <si>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</si>
  <si>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</si>
  <si>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</si>
  <si>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</si>
  <si>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</si>
  <si>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</si>
  <si>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</si>
  <si>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</si>
  <si>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</si>
  <si>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</si>
  <si>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</si>
  <si>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</si>
  <si>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</si>
  <si>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</si>
  <si>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</si>
  <si>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</si>
  <si>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</si>
  <si>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</si>
  <si>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</si>
  <si>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</si>
  <si>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</si>
  <si>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</si>
  <si>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</si>
  <si>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</si>
  <si>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</si>
  <si>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</si>
  <si>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</si>
  <si>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</si>
  <si>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</si>
  <si>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</si>
  <si>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</si>
  <si>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</si>
  <si>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</si>
  <si>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</si>
  <si>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</si>
  <si>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</si>
  <si>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</si>
  <si>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</si>
  <si>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</si>
  <si>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</si>
  <si>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</si>
  <si>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</si>
  <si>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</si>
  <si>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</si>
  <si>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</si>
  <si>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</si>
  <si>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</si>
  <si>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</si>
  <si>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</si>
  <si>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</si>
  <si>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</si>
  <si>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</si>
  <si>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</si>
  <si>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</si>
  <si>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</si>
  <si>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</si>
  <si>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</si>
  <si>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</si>
  <si>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</si>
  <si>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</si>
  <si>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</si>
  <si>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</si>
  <si>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</si>
  <si>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</si>
  <si>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</si>
  <si>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</si>
  <si>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</si>
  <si>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</si>
  <si>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</si>
  <si>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</si>
  <si>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</si>
  <si>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</si>
  <si>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</si>
  <si>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</si>
  <si>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</si>
  <si>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</si>
  <si>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</si>
  <si>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</si>
  <si>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</si>
  <si>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</si>
  <si>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</si>
  <si>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</si>
  <si>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</si>
  <si>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</si>
  <si>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</si>
  <si>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</si>
  <si>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</si>
  <si>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</si>
  <si>
    <t xml:space="preserve">Customer Name : Shaheen Store </t>
  </si>
  <si>
    <t>Address: Falcon Society</t>
  </si>
  <si>
    <t>Customer Name : :Lala G Super Store</t>
  </si>
  <si>
    <t>Customer Name : Ajwa Bakers</t>
  </si>
  <si>
    <t>Customer Name : New Way Store</t>
  </si>
  <si>
    <t>Address: Walton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</si>
</sst>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3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Shaheen Store </v>
      </c>
      <c r="U14" s="164">
        <f>+'1'!P35</f>
        <v>3309.6730752000003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:Lala G Super Store</v>
      </c>
      <c r="U15" s="164">
        <f>+'2'!P35</f>
        <v>1460.3744797499999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12</v>
      </c>
      <c r="I16" s="1">
        <f>(G16*D16)*F16+H16*F16</f>
        <v>629.54999999999995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50.363999999999997</v>
      </c>
      <c r="M16" s="106">
        <f>I16-K16-L16</f>
        <v>579.18599999999992</v>
      </c>
      <c r="N16" s="101">
        <f>+'1'!N16+'2'!N16+'4'!N16+'3'!N16+'5'!N16+'6'!N16+'7'!N16+'8'!N16+'9'!N16+'10'!N16</f>
        <v>127.42091999999998</v>
      </c>
      <c r="O16" s="101">
        <f>+'1'!O16+'2'!O16+'4'!O16+'3'!O16+'5'!O16+'6'!O16+'7'!O16+'8'!O16+'9'!O16+'10'!O16</f>
        <v>17.665172999999999</v>
      </c>
      <c r="P16" s="105">
        <f t="shared" ref="P16:P24" si="0">M16+N16+O16</f>
        <v>724.27209299999993</v>
      </c>
      <c r="Q16" s="108"/>
      <c r="T16" s="163" t="str">
        <f>+'3'!A5</f>
        <v>Customer Name : Ajwa Bakers</v>
      </c>
      <c r="U16" s="164">
        <f>+'3'!P35</f>
        <v>3375.5372160000002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12</v>
      </c>
      <c r="I17" s="1">
        <f t="shared" ref="I17:I23" si="1">(G17*D17)*F17+H17*F17</f>
        <v>629.54999999999995</v>
      </c>
      <c r="J17" s="172">
        <f>+'1'!J17+'2'!J17+'4'!J17+'3'!J17+'5'!J17+'6'!J17+'7'!J17+'8'!J17+'9'!J17+'10'!J17+'11'!J17+'12'!J17+'13'!J17+'14'!J17+'15'!J17+'16'!J17+'17'!J17+'18'!J17+'19'!J17+'20'!J17</f>
        <v>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50.363999999999997</v>
      </c>
      <c r="M17" s="118">
        <f t="shared" ref="M17:M23" si="2">I17-K17-L17</f>
        <v>579.18599999999992</v>
      </c>
      <c r="N17" s="101">
        <f>+'1'!N17+'2'!N17+'4'!N17+'3'!N17+'5'!N17+'6'!N17+'7'!N17+'8'!N17+'9'!N17+'10'!N17</f>
        <v>138.96266999999997</v>
      </c>
      <c r="O17" s="101">
        <f>+'1'!O17+'2'!O17+'4'!O17+'3'!O17+'5'!O17+'6'!O17+'7'!O17+'8'!O17+'9'!O17+'10'!O17</f>
        <v>17.953716749999998</v>
      </c>
      <c r="P17" s="120">
        <f t="shared" si="0"/>
        <v>736.10238674999994</v>
      </c>
      <c r="S17" s="64"/>
      <c r="T17" s="163" t="str">
        <f>+'4'!A5</f>
        <v>Customer Name : New Way Store</v>
      </c>
      <c r="U17" s="164">
        <f>+'4'!P35</f>
        <v>8683.1093550000005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23</v>
      </c>
      <c r="I19" s="1">
        <f t="shared" si="1"/>
        <v>1670.72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133.6576</v>
      </c>
      <c r="M19" s="118">
        <f t="shared" si="2"/>
        <v>1537.0624</v>
      </c>
      <c r="N19" s="101">
        <f>+'1'!N19+'2'!N19+'4'!N19+'3'!N19+'5'!N19+'6'!N19+'7'!N19+'8'!N19+'9'!N19+'10'!N19</f>
        <v>338.153728</v>
      </c>
      <c r="O19" s="101">
        <f>+'1'!O19+'2'!O19+'4'!O19+'3'!O19+'5'!O19+'6'!O19+'7'!O19+'8'!O19+'9'!O19+'10'!O19</f>
        <v>25.68230784</v>
      </c>
      <c r="P19" s="120">
        <f t="shared" si="0"/>
        <v>1900.89843584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28</v>
      </c>
      <c r="I20" s="1">
        <f t="shared" si="1"/>
        <v>2033.92</v>
      </c>
      <c r="J20" s="172">
        <f>+'1'!J20+'2'!J20+'4'!J20+'3'!J20+'5'!J20+'6'!J20+'7'!J20+'8'!J20+'9'!J20+'10'!J20+'11'!J20+'12'!J20+'13'!J20+'14'!J20+'15'!J20+'16'!J20+'17'!J20+'18'!J20+'19'!J20+'20'!J20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162.71359999999999</v>
      </c>
      <c r="M20" s="118">
        <f t="shared" si="2"/>
        <v>1871.2064</v>
      </c>
      <c r="N20" s="101">
        <f>+'1'!N20+'2'!N20+'4'!N20+'3'!N20+'5'!N20+'6'!N20+'7'!N20+'8'!N20+'9'!N20+'10'!N20</f>
        <v>443.62700799999993</v>
      </c>
      <c r="O20" s="101">
        <f>+'1'!O20+'2'!O20+'4'!O20+'3'!O20+'5'!O20+'6'!O20+'7'!O20+'8'!O20+'9'!O20+'10'!O20</f>
        <v>36.353123839999995</v>
      </c>
      <c r="P20" s="120">
        <f t="shared" si="0"/>
        <v>2351.18653184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29</v>
      </c>
      <c r="I21" s="1">
        <f t="shared" si="1"/>
        <v>2106.56</v>
      </c>
      <c r="J21" s="172">
        <f>+'1'!J21+'2'!J21+'4'!J21+'3'!J21+'5'!J21+'6'!J21+'7'!J21+'8'!J21+'9'!J21+'10'!J21+'11'!J21+'12'!J21+'13'!J21+'14'!J21+'15'!J21+'16'!J21+'17'!J21+'18'!J21+'19'!J21+'20'!J21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168.5248</v>
      </c>
      <c r="M21" s="118">
        <f t="shared" si="2"/>
        <v>1938.0352</v>
      </c>
      <c r="N21" s="101">
        <f>+'1'!N21+'2'!N21+'4'!N21+'3'!N21+'5'!N21+'6'!N21+'7'!N21+'8'!N21+'9'!N21+'10'!N21</f>
        <v>458.32934399999999</v>
      </c>
      <c r="O21" s="101">
        <f>+'1'!O21+'2'!O21+'4'!O21+'3'!O21+'5'!O21+'6'!O21+'7'!O21+'8'!O21+'9'!O21+'10'!O21</f>
        <v>36.76077952</v>
      </c>
      <c r="P21" s="120">
        <f t="shared" si="0"/>
        <v>2433.1253235200002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200</v>
      </c>
      <c r="I22" s="1">
        <f t="shared" si="1"/>
        <v>7846.0000000000009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274.61000000000007</v>
      </c>
      <c r="L22" s="175">
        <f>+'1'!L22+'2'!L22+'4'!L22+'3'!L22+'5'!L22+'6'!L22+'7'!L22+'8'!L22+'9'!L22+'10'!L22</f>
        <v>392.30000000000007</v>
      </c>
      <c r="M22" s="118">
        <f t="shared" si="2"/>
        <v>7179.0900000000011</v>
      </c>
      <c r="N22" s="101">
        <f>+'1'!N22+'2'!N22+'4'!N22+'3'!N22+'5'!N22+'6'!N22+'7'!N22+'8'!N22+'9'!N22+'10'!N22</f>
        <v>1292.2362000000001</v>
      </c>
      <c r="O22" s="101">
        <f>+'1'!O22+'2'!O22+'4'!O22+'3'!O22+'5'!O22+'6'!O22+'7'!O22+'8'!O22+'9'!O22+'10'!O22</f>
        <v>211.78315500000005</v>
      </c>
      <c r="P22" s="120">
        <f t="shared" si="0"/>
        <v>8683.1093550000005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7.6</v>
      </c>
      <c r="D25" s="205"/>
      <c r="E25" s="205"/>
      <c r="F25" s="205"/>
      <c r="G25" s="176">
        <f t="shared" ref="G25:M25" si="3">SUM(G16:G24)</f>
        <v>0</v>
      </c>
      <c r="H25" s="177">
        <f t="shared" si="3"/>
        <v>304</v>
      </c>
      <c r="I25" s="178">
        <f t="shared" si="3"/>
        <v>14916.3</v>
      </c>
      <c r="J25" s="177">
        <f t="shared" si="3"/>
        <v>5</v>
      </c>
      <c r="K25" s="178">
        <f t="shared" si="3"/>
        <v>274.61000000000007</v>
      </c>
      <c r="L25" s="179">
        <f t="shared" si="3"/>
        <v>957.92400000000009</v>
      </c>
      <c r="M25" s="141">
        <f t="shared" si="3"/>
        <v>13683.766000000001</v>
      </c>
      <c r="N25" s="142">
        <f>SUM(N16:N24)</f>
        <v>2798.7298700000001</v>
      </c>
      <c r="O25" s="143">
        <f>SUM(O16:O24)</f>
        <v>346.19825595000003</v>
      </c>
      <c r="P25" s="144">
        <f>SUM(P16:P24)</f>
        <v>16828.694125950002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16828.694125950002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12" t="s">
        <v>85</v>
      </c>
      <c r="C36" s="213"/>
      <c r="D36" s="213"/>
      <c r="E36" s="213"/>
      <c r="F36" s="213"/>
      <c r="G36" s="213"/>
      <c r="H36" s="213"/>
      <c r="I36" s="213"/>
      <c r="J36" s="213"/>
      <c r="K36" s="213"/>
      <c r="L36" s="214"/>
      <c r="N36" s="221" t="s">
        <v>86</v>
      </c>
      <c r="O36" s="222"/>
      <c r="P36" s="152">
        <f>I25</f>
        <v>14916.3</v>
      </c>
    </row>
    <row r="37" spans="1:21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N37" s="223" t="s">
        <v>87</v>
      </c>
      <c r="O37" s="224"/>
      <c r="P37" s="153">
        <f>L25</f>
        <v>957.92400000000009</v>
      </c>
    </row>
    <row r="38" spans="1:21" ht="15" customHeight="1" x14ac:dyDescent="0.35">
      <c r="B38" s="215"/>
      <c r="C38" s="216"/>
      <c r="D38" s="216"/>
      <c r="E38" s="216"/>
      <c r="F38" s="216"/>
      <c r="G38" s="216"/>
      <c r="H38" s="216"/>
      <c r="I38" s="216"/>
      <c r="J38" s="216"/>
      <c r="K38" s="216"/>
      <c r="L38" s="217"/>
      <c r="N38" s="223" t="s">
        <v>4</v>
      </c>
      <c r="O38" s="224"/>
      <c r="P38" s="154">
        <f>K25</f>
        <v>274.61000000000007</v>
      </c>
    </row>
    <row r="39" spans="1:21" ht="15" customHeight="1" x14ac:dyDescent="0.35">
      <c r="B39" s="215"/>
      <c r="C39" s="216"/>
      <c r="D39" s="216"/>
      <c r="E39" s="216"/>
      <c r="F39" s="216"/>
      <c r="G39" s="216"/>
      <c r="H39" s="216"/>
      <c r="I39" s="216"/>
      <c r="J39" s="216"/>
      <c r="K39" s="216"/>
      <c r="L39" s="217"/>
      <c r="M39" s="2"/>
      <c r="N39" s="223" t="s">
        <v>88</v>
      </c>
      <c r="O39" s="224"/>
      <c r="P39" s="153">
        <f>P36-P37-P38</f>
        <v>13683.765999999998</v>
      </c>
    </row>
    <row r="40" spans="1:21" ht="15" customHeight="1" x14ac:dyDescent="0.35">
      <c r="B40" s="215"/>
      <c r="C40" s="216"/>
      <c r="D40" s="216"/>
      <c r="E40" s="216"/>
      <c r="F40" s="216"/>
      <c r="G40" s="216"/>
      <c r="H40" s="216"/>
      <c r="I40" s="216"/>
      <c r="J40" s="216"/>
      <c r="K40" s="216"/>
      <c r="L40" s="217"/>
      <c r="M40" s="2"/>
      <c r="N40" s="155" t="s">
        <v>89</v>
      </c>
      <c r="O40" s="156">
        <f>IF(B12="Registered",18%,22%)</f>
        <v>0.22</v>
      </c>
      <c r="P40" s="153">
        <f>N25</f>
        <v>2798.7298700000001</v>
      </c>
    </row>
    <row r="41" spans="1:21" ht="15" customHeight="1" x14ac:dyDescent="0.35">
      <c r="B41" s="215"/>
      <c r="C41" s="216"/>
      <c r="D41" s="216"/>
      <c r="E41" s="216"/>
      <c r="F41" s="216"/>
      <c r="G41" s="216"/>
      <c r="H41" s="216"/>
      <c r="I41" s="216"/>
      <c r="J41" s="216"/>
      <c r="K41" s="216"/>
      <c r="L41" s="217"/>
      <c r="M41" s="2"/>
      <c r="N41" s="225" t="s">
        <v>90</v>
      </c>
      <c r="O41" s="226"/>
      <c r="P41" s="153">
        <f>P39+P40</f>
        <v>16482.495869999999</v>
      </c>
    </row>
    <row r="42" spans="1:21" ht="15" customHeight="1" thickBot="1" x14ac:dyDescent="0.4">
      <c r="B42" s="218"/>
      <c r="C42" s="219"/>
      <c r="D42" s="219"/>
      <c r="E42" s="219"/>
      <c r="F42" s="219"/>
      <c r="G42" s="219"/>
      <c r="H42" s="219"/>
      <c r="I42" s="219"/>
      <c r="J42" s="219"/>
      <c r="K42" s="219"/>
      <c r="L42" s="220"/>
      <c r="M42" s="157"/>
      <c r="N42" s="158" t="s">
        <v>91</v>
      </c>
      <c r="O42" s="159">
        <f>IF(B11="Filer",0.5%,2.5%)</f>
        <v>2.5000000000000001E-2</v>
      </c>
      <c r="P42" s="153">
        <f>O42*P41</f>
        <v>412.06239675</v>
      </c>
    </row>
    <row r="43" spans="1:21" ht="15.75" customHeight="1" thickBot="1" x14ac:dyDescent="0.4">
      <c r="N43" s="203" t="s">
        <v>92</v>
      </c>
      <c r="O43" s="204"/>
      <c r="P43" s="160">
        <f>P41+P42</f>
        <v>16894.558266749998</v>
      </c>
    </row>
    <row r="44" spans="1:21" ht="15" thickBot="1" x14ac:dyDescent="0.4">
      <c r="B44" s="161" t="s">
        <v>93</v>
      </c>
      <c r="C44" s="205"/>
      <c r="D44" s="205"/>
      <c r="E44" s="205"/>
      <c r="F44" s="205"/>
      <c r="G44" s="205"/>
      <c r="H44" s="205"/>
      <c r="I44" s="206"/>
      <c r="J44" s="207"/>
      <c r="K44" s="20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J16" sqref="J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3"/>
        <v>944.32</v>
      </c>
      <c r="J19" s="117"/>
      <c r="K19" s="1">
        <f t="shared" si="4"/>
        <v>0</v>
      </c>
      <c r="L19" s="105">
        <f t="shared" si="5"/>
        <v>75.545600000000007</v>
      </c>
      <c r="M19" s="118">
        <f t="shared" si="6"/>
        <v>868.77440000000001</v>
      </c>
      <c r="N19" s="118">
        <f t="shared" si="0"/>
        <v>191.130368</v>
      </c>
      <c r="O19" s="119">
        <f t="shared" si="1"/>
        <v>5.2995238400000009</v>
      </c>
      <c r="P19" s="120">
        <f t="shared" si="2"/>
        <v>1065.20429184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3"/>
        <v>944.32</v>
      </c>
      <c r="J20" s="117">
        <v>1</v>
      </c>
      <c r="K20" s="1">
        <f t="shared" si="4"/>
        <v>0</v>
      </c>
      <c r="L20" s="105">
        <f t="shared" si="5"/>
        <v>75.545600000000007</v>
      </c>
      <c r="M20" s="118">
        <f t="shared" si="6"/>
        <v>868.77440000000001</v>
      </c>
      <c r="N20" s="118">
        <f t="shared" si="0"/>
        <v>207.11116799999999</v>
      </c>
      <c r="O20" s="119">
        <f t="shared" si="1"/>
        <v>5.37942784</v>
      </c>
      <c r="P20" s="120">
        <f t="shared" si="2"/>
        <v>1081.26499584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3"/>
        <v>1016.96</v>
      </c>
      <c r="J21" s="117">
        <v>1</v>
      </c>
      <c r="K21" s="1">
        <f t="shared" si="4"/>
        <v>0</v>
      </c>
      <c r="L21" s="105">
        <f t="shared" si="5"/>
        <v>81.356800000000007</v>
      </c>
      <c r="M21" s="118">
        <f t="shared" si="6"/>
        <v>935.60320000000002</v>
      </c>
      <c r="N21" s="118">
        <f t="shared" si="0"/>
        <v>221.81350399999999</v>
      </c>
      <c r="O21" s="119">
        <f t="shared" si="1"/>
        <v>5.7870835200000004</v>
      </c>
      <c r="P21" s="120">
        <f t="shared" si="2"/>
        <v>1163.2037875199999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0</v>
      </c>
      <c r="L25" s="140">
        <f t="shared" si="9"/>
        <v>232.44800000000004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2905.6000000000004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17.665172999999999</v>
      </c>
      <c r="P16" s="105">
        <f t="shared" ref="P16:P24" si="1">M16+N16+O16</f>
        <v>724.27209299999993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>
        <v>1</v>
      </c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138.96266999999997</v>
      </c>
      <c r="O17" s="119">
        <f t="shared" ref="O17:O24" si="6">(N17+M17)*$O$15</f>
        <v>17.953716749999998</v>
      </c>
      <c r="P17" s="120">
        <f t="shared" si="1"/>
        <v>736.10238674999994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</v>
      </c>
      <c r="I25" s="137">
        <f t="shared" si="9"/>
        <v>1259.0999999999999</v>
      </c>
      <c r="J25" s="138"/>
      <c r="K25" s="139">
        <f t="shared" si="9"/>
        <v>0</v>
      </c>
      <c r="L25" s="140">
        <f t="shared" si="9"/>
        <v>100.72799999999999</v>
      </c>
      <c r="M25" s="141">
        <f t="shared" si="9"/>
        <v>1158.3719999999998</v>
      </c>
      <c r="N25" s="142">
        <f>SUM(N16:N24)</f>
        <v>266.38358999999997</v>
      </c>
      <c r="O25" s="143">
        <f>SUM(O16:O24)</f>
        <v>35.618889749999994</v>
      </c>
      <c r="P25" s="144">
        <f>SUM(P16:P24)</f>
        <v>1460.3744797499999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1259.0999999999999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100.72799999999999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1158.3719999999998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266.38358999999997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1424.7555899999998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35.618889749999994</v>
      </c>
    </row>
    <row r="35" spans="2:16" ht="15.75" customHeight="1" thickBot="1" x14ac:dyDescent="0.4">
      <c r="N35" s="203" t="s">
        <v>92</v>
      </c>
      <c r="O35" s="204"/>
      <c r="P35" s="160">
        <f>P33+P34</f>
        <v>1460.3744797499999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20.382784000000001</v>
      </c>
      <c r="P19" s="120">
        <f t="shared" si="1"/>
        <v>835.69414400000005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1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236.51583999999997</v>
      </c>
      <c r="O20" s="119">
        <f t="shared" si="6"/>
        <v>30.973695999999997</v>
      </c>
      <c r="P20" s="120">
        <f t="shared" si="1"/>
        <v>1269.9215359999998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>
        <v>1</v>
      </c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236.51583999999997</v>
      </c>
      <c r="O21" s="119">
        <f t="shared" si="6"/>
        <v>30.973695999999997</v>
      </c>
      <c r="P21" s="120">
        <f t="shared" si="1"/>
        <v>1269.9215359999998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3375.5372159999997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3" t="s">
        <v>92</v>
      </c>
      <c r="O35" s="204"/>
      <c r="P35" s="160">
        <f>P33+P34</f>
        <v>3375.5372160000002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200</v>
      </c>
      <c r="I22" s="116">
        <f t="shared" si="2"/>
        <v>7846.0000000000009</v>
      </c>
      <c r="J22" s="117"/>
      <c r="K22" s="1">
        <f>I22*3.5%</f>
        <v>274.61000000000007</v>
      </c>
      <c r="L22" s="120">
        <f>I22*5%</f>
        <v>392.30000000000007</v>
      </c>
      <c r="M22" s="118">
        <f t="shared" si="5"/>
        <v>7179.0900000000011</v>
      </c>
      <c r="N22" s="118">
        <f t="shared" si="0"/>
        <v>1292.2362000000001</v>
      </c>
      <c r="O22" s="119">
        <f t="shared" si="6"/>
        <v>211.78315500000005</v>
      </c>
      <c r="P22" s="120">
        <f t="shared" si="1"/>
        <v>8683.1093550000005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200</v>
      </c>
      <c r="I25" s="137">
        <f t="shared" si="9"/>
        <v>7846.0000000000009</v>
      </c>
      <c r="J25" s="138"/>
      <c r="K25" s="139">
        <f t="shared" si="9"/>
        <v>274.61000000000007</v>
      </c>
      <c r="L25" s="140">
        <f t="shared" si="9"/>
        <v>392.30000000000007</v>
      </c>
      <c r="M25" s="141">
        <f t="shared" si="9"/>
        <v>7179.0900000000011</v>
      </c>
      <c r="N25" s="142">
        <f>SUM(N16:N24)</f>
        <v>1292.2362000000001</v>
      </c>
      <c r="O25" s="143">
        <f>SUM(O16:O24)</f>
        <v>211.78315500000005</v>
      </c>
      <c r="P25" s="144">
        <f>SUM(P16:P24)</f>
        <v>8683.1093550000005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7846.0000000000009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392.30000000000007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274.61000000000007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7179.0900000000011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1292.2362000000001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8471.3262000000013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211.78315500000005</v>
      </c>
    </row>
    <row r="35" spans="2:16" ht="15.75" customHeight="1" thickBot="1" x14ac:dyDescent="0.4">
      <c r="N35" s="203" t="s">
        <v>92</v>
      </c>
      <c r="O35" s="204"/>
      <c r="P35" s="160">
        <f>P33+P34</f>
        <v>8683.1093550000005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2026-06-30T12:46:20Z</dcterms:modified>
</cp:coreProperties>
</file>