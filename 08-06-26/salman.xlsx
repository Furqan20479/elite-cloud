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3F450DF5-D390-41E9-BD0C-E89E845DD924}" xr6:coauthVersionLast="45" xr6:coauthVersionMax="45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K21" i="20" s="1"/>
  <c r="I23" i="20"/>
  <c r="L23" i="20" s="1"/>
  <c r="M25" i="27"/>
  <c r="P24" i="27"/>
  <c r="P31" i="26"/>
  <c r="I16" i="24"/>
  <c r="K16" i="24" s="1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L23" i="25"/>
  <c r="K23" i="25"/>
  <c r="L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3" i="20"/>
  <c r="K20" i="19"/>
  <c r="L20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5" l="1"/>
  <c r="K25" i="25" s="1"/>
  <c r="P30" i="25" s="1"/>
  <c r="L21" i="21"/>
  <c r="K18" i="19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18" i="24"/>
  <c r="L22" i="21"/>
  <c r="L18" i="2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M16" i="25"/>
  <c r="N23" i="25"/>
  <c r="O23" i="25" s="1"/>
  <c r="P23" i="25" s="1"/>
  <c r="N20" i="24"/>
  <c r="O20" i="24" s="1"/>
  <c r="N23" i="24"/>
  <c r="O23" i="24" s="1"/>
  <c r="N24" i="24"/>
  <c r="O24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N24" i="18"/>
  <c r="O24" i="18" s="1"/>
  <c r="N18" i="18"/>
  <c r="O18" i="18" s="1"/>
  <c r="N22" i="18"/>
  <c r="O22" i="18" s="1"/>
  <c r="N20" i="18"/>
  <c r="O20" i="18" s="1"/>
  <c r="M16" i="17"/>
  <c r="I23" i="15"/>
  <c r="L25" i="24" l="1"/>
  <c r="P29" i="24" s="1"/>
  <c r="M19" i="18"/>
  <c r="N19" i="18" s="1"/>
  <c r="O19" i="18" s="1"/>
  <c r="K25" i="19"/>
  <c r="P30" i="19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M17" i="15" l="1"/>
  <c r="P31" i="17"/>
  <c r="M18" i="16"/>
  <c r="N18" i="16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<sst xmlns="http://schemas.openxmlformats.org/spreadsheetml/2006/main" count="1598" uniqueCount="128">
  <si>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</si>
  <si>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</si>
  <si>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</si>
  <si>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</si>
  <si>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</si>
  <si>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</si>
  <si>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</si>
  <si>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</si>
  <si>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</si>
  <si>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</si>
  <si>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</si>
  <si>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</si>
  <si>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</si>
  <si>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</si>
  <si>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</si>
  <si>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</si>
  <si>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</si>
  <si>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</si>
  <si>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</si>
  <si>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</si>
  <si>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</si>
  <si>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</si>
  <si>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</si>
  <si>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</si>
  <si>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</si>
  <si>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</si>
  <si>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</si>
  <si>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</si>
  <si>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</si>
  <si>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</si>
  <si>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</si>
  <si>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</si>
  <si>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</si>
  <si>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</si>
  <si>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</si>
  <si>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</si>
  <si>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</si>
  <si>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</si>
  <si>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</si>
  <si>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</si>
  <si>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</si>
  <si>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</si>
  <si>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</si>
  <si>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</si>
  <si>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</si>
  <si>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</si>
  <si>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</si>
  <si>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</si>
  <si>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</si>
  <si>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</si>
  <si>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</si>
  <si>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</si>
  <si>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</si>
  <si>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</si>
  <si>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</si>
  <si>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</si>
  <si>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</si>
  <si>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</si>
  <si>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</si>
  <si>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</si>
  <si>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</si>
  <si>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</si>
  <si>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</si>
  <si>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</si>
  <si>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</si>
  <si>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</si>
  <si>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</si>
  <si>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</si>
  <si>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</si>
  <si>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</si>
  <si>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</si>
  <si>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</si>
  <si>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</si>
  <si>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</si>
  <si>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</si>
  <si>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</si>
  <si>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</si>
  <si>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</si>
  <si>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</si>
  <si>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</si>
  <si>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</si>
  <si>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</si>
  <si>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</si>
  <si>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</si>
  <si>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</si>
  <si>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</si>
  <si>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</si>
  <si>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</si>
  <si>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</si>
  <si>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</si>
  <si>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</si>
  <si>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</si>
  <si>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</si>
  <si>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</si>
  <si>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</si>
  <si>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</si>
  <si>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</si>
  <si>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</si>
  <si>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</si>
  <si>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</si>
  <si>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</si>
  <si>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</si>
  <si>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</si>
  <si>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</si>
  <si>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</si>
  <si>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</si>
  <si>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Ahmad Usman Mart</t>
  </si>
  <si>
    <t>Address: Academy Road</t>
  </si>
  <si>
    <t>Customer Name : Daim Store</t>
  </si>
  <si>
    <t>Address:  Refer Rane Road</t>
  </si>
  <si>
    <t>Customer Name : Bread &amp; Butter</t>
  </si>
  <si>
    <t>Address:  Refer Range</t>
  </si>
  <si>
    <t>Customer Name : Khawaja GS</t>
  </si>
  <si>
    <t>Address: Refer Range</t>
  </si>
  <si>
    <t>Customer Name : Hadi Mart</t>
  </si>
  <si>
    <t>Address: Refel Range</t>
  </si>
  <si>
    <t>Customer Name : K Mart</t>
  </si>
  <si>
    <t>Address: Calvery Ground</t>
  </si>
  <si>
    <t>Customer Name : Hasan Mart</t>
  </si>
  <si>
    <t>Address: Madina Colony</t>
  </si>
  <si>
    <t>Customer Name : AL - Shaikh Store</t>
  </si>
  <si>
    <t>Customer Name : Shareef GS</t>
  </si>
  <si>
    <t>Address: Al madina Colony</t>
  </si>
  <si>
    <t>Customer Name : Shere Runbani Store</t>
  </si>
  <si>
    <t>Address: Calevery Ground</t>
  </si>
  <si>
    <t>3671159-4</t>
  </si>
  <si>
    <t>Salman</t>
  </si>
  <si>
    <t>Shop Bill Summary (Salman)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</si>
</sst>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top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103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104</v>
      </c>
    </row>
    <row r="13" spans="1:2" x14ac:dyDescent="0.35">
      <c r="A13">
        <v>8</v>
      </c>
      <c r="B13" t="s">
        <v>105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8"/>
      <c r="B3" s="188"/>
      <c r="C3" s="188"/>
      <c r="D3" s="188"/>
      <c r="E3" s="188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</row>
    <row r="4" spans="1:29" x14ac:dyDescent="0.35">
      <c r="A4" s="190" t="s">
        <v>6</v>
      </c>
      <c r="B4" s="5" t="s">
        <v>7</v>
      </c>
      <c r="C4" s="5"/>
      <c r="D4" s="192" t="s">
        <v>8</v>
      </c>
      <c r="E4" s="194" t="s">
        <v>9</v>
      </c>
      <c r="F4" s="196" t="s">
        <v>3</v>
      </c>
      <c r="G4" s="196"/>
      <c r="H4" s="197" t="s">
        <v>10</v>
      </c>
      <c r="I4" s="197"/>
      <c r="J4" s="198" t="s">
        <v>11</v>
      </c>
      <c r="K4" s="199"/>
      <c r="L4" s="198" t="s">
        <v>12</v>
      </c>
      <c r="M4" s="199"/>
      <c r="N4" s="200" t="s">
        <v>13</v>
      </c>
      <c r="O4" s="200"/>
      <c r="P4" s="198" t="s">
        <v>4</v>
      </c>
      <c r="Q4" s="199"/>
      <c r="R4" s="198" t="s">
        <v>14</v>
      </c>
      <c r="S4" s="199"/>
      <c r="T4" s="201" t="s">
        <v>15</v>
      </c>
      <c r="U4" s="201"/>
      <c r="V4" s="202" t="s">
        <v>16</v>
      </c>
      <c r="W4" s="203"/>
      <c r="X4" s="202" t="s">
        <v>17</v>
      </c>
      <c r="Y4" s="203"/>
    </row>
    <row r="5" spans="1:29" ht="26.25" customHeight="1" thickBot="1" x14ac:dyDescent="0.4">
      <c r="A5" s="191"/>
      <c r="B5" s="7" t="s">
        <v>18</v>
      </c>
      <c r="C5" s="7" t="s">
        <v>8</v>
      </c>
      <c r="D5" s="193"/>
      <c r="E5" s="19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11" zoomScale="70" zoomScaleNormal="70" workbookViewId="0">
      <selection activeCell="U11" sqref="U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4" t="s">
        <v>45</v>
      </c>
      <c r="B2" s="204"/>
      <c r="C2" s="204"/>
    </row>
    <row r="3" spans="1:21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9" t="s">
        <v>126</v>
      </c>
      <c r="B5" s="209"/>
      <c r="C5" s="209"/>
      <c r="F5" s="7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70"/>
      <c r="S5" s="71"/>
    </row>
    <row r="6" spans="1:21 16383:16384" ht="15" customHeight="1" x14ac:dyDescent="0.35">
      <c r="A6" s="209"/>
      <c r="B6" s="209"/>
      <c r="C6" s="209"/>
      <c r="F6" s="70"/>
      <c r="G6" s="74"/>
      <c r="K6" s="206" t="s">
        <v>52</v>
      </c>
      <c r="L6" s="206"/>
      <c r="M6" s="206"/>
      <c r="N6" s="208" t="s">
        <v>42</v>
      </c>
      <c r="O6" s="208"/>
      <c r="P6" s="20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21 16383:16384" hidden="1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21 16383:16384" x14ac:dyDescent="0.35">
      <c r="A10" s="211"/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21 16383:16384" ht="15" thickBot="1" x14ac:dyDescent="0.4">
      <c r="A11" s="211"/>
      <c r="B11" s="76"/>
      <c r="C11" s="77"/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21 16383:16384" ht="14.65" customHeight="1" x14ac:dyDescent="0.35">
      <c r="A12" s="211"/>
      <c r="B12" s="76"/>
      <c r="C12" s="77"/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T12" s="220" t="s">
        <v>127</v>
      </c>
      <c r="U12" s="221"/>
      <c r="XFD12" t="s">
        <v>62</v>
      </c>
    </row>
    <row r="13" spans="1:21 16383:16384" ht="15" thickBot="1" x14ac:dyDescent="0.4">
      <c r="A13" s="248"/>
      <c r="J13" s="78"/>
      <c r="K13" s="78"/>
      <c r="L13" s="79">
        <v>0.05</v>
      </c>
      <c r="T13" s="222"/>
      <c r="U13" s="223"/>
      <c r="XFD13" t="s">
        <v>63</v>
      </c>
    </row>
    <row r="14" spans="1:21 16383:16384" ht="29.25" customHeight="1" x14ac:dyDescent="0.6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14" t="s">
        <v>68</v>
      </c>
      <c r="H14" s="215"/>
      <c r="I14" s="215" t="s">
        <v>69</v>
      </c>
      <c r="J14" s="215" t="s">
        <v>70</v>
      </c>
      <c r="K14" s="215"/>
      <c r="L14" s="217"/>
      <c r="M14" s="218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Ahmad Usman Mart</v>
      </c>
      <c r="U14" s="164">
        <f>+'1'!P35</f>
        <v>11400.010349399998</v>
      </c>
      <c r="XFD14" t="s">
        <v>75</v>
      </c>
    </row>
    <row r="15" spans="1:21 16383:16384" ht="29.25" customHeight="1" thickBot="1" x14ac:dyDescent="0.65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6"/>
      <c r="J15" s="171" t="s">
        <v>78</v>
      </c>
      <c r="K15" s="171" t="s">
        <v>79</v>
      </c>
      <c r="L15" s="174" t="s">
        <v>80</v>
      </c>
      <c r="M15" s="21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Daim Store</v>
      </c>
      <c r="U15" s="164">
        <f>+'2'!P35</f>
        <v>1195.16604975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138</v>
      </c>
      <c r="I16" s="1">
        <f>(G16*D16)*F16+H16*F16</f>
        <v>7239.8249999999998</v>
      </c>
      <c r="J16" s="172">
        <f>+'1'!J16+'2'!J16+'4'!J16+'3'!J16+'5'!J16+'6'!J16+'7'!J16+'8'!J16+'9'!J16+'10'!J16+'11'!J16+'12'!J16</f>
        <v>5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579.18599999999992</v>
      </c>
      <c r="M16" s="106">
        <f>I16-K16-L16</f>
        <v>6660.6390000000001</v>
      </c>
      <c r="N16" s="101">
        <f>+'1'!N16+'2'!N16+'4'!N16+'3'!N16+'5'!N16+'6'!N16+'7'!N16+'8'!N16+'9'!N16+'10'!N16</f>
        <v>1523.0493300000001</v>
      </c>
      <c r="O16" s="101">
        <f>+'1'!O16+'2'!O16+'4'!O16+'3'!O16+'5'!O16+'6'!O16+'7'!O16+'8'!O16+'9'!O16+'10'!O16</f>
        <v>56.228258249999996</v>
      </c>
      <c r="P16" s="105">
        <f t="shared" ref="P16:P24" si="0">M16+N16+O16</f>
        <v>8239.9165882500001</v>
      </c>
      <c r="Q16" s="108"/>
      <c r="T16" s="163" t="str">
        <f>+'4'!A5</f>
        <v>Customer Name : Khawaja GS</v>
      </c>
      <c r="U16" s="164">
        <f>+'4'!P35</f>
        <v>1687.7686080000001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92</v>
      </c>
      <c r="I17" s="1">
        <f t="shared" ref="I17:I23" si="1">(G17*D17)*F17+H17*F17</f>
        <v>4826.55</v>
      </c>
      <c r="J17" s="172">
        <f>+'1'!J17+'2'!J17+'4'!J17+'3'!J17+'5'!J17+'6'!J17+'7'!J17+'8'!J17+'9'!J17+'10'!J17+'11'!J17+'12'!J17</f>
        <v>10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386.12399999999997</v>
      </c>
      <c r="M17" s="118">
        <f t="shared" ref="M17:M23" si="2">I17-K17-L17</f>
        <v>4440.4260000000004</v>
      </c>
      <c r="N17" s="101">
        <f>+'1'!N17+'2'!N17+'4'!N17+'3'!N17+'5'!N17+'6'!N17+'7'!N17+'8'!N17+'9'!N17+'10'!N17</f>
        <v>1092.31122</v>
      </c>
      <c r="O17" s="101">
        <f>+'1'!O17+'2'!O17+'4'!O17+'3'!O17+'5'!O17+'6'!O17+'7'!O17+'8'!O17+'9'!O17+'10'!O17</f>
        <v>42.2574945</v>
      </c>
      <c r="P17" s="120">
        <f t="shared" si="0"/>
        <v>5574.9947145000006</v>
      </c>
      <c r="S17" s="64"/>
      <c r="T17" s="163" t="str">
        <f>+'3'!A5</f>
        <v>Customer Name : Bread &amp; Butter</v>
      </c>
      <c r="U17" s="164">
        <f>+'3'!P35</f>
        <v>7460.4616245000007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130</v>
      </c>
      <c r="I18" s="1">
        <f t="shared" si="1"/>
        <v>6820.125</v>
      </c>
      <c r="J18" s="172">
        <f>+'1'!J18+'2'!J18+'4'!J18+'3'!J18+'5'!J18+'6'!J18+'7'!J18+'8'!J18+'9'!J18+'10'!J18+'11'!J18+'12'!J18</f>
        <v>3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545.6099999999999</v>
      </c>
      <c r="M18" s="118">
        <f t="shared" si="2"/>
        <v>6274.5150000000003</v>
      </c>
      <c r="N18" s="101">
        <f>+'1'!N18+'2'!N18+'4'!N18+'3'!N18+'5'!N18+'6'!N18+'7'!N18+'8'!N18+'9'!N18+'10'!N18</f>
        <v>1415.01855</v>
      </c>
      <c r="O18" s="101">
        <f>+'1'!O18+'2'!O18+'4'!O18+'3'!O18+'5'!O18+'6'!O18+'7'!O18+'8'!O18+'9'!O18+'10'!O18</f>
        <v>56.112840750000004</v>
      </c>
      <c r="P18" s="120">
        <f t="shared" si="0"/>
        <v>7745.6463907500001</v>
      </c>
      <c r="T18" s="163" t="str">
        <f>+'5'!A5</f>
        <v>Customer Name : Hadi Mart</v>
      </c>
      <c r="U18" s="164">
        <f>+'5'!P35</f>
        <v>5700.0051747000007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100</v>
      </c>
      <c r="I19" s="1">
        <f t="shared" si="1"/>
        <v>7264</v>
      </c>
      <c r="J19" s="172">
        <f>+'1'!J19+'2'!J19+'4'!J19+'3'!J19+'5'!J19+'6'!J19+'7'!J19+'8'!J19+'9'!J19+'10'!J19+'11'!J19+'12'!J19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581.12000000000012</v>
      </c>
      <c r="M19" s="118">
        <f t="shared" si="2"/>
        <v>6682.88</v>
      </c>
      <c r="N19" s="101">
        <f>+'1'!N19+'2'!N19+'4'!N19+'3'!N19+'5'!N19+'6'!N19+'7'!N19+'8'!N19+'9'!N19+'10'!N19</f>
        <v>1518.1759999999999</v>
      </c>
      <c r="O19" s="101">
        <f>+'1'!O19+'2'!O19+'4'!O19+'3'!O19+'5'!O19+'6'!O19+'7'!O19+'8'!O19+'9'!O19+'10'!O19</f>
        <v>65.464620799999992</v>
      </c>
      <c r="P19" s="120">
        <f t="shared" si="0"/>
        <v>8266.5206208</v>
      </c>
      <c r="T19" s="163" t="str">
        <f>+'6'!A5</f>
        <v>Customer Name : K Mart</v>
      </c>
      <c r="U19" s="164">
        <f>+'6'!P35</f>
        <v>8550.0077620499997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75</v>
      </c>
      <c r="I20" s="1">
        <f t="shared" si="1"/>
        <v>5448</v>
      </c>
      <c r="J20" s="172">
        <f>+'1'!J20+'2'!J20+'4'!J20+'3'!J20+'5'!J20+'6'!J20+'7'!J20+'8'!J20+'9'!J20+'10'!J20+'11'!J20+'12'!J20</f>
        <v>8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435.84</v>
      </c>
      <c r="M20" s="118">
        <f t="shared" si="2"/>
        <v>5012.16</v>
      </c>
      <c r="N20" s="101">
        <f>+'1'!N20+'2'!N20+'4'!N20+'3'!N20+'5'!N20+'6'!N20+'7'!N20+'8'!N20+'9'!N20+'10'!N20</f>
        <v>1230.5215999999996</v>
      </c>
      <c r="O20" s="101">
        <f>+'1'!O20+'2'!O20+'4'!O20+'3'!O20+'5'!O20+'6'!O20+'7'!O20+'8'!O20+'9'!O20+'10'!O20</f>
        <v>48.158867200000003</v>
      </c>
      <c r="P20" s="120">
        <f t="shared" si="0"/>
        <v>6290.8404671999997</v>
      </c>
      <c r="T20" s="163" t="str">
        <f>+'7'!A5</f>
        <v>Customer Name : Hasan Mart</v>
      </c>
      <c r="U20" s="164">
        <f>+'7'!P35</f>
        <v>2390.3320994999999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105</v>
      </c>
      <c r="I21" s="1">
        <f t="shared" si="1"/>
        <v>7627.2</v>
      </c>
      <c r="J21" s="172">
        <f>+'1'!J21+'2'!J21+'4'!J21+'3'!J21+'5'!J21+'6'!J21+'7'!J21+'8'!J21+'9'!J21+'10'!J21+'11'!J21+'12'!J21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610.17600000000004</v>
      </c>
      <c r="M21" s="118">
        <f t="shared" si="2"/>
        <v>7017.0239999999994</v>
      </c>
      <c r="N21" s="101">
        <f>+'1'!N21+'2'!N21+'4'!N21+'3'!N21+'5'!N21+'6'!N21+'7'!N21+'8'!N21+'9'!N21+'10'!N21</f>
        <v>1591.6876799999998</v>
      </c>
      <c r="O21" s="101">
        <f>+'1'!O21+'2'!O21+'4'!O21+'3'!O21+'5'!O21+'6'!O21+'7'!O21+'8'!O21+'9'!O21+'10'!O21</f>
        <v>67.502899200000002</v>
      </c>
      <c r="P21" s="120">
        <f t="shared" si="0"/>
        <v>8676.2145791999992</v>
      </c>
      <c r="T21" s="163" t="str">
        <f>+'8'!A5</f>
        <v>Customer Name : AL - Shaikh Store</v>
      </c>
      <c r="U21" s="164">
        <f>+'8'!P35</f>
        <v>2226.4157307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92</v>
      </c>
      <c r="I22" s="1">
        <f t="shared" si="1"/>
        <v>3609.1600000000003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126.32060000000003</v>
      </c>
      <c r="L22" s="175">
        <f>+'1'!L22+'2'!L22+'4'!L22+'3'!L22+'5'!L22+'6'!L22+'7'!L22+'8'!L22+'9'!L22+'10'!L22</f>
        <v>180.45800000000003</v>
      </c>
      <c r="M22" s="118">
        <f t="shared" si="2"/>
        <v>3302.3814000000002</v>
      </c>
      <c r="N22" s="101">
        <f>+'1'!N22+'2'!N22+'4'!N22+'3'!N22+'5'!N22+'6'!N22+'7'!N22+'8'!N22+'9'!N22+'10'!N22</f>
        <v>726.52390800000012</v>
      </c>
      <c r="O22" s="101">
        <f>+'1'!O22+'2'!O22+'4'!O22+'3'!O22+'5'!O22+'6'!O22+'7'!O22+'8'!O22+'9'!O22+'10'!O22</f>
        <v>30.654714300000002</v>
      </c>
      <c r="P22" s="120">
        <f t="shared" si="0"/>
        <v>4059.5600223000001</v>
      </c>
      <c r="T22" s="163" t="str">
        <f>+'9'!A5</f>
        <v>Customer Name : Shareef GS</v>
      </c>
      <c r="U22" s="164">
        <f>+'9'!P35</f>
        <v>2437.9008974999997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Shere Runbani Store</v>
      </c>
      <c r="U23" s="164">
        <f>+'10'!P35</f>
        <v>5805.6250869000005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0" t="s">
        <v>84</v>
      </c>
      <c r="B25" s="231"/>
      <c r="C25" s="232"/>
      <c r="D25" s="226"/>
      <c r="E25" s="226"/>
      <c r="F25" s="226"/>
      <c r="G25" s="176">
        <f t="shared" ref="G25:M25" si="3">SUM(G16:G24)</f>
        <v>0</v>
      </c>
      <c r="H25" s="177">
        <f t="shared" si="3"/>
        <v>732</v>
      </c>
      <c r="I25" s="178">
        <f t="shared" si="3"/>
        <v>42834.86</v>
      </c>
      <c r="J25" s="177">
        <f t="shared" si="3"/>
        <v>32</v>
      </c>
      <c r="K25" s="178">
        <f t="shared" si="3"/>
        <v>126.32060000000003</v>
      </c>
      <c r="L25" s="179">
        <f t="shared" si="3"/>
        <v>3318.5140000000001</v>
      </c>
      <c r="M25" s="141">
        <f t="shared" si="3"/>
        <v>39390.025399999999</v>
      </c>
      <c r="N25" s="142">
        <f>SUM(N16:N24)</f>
        <v>9097.2882879999997</v>
      </c>
      <c r="O25" s="143">
        <f>SUM(O16:O24)</f>
        <v>366.37969499999997</v>
      </c>
      <c r="P25" s="144">
        <f>SUM(P16:P24)</f>
        <v>48853.693383000005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48853.693382999998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42834.86</v>
      </c>
    </row>
    <row r="29" spans="1:21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3318.5140000000001</v>
      </c>
    </row>
    <row r="30" spans="1:21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126.32060000000003</v>
      </c>
    </row>
    <row r="31" spans="1:21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39390.025399999999</v>
      </c>
    </row>
    <row r="32" spans="1:21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9097.2882879999997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48487.313687999995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1212.1828421999999</v>
      </c>
    </row>
    <row r="35" spans="2:16" ht="15.75" customHeight="1" thickBot="1" x14ac:dyDescent="0.4">
      <c r="N35" s="224" t="s">
        <v>92</v>
      </c>
      <c r="O35" s="225"/>
      <c r="P35" s="160">
        <f>P33+P34</f>
        <v>49699.496530199991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106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70"/>
      <c r="S5" s="71"/>
    </row>
    <row r="6" spans="1:19 16383:16384" ht="15" customHeight="1" x14ac:dyDescent="0.35">
      <c r="A6" s="206" t="s">
        <v>107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>
        <v>4628264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>
        <v>1</v>
      </c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223.90995000000001</v>
      </c>
      <c r="O18" s="119">
        <f t="shared" si="1"/>
        <v>5.9460997500000001</v>
      </c>
      <c r="P18" s="120">
        <f t="shared" si="2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8.2330176000000002</v>
      </c>
      <c r="P20" s="120">
        <f t="shared" si="2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160</v>
      </c>
      <c r="I25" s="137">
        <f t="shared" si="9"/>
        <v>10008.199999999999</v>
      </c>
      <c r="J25" s="138"/>
      <c r="K25" s="139">
        <f t="shared" si="9"/>
        <v>0</v>
      </c>
      <c r="L25" s="140">
        <f t="shared" si="9"/>
        <v>800.65600000000006</v>
      </c>
      <c r="M25" s="141">
        <f t="shared" si="9"/>
        <v>9207.5439999999999</v>
      </c>
      <c r="N25" s="142">
        <f>SUM(N16:N24)</f>
        <v>2135.7498800000003</v>
      </c>
      <c r="O25" s="143">
        <f>SUM(O16:O24)</f>
        <v>56.716469399999994</v>
      </c>
      <c r="P25" s="144">
        <f>SUM(P16:P24)</f>
        <v>11400.0103494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10008.199999999999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800.65600000000006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9207.5439999999981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2135.7498800000003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11343.293879999997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56.716469399999987</v>
      </c>
    </row>
    <row r="35" spans="2:16" ht="15.75" customHeight="1" thickBot="1" x14ac:dyDescent="0.4">
      <c r="N35" s="224" t="s">
        <v>92</v>
      </c>
      <c r="O35" s="225"/>
      <c r="P35" s="160">
        <f>P33+P34</f>
        <v>11400.010349399998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2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108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70"/>
      <c r="S5" s="71"/>
    </row>
    <row r="6" spans="1:19 16383:16384" ht="15" customHeight="1" x14ac:dyDescent="0.35">
      <c r="A6" s="206" t="s">
        <v>109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>
        <v>3520187956533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5</v>
      </c>
      <c r="I16" s="102">
        <f>(G16*D16)*F16+H16*F16</f>
        <v>262.3125</v>
      </c>
      <c r="J16" s="103"/>
      <c r="K16" s="104">
        <f>I16*$K$13</f>
        <v>0</v>
      </c>
      <c r="L16" s="105">
        <f>I16*8%</f>
        <v>20.984999999999999</v>
      </c>
      <c r="M16" s="106">
        <f>I16-K16-L16</f>
        <v>241.32749999999999</v>
      </c>
      <c r="N16" s="106">
        <f t="shared" ref="N16:N24" si="0">(M16*$N$15)+(J16*F16)*$N$15</f>
        <v>53.09205</v>
      </c>
      <c r="O16" s="107">
        <f>(N16+M16)*$O$15</f>
        <v>1.4720977499999999</v>
      </c>
      <c r="P16" s="105">
        <f t="shared" ref="P16:P24" si="1">M16+N16+O16</f>
        <v>295.89164774999995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>
        <v>1</v>
      </c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64.633800000000008</v>
      </c>
      <c r="O17" s="119">
        <f t="shared" ref="O17:O24" si="6">(N17+M17)*$O$15</f>
        <v>1.5298065000000001</v>
      </c>
      <c r="P17" s="120">
        <f t="shared" si="1"/>
        <v>307.4911065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223.90995000000001</v>
      </c>
      <c r="O25" s="143">
        <f>SUM(O16:O24)</f>
        <v>5.9460997500000001</v>
      </c>
      <c r="P25" s="144">
        <f>SUM(P16:P24)</f>
        <v>1195.1660497499997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1049.25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83.94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965.31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223.90995000000001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1189.2199499999999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5.9460997500000001</v>
      </c>
    </row>
    <row r="35" spans="2:16" ht="15.75" customHeight="1" thickBot="1" x14ac:dyDescent="0.4">
      <c r="N35" s="224" t="s">
        <v>92</v>
      </c>
      <c r="O35" s="225"/>
      <c r="P35" s="160">
        <f>P33+P34</f>
        <v>1195.16604975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4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110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70"/>
      <c r="S5" s="71"/>
    </row>
    <row r="6" spans="1:19 16383:16384" ht="15" customHeight="1" x14ac:dyDescent="0.35">
      <c r="A6" s="206" t="s">
        <v>111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9">
        <v>89792212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3.0019042499999999</v>
      </c>
      <c r="P16" s="105">
        <f t="shared" ref="P16:P24" si="1">M16+N16+O16</f>
        <v>603.38275425000006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/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212.3682</v>
      </c>
      <c r="O18" s="119">
        <f t="shared" si="6"/>
        <v>5.8883909999999995</v>
      </c>
      <c r="P18" s="120">
        <f t="shared" si="1"/>
        <v>1183.5665909999998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478.78800000000001</v>
      </c>
      <c r="M25" s="141">
        <f t="shared" si="9"/>
        <v>6039.59</v>
      </c>
      <c r="N25" s="142">
        <f>SUM(N16:N24)</f>
        <v>1383.7548999999999</v>
      </c>
      <c r="O25" s="143">
        <f>SUM(O16:O24)</f>
        <v>37.116724500000004</v>
      </c>
      <c r="P25" s="144">
        <f>SUM(P16:P24)</f>
        <v>7460.4616244999997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6573.3000000000011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478.78800000000001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54.922000000000011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6039.5900000000011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1383.7548999999999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7423.344900000001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37.116724500000004</v>
      </c>
    </row>
    <row r="35" spans="2:16" ht="15.75" customHeight="1" thickBot="1" x14ac:dyDescent="0.4">
      <c r="N35" s="224" t="s">
        <v>92</v>
      </c>
      <c r="O35" s="225"/>
      <c r="P35" s="160">
        <f>P33+P34</f>
        <v>7460.4616245000007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15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3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112</v>
      </c>
      <c r="B5" s="251"/>
      <c r="C5" s="251"/>
      <c r="F5" s="70"/>
      <c r="G5" s="71"/>
      <c r="K5" s="206" t="s">
        <v>51</v>
      </c>
      <c r="L5" s="206"/>
      <c r="M5" s="206"/>
      <c r="N5" s="207">
        <f ca="1">N4</f>
        <v>46179</v>
      </c>
      <c r="O5" s="205"/>
      <c r="P5" s="205"/>
      <c r="R5" s="70"/>
      <c r="S5" s="71"/>
    </row>
    <row r="6" spans="1:19 16383:16384" ht="15" customHeight="1" x14ac:dyDescent="0.35">
      <c r="A6" s="206" t="s">
        <v>113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">
        <f t="shared" si="3"/>
        <v>0</v>
      </c>
      <c r="L19" s="105">
        <f t="shared" si="4"/>
        <v>29.056000000000001</v>
      </c>
      <c r="M19" s="118">
        <f t="shared" si="5"/>
        <v>334.14400000000001</v>
      </c>
      <c r="N19" s="118">
        <f t="shared" si="0"/>
        <v>73.511679999999998</v>
      </c>
      <c r="O19" s="119">
        <f t="shared" si="6"/>
        <v>10.191392</v>
      </c>
      <c r="P19" s="120">
        <f t="shared" si="1"/>
        <v>417.84707200000003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10.590912000000001</v>
      </c>
      <c r="P20" s="120">
        <f t="shared" si="1"/>
        <v>434.22739200000001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41.165088000000004</v>
      </c>
      <c r="P25" s="144">
        <f>SUM(P16:P24)</f>
        <v>1687.7686080000001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1452.8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116.224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1336.576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1646.6035200000001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24" t="s">
        <v>92</v>
      </c>
      <c r="O35" s="225"/>
      <c r="P35" s="160">
        <f>P33+P34</f>
        <v>1687.7686080000001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5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114</v>
      </c>
      <c r="B5" s="251"/>
      <c r="C5" s="251"/>
      <c r="F5" s="70"/>
      <c r="G5" s="71"/>
      <c r="K5" s="206" t="s">
        <v>51</v>
      </c>
      <c r="L5" s="206"/>
      <c r="M5" s="206"/>
      <c r="N5" s="207">
        <f ca="1">N4</f>
        <v>46179</v>
      </c>
      <c r="O5" s="205"/>
      <c r="P5" s="205"/>
      <c r="R5" s="70"/>
      <c r="S5" s="71"/>
    </row>
    <row r="6" spans="1:19 16383:16384" ht="15" customHeight="1" x14ac:dyDescent="0.35">
      <c r="A6" s="206" t="s">
        <v>115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9">
        <v>3520114339905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3.0596130000000001</v>
      </c>
      <c r="P17" s="120">
        <f t="shared" si="1"/>
        <v>614.982213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/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212.3682</v>
      </c>
      <c r="O18" s="119">
        <f t="shared" si="6"/>
        <v>5.8883909999999995</v>
      </c>
      <c r="P18" s="120">
        <f t="shared" si="1"/>
        <v>1183.5665909999998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294.04671999999999</v>
      </c>
      <c r="O21" s="119">
        <f t="shared" si="6"/>
        <v>8.1531136000000011</v>
      </c>
      <c r="P21" s="120">
        <f t="shared" si="1"/>
        <v>1638.7758336000002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28.358234700000001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5004.1000000000004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400.32799999999997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4603.7720000000008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5671.6469400000005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24" t="s">
        <v>92</v>
      </c>
      <c r="O35" s="225"/>
      <c r="P35" s="160">
        <f>P33+P34</f>
        <v>5700.0051747000007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E22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6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116</v>
      </c>
      <c r="B5" s="251"/>
      <c r="C5" s="251"/>
      <c r="F5" s="70"/>
      <c r="G5" s="71"/>
      <c r="K5" s="206" t="s">
        <v>51</v>
      </c>
      <c r="L5" s="206"/>
      <c r="M5" s="206"/>
      <c r="N5" s="207">
        <f ca="1">N4</f>
        <v>46179</v>
      </c>
      <c r="O5" s="205"/>
      <c r="P5" s="205"/>
      <c r="R5" s="70"/>
      <c r="S5" s="71"/>
    </row>
    <row r="6" spans="1:19 16383:16384" ht="15" customHeight="1" x14ac:dyDescent="0.35">
      <c r="A6" s="206" t="s">
        <v>117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 t="s">
        <v>125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5.9460997500000001</v>
      </c>
      <c r="P18" s="120">
        <f t="shared" si="1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120</v>
      </c>
      <c r="I25" s="137">
        <f t="shared" si="9"/>
        <v>7506.1500000000005</v>
      </c>
      <c r="J25" s="138"/>
      <c r="K25" s="139">
        <f t="shared" si="9"/>
        <v>0</v>
      </c>
      <c r="L25" s="140">
        <f t="shared" si="9"/>
        <v>600.49199999999996</v>
      </c>
      <c r="M25" s="141">
        <f t="shared" si="9"/>
        <v>6905.6579999999994</v>
      </c>
      <c r="N25" s="142">
        <f>SUM(N16:N24)</f>
        <v>1601.81241</v>
      </c>
      <c r="O25" s="143">
        <f>SUM(O16:O24)</f>
        <v>42.537352049999996</v>
      </c>
      <c r="P25" s="144">
        <f>SUM(P16:P24)</f>
        <v>8550.0077620500015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7506.1500000000005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600.49199999999996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6905.6580000000004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1601.81241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8507.4704099999999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42.537352050000003</v>
      </c>
    </row>
    <row r="35" spans="2:16" ht="15.75" customHeight="1" thickBot="1" x14ac:dyDescent="0.4">
      <c r="N35" s="224" t="s">
        <v>92</v>
      </c>
      <c r="O35" s="225"/>
      <c r="P35" s="160">
        <f>P33+P34</f>
        <v>8550.0077620499997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7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118</v>
      </c>
      <c r="B5" s="251"/>
      <c r="C5" s="251"/>
      <c r="F5" s="70"/>
      <c r="G5" s="71"/>
      <c r="K5" s="206" t="s">
        <v>51</v>
      </c>
      <c r="L5" s="206"/>
      <c r="M5" s="206"/>
      <c r="N5" s="207">
        <f ca="1">N4</f>
        <v>46179</v>
      </c>
      <c r="O5" s="205"/>
      <c r="P5" s="205"/>
      <c r="R5" s="70"/>
      <c r="S5" s="71"/>
    </row>
    <row r="6" spans="1:19 16383:16384" ht="15" customHeight="1" x14ac:dyDescent="0.35">
      <c r="A6" s="206" t="s">
        <v>119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9">
        <v>3520142339447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212.3682</v>
      </c>
      <c r="O16" s="107">
        <f>(N16+M16)*$O$15</f>
        <v>5.8883909999999995</v>
      </c>
      <c r="P16" s="105">
        <f t="shared" ref="P16:P24" si="1">M16+N16+O16</f>
        <v>1183.5665909999998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3.0596130000000001</v>
      </c>
      <c r="P17" s="120">
        <f t="shared" si="1"/>
        <v>614.982213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11.892199499999998</v>
      </c>
      <c r="P25" s="144">
        <f>SUM(P16:P24)</f>
        <v>2390.3320994999995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2098.5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167.88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1930.62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2378.4398999999999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24" t="s">
        <v>92</v>
      </c>
      <c r="O35" s="225"/>
      <c r="P35" s="160">
        <f>P33+P34</f>
        <v>2390.3320994999999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8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120</v>
      </c>
      <c r="B5" s="251"/>
      <c r="C5" s="251"/>
      <c r="F5" s="70"/>
      <c r="G5" s="71"/>
      <c r="K5" s="206" t="s">
        <v>51</v>
      </c>
      <c r="L5" s="206"/>
      <c r="M5" s="206"/>
      <c r="N5" s="207">
        <f ca="1">N4</f>
        <v>46179</v>
      </c>
      <c r="O5" s="205"/>
      <c r="P5" s="205"/>
      <c r="R5" s="70"/>
      <c r="S5" s="71"/>
    </row>
    <row r="6" spans="1:19 16383:16384" ht="15" customHeight="1" x14ac:dyDescent="0.35">
      <c r="A6" s="206" t="s">
        <v>119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10.590912000000001</v>
      </c>
      <c r="P20" s="120">
        <f t="shared" si="1"/>
        <v>434.22739200000001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">
        <f t="shared" si="3"/>
        <v>0</v>
      </c>
      <c r="L21" s="105">
        <f t="shared" si="4"/>
        <v>29.056000000000001</v>
      </c>
      <c r="M21" s="118">
        <f t="shared" si="5"/>
        <v>334.14400000000001</v>
      </c>
      <c r="N21" s="118">
        <f t="shared" si="0"/>
        <v>73.511679999999998</v>
      </c>
      <c r="O21" s="119">
        <f t="shared" si="6"/>
        <v>10.191392</v>
      </c>
      <c r="P21" s="120">
        <f t="shared" si="1"/>
        <v>417.84707200000003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32</v>
      </c>
      <c r="I25" s="137">
        <f t="shared" si="9"/>
        <v>1923.56</v>
      </c>
      <c r="J25" s="138"/>
      <c r="K25" s="139">
        <f t="shared" si="9"/>
        <v>16.476600000000005</v>
      </c>
      <c r="L25" s="140">
        <f t="shared" si="9"/>
        <v>139.762</v>
      </c>
      <c r="M25" s="141">
        <f t="shared" si="9"/>
        <v>1767.3214</v>
      </c>
      <c r="N25" s="142">
        <f>SUM(N16:N24)</f>
        <v>404.79150799999996</v>
      </c>
      <c r="O25" s="143">
        <f>SUM(O16:O24)</f>
        <v>54.302822700000007</v>
      </c>
      <c r="P25" s="144">
        <f>SUM(P16:P24)</f>
        <v>2226.4157307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1923.56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139.762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16.476600000000005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1767.3214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404.79150799999996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2172.1129080000001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54.302822700000007</v>
      </c>
    </row>
    <row r="35" spans="2:16" ht="15.75" customHeight="1" thickBot="1" x14ac:dyDescent="0.4">
      <c r="N35" s="224" t="s">
        <v>92</v>
      </c>
      <c r="O35" s="225"/>
      <c r="P35" s="160">
        <f>P33+P34</f>
        <v>2226.4157307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9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121</v>
      </c>
      <c r="B5" s="251"/>
      <c r="C5" s="251"/>
      <c r="F5" s="70"/>
      <c r="G5" s="71"/>
      <c r="K5" s="206" t="s">
        <v>51</v>
      </c>
      <c r="L5" s="206"/>
      <c r="M5" s="206"/>
      <c r="N5" s="207">
        <f ca="1">N4</f>
        <v>46179</v>
      </c>
      <c r="O5" s="205"/>
      <c r="P5" s="205"/>
      <c r="R5" s="70"/>
      <c r="S5" s="71"/>
    </row>
    <row r="6" spans="1:19 16383:16384" ht="15" customHeight="1" x14ac:dyDescent="0.35">
      <c r="A6" s="206" t="s">
        <v>122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67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/>
      <c r="K16" s="104">
        <f>I16*$K$13</f>
        <v>0</v>
      </c>
      <c r="L16" s="105">
        <f>I16*8%</f>
        <v>54.560999999999993</v>
      </c>
      <c r="M16" s="106">
        <f>I16-K16-L16</f>
        <v>627.4514999999999</v>
      </c>
      <c r="N16" s="106">
        <f t="shared" ref="N16:N24" si="0">(M16*$N$15)+(J16*F16)*$N$15</f>
        <v>138.03932999999998</v>
      </c>
      <c r="O16" s="107">
        <f>(N16+M16)*$O$15</f>
        <v>19.137270749999995</v>
      </c>
      <c r="P16" s="105">
        <f t="shared" ref="P16:P24" si="1">M16+N16+O16</f>
        <v>784.62810074999982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2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150.50441999999998</v>
      </c>
      <c r="O17" s="119">
        <f t="shared" ref="O17:O24" si="6">(N17+M17)*$O$15</f>
        <v>18.242260499999997</v>
      </c>
      <c r="P17" s="120">
        <f t="shared" si="1"/>
        <v>747.93268049999995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22.081466250000002</v>
      </c>
      <c r="P18" s="120">
        <f t="shared" si="1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447.81989999999996</v>
      </c>
      <c r="O25" s="143">
        <f>SUM(O16:O24)</f>
        <v>59.460997499999991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2098.5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167.88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1930.62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447.81989999999996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2378.4398999999999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24" t="s">
        <v>92</v>
      </c>
      <c r="O35" s="225"/>
      <c r="P35" s="160">
        <f>P33+P34</f>
        <v>2437.9008974999997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10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123</v>
      </c>
      <c r="B5" s="251"/>
      <c r="C5" s="251"/>
      <c r="F5" s="70"/>
      <c r="G5" s="71"/>
      <c r="K5" s="206" t="s">
        <v>51</v>
      </c>
      <c r="L5" s="206"/>
      <c r="M5" s="206"/>
      <c r="N5" s="207">
        <f ca="1">N4</f>
        <v>46179</v>
      </c>
      <c r="O5" s="205"/>
      <c r="P5" s="205"/>
      <c r="R5" s="70"/>
      <c r="S5" s="71"/>
    </row>
    <row r="6" spans="1:19 16383:16384" ht="15" customHeight="1" x14ac:dyDescent="0.35">
      <c r="A6" s="206" t="s">
        <v>124</v>
      </c>
      <c r="B6" s="206"/>
      <c r="C6" s="206"/>
      <c r="F6" s="70"/>
      <c r="G6" s="74"/>
      <c r="K6" s="206" t="s">
        <v>52</v>
      </c>
      <c r="L6" s="206"/>
      <c r="M6" s="206"/>
      <c r="N6" s="208" t="s">
        <v>102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187">
        <v>3520145889633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/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53.09205</v>
      </c>
      <c r="O17" s="119">
        <f t="shared" ref="O17:O24" si="6">(N17+M17)*$O$15</f>
        <v>1.4720977499999999</v>
      </c>
      <c r="P17" s="120">
        <f t="shared" si="1"/>
        <v>295.89164774999995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>
        <v>1</v>
      </c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170.81790000000001</v>
      </c>
      <c r="O18" s="119">
        <f t="shared" si="6"/>
        <v>4.4740019999999996</v>
      </c>
      <c r="P18" s="120">
        <f t="shared" si="1"/>
        <v>899.27440200000001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">
        <f t="shared" si="3"/>
        <v>0</v>
      </c>
      <c r="L19" s="105">
        <f t="shared" si="4"/>
        <v>29.056000000000001</v>
      </c>
      <c r="M19" s="118">
        <f t="shared" si="5"/>
        <v>334.14400000000001</v>
      </c>
      <c r="N19" s="118">
        <f t="shared" si="0"/>
        <v>73.511679999999998</v>
      </c>
      <c r="O19" s="119">
        <f t="shared" si="6"/>
        <v>2.0382784000000003</v>
      </c>
      <c r="P19" s="120">
        <f t="shared" si="1"/>
        <v>409.69395840000004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2.1181824000000002</v>
      </c>
      <c r="P20" s="120">
        <f t="shared" si="1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100</v>
      </c>
      <c r="I25" s="137">
        <f t="shared" si="9"/>
        <v>5120.5</v>
      </c>
      <c r="J25" s="138"/>
      <c r="K25" s="139">
        <f t="shared" si="9"/>
        <v>54.922000000000011</v>
      </c>
      <c r="L25" s="140">
        <f t="shared" si="9"/>
        <v>362.56400000000008</v>
      </c>
      <c r="M25" s="141">
        <f t="shared" si="9"/>
        <v>4703.014000000001</v>
      </c>
      <c r="N25" s="142">
        <f>SUM(N16:N24)</f>
        <v>1073.72738</v>
      </c>
      <c r="O25" s="143">
        <f>SUM(O16:O24)</f>
        <v>28.8837069</v>
      </c>
      <c r="P25" s="144">
        <f>SUM(P16:P24)</f>
        <v>5805.6250869000005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5120.5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362.56400000000008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54.922000000000011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4703.0140000000001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1073.72738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5776.7413800000004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28.883706900000004</v>
      </c>
    </row>
    <row r="35" spans="2:16" ht="15.75" customHeight="1" thickBot="1" x14ac:dyDescent="0.4">
      <c r="N35" s="224" t="s">
        <v>92</v>
      </c>
      <c r="O35" s="225"/>
      <c r="P35" s="160">
        <f>P33+P34</f>
        <v>5805.6250869000005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10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70"/>
      <c r="S5" s="71"/>
    </row>
    <row r="6" spans="1:19 16383:16384" ht="15" customHeight="1" x14ac:dyDescent="0.35">
      <c r="A6" s="206" t="s">
        <v>97</v>
      </c>
      <c r="B6" s="206"/>
      <c r="C6" s="206"/>
      <c r="F6" s="70"/>
      <c r="G6" s="74"/>
      <c r="K6" s="206" t="s">
        <v>52</v>
      </c>
      <c r="L6" s="206"/>
      <c r="M6" s="206"/>
      <c r="N6" s="208" t="s">
        <v>101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/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50</v>
      </c>
      <c r="C11" s="77" t="str">
        <f>IF($O34&gt;2.49%,"No","Yes")</f>
        <v>No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70"/>
      <c r="G3" s="71"/>
      <c r="K3" s="206" t="s">
        <v>47</v>
      </c>
      <c r="L3" s="206"/>
      <c r="M3" s="206"/>
      <c r="N3" s="205">
        <v>10</v>
      </c>
      <c r="O3" s="205"/>
      <c r="P3" s="20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7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7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70"/>
      <c r="S5" s="71"/>
    </row>
    <row r="6" spans="1:19 16383:16384" ht="15" customHeight="1" x14ac:dyDescent="0.35">
      <c r="A6" s="206" t="s">
        <v>99</v>
      </c>
      <c r="B6" s="206"/>
      <c r="C6" s="206"/>
      <c r="F6" s="70"/>
      <c r="G6" s="74"/>
      <c r="K6" s="206" t="s">
        <v>52</v>
      </c>
      <c r="L6" s="206"/>
      <c r="M6" s="206"/>
      <c r="N6" s="208" t="s">
        <v>101</v>
      </c>
      <c r="O6" s="208"/>
      <c r="P6" s="20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70"/>
      <c r="G7" s="74"/>
      <c r="K7" s="206"/>
      <c r="L7" s="206"/>
      <c r="M7" s="206"/>
      <c r="N7" s="208"/>
      <c r="O7" s="208"/>
      <c r="P7" s="20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70"/>
      <c r="G8" s="74"/>
      <c r="K8" s="206"/>
      <c r="L8" s="206"/>
      <c r="M8" s="206"/>
      <c r="N8" s="208"/>
      <c r="O8" s="208"/>
      <c r="P8" s="208"/>
      <c r="R8" s="70"/>
      <c r="S8" s="74"/>
    </row>
    <row r="9" spans="1:19 16383:16384" x14ac:dyDescent="0.35">
      <c r="A9" s="210"/>
      <c r="B9" s="210"/>
      <c r="C9" s="210"/>
      <c r="F9" s="70"/>
      <c r="G9" s="74"/>
      <c r="K9" s="206"/>
      <c r="L9" s="206"/>
      <c r="M9" s="206"/>
      <c r="N9" s="208"/>
      <c r="O9" s="208"/>
      <c r="P9" s="208"/>
      <c r="R9" s="7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7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70"/>
      <c r="S10" s="71"/>
      <c r="XFD10" t="s">
        <v>58</v>
      </c>
    </row>
    <row r="11" spans="1:19 16383:16384" x14ac:dyDescent="0.35">
      <c r="A11" s="211"/>
      <c r="B11" s="76" t="s">
        <v>48</v>
      </c>
      <c r="C11" s="77" t="str">
        <f>IF($O34&gt;2.49%,"No","Yes")</f>
        <v>Yes</v>
      </c>
      <c r="F11" s="7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70"/>
      <c r="S11" s="71"/>
    </row>
    <row r="12" spans="1:19 16383:16384" ht="14.65" customHeight="1" x14ac:dyDescent="0.35">
      <c r="A12" s="211" t="s">
        <v>60</v>
      </c>
      <c r="B12" s="76" t="s">
        <v>54</v>
      </c>
      <c r="C12" s="77" t="str">
        <f>IF($O32&gt;21.99%,"No","Yes")</f>
        <v>No</v>
      </c>
      <c r="F12" s="70"/>
      <c r="G12" s="71"/>
      <c r="K12" s="206" t="s">
        <v>61</v>
      </c>
      <c r="L12" s="206"/>
      <c r="M12" s="206"/>
      <c r="N12" s="205"/>
      <c r="O12" s="205"/>
      <c r="P12" s="205"/>
      <c r="R12" s="7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61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4" t="s">
        <v>45</v>
      </c>
      <c r="B2" s="204"/>
      <c r="C2" s="204"/>
    </row>
    <row r="3" spans="1:19 16383:16384" ht="15" customHeight="1" x14ac:dyDescent="0.35">
      <c r="A3" s="205" t="s">
        <v>46</v>
      </c>
      <c r="B3" s="205"/>
      <c r="C3" s="205"/>
      <c r="F3" s="180"/>
      <c r="G3" s="71"/>
      <c r="K3" s="206" t="s">
        <v>47</v>
      </c>
      <c r="L3" s="206"/>
      <c r="M3" s="206"/>
      <c r="N3" s="205">
        <v>10</v>
      </c>
      <c r="O3" s="205"/>
      <c r="P3" s="20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5" t="s">
        <v>94</v>
      </c>
      <c r="B4" s="205"/>
      <c r="C4" s="205"/>
      <c r="F4" s="180"/>
      <c r="G4" s="71"/>
      <c r="K4" s="206" t="s">
        <v>49</v>
      </c>
      <c r="L4" s="206"/>
      <c r="M4" s="206"/>
      <c r="N4" s="207">
        <f ca="1">TODAY()</f>
        <v>46179</v>
      </c>
      <c r="O4" s="207"/>
      <c r="P4" s="20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95</v>
      </c>
      <c r="B5" s="251"/>
      <c r="C5" s="251"/>
      <c r="F5" s="180"/>
      <c r="G5" s="71"/>
      <c r="K5" s="206" t="s">
        <v>51</v>
      </c>
      <c r="L5" s="206"/>
      <c r="M5" s="206"/>
      <c r="N5" s="207">
        <f ca="1">N4-1</f>
        <v>46178</v>
      </c>
      <c r="O5" s="205"/>
      <c r="P5" s="205"/>
      <c r="R5" s="180"/>
      <c r="S5" s="71"/>
    </row>
    <row r="6" spans="1:19 16383:16384" ht="15" customHeight="1" x14ac:dyDescent="0.35">
      <c r="A6" s="206" t="s">
        <v>99</v>
      </c>
      <c r="B6" s="206"/>
      <c r="C6" s="206"/>
      <c r="F6" s="180"/>
      <c r="G6" s="74"/>
      <c r="K6" s="206" t="s">
        <v>52</v>
      </c>
      <c r="L6" s="206"/>
      <c r="M6" s="206"/>
      <c r="N6" s="208" t="s">
        <v>101</v>
      </c>
      <c r="O6" s="208"/>
      <c r="P6" s="208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6"/>
      <c r="B7" s="206"/>
      <c r="C7" s="206"/>
      <c r="F7" s="180"/>
      <c r="G7" s="74"/>
      <c r="K7" s="206"/>
      <c r="L7" s="206"/>
      <c r="M7" s="206"/>
      <c r="N7" s="208"/>
      <c r="O7" s="208"/>
      <c r="P7" s="208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10"/>
      <c r="B8" s="210"/>
      <c r="C8" s="210"/>
      <c r="F8" s="180"/>
      <c r="G8" s="74"/>
      <c r="K8" s="206"/>
      <c r="L8" s="206"/>
      <c r="M8" s="206"/>
      <c r="N8" s="208"/>
      <c r="O8" s="208"/>
      <c r="P8" s="208"/>
      <c r="R8" s="180"/>
      <c r="S8" s="74"/>
    </row>
    <row r="9" spans="1:19 16383:16384" x14ac:dyDescent="0.35">
      <c r="A9" s="210"/>
      <c r="B9" s="210"/>
      <c r="C9" s="210"/>
      <c r="F9" s="180"/>
      <c r="G9" s="74"/>
      <c r="K9" s="206"/>
      <c r="L9" s="206"/>
      <c r="M9" s="206"/>
      <c r="N9" s="208"/>
      <c r="O9" s="208"/>
      <c r="P9" s="208"/>
      <c r="R9" s="180"/>
      <c r="S9" s="74"/>
      <c r="XFD9" t="s">
        <v>55</v>
      </c>
    </row>
    <row r="10" spans="1:19 16383:16384" x14ac:dyDescent="0.35">
      <c r="A10" s="211" t="s">
        <v>96</v>
      </c>
      <c r="B10" s="75" t="s">
        <v>100</v>
      </c>
      <c r="C10" s="75"/>
      <c r="F10" s="180"/>
      <c r="G10" s="71"/>
      <c r="K10" s="206" t="s">
        <v>56</v>
      </c>
      <c r="L10" s="206"/>
      <c r="M10" s="206"/>
      <c r="N10" s="205" t="s">
        <v>57</v>
      </c>
      <c r="O10" s="205"/>
      <c r="P10" s="205"/>
      <c r="R10" s="180"/>
      <c r="S10" s="71"/>
      <c r="XFD10" t="s">
        <v>58</v>
      </c>
    </row>
    <row r="11" spans="1:19 16383:16384" x14ac:dyDescent="0.35">
      <c r="A11" s="211"/>
      <c r="B11" s="76" t="s">
        <v>48</v>
      </c>
      <c r="C11" s="181" t="str">
        <f>IF($O34&gt;2.49%,"No","Yes")</f>
        <v>Yes</v>
      </c>
      <c r="F11" s="180"/>
      <c r="G11" s="71"/>
      <c r="K11" s="206" t="s">
        <v>59</v>
      </c>
      <c r="L11" s="206"/>
      <c r="M11" s="206"/>
      <c r="N11" s="205" t="s">
        <v>55</v>
      </c>
      <c r="O11" s="205"/>
      <c r="P11" s="205"/>
      <c r="R11" s="180"/>
      <c r="S11" s="71"/>
    </row>
    <row r="12" spans="1:19 16383:16384" ht="14.65" customHeight="1" x14ac:dyDescent="0.35">
      <c r="A12" s="21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6" t="s">
        <v>61</v>
      </c>
      <c r="L12" s="206"/>
      <c r="M12" s="206"/>
      <c r="N12" s="205"/>
      <c r="O12" s="205"/>
      <c r="P12" s="205"/>
      <c r="R12" s="180"/>
      <c r="S12" s="71"/>
      <c r="XFD12" t="s">
        <v>62</v>
      </c>
    </row>
    <row r="13" spans="1:19 16383:16384" ht="15" thickBot="1" x14ac:dyDescent="0.4">
      <c r="A13" s="248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9" t="s">
        <v>64</v>
      </c>
      <c r="B14" s="218"/>
      <c r="C14" s="212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50"/>
      <c r="B15" s="219"/>
      <c r="C15" s="21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0" t="s">
        <v>84</v>
      </c>
      <c r="B25" s="231"/>
      <c r="C25" s="232"/>
      <c r="D25" s="226"/>
      <c r="E25" s="226"/>
      <c r="F25" s="25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3" t="s">
        <v>85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N28" s="242" t="s">
        <v>86</v>
      </c>
      <c r="O28" s="243"/>
      <c r="P28" s="152">
        <f>I25</f>
        <v>0</v>
      </c>
    </row>
    <row r="29" spans="1:19 16384:16384" ht="15" customHeight="1" x14ac:dyDescent="0.35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N29" s="244" t="s">
        <v>87</v>
      </c>
      <c r="O29" s="245"/>
      <c r="P29" s="153">
        <f>L25</f>
        <v>0</v>
      </c>
    </row>
    <row r="30" spans="1:19 16384:16384" ht="15" customHeight="1" x14ac:dyDescent="0.35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N30" s="244" t="s">
        <v>4</v>
      </c>
      <c r="O30" s="245"/>
      <c r="P30" s="154">
        <f>K25</f>
        <v>0</v>
      </c>
    </row>
    <row r="31" spans="1:19 16384:16384" ht="15" customHeight="1" x14ac:dyDescent="0.35"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"/>
      <c r="N31" s="244" t="s">
        <v>88</v>
      </c>
      <c r="O31" s="245"/>
      <c r="P31" s="153">
        <f>P28-P29-P30</f>
        <v>0</v>
      </c>
    </row>
    <row r="32" spans="1:19 16384:16384" ht="15" customHeight="1" x14ac:dyDescent="0.35">
      <c r="B32" s="236"/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6"/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"/>
      <c r="N33" s="246" t="s">
        <v>90</v>
      </c>
      <c r="O33" s="247"/>
      <c r="P33" s="153">
        <f>P31+P32</f>
        <v>0</v>
      </c>
    </row>
    <row r="34" spans="2:16" ht="15" customHeight="1" thickBot="1" x14ac:dyDescent="0.4">
      <c r="B34" s="239"/>
      <c r="C34" s="240"/>
      <c r="D34" s="240"/>
      <c r="E34" s="240"/>
      <c r="F34" s="240"/>
      <c r="G34" s="240"/>
      <c r="H34" s="240"/>
      <c r="I34" s="240"/>
      <c r="J34" s="240"/>
      <c r="K34" s="240"/>
      <c r="L34" s="241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4" t="s">
        <v>92</v>
      </c>
      <c r="O35" s="225"/>
      <c r="P35" s="160">
        <f>P33+P34</f>
        <v>0</v>
      </c>
    </row>
    <row r="36" spans="2:16" ht="15" thickBot="1" x14ac:dyDescent="0.4">
      <c r="B36" s="186" t="s">
        <v>93</v>
      </c>
      <c r="C36" s="226"/>
      <c r="D36" s="226"/>
      <c r="E36" s="226"/>
      <c r="F36" s="226"/>
      <c r="G36" s="226"/>
      <c r="H36" s="226"/>
      <c r="I36" s="227"/>
      <c r="J36" s="228"/>
      <c r="K36" s="22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2026-06-06T12:47:51Z</dcterms:modified>
</cp:coreProperties>
</file>