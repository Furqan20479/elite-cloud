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08C969CB-A992-4913-86E4-1B1462FBF1FE}" xr6:coauthVersionLast="45" xr6:coauthVersionMax="45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16" l="1"/>
  <c r="R21" i="16"/>
  <c r="L17" i="17" l="1"/>
  <c r="L18" i="17"/>
  <c r="L19" i="17"/>
  <c r="L20" i="17"/>
  <c r="L21" i="17"/>
  <c r="L22" i="17"/>
  <c r="L23" i="17"/>
  <c r="L24" i="17"/>
  <c r="L16" i="17"/>
  <c r="L17" i="16" l="1"/>
  <c r="L18" i="16"/>
  <c r="L19" i="16"/>
  <c r="L20" i="16"/>
  <c r="L21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M16" i="15" l="1"/>
  <c r="P31" i="17"/>
  <c r="M17" i="15"/>
  <c r="L25" i="16"/>
  <c r="P29" i="16" s="1"/>
  <c r="M22" i="16"/>
  <c r="N22" i="16" s="1"/>
  <c r="N22" i="15" s="1"/>
  <c r="M18" i="16"/>
  <c r="N18" i="16" s="1"/>
  <c r="O18" i="16" s="1"/>
  <c r="O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17" l="1"/>
  <c r="P34" i="17" s="1"/>
  <c r="P35" i="17" s="1"/>
  <c r="U15" i="15" s="1"/>
  <c r="N18" i="15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<sst xmlns="http://schemas.openxmlformats.org/spreadsheetml/2006/main" count="1599" uniqueCount="128">
  <si>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</si>
  <si>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</si>
  <si>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</si>
  <si>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</si>
  <si>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</si>
  <si>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</si>
  <si>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</si>
  <si>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</si>
  <si>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</si>
  <si>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</si>
  <si>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</si>
  <si>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</si>
  <si>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</si>
  <si>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</si>
  <si>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</si>
  <si>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</si>
  <si>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</si>
  <si>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</si>
  <si>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</si>
  <si>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</si>
  <si>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</si>
  <si>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</si>
  <si>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</si>
  <si>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</si>
  <si>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</si>
  <si>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</si>
  <si>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</si>
  <si>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</si>
  <si>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</si>
  <si>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</si>
  <si>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</si>
  <si>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</si>
  <si>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</si>
  <si>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</si>
  <si>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</si>
  <si>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</si>
  <si>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</si>
  <si>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</si>
  <si>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</si>
  <si>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</si>
  <si>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</si>
  <si>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</si>
  <si>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</si>
  <si>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</si>
  <si>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</si>
  <si>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</si>
  <si>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</si>
  <si>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</si>
  <si>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</si>
  <si>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</si>
  <si>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</si>
  <si>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</si>
  <si>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</si>
  <si>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</si>
  <si>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</si>
  <si>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</si>
  <si>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</si>
  <si>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</si>
  <si>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</si>
  <si>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</si>
  <si>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</si>
  <si>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</si>
  <si>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</si>
  <si>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</si>
  <si>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</si>
  <si>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</si>
  <si>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</si>
  <si>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</si>
  <si>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</si>
  <si>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</si>
  <si>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</si>
  <si>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</si>
  <si>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</si>
  <si>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</si>
  <si>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</si>
  <si>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</si>
  <si>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</si>
  <si>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</si>
  <si>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</si>
  <si>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</si>
  <si>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</si>
  <si>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</si>
  <si>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</si>
  <si>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</si>
  <si>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</si>
  <si>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</si>
  <si>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</si>
  <si>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</si>
  <si>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</si>
  <si>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</si>
  <si>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</si>
  <si>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</si>
  <si>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</si>
  <si>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</si>
  <si>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</si>
  <si>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</si>
  <si>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</si>
  <si>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</si>
  <si>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</si>
  <si>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</si>
  <si>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</si>
  <si>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</si>
  <si>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</si>
  <si>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</si>
  <si>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</si>
  <si>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</si>
  <si>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</si>
  <si>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</si>
  <si>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</si>
  <si>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</si>
  <si>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</si>
  <si>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</si>
  <si>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</si>
  <si>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</si>
  <si>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</si>
  <si>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</si>
  <si>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</si>
  <si>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</si>
  <si>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</si>
  <si>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</si>
  <si>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</si>
  <si>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</si>
  <si>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Customer Name : Jalal Sons</t>
  </si>
  <si>
    <t>Customer Name :Swera Store</t>
  </si>
  <si>
    <t>1265416-7</t>
  </si>
  <si>
    <t>Address: shadman</t>
  </si>
  <si>
    <t>7278831-0</t>
  </si>
  <si>
    <t>Address: Phase 5 DHA Y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</si>
</sst>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121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Jalal Sons</v>
      </c>
      <c r="U14" s="164">
        <f>+'1'!P35</f>
        <v>332985.37445400003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:Swera Store</v>
      </c>
      <c r="U15" s="164">
        <f>+'2'!P35</f>
        <v>34478.377496400004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880</v>
      </c>
      <c r="I16" s="1">
        <f>(G16*D16)*F16+H16*F16</f>
        <v>46167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6799.14</v>
      </c>
      <c r="M16" s="106">
        <f>I16-K16-L16</f>
        <v>39367.86</v>
      </c>
      <c r="N16" s="101">
        <f>+'1'!N16+'2'!N16+'4'!N16+'3'!N16+'5'!N16+'6'!N16+'7'!N16+'8'!N16+'9'!N16+'10'!N16</f>
        <v>7086.2147999999997</v>
      </c>
      <c r="O16" s="101">
        <f>+'1'!O16+'2'!O16+'4'!O16+'3'!O16+'5'!O16+'6'!O16+'7'!O16+'8'!O16+'9'!O16+'10'!O16</f>
        <v>232.27037400000003</v>
      </c>
      <c r="P16" s="105">
        <f t="shared" ref="P16:P24" si="0">M16+N16+O16</f>
        <v>46686.345174000002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880</v>
      </c>
      <c r="I17" s="1">
        <f t="shared" ref="I17:I23" si="1">(G17*D17)*F17+H17*F17</f>
        <v>46167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6799.14</v>
      </c>
      <c r="M17" s="118">
        <f t="shared" ref="M17:M23" si="2">I17-K17-L17</f>
        <v>39367.86</v>
      </c>
      <c r="N17" s="101">
        <f>+'1'!N17+'2'!N17+'4'!N17+'3'!N17+'5'!N17+'6'!N17+'7'!N17+'8'!N17+'9'!N17+'10'!N17</f>
        <v>7086.2147999999997</v>
      </c>
      <c r="O17" s="101">
        <f>+'1'!O17+'2'!O17+'4'!O17+'3'!O17+'5'!O17+'6'!O17+'7'!O17+'8'!O17+'9'!O17+'10'!O17</f>
        <v>232.27037400000003</v>
      </c>
      <c r="P17" s="120">
        <f t="shared" si="0"/>
        <v>46686.345174000002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880</v>
      </c>
      <c r="I18" s="1">
        <f t="shared" si="1"/>
        <v>46167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6799.14</v>
      </c>
      <c r="M18" s="118">
        <f t="shared" si="2"/>
        <v>39367.86</v>
      </c>
      <c r="N18" s="101">
        <f>+'1'!N18+'2'!N18+'4'!N18+'3'!N18+'5'!N18+'6'!N18+'7'!N18+'8'!N18+'9'!N18+'10'!N18</f>
        <v>7086.2147999999997</v>
      </c>
      <c r="O18" s="101">
        <f>+'1'!O18+'2'!O18+'4'!O18+'3'!O18+'5'!O18+'6'!O18+'7'!O18+'8'!O18+'9'!O18+'10'!O18</f>
        <v>232.27037400000003</v>
      </c>
      <c r="P18" s="120">
        <f t="shared" si="0"/>
        <v>46686.345174000002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880</v>
      </c>
      <c r="I19" s="1">
        <f t="shared" si="1"/>
        <v>63923.199999999997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9414.1439999999984</v>
      </c>
      <c r="M19" s="118">
        <f t="shared" si="2"/>
        <v>54509.055999999997</v>
      </c>
      <c r="N19" s="101">
        <f>+'1'!N19+'2'!N19+'4'!N19+'3'!N19+'5'!N19+'6'!N19+'7'!N19+'8'!N19+'9'!N19+'10'!N19</f>
        <v>9811.630079999999</v>
      </c>
      <c r="O19" s="101">
        <f>+'1'!O19+'2'!O19+'4'!O19+'3'!O19+'5'!O19+'6'!O19+'7'!O19+'8'!O19+'9'!O19+'10'!O19</f>
        <v>321.60343039999998</v>
      </c>
      <c r="P19" s="120">
        <f t="shared" si="0"/>
        <v>64642.289510399998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880</v>
      </c>
      <c r="I20" s="1">
        <f t="shared" si="1"/>
        <v>63923.199999999997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9414.1439999999984</v>
      </c>
      <c r="M20" s="118">
        <f t="shared" si="2"/>
        <v>54509.055999999997</v>
      </c>
      <c r="N20" s="101">
        <f>+'1'!N20+'2'!N20+'4'!N20+'3'!N20+'5'!N20+'6'!N20+'7'!N20+'8'!N20+'9'!N20+'10'!N20</f>
        <v>9811.630079999999</v>
      </c>
      <c r="O20" s="101">
        <f>+'1'!O20+'2'!O20+'4'!O20+'3'!O20+'5'!O20+'6'!O20+'7'!O20+'8'!O20+'9'!O20+'10'!O20</f>
        <v>321.60343039999998</v>
      </c>
      <c r="P20" s="120">
        <f t="shared" si="0"/>
        <v>64642.289510399998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880</v>
      </c>
      <c r="I21" s="1">
        <f t="shared" si="1"/>
        <v>63923.199999999997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9414.1439999999984</v>
      </c>
      <c r="M21" s="118">
        <f t="shared" si="2"/>
        <v>54509.055999999997</v>
      </c>
      <c r="N21" s="101">
        <f>+'1'!N21+'2'!N21+'4'!N21+'3'!N21+'5'!N21+'6'!N21+'7'!N21+'8'!N21+'9'!N21+'10'!N21</f>
        <v>9811.630079999999</v>
      </c>
      <c r="O21" s="101">
        <f>+'1'!O21+'2'!O21+'4'!O21+'3'!O21+'5'!O21+'6'!O21+'7'!O21+'8'!O21+'9'!O21+'10'!O21</f>
        <v>321.60343039999998</v>
      </c>
      <c r="P21" s="120">
        <f t="shared" si="0"/>
        <v>64642.289510399998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880</v>
      </c>
      <c r="I22" s="1">
        <f t="shared" si="1"/>
        <v>34522.400000000001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1208.2840000000003</v>
      </c>
      <c r="L22" s="175">
        <f>+'1'!L22+'2'!L22+'4'!L22+'3'!L22+'5'!L22+'6'!L22+'7'!L22+'8'!L22+'9'!L22+'10'!L22</f>
        <v>5084.2080000000005</v>
      </c>
      <c r="M22" s="118">
        <f t="shared" si="2"/>
        <v>28229.908000000003</v>
      </c>
      <c r="N22" s="101">
        <f>+'1'!N22+'2'!N22+'4'!N22+'3'!N22+'5'!N22+'6'!N22+'7'!N22+'8'!N22+'9'!N22+'10'!N22</f>
        <v>5081.3834400000005</v>
      </c>
      <c r="O22" s="101">
        <f>+'1'!O22+'2'!O22+'4'!O22+'3'!O22+'5'!O22+'6'!O22+'7'!O22+'8'!O22+'9'!O22+'10'!O22</f>
        <v>166.55645720000004</v>
      </c>
      <c r="P22" s="120">
        <f t="shared" si="0"/>
        <v>33477.847897200001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6160</v>
      </c>
      <c r="I25" s="178">
        <f t="shared" si="3"/>
        <v>364793.00000000006</v>
      </c>
      <c r="J25" s="177">
        <f t="shared" si="3"/>
        <v>0</v>
      </c>
      <c r="K25" s="178">
        <f t="shared" si="3"/>
        <v>1208.2840000000003</v>
      </c>
      <c r="L25" s="179">
        <f t="shared" si="3"/>
        <v>53724.06</v>
      </c>
      <c r="M25" s="141">
        <f t="shared" si="3"/>
        <v>309860.65599999996</v>
      </c>
      <c r="N25" s="142">
        <f>SUM(N16:N24)</f>
        <v>55774.918079999996</v>
      </c>
      <c r="O25" s="143">
        <f>SUM(O16:O24)</f>
        <v>1828.1778704000001</v>
      </c>
      <c r="P25" s="144">
        <f>SUM(P16:P24)</f>
        <v>367463.75195039995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367463.75195040007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364793.00000000006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53724.06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1208.2840000000003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309860.65600000008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55774.918079999996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365635.57408000005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9140.889352000002</v>
      </c>
    </row>
    <row r="35" spans="2:16" ht="15.75" customHeight="1" thickBot="1" x14ac:dyDescent="0.4">
      <c r="N35" s="223" t="s">
        <v>92</v>
      </c>
      <c r="O35" s="224"/>
      <c r="P35" s="160">
        <f>P33+P34</f>
        <v>374776.46343200008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zoomScaleNormal="10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127</v>
      </c>
      <c r="B6" s="205"/>
      <c r="C6" s="205"/>
      <c r="F6" s="70"/>
      <c r="G6" s="74"/>
      <c r="K6" s="205" t="s">
        <v>52</v>
      </c>
      <c r="L6" s="205"/>
      <c r="M6" s="205"/>
      <c r="N6" s="207" t="s">
        <v>106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126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800</v>
      </c>
      <c r="I16" s="102">
        <f>(G16*D16)*F16+H16*F16</f>
        <v>41970</v>
      </c>
      <c r="J16" s="103"/>
      <c r="K16" s="104">
        <f>I16*$K$13</f>
        <v>0</v>
      </c>
      <c r="L16" s="105">
        <f>I16*15%</f>
        <v>6295.5</v>
      </c>
      <c r="M16" s="106">
        <f>I16-K16-L16</f>
        <v>35674.5</v>
      </c>
      <c r="N16" s="106">
        <f t="shared" ref="N16:N24" si="0">(M16*$N$15)+(J16*F16)*$N$15</f>
        <v>6421.41</v>
      </c>
      <c r="O16" s="107">
        <f t="shared" ref="O16:O24" si="1">(N16+M16)*$O$15</f>
        <v>210.47955000000002</v>
      </c>
      <c r="P16" s="105">
        <f t="shared" ref="P16:P24" si="2">M16+N16+O16</f>
        <v>42306.389550000007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800</v>
      </c>
      <c r="I17" s="116">
        <f t="shared" ref="I17:I23" si="3">(G17*D17)*F17+H17*F17</f>
        <v>41970</v>
      </c>
      <c r="J17" s="117"/>
      <c r="K17" s="1">
        <f t="shared" ref="K17:K21" si="4">I17*$K$13</f>
        <v>0</v>
      </c>
      <c r="L17" s="105">
        <f t="shared" ref="L17:L22" si="5">I17*15%</f>
        <v>6295.5</v>
      </c>
      <c r="M17" s="118">
        <f t="shared" ref="M17:M23" si="6">I17-K17-L17</f>
        <v>35674.5</v>
      </c>
      <c r="N17" s="118">
        <f t="shared" si="0"/>
        <v>6421.41</v>
      </c>
      <c r="O17" s="119">
        <f t="shared" si="1"/>
        <v>210.47955000000002</v>
      </c>
      <c r="P17" s="120">
        <f t="shared" si="2"/>
        <v>42306.389550000007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800</v>
      </c>
      <c r="I18" s="116">
        <f t="shared" si="3"/>
        <v>41970</v>
      </c>
      <c r="J18" s="117"/>
      <c r="K18" s="1">
        <f t="shared" si="4"/>
        <v>0</v>
      </c>
      <c r="L18" s="105">
        <f t="shared" si="5"/>
        <v>6295.5</v>
      </c>
      <c r="M18" s="118">
        <f t="shared" si="6"/>
        <v>35674.5</v>
      </c>
      <c r="N18" s="118">
        <f t="shared" si="0"/>
        <v>6421.41</v>
      </c>
      <c r="O18" s="119">
        <f t="shared" si="1"/>
        <v>210.47955000000002</v>
      </c>
      <c r="P18" s="120">
        <f t="shared" si="2"/>
        <v>42306.389550000007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800</v>
      </c>
      <c r="I19" s="116">
        <f t="shared" si="3"/>
        <v>58112</v>
      </c>
      <c r="J19" s="117"/>
      <c r="K19" s="1">
        <f t="shared" si="4"/>
        <v>0</v>
      </c>
      <c r="L19" s="105">
        <f t="shared" si="5"/>
        <v>8716.7999999999993</v>
      </c>
      <c r="M19" s="118">
        <f t="shared" si="6"/>
        <v>49395.199999999997</v>
      </c>
      <c r="N19" s="118">
        <f t="shared" si="0"/>
        <v>8891.1359999999986</v>
      </c>
      <c r="O19" s="119">
        <f t="shared" si="1"/>
        <v>291.43167999999997</v>
      </c>
      <c r="P19" s="120">
        <f t="shared" si="2"/>
        <v>58577.767679999997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800</v>
      </c>
      <c r="I20" s="116">
        <f t="shared" si="3"/>
        <v>58112</v>
      </c>
      <c r="J20" s="117"/>
      <c r="K20" s="1">
        <f t="shared" si="4"/>
        <v>0</v>
      </c>
      <c r="L20" s="105">
        <f t="shared" si="5"/>
        <v>8716.7999999999993</v>
      </c>
      <c r="M20" s="118">
        <f t="shared" si="6"/>
        <v>49395.199999999997</v>
      </c>
      <c r="N20" s="118">
        <f t="shared" si="0"/>
        <v>8891.1359999999986</v>
      </c>
      <c r="O20" s="119">
        <f t="shared" si="1"/>
        <v>291.43167999999997</v>
      </c>
      <c r="P20" s="120">
        <f t="shared" si="2"/>
        <v>58577.767679999997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800</v>
      </c>
      <c r="I21" s="116">
        <f t="shared" si="3"/>
        <v>58112</v>
      </c>
      <c r="J21" s="117"/>
      <c r="K21" s="1">
        <f t="shared" si="4"/>
        <v>0</v>
      </c>
      <c r="L21" s="105">
        <f t="shared" si="5"/>
        <v>8716.7999999999993</v>
      </c>
      <c r="M21" s="118">
        <f t="shared" si="6"/>
        <v>49395.199999999997</v>
      </c>
      <c r="N21" s="118">
        <f t="shared" si="0"/>
        <v>8891.1359999999986</v>
      </c>
      <c r="O21" s="119">
        <f t="shared" si="1"/>
        <v>291.43167999999997</v>
      </c>
      <c r="P21" s="120">
        <f t="shared" si="2"/>
        <v>58577.767679999997</v>
      </c>
      <c r="R21">
        <f>H25/40</f>
        <v>140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800</v>
      </c>
      <c r="I22" s="116">
        <f t="shared" si="3"/>
        <v>31384.000000000004</v>
      </c>
      <c r="J22" s="117"/>
      <c r="K22" s="1">
        <f>I22*3.5%</f>
        <v>1098.4400000000003</v>
      </c>
      <c r="L22" s="105">
        <f t="shared" si="5"/>
        <v>4707.6000000000004</v>
      </c>
      <c r="M22" s="118">
        <f t="shared" si="6"/>
        <v>25577.960000000006</v>
      </c>
      <c r="N22" s="118">
        <f t="shared" si="0"/>
        <v>4604.0328000000009</v>
      </c>
      <c r="O22" s="119">
        <f t="shared" si="1"/>
        <v>150.90996400000003</v>
      </c>
      <c r="P22" s="120">
        <f t="shared" si="2"/>
        <v>30332.902764000006</v>
      </c>
      <c r="R22">
        <f>H16/40</f>
        <v>20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5600</v>
      </c>
      <c r="I25" s="137">
        <f t="shared" si="9"/>
        <v>331630</v>
      </c>
      <c r="J25" s="138"/>
      <c r="K25" s="139">
        <f t="shared" si="9"/>
        <v>1098.4400000000003</v>
      </c>
      <c r="L25" s="140">
        <f t="shared" si="9"/>
        <v>49744.499999999993</v>
      </c>
      <c r="M25" s="141">
        <f t="shared" si="9"/>
        <v>280787.06000000006</v>
      </c>
      <c r="N25" s="142">
        <f>SUM(N16:N24)</f>
        <v>50541.670799999993</v>
      </c>
      <c r="O25" s="143">
        <f>SUM(O16:O24)</f>
        <v>1656.6436539999997</v>
      </c>
      <c r="P25" s="144">
        <f>SUM(P16:P24)</f>
        <v>332985.37445400003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331630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49744.499999999993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1098.4400000000003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280787.06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50541.670799999993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331328.73080000002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1656.6436540000002</v>
      </c>
    </row>
    <row r="35" spans="2:16" ht="15.75" customHeight="1" thickBot="1" x14ac:dyDescent="0.4">
      <c r="N35" s="223" t="s">
        <v>92</v>
      </c>
      <c r="O35" s="224"/>
      <c r="P35" s="160">
        <f>P33+P34</f>
        <v>332985.37445400003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125</v>
      </c>
      <c r="B6" s="205"/>
      <c r="C6" s="205"/>
      <c r="F6" s="70"/>
      <c r="G6" s="74"/>
      <c r="K6" s="205" t="s">
        <v>52</v>
      </c>
      <c r="L6" s="205"/>
      <c r="M6" s="205"/>
      <c r="N6" s="207" t="s">
        <v>106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I16*12%</f>
        <v>503.64</v>
      </c>
      <c r="M16" s="106">
        <f>I16-K16-L16</f>
        <v>3693.36</v>
      </c>
      <c r="N16" s="106">
        <f t="shared" ref="N16:N24" si="0">(M16*$N$15)+(J16*F16)*$N$15</f>
        <v>664.8048</v>
      </c>
      <c r="O16" s="107">
        <f>(N16+M16)*$O$15</f>
        <v>21.790824000000004</v>
      </c>
      <c r="P16" s="105">
        <f t="shared" ref="P16:P24" si="1">M16+N16+O16</f>
        <v>4379.9556240000002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4" si="4">I17*12%</f>
        <v>503.64</v>
      </c>
      <c r="M17" s="118">
        <f t="shared" ref="M17:M23" si="5">I17-K17-L17</f>
        <v>3693.36</v>
      </c>
      <c r="N17" s="118">
        <f t="shared" si="0"/>
        <v>664.8048</v>
      </c>
      <c r="O17" s="119">
        <f t="shared" ref="O17:O24" si="6">(N17+M17)*$O$15</f>
        <v>21.790824000000004</v>
      </c>
      <c r="P17" s="120">
        <f t="shared" si="1"/>
        <v>4379.9556240000002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3693.36</v>
      </c>
      <c r="N18" s="118">
        <f t="shared" si="0"/>
        <v>664.8048</v>
      </c>
      <c r="O18" s="119">
        <f t="shared" si="6"/>
        <v>21.790824000000004</v>
      </c>
      <c r="P18" s="120">
        <f t="shared" si="1"/>
        <v>4379.9556240000002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697.34399999999994</v>
      </c>
      <c r="M19" s="118">
        <f t="shared" si="5"/>
        <v>5113.8559999999998</v>
      </c>
      <c r="N19" s="118">
        <f t="shared" si="0"/>
        <v>920.49407999999994</v>
      </c>
      <c r="O19" s="119">
        <f t="shared" si="6"/>
        <v>30.171750400000001</v>
      </c>
      <c r="P19" s="120">
        <f t="shared" si="1"/>
        <v>6064.5218304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697.34399999999994</v>
      </c>
      <c r="M20" s="118">
        <f t="shared" si="5"/>
        <v>5113.8559999999998</v>
      </c>
      <c r="N20" s="118">
        <f t="shared" si="0"/>
        <v>920.49407999999994</v>
      </c>
      <c r="O20" s="119">
        <f t="shared" si="6"/>
        <v>30.171750400000001</v>
      </c>
      <c r="P20" s="120">
        <f t="shared" si="1"/>
        <v>6064.5218304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697.34399999999994</v>
      </c>
      <c r="M21" s="118">
        <f t="shared" si="5"/>
        <v>5113.8559999999998</v>
      </c>
      <c r="N21" s="118">
        <f t="shared" si="0"/>
        <v>920.49407999999994</v>
      </c>
      <c r="O21" s="119">
        <f t="shared" si="6"/>
        <v>30.171750400000001</v>
      </c>
      <c r="P21" s="120">
        <f t="shared" si="1"/>
        <v>6064.5218304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05">
        <f t="shared" si="4"/>
        <v>376.60800000000006</v>
      </c>
      <c r="M22" s="118">
        <f t="shared" si="5"/>
        <v>2651.9480000000003</v>
      </c>
      <c r="N22" s="118">
        <f t="shared" si="0"/>
        <v>477.35064000000006</v>
      </c>
      <c r="O22" s="119">
        <f t="shared" si="6"/>
        <v>15.646493200000002</v>
      </c>
      <c r="P22" s="120">
        <f t="shared" si="1"/>
        <v>3144.9451332000003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8">SUM(G16:G24)</f>
        <v>0</v>
      </c>
      <c r="H25" s="136">
        <f t="shared" si="8"/>
        <v>560</v>
      </c>
      <c r="I25" s="137">
        <f t="shared" si="8"/>
        <v>33163</v>
      </c>
      <c r="J25" s="138"/>
      <c r="K25" s="139">
        <f t="shared" si="8"/>
        <v>109.84400000000002</v>
      </c>
      <c r="L25" s="140">
        <f t="shared" si="8"/>
        <v>3979.5600000000004</v>
      </c>
      <c r="M25" s="141">
        <f t="shared" si="8"/>
        <v>29073.596000000001</v>
      </c>
      <c r="N25" s="142">
        <f>SUM(N16:N24)</f>
        <v>5233.2472799999996</v>
      </c>
      <c r="O25" s="143">
        <f>SUM(O16:O24)</f>
        <v>171.53421640000005</v>
      </c>
      <c r="P25" s="144">
        <f>SUM(P16:P24)</f>
        <v>34478.377496400004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33163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3979.5600000000004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109.84400000000002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29073.595999999998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5233.2472799999996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34306.843280000001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171.53421640000002</v>
      </c>
    </row>
    <row r="35" spans="2:16" ht="15.75" customHeight="1" thickBot="1" x14ac:dyDescent="0.4">
      <c r="N35" s="223" t="s">
        <v>92</v>
      </c>
      <c r="O35" s="224"/>
      <c r="P35" s="160">
        <f>P33+P34</f>
        <v>34478.377496400004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2026-06-11T06:39:00Z</dcterms:modified>
</cp:coreProperties>
</file>