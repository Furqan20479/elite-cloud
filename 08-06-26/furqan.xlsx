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296EEE66-4BD2-4E2B-A036-4A0CE2862C7F}" xr6:coauthVersionLast="45" xr6:coauthVersionMax="45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N20" i="18" s="1"/>
  <c r="O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M16" i="17"/>
  <c r="I23" i="15"/>
  <c r="M19" i="18" l="1"/>
  <c r="N19" i="18" s="1"/>
  <c r="O19" i="18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19" i="18" l="1"/>
  <c r="P31" i="17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<sst xmlns="http://schemas.openxmlformats.org/spreadsheetml/2006/main" count="1597" uniqueCount="124">
  <si>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</si>
  <si>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</si>
  <si>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</si>
  <si>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</si>
  <si>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</si>
  <si>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</si>
  <si>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</si>
  <si>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</si>
  <si>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</si>
  <si>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</si>
  <si>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</si>
  <si>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</si>
  <si>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</si>
  <si>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</si>
  <si>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</si>
  <si>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</si>
  <si>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</si>
  <si>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</si>
  <si>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</si>
  <si>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</si>
  <si>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</si>
  <si>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</si>
  <si>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</si>
  <si>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</si>
  <si>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</si>
  <si>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</si>
  <si>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</si>
  <si>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</si>
  <si>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</si>
  <si>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</si>
  <si>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</si>
  <si>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</si>
  <si>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</si>
  <si>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</si>
  <si>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</si>
  <si>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</si>
  <si>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</si>
  <si>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</si>
  <si>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</si>
  <si>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</si>
  <si>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</si>
  <si>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</si>
  <si>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</si>
  <si>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</si>
  <si>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</si>
  <si>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</si>
  <si>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</si>
  <si>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</si>
  <si>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</si>
  <si>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</si>
  <si>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</si>
  <si>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</si>
  <si>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</si>
  <si>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</si>
  <si>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</si>
  <si>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</si>
  <si>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</si>
  <si>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</si>
  <si>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</si>
  <si>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</si>
  <si>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</si>
  <si>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</si>
  <si>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</si>
  <si>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</si>
  <si>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</si>
  <si>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</si>
  <si>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</si>
  <si>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</si>
  <si>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</si>
  <si>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</si>
  <si>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</si>
  <si>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</si>
  <si>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</si>
  <si>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</si>
  <si>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</si>
  <si>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</si>
  <si>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</si>
  <si>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</si>
  <si>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</si>
  <si>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</si>
  <si>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</si>
  <si>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</si>
  <si>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</si>
  <si>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</si>
  <si>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</si>
  <si>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</si>
  <si>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</si>
  <si>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</si>
  <si>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</si>
  <si>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</si>
  <si>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</si>
  <si>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</si>
  <si>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</si>
  <si>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</si>
  <si>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</si>
  <si>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</si>
  <si>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</si>
  <si>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</si>
  <si>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</si>
  <si>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</si>
  <si>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</si>
  <si>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</si>
  <si>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</si>
  <si>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</si>
  <si>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</si>
  <si>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</si>
  <si>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</si>
  <si>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</si>
  <si>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</si>
  <si>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</si>
  <si>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</si>
  <si>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</si>
  <si>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</si>
  <si>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</si>
  <si>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</si>
  <si>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Chaudry GS</t>
  </si>
  <si>
    <t>Address: Anarkali</t>
  </si>
  <si>
    <t>Customer Name : YS GS</t>
  </si>
  <si>
    <t xml:space="preserve">Address:  MYO Hospital </t>
  </si>
  <si>
    <t>Customer Name : Mahboob Store</t>
  </si>
  <si>
    <t>Address:  Gawal Mandy Thant wala Chowk</t>
  </si>
  <si>
    <t>Customer Name : Shell Pump</t>
  </si>
  <si>
    <t>Address: Toilenten Market</t>
  </si>
  <si>
    <t>Address: China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</si>
</sst>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16" sqref="S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98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Chaudry GS</v>
      </c>
      <c r="U14" s="164">
        <f>+'1'!P35</f>
        <v>6751.0744320000003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YS GS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447.81990000000002</v>
      </c>
      <c r="O16" s="101">
        <f>+'1'!O16+'2'!O16+'4'!O16+'3'!O16+'5'!O16+'6'!O16+'7'!O16+'8'!O16+'9'!O16+'10'!O16</f>
        <v>59.460997499999998</v>
      </c>
      <c r="P16" s="105">
        <f t="shared" ref="P16:P24" si="0">M16+N16+O16</f>
        <v>2437.9008974999997</v>
      </c>
      <c r="Q16" s="108"/>
      <c r="T16" s="163" t="str">
        <f>+'4'!A5</f>
        <v>Customer Name : Shell Pump</v>
      </c>
      <c r="U16" s="164">
        <f>+'4'!P35</f>
        <v>6751.0744320000003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59.460997499999998</v>
      </c>
      <c r="P17" s="120">
        <f t="shared" si="0"/>
        <v>2437.9008974999997</v>
      </c>
      <c r="S17" s="64"/>
      <c r="T17" s="163" t="str">
        <f>+'3'!A5</f>
        <v>Customer Name : Mahboob Store</v>
      </c>
      <c r="U17" s="164">
        <f>+'3'!P35</f>
        <v>5063.305824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</v>
      </c>
      <c r="I18" s="1">
        <f t="shared" si="1"/>
        <v>2098.5</v>
      </c>
      <c r="J18" s="172">
        <f>+'1'!J18+'2'!J18+'4'!J18+'3'!J18+'5'!J18+'6'!J18+'7'!J18+'8'!J18+'9'!J18+'10'!J18+'11'!J18+'12'!J18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167.88</v>
      </c>
      <c r="M18" s="118">
        <f t="shared" si="2"/>
        <v>1930.62</v>
      </c>
      <c r="N18" s="101">
        <f>+'1'!N18+'2'!N18+'4'!N18+'3'!N18+'5'!N18+'6'!N18+'7'!N18+'8'!N18+'9'!N18+'10'!N18</f>
        <v>447.81990000000002</v>
      </c>
      <c r="O18" s="101">
        <f>+'1'!O18+'2'!O18+'4'!O18+'3'!O18+'5'!O18+'6'!O18+'7'!O18+'8'!O18+'9'!O18+'10'!O18</f>
        <v>59.460997499999998</v>
      </c>
      <c r="P18" s="120">
        <f t="shared" si="0"/>
        <v>2437.9008974999997</v>
      </c>
      <c r="T18" s="163" t="str">
        <f>+'5'!A5</f>
        <v>Customer Name : Shell Pump</v>
      </c>
      <c r="U18" s="164">
        <f>+'5'!P35</f>
        <v>17440.314340500001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120</v>
      </c>
      <c r="I19" s="1">
        <f t="shared" si="1"/>
        <v>8716.7999999999993</v>
      </c>
      <c r="J19" s="172">
        <f>+'1'!J19+'2'!J19+'4'!J19+'3'!J19+'5'!J19+'6'!J19+'7'!J19+'8'!J19+'9'!J19+'10'!J19+'11'!J19+'12'!J19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697.34400000000005</v>
      </c>
      <c r="M19" s="118">
        <f t="shared" si="2"/>
        <v>8019.4559999999992</v>
      </c>
      <c r="N19" s="101">
        <f>+'1'!N19+'2'!N19+'4'!N19+'3'!N19+'5'!N19+'6'!N19+'7'!N19+'8'!N19+'9'!N19+'10'!N19</f>
        <v>1860.1651199999999</v>
      </c>
      <c r="O19" s="101">
        <f>+'1'!O19+'2'!O19+'4'!O19+'3'!O19+'5'!O19+'6'!O19+'7'!O19+'8'!O19+'9'!O19+'10'!O19</f>
        <v>246.99052800000004</v>
      </c>
      <c r="P19" s="120">
        <f t="shared" si="0"/>
        <v>10126.611648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120</v>
      </c>
      <c r="I20" s="1">
        <f t="shared" si="1"/>
        <v>8716.7999999999993</v>
      </c>
      <c r="J20" s="172">
        <f>+'1'!J20+'2'!J20+'4'!J20+'3'!J20+'5'!J20+'6'!J20+'7'!J20+'8'!J20+'9'!J20+'10'!J20+'11'!J20+'12'!J20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697.34400000000005</v>
      </c>
      <c r="M20" s="118">
        <f t="shared" si="2"/>
        <v>8019.4559999999992</v>
      </c>
      <c r="N20" s="101">
        <f>+'1'!N20+'2'!N20+'4'!N20+'3'!N20+'5'!N20+'6'!N20+'7'!N20+'8'!N20+'9'!N20+'10'!N20</f>
        <v>1860.1651199999999</v>
      </c>
      <c r="O20" s="101">
        <f>+'1'!O20+'2'!O20+'4'!O20+'3'!O20+'5'!O20+'6'!O20+'7'!O20+'8'!O20+'9'!O20+'10'!O20</f>
        <v>246.99052800000004</v>
      </c>
      <c r="P20" s="120">
        <f t="shared" si="0"/>
        <v>10126.611648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100</v>
      </c>
      <c r="I21" s="1">
        <f t="shared" si="1"/>
        <v>7264</v>
      </c>
      <c r="J21" s="172">
        <f>+'1'!J21+'2'!J21+'4'!J21+'3'!J21+'5'!J21+'6'!J21+'7'!J21+'8'!J21+'9'!J21+'10'!J21+'11'!J21+'12'!J21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581.12</v>
      </c>
      <c r="M21" s="118">
        <f t="shared" si="2"/>
        <v>6682.88</v>
      </c>
      <c r="N21" s="101">
        <f>+'1'!N21+'2'!N21+'4'!N21+'3'!N21+'5'!N21+'6'!N21+'7'!N21+'8'!N21+'9'!N21+'10'!N21</f>
        <v>1550.1376</v>
      </c>
      <c r="O21" s="101">
        <f>+'1'!O21+'2'!O21+'4'!O21+'3'!O21+'5'!O21+'6'!O21+'7'!O21+'8'!O21+'9'!O21+'10'!O21</f>
        <v>205.82544000000001</v>
      </c>
      <c r="P21" s="120">
        <f t="shared" si="0"/>
        <v>8438.8430399999997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40</v>
      </c>
      <c r="I22" s="1">
        <f t="shared" si="1"/>
        <v>1569.2000000000003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500</v>
      </c>
      <c r="I25" s="178">
        <f t="shared" si="3"/>
        <v>32562.3</v>
      </c>
      <c r="J25" s="177">
        <f t="shared" si="3"/>
        <v>23</v>
      </c>
      <c r="K25" s="178">
        <f t="shared" si="3"/>
        <v>54.922000000000011</v>
      </c>
      <c r="L25" s="179">
        <f t="shared" si="3"/>
        <v>2557.9079999999999</v>
      </c>
      <c r="M25" s="141">
        <f t="shared" si="3"/>
        <v>29949.469999999998</v>
      </c>
      <c r="N25" s="142">
        <f>SUM(N16:N24)</f>
        <v>6929.8074999999999</v>
      </c>
      <c r="O25" s="143">
        <f>SUM(O16:O24)</f>
        <v>921.98193750000019</v>
      </c>
      <c r="P25" s="144">
        <f>SUM(P16:P24)</f>
        <v>37801.259437499997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37801.259437500004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32562.3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2557.9079999999999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29949.47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6929.8074999999999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36879.277500000004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921.98193750000019</v>
      </c>
    </row>
    <row r="35" spans="2:16" ht="15.75" customHeight="1" thickBot="1" x14ac:dyDescent="0.4">
      <c r="N35" s="223" t="s">
        <v>92</v>
      </c>
      <c r="O35" s="224"/>
      <c r="P35" s="160">
        <f>P33+P34</f>
        <v>37801.259437500004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82.330176000000009</v>
      </c>
      <c r="P19" s="120">
        <f t="shared" si="2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82.330176000000009</v>
      </c>
      <c r="P20" s="120">
        <f t="shared" si="2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5811.2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464.89600000000002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5346.3040000000001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6586.4140800000005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23" t="s">
        <v>92</v>
      </c>
      <c r="O35" s="224"/>
      <c r="P35" s="160">
        <f>P33+P34</f>
        <v>6751.0744320000003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1569.2000000000003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78.460000000000022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1435.8180000000002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1751.6979600000002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3" t="s">
        <v>92</v>
      </c>
      <c r="O35" s="224"/>
      <c r="P35" s="160">
        <f>P33+P34</f>
        <v>1795.4904090000002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60</v>
      </c>
      <c r="I25" s="137">
        <f t="shared" si="9"/>
        <v>4358.3999999999996</v>
      </c>
      <c r="J25" s="138"/>
      <c r="K25" s="139">
        <f t="shared" si="9"/>
        <v>0</v>
      </c>
      <c r="L25" s="140">
        <f t="shared" si="9"/>
        <v>348.67200000000003</v>
      </c>
      <c r="M25" s="141">
        <f t="shared" si="9"/>
        <v>4009.7280000000001</v>
      </c>
      <c r="N25" s="142">
        <f>SUM(N16:N24)</f>
        <v>930.08255999999994</v>
      </c>
      <c r="O25" s="143">
        <f>SUM(O16:O24)</f>
        <v>123.49526400000002</v>
      </c>
      <c r="P25" s="144">
        <f>SUM(P16:P24)</f>
        <v>5063.305824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4358.3999999999996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348.67200000000003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4009.7279999999996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930.08255999999994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4939.8105599999999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123.49526400000001</v>
      </c>
    </row>
    <row r="35" spans="2:16" ht="15.75" customHeight="1" thickBot="1" x14ac:dyDescent="0.4">
      <c r="N35" s="223" t="s">
        <v>92</v>
      </c>
      <c r="O35" s="224"/>
      <c r="P35" s="160">
        <f>P33+P34</f>
        <v>5063.305824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5" workbookViewId="0">
      <selection activeCell="M33" sqref="M3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</f>
        <v>46179</v>
      </c>
      <c r="O5" s="204"/>
      <c r="P5" s="204"/>
      <c r="R5" s="70"/>
      <c r="S5" s="71"/>
    </row>
    <row r="6" spans="1:19 16383:16384" ht="15" customHeight="1" x14ac:dyDescent="0.35">
      <c r="A6" s="205" t="s">
        <v>122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5811.2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464.89600000000002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5346.3040000000001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6586.4140800000005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23" t="s">
        <v>92</v>
      </c>
      <c r="O35" s="224"/>
      <c r="P35" s="160">
        <f>P33+P34</f>
        <v>6751.0744320000003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123</v>
      </c>
      <c r="B6" s="205"/>
      <c r="C6" s="205"/>
      <c r="F6" s="70"/>
      <c r="G6" s="74"/>
      <c r="K6" s="205" t="s">
        <v>52</v>
      </c>
      <c r="L6" s="205"/>
      <c r="M6" s="205"/>
      <c r="N6" s="207" t="s">
        <v>98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59.460997499999998</v>
      </c>
      <c r="P18" s="120">
        <f t="shared" si="1"/>
        <v>2437.9008974999997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425.37352049999998</v>
      </c>
      <c r="P25" s="144">
        <f>SUM(P16:P24)</f>
        <v>17440.314340500001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15012.300000000001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1200.9839999999999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13811.316000000001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17014.94082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425.37352050000004</v>
      </c>
    </row>
    <row r="35" spans="2:16" ht="15.75" customHeight="1" thickBot="1" x14ac:dyDescent="0.4">
      <c r="N35" s="223" t="s">
        <v>92</v>
      </c>
      <c r="O35" s="224"/>
      <c r="P35" s="160">
        <f>P33+P34</f>
        <v>17440.314340500001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108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109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>
        <v>3520242563059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112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114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110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2026-06-06T13:03:07Z</dcterms:modified>
</cp:coreProperties>
</file>