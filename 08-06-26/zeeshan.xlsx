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42748D7C-08C6-4EE4-BC35-F6096B9C9C49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0" l="1"/>
  <c r="L18" i="20"/>
  <c r="L19" i="20"/>
  <c r="L20" i="20"/>
  <c r="L21" i="20"/>
  <c r="L22" i="20"/>
  <c r="L23" i="20"/>
  <c r="L24" i="20"/>
  <c r="L16" i="20"/>
  <c r="L17" i="16" l="1"/>
  <c r="L18" i="16"/>
  <c r="L19" i="16"/>
  <c r="L20" i="16"/>
  <c r="L21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M25" i="27"/>
  <c r="P24" i="27"/>
  <c r="P31" i="26"/>
  <c r="I16" i="24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L23" i="25"/>
  <c r="K23" i="25"/>
  <c r="L16" i="24"/>
  <c r="K16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K21" i="20"/>
  <c r="K23" i="20"/>
  <c r="K20" i="19"/>
  <c r="L20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5" l="1"/>
  <c r="K21" i="24"/>
  <c r="K17" i="24"/>
  <c r="K18" i="19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K17" i="19"/>
  <c r="L16" i="17"/>
  <c r="K20" i="18"/>
  <c r="M20" i="18" s="1"/>
  <c r="L17" i="17"/>
  <c r="K16" i="23"/>
  <c r="L24" i="24"/>
  <c r="L18" i="24"/>
  <c r="L22" i="21"/>
  <c r="L18" i="2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K25" i="24"/>
  <c r="P30" i="24" s="1"/>
  <c r="P31" i="24" s="1"/>
  <c r="K25" i="19"/>
  <c r="P30" i="19" s="1"/>
  <c r="P31" i="19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6" i="15" l="1"/>
  <c r="M17" i="15"/>
  <c r="M25" i="19"/>
  <c r="P31" i="17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33" i="20" l="1"/>
  <c r="P34" i="20" s="1"/>
  <c r="P35" i="20" s="1"/>
  <c r="U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<sst xmlns="http://schemas.openxmlformats.org/spreadsheetml/2006/main" count="1602" uniqueCount="134">
  <si>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</si>
  <si>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</si>
  <si>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</si>
  <si>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</si>
  <si>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</si>
  <si>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</si>
  <si>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</si>
  <si>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</si>
  <si>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</si>
  <si>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</si>
  <si>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</si>
  <si>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</si>
  <si>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</si>
  <si>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</si>
  <si>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</si>
  <si>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</si>
  <si>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</si>
  <si>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</si>
  <si>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</si>
  <si>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</si>
  <si>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</si>
  <si>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</si>
  <si>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</si>
  <si>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</si>
  <si>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</si>
  <si>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</si>
  <si>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</si>
  <si>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</si>
  <si>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</si>
  <si>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</si>
  <si>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</si>
  <si>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</si>
  <si>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</si>
  <si>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</si>
  <si>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</si>
  <si>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</si>
  <si>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</si>
  <si>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</si>
  <si>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</si>
  <si>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</si>
  <si>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</si>
  <si>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</si>
  <si>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</si>
  <si>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</si>
  <si>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</si>
  <si>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</si>
  <si>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</si>
  <si>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</si>
  <si>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</si>
  <si>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</si>
  <si>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</si>
  <si>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</si>
  <si>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</si>
  <si>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</si>
  <si>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</si>
  <si>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</si>
  <si>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</si>
  <si>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</si>
  <si>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</si>
  <si>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</si>
  <si>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</si>
  <si>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</si>
  <si>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</si>
  <si>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</si>
  <si>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</si>
  <si>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</si>
  <si>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</si>
  <si>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</si>
  <si>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</si>
  <si>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</si>
  <si>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</si>
  <si>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</si>
  <si>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</si>
  <si>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</si>
  <si>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</si>
  <si>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</si>
  <si>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</si>
  <si>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</si>
  <si>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</si>
  <si>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</si>
  <si>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</si>
  <si>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</si>
  <si>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</si>
  <si>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</si>
  <si>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</si>
  <si>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</si>
  <si>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</si>
  <si>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</si>
  <si>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</si>
  <si>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</si>
  <si>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</si>
  <si>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</si>
  <si>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</si>
  <si>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</si>
  <si>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</si>
  <si>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</si>
  <si>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</si>
  <si>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</si>
  <si>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</si>
  <si>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</si>
  <si>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</si>
  <si>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</si>
  <si>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</si>
  <si>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</si>
  <si>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</si>
  <si>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Euro Store</t>
  </si>
  <si>
    <t>Address: Bedian Road</t>
  </si>
  <si>
    <t>6616156-4</t>
  </si>
  <si>
    <t>Customer Name : Mian Store</t>
  </si>
  <si>
    <t>Address:  Bedian Road</t>
  </si>
  <si>
    <t>Customer Name : Fakhar Grocery</t>
  </si>
  <si>
    <t>Customer Name : Yaseen Sadiq Store</t>
  </si>
  <si>
    <t>Address: Badian Road</t>
  </si>
  <si>
    <t>0725094-7</t>
  </si>
  <si>
    <t>Customer Name : Luqman Bakery</t>
  </si>
  <si>
    <t>5493325-4</t>
  </si>
  <si>
    <t>Customer Name : Malik Store</t>
  </si>
  <si>
    <t>Customer Name : Ghafar Store</t>
  </si>
  <si>
    <t>Customer Name : Hafiz Store</t>
  </si>
  <si>
    <t>Address: Alfalah Town</t>
  </si>
  <si>
    <t>Customer Name : MM Cash Carry</t>
  </si>
  <si>
    <t>Address: Askari 11</t>
  </si>
  <si>
    <t>2123057-9</t>
  </si>
  <si>
    <t>Customer Name : Cart &amp; Carry</t>
  </si>
  <si>
    <t>Address: Banker Society</t>
  </si>
  <si>
    <t xml:space="preserve">Customer Name : Irfan Bakery </t>
  </si>
  <si>
    <t>Address: Heir Pind</t>
  </si>
  <si>
    <t>E200752-7</t>
  </si>
  <si>
    <t>Zeeshan</t>
  </si>
  <si>
    <t>Customer Name : Bin Hadi</t>
  </si>
  <si>
    <t xml:space="preserve">Address: Near Airport Bhata Chowk </t>
  </si>
  <si>
    <t>7118039-2</t>
  </si>
  <si>
    <t>Shop Bill Summary (Zeeshan)</t>
  </si>
  <si>
    <t>2829662-1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</si>
</sst>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101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102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97</v>
      </c>
    </row>
    <row r="12" spans="1:2" x14ac:dyDescent="0.35">
      <c r="A12">
        <v>7</v>
      </c>
      <c r="B12" t="s">
        <v>103</v>
      </c>
    </row>
    <row r="13" spans="1:2" x14ac:dyDescent="0.35">
      <c r="A13">
        <v>8</v>
      </c>
      <c r="B13" t="s">
        <v>104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0" zoomScale="70" zoomScaleNormal="70" workbookViewId="0">
      <selection activeCell="V18" sqref="V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128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132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18417.295134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Store</v>
      </c>
      <c r="U15" s="164">
        <f>+'2'!P35</f>
        <v>835.69414400000016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233</v>
      </c>
      <c r="I16" s="1">
        <f>(G16*D16)*F16+H16*F16</f>
        <v>12223.762499999999</v>
      </c>
      <c r="J16" s="172">
        <f>+'1'!J16+'2'!J16+'4'!J16+'3'!J16+'5'!J16+'6'!J16+'7'!J16+'8'!J16+'9'!J16+'10'!J16+'11'!J16+'12'!J16</f>
        <v>12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1061.8410000000001</v>
      </c>
      <c r="M16" s="106">
        <f>I16-K16-L16</f>
        <v>11161.921499999999</v>
      </c>
      <c r="N16" s="101">
        <f>+'1'!N16+'2'!N16+'4'!N16+'3'!N16+'5'!N16+'6'!N16+'7'!N16+'8'!N16+'9'!N16+'10'!N16</f>
        <v>2031.09618</v>
      </c>
      <c r="O16" s="101">
        <f>+'1'!O16+'2'!O16+'4'!O16+'3'!O16+'5'!O16+'6'!O16+'7'!O16+'8'!O16+'9'!O16+'10'!O16</f>
        <v>64.251872999999989</v>
      </c>
      <c r="P16" s="105">
        <f t="shared" ref="P16:P24" si="0">M16+N16+O16</f>
        <v>13257.269552999998</v>
      </c>
      <c r="Q16" s="108"/>
      <c r="T16" s="163" t="str">
        <f>+'4'!A5</f>
        <v>Customer Name : Yaseen Sadiq Store</v>
      </c>
      <c r="U16" s="164">
        <f>+'4'!P35</f>
        <v>440.11411245000005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133</v>
      </c>
      <c r="I17" s="1">
        <f t="shared" ref="I17:I23" si="1">(G17*D17)*F17+H17*F17</f>
        <v>6977.5124999999998</v>
      </c>
      <c r="J17" s="172">
        <f>+'1'!J17+'2'!J17+'4'!J17+'3'!J17+'5'!J17+'6'!J17+'7'!J17+'8'!J17+'9'!J17+'10'!J17+'11'!J17+'12'!J17</f>
        <v>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642.14100000000008</v>
      </c>
      <c r="M17" s="118">
        <f t="shared" ref="M17:M23" si="2">I17-K17-L17</f>
        <v>6335.3714999999993</v>
      </c>
      <c r="N17" s="101">
        <f>+'1'!N17+'2'!N17+'4'!N17+'3'!N17+'5'!N17+'6'!N17+'7'!N17+'8'!N17+'9'!N17+'10'!N17</f>
        <v>1301.8674300000002</v>
      </c>
      <c r="O17" s="101">
        <f>+'1'!O17+'2'!O17+'4'!O17+'3'!O17+'5'!O17+'6'!O17+'7'!O17+'8'!O17+'9'!O17+'10'!O17</f>
        <v>41.719229249999998</v>
      </c>
      <c r="P17" s="120">
        <f t="shared" si="0"/>
        <v>7678.9581592499999</v>
      </c>
      <c r="S17" s="64"/>
      <c r="T17" s="163" t="str">
        <f>+'3'!A5</f>
        <v>Customer Name : Fakhar Grocery</v>
      </c>
      <c r="U17" s="164">
        <f>+'3'!P35</f>
        <v>603.56007749999992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64</v>
      </c>
      <c r="I18" s="1">
        <f t="shared" si="1"/>
        <v>3357.6</v>
      </c>
      <c r="J18" s="172">
        <f>+'1'!J18+'2'!J18+'4'!J18+'3'!J18+'5'!J18+'6'!J18+'7'!J18+'8'!J18+'9'!J18+'10'!J18+'11'!J18+'12'!J18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184.66800000000001</v>
      </c>
      <c r="M18" s="118">
        <f t="shared" si="2"/>
        <v>3172.9319999999998</v>
      </c>
      <c r="N18" s="101">
        <f>+'1'!N18+'2'!N18+'4'!N18+'3'!N18+'5'!N18+'6'!N18+'7'!N18+'8'!N18+'9'!N18+'10'!N18</f>
        <v>408.87173999999999</v>
      </c>
      <c r="O18" s="101">
        <f>+'1'!O18+'2'!O18+'4'!O18+'3'!O18+'5'!O18+'6'!O18+'7'!O18+'8'!O18+'9'!O18+'10'!O18</f>
        <v>17.373481499999997</v>
      </c>
      <c r="P18" s="120">
        <f t="shared" si="0"/>
        <v>3599.1772214999996</v>
      </c>
      <c r="T18" s="163" t="str">
        <f>+'5'!A5</f>
        <v>Customer Name : Luqman Bakery</v>
      </c>
      <c r="U18" s="164">
        <f>+'5'!P35</f>
        <v>16057.267864800002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168</v>
      </c>
      <c r="I19" s="1">
        <f t="shared" si="1"/>
        <v>12203.52</v>
      </c>
      <c r="J19" s="172">
        <f>+'1'!J19+'2'!J19+'4'!J19+'3'!J19+'5'!J19+'6'!J19+'7'!J19+'8'!J19+'9'!J19+'10'!J19+'11'!J19+'12'!J19</f>
        <v>7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860.05760000000009</v>
      </c>
      <c r="M19" s="118">
        <f t="shared" si="2"/>
        <v>11343.4624</v>
      </c>
      <c r="N19" s="101">
        <f>+'1'!N19+'2'!N19+'4'!N19+'3'!N19+'5'!N19+'6'!N19+'7'!N19+'8'!N19+'9'!N19+'10'!N19</f>
        <v>1886.5479679999999</v>
      </c>
      <c r="O19" s="101">
        <f>+'1'!O19+'2'!O19+'4'!O19+'3'!O19+'5'!O19+'6'!O19+'7'!O19+'8'!O19+'9'!O19+'10'!O19</f>
        <v>60.145920000000004</v>
      </c>
      <c r="P19" s="120">
        <f t="shared" si="0"/>
        <v>13290.156288</v>
      </c>
      <c r="T19" s="163" t="str">
        <f>+'6'!A5</f>
        <v>Customer Name : Malik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118</v>
      </c>
      <c r="I20" s="1">
        <f t="shared" si="1"/>
        <v>8571.52</v>
      </c>
      <c r="J20" s="172">
        <f>+'1'!J20+'2'!J20+'4'!J20+'3'!J20+'5'!J20+'6'!J20+'7'!J20+'8'!J20+'9'!J20+'10'!J20+'11'!J20+'12'!J20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598.55360000000007</v>
      </c>
      <c r="M20" s="118">
        <f t="shared" si="2"/>
        <v>7972.9664000000002</v>
      </c>
      <c r="N20" s="101">
        <f>+'1'!N20+'2'!N20+'4'!N20+'3'!N20+'5'!N20+'6'!N20+'7'!N20+'8'!N20+'9'!N20+'10'!N20</f>
        <v>1337.680128</v>
      </c>
      <c r="O20" s="101">
        <f>+'1'!O20+'2'!O20+'4'!O20+'3'!O20+'5'!O20+'6'!O20+'7'!O20+'8'!O20+'9'!O20+'10'!O20</f>
        <v>42.3651008</v>
      </c>
      <c r="P20" s="120">
        <f t="shared" si="0"/>
        <v>9353.0116288000008</v>
      </c>
      <c r="T20" s="163" t="str">
        <f>+'7'!A5</f>
        <v>Customer Name : Ghafar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244</v>
      </c>
      <c r="I21" s="1">
        <f t="shared" si="1"/>
        <v>17724.16</v>
      </c>
      <c r="J21" s="172">
        <f>+'1'!J21+'2'!J21+'4'!J21+'3'!J21+'5'!J21+'6'!J21+'7'!J21+'8'!J21+'9'!J21+'10'!J21+'11'!J21+'12'!J21</f>
        <v>11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1505.1007999999999</v>
      </c>
      <c r="M21" s="118">
        <f t="shared" si="2"/>
        <v>16219.0592</v>
      </c>
      <c r="N21" s="101">
        <f>+'1'!N21+'2'!N21+'4'!N21+'3'!N21+'5'!N21+'6'!N21+'7'!N21+'8'!N21+'9'!N21+'10'!N21</f>
        <v>2884.5053439999992</v>
      </c>
      <c r="O21" s="101">
        <f>+'1'!O21+'2'!O21+'4'!O21+'3'!O21+'5'!O21+'6'!O21+'7'!O21+'8'!O21+'9'!O21+'10'!O21</f>
        <v>92.960313600000006</v>
      </c>
      <c r="P21" s="120">
        <f t="shared" si="0"/>
        <v>19196.524857600001</v>
      </c>
      <c r="T21" s="163" t="str">
        <f>+'8'!A5</f>
        <v>Customer Name : Hafiz Store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160</v>
      </c>
      <c r="I22" s="1">
        <f t="shared" si="1"/>
        <v>6276.8000000000011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313.84000000000009</v>
      </c>
      <c r="M22" s="118">
        <f t="shared" si="2"/>
        <v>5743.2720000000008</v>
      </c>
      <c r="N22" s="101">
        <f>+'1'!N22+'2'!N22+'4'!N22+'3'!N22+'5'!N22+'6'!N22+'7'!N22+'8'!N22+'9'!N22+'10'!N22</f>
        <v>1148.6544000000001</v>
      </c>
      <c r="O22" s="101">
        <f>+'1'!O22+'2'!O22+'4'!O22+'3'!O22+'5'!O22+'6'!O22+'7'!O22+'8'!O22+'9'!O22+'10'!O22</f>
        <v>60.735101400000005</v>
      </c>
      <c r="P22" s="120">
        <f t="shared" si="0"/>
        <v>6952.6615014000008</v>
      </c>
      <c r="T22" s="163" t="str">
        <f>+'9'!A5</f>
        <v>Customer Name : MM Cash Carry</v>
      </c>
      <c r="U22" s="164">
        <f>+'9'!P35</f>
        <v>6265.29557475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Cart &amp; Carry</v>
      </c>
      <c r="U23" s="164">
        <f>+'10'!P35</f>
        <v>23116.471139100006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40</v>
      </c>
      <c r="I24" s="1">
        <f>(G24*D24)*F24+H24*F24</f>
        <v>1569.2000000000003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54.922000000000011</v>
      </c>
      <c r="L24" s="175">
        <f>+'1'!L24+'2'!L24+'4'!L24+'3'!L24+'5'!L24+'6'!L24+'7'!L24+'8'!L24+'9'!L24+'10'!L24</f>
        <v>156.92000000000004</v>
      </c>
      <c r="M24" s="133">
        <f>I24-K24-L24</f>
        <v>1357.3580000000002</v>
      </c>
      <c r="N24" s="101">
        <f>+'1'!N24+'2'!N24+'4'!N24+'3'!N24+'5'!N24+'6'!N24+'7'!N24+'8'!N24+'9'!N24+'10'!N24</f>
        <v>298.61876000000007</v>
      </c>
      <c r="O24" s="101">
        <f>+'1'!O24+'2'!O24+'4'!O24+'3'!O24+'5'!O24+'6'!O24+'7'!O24+'8'!O24+'9'!O24+'10'!O24</f>
        <v>8.2798838000000021</v>
      </c>
      <c r="P24" s="132">
        <f t="shared" si="0"/>
        <v>1664.2566438000003</v>
      </c>
      <c r="T24" s="163" t="str">
        <f>+'11'!A5</f>
        <v xml:space="preserve">Customer Name : Irfan Bakery </v>
      </c>
      <c r="U24" s="164">
        <f>+'11'!P35</f>
        <v>1654.8365376000002</v>
      </c>
    </row>
    <row r="25" spans="1:21 16384:16384" ht="26.5" thickBot="1" x14ac:dyDescent="0.65">
      <c r="A25" s="213" t="s">
        <v>84</v>
      </c>
      <c r="B25" s="214"/>
      <c r="C25" s="215"/>
      <c r="D25" s="209"/>
      <c r="E25" s="209"/>
      <c r="F25" s="209"/>
      <c r="G25" s="176">
        <f t="shared" ref="G25:M25" si="3">SUM(G16:G24)</f>
        <v>0</v>
      </c>
      <c r="H25" s="177">
        <f t="shared" si="3"/>
        <v>1160</v>
      </c>
      <c r="I25" s="178">
        <f t="shared" si="3"/>
        <v>68904.074999999997</v>
      </c>
      <c r="J25" s="177">
        <f t="shared" si="3"/>
        <v>47</v>
      </c>
      <c r="K25" s="178">
        <f t="shared" si="3"/>
        <v>274.61000000000007</v>
      </c>
      <c r="L25" s="179">
        <f t="shared" si="3"/>
        <v>5323.1220000000003</v>
      </c>
      <c r="M25" s="141">
        <f t="shared" si="3"/>
        <v>63306.343000000001</v>
      </c>
      <c r="N25" s="142">
        <f>SUM(N16:N24)</f>
        <v>11297.841949999998</v>
      </c>
      <c r="O25" s="143">
        <f>SUM(O16:O24)</f>
        <v>387.83090335000003</v>
      </c>
      <c r="P25" s="144">
        <f>SUM(P16:P24)</f>
        <v>74992.015853349993</v>
      </c>
      <c r="T25" s="163" t="str">
        <f>+'12'!A5</f>
        <v>Customer Name : Bin Hadi</v>
      </c>
      <c r="U25" s="164">
        <f>+'12'!P35</f>
        <v>7103.0613537000008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75840.213744649998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68904.074999999997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5323.1220000000003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274.61000000000007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63306.342999999993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11297.841949999998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74604.184949999995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1865.10462375</v>
      </c>
    </row>
    <row r="35" spans="2:16" ht="15.75" customHeight="1" thickBot="1" x14ac:dyDescent="0.4">
      <c r="N35" s="207" t="s">
        <v>92</v>
      </c>
      <c r="O35" s="208"/>
      <c r="P35" s="160">
        <f>P33+P34</f>
        <v>76469.289573749993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106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107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I16*10%</f>
        <v>629.55000000000007</v>
      </c>
      <c r="M16" s="106">
        <f>I16-K16-L16</f>
        <v>5665.95</v>
      </c>
      <c r="N16" s="106">
        <f t="shared" ref="N16:N24" si="0">(M16*$N$15)+(J16*F16)*$N$15</f>
        <v>1076.5305000000001</v>
      </c>
      <c r="O16" s="107">
        <f t="shared" ref="O16:O24" si="1">(N16+M16)*$O$15</f>
        <v>33.712402499999996</v>
      </c>
      <c r="P16" s="105">
        <f t="shared" ref="P16:P24" si="2">M16+N16+O16</f>
        <v>6776.1929024999999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2" si="5">I17*10%</f>
        <v>209.85000000000002</v>
      </c>
      <c r="M17" s="118">
        <f t="shared" ref="M17:M23" si="6">I17-K17-L17</f>
        <v>1888.65</v>
      </c>
      <c r="N17" s="118">
        <f t="shared" si="0"/>
        <v>358.84350000000001</v>
      </c>
      <c r="O17" s="119">
        <f t="shared" si="1"/>
        <v>11.237467500000001</v>
      </c>
      <c r="P17" s="120">
        <f t="shared" si="2"/>
        <v>2258.7309675000001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3"/>
        <v>8716.7999999999993</v>
      </c>
      <c r="J21" s="117">
        <v>6</v>
      </c>
      <c r="K21" s="1">
        <f t="shared" si="4"/>
        <v>0</v>
      </c>
      <c r="L21" s="105">
        <f t="shared" si="5"/>
        <v>871.68</v>
      </c>
      <c r="M21" s="118">
        <f t="shared" si="6"/>
        <v>7845.119999999999</v>
      </c>
      <c r="N21" s="118">
        <f t="shared" si="0"/>
        <v>1490.5727999999997</v>
      </c>
      <c r="O21" s="119">
        <f t="shared" si="1"/>
        <v>46.678463999999998</v>
      </c>
      <c r="P21" s="120">
        <f t="shared" si="2"/>
        <v>9382.3712639999994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280</v>
      </c>
      <c r="I25" s="137">
        <f t="shared" si="9"/>
        <v>17110.8</v>
      </c>
      <c r="J25" s="138"/>
      <c r="K25" s="139">
        <f t="shared" si="9"/>
        <v>0</v>
      </c>
      <c r="L25" s="140">
        <f t="shared" si="9"/>
        <v>1711.08</v>
      </c>
      <c r="M25" s="141">
        <f t="shared" si="9"/>
        <v>15399.72</v>
      </c>
      <c r="N25" s="142">
        <f>SUM(N16:N24)</f>
        <v>2925.9467999999997</v>
      </c>
      <c r="O25" s="143">
        <f>SUM(O16:O24)</f>
        <v>91.628333999999995</v>
      </c>
      <c r="P25" s="144">
        <f>SUM(P16:P24)</f>
        <v>18417.295134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17110.8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1711.08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15399.72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2925.9467999999997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18325.666799999999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91.628333999999995</v>
      </c>
    </row>
    <row r="35" spans="2:16" ht="15.75" customHeight="1" thickBot="1" x14ac:dyDescent="0.4">
      <c r="N35" s="207" t="s">
        <v>92</v>
      </c>
      <c r="O35" s="208"/>
      <c r="P35" s="160">
        <f>P33+P34</f>
        <v>18417.295134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D17" sqref="D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108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109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">
        <f t="shared" si="3"/>
        <v>0</v>
      </c>
      <c r="L19" s="105">
        <f t="shared" si="4"/>
        <v>17.433600000000002</v>
      </c>
      <c r="M19" s="118">
        <f t="shared" si="5"/>
        <v>200.4864</v>
      </c>
      <c r="N19" s="118">
        <f t="shared" si="0"/>
        <v>44.107008</v>
      </c>
      <c r="O19" s="119">
        <f t="shared" si="6"/>
        <v>6.1148352000000008</v>
      </c>
      <c r="P19" s="120">
        <f t="shared" si="1"/>
        <v>250.7082432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">
        <f t="shared" si="3"/>
        <v>0</v>
      </c>
      <c r="L20" s="105">
        <f t="shared" si="4"/>
        <v>17.433600000000002</v>
      </c>
      <c r="M20" s="118">
        <f t="shared" si="5"/>
        <v>200.4864</v>
      </c>
      <c r="N20" s="118">
        <f t="shared" si="0"/>
        <v>44.107008</v>
      </c>
      <c r="O20" s="119">
        <f t="shared" si="6"/>
        <v>6.1148352000000008</v>
      </c>
      <c r="P20" s="120">
        <f t="shared" si="1"/>
        <v>250.7082432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</v>
      </c>
      <c r="I21" s="116">
        <f t="shared" si="2"/>
        <v>290.56</v>
      </c>
      <c r="J21" s="117"/>
      <c r="K21" s="1">
        <f t="shared" si="3"/>
        <v>0</v>
      </c>
      <c r="L21" s="105">
        <f t="shared" si="4"/>
        <v>23.244800000000001</v>
      </c>
      <c r="M21" s="118">
        <f t="shared" si="5"/>
        <v>267.3152</v>
      </c>
      <c r="N21" s="118">
        <f t="shared" si="0"/>
        <v>58.809344000000003</v>
      </c>
      <c r="O21" s="119">
        <f t="shared" si="6"/>
        <v>8.1531136000000011</v>
      </c>
      <c r="P21" s="120">
        <f t="shared" si="1"/>
        <v>334.2776576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726.40000000000009</v>
      </c>
      <c r="J25" s="138"/>
      <c r="K25" s="139">
        <f t="shared" si="9"/>
        <v>0</v>
      </c>
      <c r="L25" s="140">
        <f t="shared" si="9"/>
        <v>58.112000000000009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726.40000000000009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58.112000000000009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668.28800000000012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815.31136000000015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20.382784000000004</v>
      </c>
    </row>
    <row r="35" spans="2:16" ht="15.75" customHeight="1" thickBot="1" x14ac:dyDescent="0.4">
      <c r="N35" s="207" t="s">
        <v>92</v>
      </c>
      <c r="O35" s="208"/>
      <c r="P35" s="160">
        <f>P33+P34</f>
        <v>835.69414400000016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D18" sqref="D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110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109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</v>
      </c>
      <c r="I16" s="102">
        <f>(G16*D16)*F16+H16*F16</f>
        <v>157.38749999999999</v>
      </c>
      <c r="J16" s="103"/>
      <c r="K16" s="104">
        <f>I16*$K$13</f>
        <v>0</v>
      </c>
      <c r="L16" s="105">
        <f>I16*8%</f>
        <v>12.590999999999999</v>
      </c>
      <c r="M16" s="106">
        <f>I16-K16-L16</f>
        <v>144.79649999999998</v>
      </c>
      <c r="N16" s="106">
        <f t="shared" ref="N16:N24" si="0">(M16*$N$15)+(J16*F16)*$N$15</f>
        <v>31.855229999999995</v>
      </c>
      <c r="O16" s="107">
        <f>(N16+M16)*$O$15</f>
        <v>4.4162932499999998</v>
      </c>
      <c r="P16" s="105">
        <f t="shared" ref="P16:P24" si="1">M16+N16+O16</f>
        <v>181.06802324999998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</v>
      </c>
      <c r="I17" s="116">
        <f t="shared" ref="I17:I23" si="2">(G17*D17)*F17+H17*F17</f>
        <v>157.38749999999999</v>
      </c>
      <c r="J17" s="117"/>
      <c r="K17" s="1">
        <f t="shared" ref="K17:K21" si="3">I17*$K$13</f>
        <v>0</v>
      </c>
      <c r="L17" s="105">
        <f t="shared" ref="L17:L21" si="4">I17*8%</f>
        <v>12.590999999999999</v>
      </c>
      <c r="M17" s="118">
        <f t="shared" ref="M17:M23" si="5">I17-K17-L17</f>
        <v>144.79649999999998</v>
      </c>
      <c r="N17" s="118">
        <f t="shared" si="0"/>
        <v>31.855229999999995</v>
      </c>
      <c r="O17" s="119">
        <f t="shared" ref="O17:O24" si="6">(N17+M17)*$O$15</f>
        <v>4.4162932499999998</v>
      </c>
      <c r="P17" s="120">
        <f t="shared" si="1"/>
        <v>181.06802324999998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</v>
      </c>
      <c r="I18" s="116">
        <f t="shared" si="2"/>
        <v>209.85</v>
      </c>
      <c r="J18" s="117"/>
      <c r="K18" s="1">
        <f t="shared" si="3"/>
        <v>0</v>
      </c>
      <c r="L18" s="105">
        <f t="shared" si="4"/>
        <v>16.788</v>
      </c>
      <c r="M18" s="118">
        <f t="shared" si="5"/>
        <v>193.06199999999998</v>
      </c>
      <c r="N18" s="118">
        <f t="shared" si="0"/>
        <v>42.473639999999996</v>
      </c>
      <c r="O18" s="119">
        <f t="shared" si="6"/>
        <v>5.8883909999999995</v>
      </c>
      <c r="P18" s="120">
        <f t="shared" si="1"/>
        <v>241.42403099999999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0</v>
      </c>
      <c r="L25" s="140">
        <f t="shared" si="9"/>
        <v>41.97</v>
      </c>
      <c r="M25" s="141">
        <f t="shared" si="9"/>
        <v>482.65499999999997</v>
      </c>
      <c r="N25" s="142">
        <f>SUM(N16:N24)</f>
        <v>106.18409999999999</v>
      </c>
      <c r="O25" s="143">
        <f>SUM(O16:O24)</f>
        <v>14.7209775</v>
      </c>
      <c r="P25" s="144">
        <f>SUM(P16:P24)</f>
        <v>603.56007749999992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524.625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41.97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482.65499999999997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106.18409999999999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588.83909999999992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14.720977499999998</v>
      </c>
    </row>
    <row r="35" spans="2:16" ht="15.75" customHeight="1" thickBot="1" x14ac:dyDescent="0.4">
      <c r="N35" s="207" t="s">
        <v>92</v>
      </c>
      <c r="O35" s="208"/>
      <c r="P35" s="160">
        <f>P33+P34</f>
        <v>603.56007749999992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111</v>
      </c>
      <c r="B5" s="256"/>
      <c r="C5" s="256"/>
      <c r="F5" s="70"/>
      <c r="G5" s="71"/>
      <c r="K5" s="233" t="s">
        <v>51</v>
      </c>
      <c r="L5" s="233"/>
      <c r="M5" s="233"/>
      <c r="N5" s="247">
        <f ca="1">N4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113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392.30000000000007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19.615000000000006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13.730500000000003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358.95450000000005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437.92449000000005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07" t="s">
        <v>92</v>
      </c>
      <c r="O35" s="208"/>
      <c r="P35" s="160">
        <f>P33+P34</f>
        <v>440.11411245000005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 t="s">
        <v>115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I16*10%</f>
        <v>209.85000000000002</v>
      </c>
      <c r="M16" s="106">
        <f>I16-K16-L16</f>
        <v>1888.65</v>
      </c>
      <c r="N16" s="106">
        <f t="shared" ref="N16:N24" si="0">(M16*$N$15)+(J16*F16)*$N$15</f>
        <v>438.58650000000006</v>
      </c>
      <c r="O16" s="107">
        <f>(N16+M16)*$O$15</f>
        <v>11.6361825</v>
      </c>
      <c r="P16" s="105">
        <f t="shared" ref="P16:P24" si="1">M16+N16+O16</f>
        <v>2338.8726824999999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I17*10%</f>
        <v>209.85000000000002</v>
      </c>
      <c r="M17" s="118">
        <f t="shared" ref="M17:M23" si="5">I17-K17-L17</f>
        <v>1888.65</v>
      </c>
      <c r="N17" s="118">
        <f t="shared" si="0"/>
        <v>438.58650000000006</v>
      </c>
      <c r="O17" s="119">
        <f t="shared" ref="O17:O24" si="6">(N17+M17)*$O$15</f>
        <v>11.6361825</v>
      </c>
      <c r="P17" s="120">
        <f t="shared" si="1"/>
        <v>2338.8726824999999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290.56</v>
      </c>
      <c r="M19" s="118">
        <f t="shared" si="5"/>
        <v>2615.04</v>
      </c>
      <c r="N19" s="118">
        <f t="shared" si="0"/>
        <v>607.2704</v>
      </c>
      <c r="O19" s="119">
        <f t="shared" si="6"/>
        <v>16.111552</v>
      </c>
      <c r="P19" s="120">
        <f t="shared" si="1"/>
        <v>3238.4219519999997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290.56</v>
      </c>
      <c r="M20" s="118">
        <f t="shared" si="5"/>
        <v>2615.04</v>
      </c>
      <c r="N20" s="118">
        <f t="shared" si="0"/>
        <v>607.2704</v>
      </c>
      <c r="O20" s="119">
        <f t="shared" si="6"/>
        <v>16.111552</v>
      </c>
      <c r="P20" s="120">
        <f t="shared" si="1"/>
        <v>3238.4219519999997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290.56</v>
      </c>
      <c r="M21" s="118">
        <f t="shared" si="5"/>
        <v>2615.04</v>
      </c>
      <c r="N21" s="118">
        <f t="shared" si="0"/>
        <v>607.2704</v>
      </c>
      <c r="O21" s="119">
        <f t="shared" si="6"/>
        <v>16.111552</v>
      </c>
      <c r="P21" s="120">
        <f t="shared" si="1"/>
        <v>3238.4219519999997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>
        <v>40</v>
      </c>
      <c r="I24" s="129">
        <f>(G24*D24)*F24+H24*F24</f>
        <v>1569.2000000000003</v>
      </c>
      <c r="J24" s="130"/>
      <c r="K24" s="131">
        <f t="shared" si="7"/>
        <v>54.922000000000011</v>
      </c>
      <c r="L24" s="105">
        <f t="shared" si="4"/>
        <v>156.92000000000004</v>
      </c>
      <c r="M24" s="133">
        <f>I24-K24-L24</f>
        <v>1357.3580000000002</v>
      </c>
      <c r="N24" s="133">
        <f t="shared" si="0"/>
        <v>298.61876000000007</v>
      </c>
      <c r="O24" s="134">
        <f t="shared" si="6"/>
        <v>8.2798838000000021</v>
      </c>
      <c r="P24" s="132">
        <f t="shared" si="1"/>
        <v>1664.2566438000003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8">SUM(G16:G24)</f>
        <v>0</v>
      </c>
      <c r="H25" s="136">
        <f t="shared" si="8"/>
        <v>240</v>
      </c>
      <c r="I25" s="137">
        <f t="shared" si="8"/>
        <v>14483.000000000002</v>
      </c>
      <c r="J25" s="138"/>
      <c r="K25" s="139">
        <f t="shared" si="8"/>
        <v>54.922000000000011</v>
      </c>
      <c r="L25" s="140">
        <f t="shared" si="8"/>
        <v>1448.3</v>
      </c>
      <c r="M25" s="141">
        <f t="shared" si="8"/>
        <v>12979.778000000002</v>
      </c>
      <c r="N25" s="142">
        <f>SUM(N16:N24)</f>
        <v>2997.6029600000002</v>
      </c>
      <c r="O25" s="143">
        <f>SUM(O16:O24)</f>
        <v>79.886904800000011</v>
      </c>
      <c r="P25" s="144">
        <f>SUM(P16:P24)</f>
        <v>16057.2678648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14483.000000000002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1448.3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12979.778000000002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2997.6029600000002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15977.380960000002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79.886904800000011</v>
      </c>
    </row>
    <row r="35" spans="2:16" ht="15.75" customHeight="1" thickBot="1" x14ac:dyDescent="0.4">
      <c r="N35" s="207" t="s">
        <v>92</v>
      </c>
      <c r="O35" s="208"/>
      <c r="P35" s="160">
        <f>P33+P34</f>
        <v>16057.267864800002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zoomScale="115" zoomScaleNormal="1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106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392.30000000000007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19.615000000000006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13.730500000000003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358.95450000000005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437.92449000000005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7" t="s">
        <v>92</v>
      </c>
      <c r="O35" s="208"/>
      <c r="P35" s="160">
        <f>P33+P34</f>
        <v>448.87260225000006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117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106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392.30000000000007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19.615000000000006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13.730500000000003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358.95450000000005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437.92449000000005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7" t="s">
        <v>92</v>
      </c>
      <c r="O35" s="208"/>
      <c r="P35" s="160">
        <f>P33+P34</f>
        <v>448.87260225000006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D7" sqref="D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118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119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392.30000000000007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19.615000000000006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13.730500000000003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358.95450000000005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437.92449000000005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7" t="s">
        <v>92</v>
      </c>
      <c r="O35" s="208"/>
      <c r="P35" s="160">
        <f>P33+P34</f>
        <v>448.87260225000006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121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7" t="s">
        <v>122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3.0019042499999999</v>
      </c>
      <c r="P16" s="105">
        <f t="shared" ref="P16:P24" si="1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100</v>
      </c>
      <c r="I25" s="137">
        <f t="shared" si="9"/>
        <v>5524.05</v>
      </c>
      <c r="J25" s="138"/>
      <c r="K25" s="139">
        <f t="shared" si="9"/>
        <v>54.922000000000011</v>
      </c>
      <c r="L25" s="140">
        <f t="shared" si="9"/>
        <v>394.84800000000001</v>
      </c>
      <c r="M25" s="141">
        <f t="shared" si="9"/>
        <v>5074.28</v>
      </c>
      <c r="N25" s="142">
        <f>SUM(N16:N24)</f>
        <v>1159.8449499999999</v>
      </c>
      <c r="O25" s="143">
        <f>SUM(O16:O24)</f>
        <v>31.170624750000002</v>
      </c>
      <c r="P25" s="144">
        <f>SUM(P16:P24)</f>
        <v>6265.29557475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5524.05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394.84800000000001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5074.2800000000007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1159.8449499999999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6234.1249500000004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31.170624750000002</v>
      </c>
    </row>
    <row r="35" spans="2:16" ht="15.75" customHeight="1" thickBot="1" x14ac:dyDescent="0.4">
      <c r="N35" s="207" t="s">
        <v>92</v>
      </c>
      <c r="O35" s="208"/>
      <c r="P35" s="160">
        <f>P33+P34</f>
        <v>6265.29557475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J27" sqref="J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124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133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3520285330471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1014.6355199999999</v>
      </c>
      <c r="O19" s="119">
        <f t="shared" si="6"/>
        <v>31.804697600000001</v>
      </c>
      <c r="P19" s="120">
        <f t="shared" si="1"/>
        <v>6392.7442175999995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360</v>
      </c>
      <c r="I25" s="137">
        <f t="shared" si="9"/>
        <v>21056.300000000003</v>
      </c>
      <c r="J25" s="138"/>
      <c r="K25" s="139">
        <f t="shared" si="9"/>
        <v>109.84400000000002</v>
      </c>
      <c r="L25" s="140">
        <f t="shared" si="9"/>
        <v>1590.3520000000003</v>
      </c>
      <c r="M25" s="141">
        <f t="shared" si="9"/>
        <v>19356.103999999999</v>
      </c>
      <c r="N25" s="142">
        <f>SUM(N16:N24)</f>
        <v>3645.3598199999997</v>
      </c>
      <c r="O25" s="143">
        <f>SUM(O16:O24)</f>
        <v>115.00731909999999</v>
      </c>
      <c r="P25" s="144">
        <f>SUM(P16:P24)</f>
        <v>23116.471139099995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21056.300000000003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1590.3520000000003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109.84400000000002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19356.104000000003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3645.3598199999997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23001.463820000004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115.00731910000002</v>
      </c>
    </row>
    <row r="35" spans="2:16" ht="15.75" customHeight="1" thickBot="1" x14ac:dyDescent="0.4">
      <c r="N35" s="207" t="s">
        <v>92</v>
      </c>
      <c r="O35" s="208"/>
      <c r="P35" s="160">
        <f>P33+P34</f>
        <v>23116.471139100006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70"/>
      <c r="S5" s="71"/>
    </row>
    <row r="6" spans="1:19 16383:16384" ht="15" customHeight="1" x14ac:dyDescent="0.35">
      <c r="A6" s="233" t="s">
        <v>126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127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2.0382784000000003</v>
      </c>
      <c r="P21" s="120">
        <f t="shared" si="1"/>
        <v>409.69395840000004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1452.8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116.224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1336.576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1646.6035200000001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7" t="s">
        <v>92</v>
      </c>
      <c r="O35" s="208"/>
      <c r="P35" s="160">
        <f>P33+P34</f>
        <v>1654.8365376000002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33" t="s">
        <v>51</v>
      </c>
      <c r="L5" s="233"/>
      <c r="M5" s="233"/>
      <c r="N5" s="247">
        <f ca="1">N4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130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131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4250167740705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183.19905</v>
      </c>
      <c r="O18" s="119">
        <f t="shared" si="6"/>
        <v>5.7425452499999992</v>
      </c>
      <c r="P18" s="120">
        <f t="shared" si="1"/>
        <v>1154.2515952499998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253.65887999999998</v>
      </c>
      <c r="O21" s="119">
        <f t="shared" si="6"/>
        <v>7.9511744000000002</v>
      </c>
      <c r="P21" s="120">
        <f t="shared" si="1"/>
        <v>1598.1860543999999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100</v>
      </c>
      <c r="I25" s="137">
        <f t="shared" si="9"/>
        <v>6456.9000000000005</v>
      </c>
      <c r="J25" s="138"/>
      <c r="K25" s="139">
        <f t="shared" si="9"/>
        <v>0</v>
      </c>
      <c r="L25" s="140">
        <f t="shared" si="9"/>
        <v>516.55200000000002</v>
      </c>
      <c r="M25" s="141">
        <f t="shared" si="9"/>
        <v>5940.348</v>
      </c>
      <c r="N25" s="142">
        <f>SUM(N16:N24)</f>
        <v>1127.37474</v>
      </c>
      <c r="O25" s="143">
        <f>SUM(O16:O24)</f>
        <v>35.338613699999996</v>
      </c>
      <c r="P25" s="144">
        <f>SUM(P16:P24)</f>
        <v>7103.0613536999999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6456.9000000000005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516.55200000000002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5940.3480000000009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1127.37474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7067.7227400000011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35.338613700000003</v>
      </c>
    </row>
    <row r="35" spans="2:16" ht="15.75" customHeight="1" thickBot="1" x14ac:dyDescent="0.4">
      <c r="N35" s="207" t="s">
        <v>92</v>
      </c>
      <c r="O35" s="208"/>
      <c r="P35" s="160">
        <f>P33+P34</f>
        <v>7103.0613537000008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46182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46181</v>
      </c>
      <c r="O5" s="234"/>
      <c r="P5" s="234"/>
      <c r="R5" s="180"/>
      <c r="S5" s="71"/>
    </row>
    <row r="6" spans="1:19 16383:16384" ht="15" customHeight="1" x14ac:dyDescent="0.35">
      <c r="A6" s="233" t="s">
        <v>98</v>
      </c>
      <c r="B6" s="233"/>
      <c r="C6" s="233"/>
      <c r="F6" s="180"/>
      <c r="G6" s="74"/>
      <c r="K6" s="233" t="s">
        <v>52</v>
      </c>
      <c r="L6" s="233"/>
      <c r="M6" s="233"/>
      <c r="N6" s="246" t="s">
        <v>100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99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2026-06-09T03:58:33Z</dcterms:modified>
</cp:coreProperties>
</file>