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615A8F66-840F-4BA2-9334-B255469AB47C}" xr6:coauthVersionLast="45" xr6:coauthVersionMax="45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C23" i="33"/>
  <c r="B23" i="33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C19" i="33"/>
  <c r="B19" i="33"/>
  <c r="F18" i="33"/>
  <c r="E18" i="33"/>
  <c r="D18" i="33"/>
  <c r="I18" i="33" s="1"/>
  <c r="B18" i="33"/>
  <c r="C18" i="33" s="1"/>
  <c r="I17" i="33"/>
  <c r="K17" i="33" s="1"/>
  <c r="F17" i="33"/>
  <c r="E17" i="33"/>
  <c r="D17" i="33"/>
  <c r="C17" i="33"/>
  <c r="B17" i="33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L16" i="33" l="1"/>
  <c r="K18" i="33"/>
  <c r="M18" i="33" s="1"/>
  <c r="L18" i="33"/>
  <c r="I22" i="32"/>
  <c r="I22" i="33"/>
  <c r="I16" i="34"/>
  <c r="M16" i="34" s="1"/>
  <c r="I17" i="34"/>
  <c r="K17" i="34" s="1"/>
  <c r="I18" i="34"/>
  <c r="I19" i="34"/>
  <c r="I20" i="34"/>
  <c r="K20" i="34" s="1"/>
  <c r="I21" i="34"/>
  <c r="I22" i="34"/>
  <c r="I23" i="34"/>
  <c r="I24" i="34"/>
  <c r="I16" i="29"/>
  <c r="K16" i="29" s="1"/>
  <c r="I17" i="29"/>
  <c r="I18" i="29"/>
  <c r="I19" i="29"/>
  <c r="I20" i="29"/>
  <c r="L20" i="29" s="1"/>
  <c r="M20" i="29" s="1"/>
  <c r="I21" i="29"/>
  <c r="I22" i="29"/>
  <c r="I23" i="29"/>
  <c r="K23" i="29" s="1"/>
  <c r="M23" i="29" s="1"/>
  <c r="I24" i="29"/>
  <c r="L24" i="29" s="1"/>
  <c r="I16" i="31"/>
  <c r="I17" i="31"/>
  <c r="I18" i="31"/>
  <c r="I19" i="31"/>
  <c r="L19" i="31" s="1"/>
  <c r="I20" i="31"/>
  <c r="I21" i="31"/>
  <c r="I22" i="31"/>
  <c r="L22" i="31" s="1"/>
  <c r="M22" i="31" s="1"/>
  <c r="I23" i="31"/>
  <c r="L23" i="31" s="1"/>
  <c r="I24" i="31"/>
  <c r="I23" i="32"/>
  <c r="I19" i="33"/>
  <c r="I25" i="33" s="1"/>
  <c r="P28" i="33" s="1"/>
  <c r="I23" i="33"/>
  <c r="K23" i="33" s="1"/>
  <c r="L17" i="33"/>
  <c r="I25" i="35"/>
  <c r="P28" i="35" s="1"/>
  <c r="K16" i="35"/>
  <c r="L16" i="35"/>
  <c r="K17" i="35"/>
  <c r="L17" i="35"/>
  <c r="M17" i="35" s="1"/>
  <c r="K18" i="35"/>
  <c r="L18" i="35"/>
  <c r="K19" i="35"/>
  <c r="L19" i="35"/>
  <c r="M19" i="35"/>
  <c r="K20" i="35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K16" i="34"/>
  <c r="L16" i="34"/>
  <c r="K18" i="34"/>
  <c r="M18" i="34" s="1"/>
  <c r="L18" i="34"/>
  <c r="K19" i="34"/>
  <c r="L19" i="34"/>
  <c r="M19" i="34" s="1"/>
  <c r="L21" i="34"/>
  <c r="K22" i="34"/>
  <c r="L22" i="34"/>
  <c r="K23" i="34"/>
  <c r="M23" i="34" s="1"/>
  <c r="L23" i="34"/>
  <c r="K24" i="34"/>
  <c r="L24" i="34"/>
  <c r="M24" i="34" s="1"/>
  <c r="K21" i="33"/>
  <c r="L21" i="33"/>
  <c r="M21" i="33"/>
  <c r="K22" i="33"/>
  <c r="M22" i="33" s="1"/>
  <c r="L22" i="33"/>
  <c r="K19" i="33"/>
  <c r="L19" i="33"/>
  <c r="K20" i="33"/>
  <c r="L20" i="33"/>
  <c r="M20" i="33" s="1"/>
  <c r="K24" i="33"/>
  <c r="L24" i="33"/>
  <c r="M24" i="33"/>
  <c r="M17" i="33"/>
  <c r="K16" i="33"/>
  <c r="K24" i="32"/>
  <c r="L24" i="32"/>
  <c r="I25" i="32"/>
  <c r="P28" i="32" s="1"/>
  <c r="K16" i="32"/>
  <c r="L16" i="32"/>
  <c r="K17" i="32"/>
  <c r="M17" i="32" s="1"/>
  <c r="L17" i="32"/>
  <c r="K18" i="32"/>
  <c r="L18" i="32"/>
  <c r="M18" i="32" s="1"/>
  <c r="K19" i="32"/>
  <c r="M19" i="32" s="1"/>
  <c r="L19" i="32"/>
  <c r="K20" i="32"/>
  <c r="L20" i="32"/>
  <c r="K21" i="32"/>
  <c r="M21" i="32" s="1"/>
  <c r="L21" i="32"/>
  <c r="K23" i="32"/>
  <c r="L23" i="32"/>
  <c r="M23" i="32" s="1"/>
  <c r="K22" i="32"/>
  <c r="M22" i="32" s="1"/>
  <c r="L22" i="32"/>
  <c r="K17" i="31"/>
  <c r="M17" i="31" s="1"/>
  <c r="L17" i="31"/>
  <c r="K21" i="31"/>
  <c r="L21" i="31"/>
  <c r="K22" i="31"/>
  <c r="K24" i="31"/>
  <c r="L24" i="31"/>
  <c r="M24" i="31" s="1"/>
  <c r="I25" i="31"/>
  <c r="P28" i="31" s="1"/>
  <c r="K16" i="31"/>
  <c r="L16" i="31"/>
  <c r="K18" i="31"/>
  <c r="L18" i="31"/>
  <c r="M18" i="31" s="1"/>
  <c r="K20" i="31"/>
  <c r="L20" i="31"/>
  <c r="K18" i="30"/>
  <c r="L18" i="30"/>
  <c r="K20" i="30"/>
  <c r="M20" i="30" s="1"/>
  <c r="L20" i="30"/>
  <c r="K21" i="30"/>
  <c r="L21" i="30"/>
  <c r="M21" i="30" s="1"/>
  <c r="K23" i="30"/>
  <c r="M23" i="30" s="1"/>
  <c r="L23" i="30"/>
  <c r="I25" i="30"/>
  <c r="P28" i="30" s="1"/>
  <c r="K16" i="30"/>
  <c r="M16" i="30" s="1"/>
  <c r="L16" i="30"/>
  <c r="K17" i="30"/>
  <c r="L17" i="30"/>
  <c r="K19" i="30"/>
  <c r="M19" i="30" s="1"/>
  <c r="L19" i="30"/>
  <c r="K22" i="30"/>
  <c r="L22" i="30"/>
  <c r="M22" i="30" s="1"/>
  <c r="K24" i="30"/>
  <c r="L24" i="30"/>
  <c r="M24" i="30"/>
  <c r="I25" i="29"/>
  <c r="P28" i="29" s="1"/>
  <c r="K19" i="29"/>
  <c r="L19" i="29"/>
  <c r="M19" i="29" s="1"/>
  <c r="K21" i="29"/>
  <c r="M21" i="29" s="1"/>
  <c r="L21" i="29"/>
  <c r="K17" i="29"/>
  <c r="L17" i="29"/>
  <c r="K20" i="29"/>
  <c r="K22" i="29"/>
  <c r="L22" i="29"/>
  <c r="K18" i="29"/>
  <c r="M18" i="29" s="1"/>
  <c r="L18" i="29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L19" i="28"/>
  <c r="M19" i="28" s="1"/>
  <c r="K20" i="28"/>
  <c r="M20" i="28" s="1"/>
  <c r="L20" i="28"/>
  <c r="K21" i="28"/>
  <c r="L21" i="28"/>
  <c r="M21" i="28" s="1"/>
  <c r="K22" i="28"/>
  <c r="L22" i="28"/>
  <c r="M22" i="28"/>
  <c r="K23" i="28"/>
  <c r="M23" i="28" s="1"/>
  <c r="L23" i="28"/>
  <c r="K24" i="28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L25" i="33" l="1"/>
  <c r="P29" i="33" s="1"/>
  <c r="P31" i="33" s="1"/>
  <c r="M24" i="28"/>
  <c r="K24" i="29"/>
  <c r="M24" i="29" s="1"/>
  <c r="K21" i="34"/>
  <c r="K25" i="34" s="1"/>
  <c r="P30" i="34" s="1"/>
  <c r="L17" i="34"/>
  <c r="M17" i="34" s="1"/>
  <c r="M22" i="29"/>
  <c r="M17" i="29"/>
  <c r="L16" i="29"/>
  <c r="M16" i="29" s="1"/>
  <c r="M25" i="29" s="1"/>
  <c r="M17" i="30"/>
  <c r="M25" i="30" s="1"/>
  <c r="M18" i="30"/>
  <c r="L25" i="31"/>
  <c r="P29" i="31" s="1"/>
  <c r="K19" i="31"/>
  <c r="M19" i="31" s="1"/>
  <c r="M20" i="32"/>
  <c r="M25" i="32" s="1"/>
  <c r="M16" i="32"/>
  <c r="K25" i="33"/>
  <c r="P30" i="33" s="1"/>
  <c r="L23" i="33"/>
  <c r="M23" i="33" s="1"/>
  <c r="N23" i="33" s="1"/>
  <c r="O23" i="33" s="1"/>
  <c r="M22" i="34"/>
  <c r="L20" i="34"/>
  <c r="M20" i="34" s="1"/>
  <c r="I25" i="34"/>
  <c r="P28" i="34" s="1"/>
  <c r="K23" i="31"/>
  <c r="M23" i="31" s="1"/>
  <c r="M24" i="32"/>
  <c r="N24" i="32" s="1"/>
  <c r="O24" i="32" s="1"/>
  <c r="M19" i="33"/>
  <c r="L25" i="30"/>
  <c r="P29" i="30" s="1"/>
  <c r="M20" i="31"/>
  <c r="M21" i="31"/>
  <c r="N21" i="31" s="1"/>
  <c r="M20" i="35"/>
  <c r="M18" i="35"/>
  <c r="N20" i="35"/>
  <c r="O20" i="35" s="1"/>
  <c r="P20" i="35" s="1"/>
  <c r="N24" i="35"/>
  <c r="O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P20" i="34"/>
  <c r="N24" i="34"/>
  <c r="O24" i="34" s="1"/>
  <c r="N18" i="34"/>
  <c r="O18" i="34" s="1"/>
  <c r="P18" i="34" s="1"/>
  <c r="L25" i="34"/>
  <c r="P29" i="34" s="1"/>
  <c r="P31" i="34" s="1"/>
  <c r="N23" i="34"/>
  <c r="O23" i="34" s="1"/>
  <c r="P23" i="34"/>
  <c r="N19" i="34"/>
  <c r="O19" i="34" s="1"/>
  <c r="N16" i="34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0" i="32"/>
  <c r="O20" i="32" s="1"/>
  <c r="N16" i="32"/>
  <c r="L25" i="32"/>
  <c r="P29" i="32" s="1"/>
  <c r="P31" i="32" s="1"/>
  <c r="N22" i="32"/>
  <c r="O22" i="32" s="1"/>
  <c r="K25" i="32"/>
  <c r="P30" i="32" s="1"/>
  <c r="N18" i="31"/>
  <c r="O18" i="31" s="1"/>
  <c r="N20" i="31"/>
  <c r="O20" i="31" s="1"/>
  <c r="P20" i="31"/>
  <c r="N24" i="31"/>
  <c r="O24" i="31" s="1"/>
  <c r="N23" i="31"/>
  <c r="O23" i="31" s="1"/>
  <c r="P23" i="31"/>
  <c r="N17" i="31"/>
  <c r="O17" i="31" s="1"/>
  <c r="M16" i="31"/>
  <c r="N19" i="31"/>
  <c r="O19" i="31" s="1"/>
  <c r="N22" i="31"/>
  <c r="O22" i="31" s="1"/>
  <c r="P22" i="31"/>
  <c r="N19" i="30"/>
  <c r="O19" i="30" s="1"/>
  <c r="P19" i="30" s="1"/>
  <c r="N16" i="30"/>
  <c r="N20" i="30"/>
  <c r="O20" i="30" s="1"/>
  <c r="P21" i="30"/>
  <c r="N21" i="30"/>
  <c r="O21" i="30" s="1"/>
  <c r="N18" i="30"/>
  <c r="O18" i="30" s="1"/>
  <c r="K25" i="30"/>
  <c r="P30" i="30" s="1"/>
  <c r="P31" i="30" s="1"/>
  <c r="N24" i="30"/>
  <c r="O24" i="30" s="1"/>
  <c r="P24" i="30"/>
  <c r="N22" i="30"/>
  <c r="O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/>
  <c r="N20" i="29"/>
  <c r="O20" i="29" s="1"/>
  <c r="N18" i="29"/>
  <c r="O18" i="29" s="1"/>
  <c r="N19" i="29"/>
  <c r="O19" i="29" s="1"/>
  <c r="N24" i="29"/>
  <c r="O24" i="29" s="1"/>
  <c r="P24" i="29"/>
  <c r="K25" i="29"/>
  <c r="P30" i="29" s="1"/>
  <c r="N24" i="28"/>
  <c r="O24" i="28" s="1"/>
  <c r="P24" i="28"/>
  <c r="N20" i="28"/>
  <c r="O20" i="28" s="1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O21" i="31" l="1"/>
  <c r="P21" i="31"/>
  <c r="M25" i="34"/>
  <c r="N17" i="34"/>
  <c r="O17" i="34" s="1"/>
  <c r="P18" i="30"/>
  <c r="P24" i="32"/>
  <c r="M21" i="34"/>
  <c r="N21" i="34" s="1"/>
  <c r="O21" i="34" s="1"/>
  <c r="P20" i="28"/>
  <c r="N16" i="29"/>
  <c r="N17" i="30"/>
  <c r="O17" i="30" s="1"/>
  <c r="P17" i="31"/>
  <c r="P24" i="31"/>
  <c r="P18" i="31"/>
  <c r="P17" i="33"/>
  <c r="P31" i="35"/>
  <c r="P18" i="28"/>
  <c r="L25" i="29"/>
  <c r="P29" i="29" s="1"/>
  <c r="P31" i="29" s="1"/>
  <c r="P18" i="29"/>
  <c r="P21" i="29"/>
  <c r="P22" i="30"/>
  <c r="K25" i="31"/>
  <c r="P30" i="31" s="1"/>
  <c r="P31" i="31" s="1"/>
  <c r="P22" i="32"/>
  <c r="P24" i="34"/>
  <c r="P24" i="35"/>
  <c r="M25" i="35"/>
  <c r="N16" i="35"/>
  <c r="P23" i="35"/>
  <c r="P21" i="35"/>
  <c r="P18" i="35"/>
  <c r="P17" i="35"/>
  <c r="P19" i="35"/>
  <c r="P17" i="34"/>
  <c r="P22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L25" i="27"/>
  <c r="P29" i="27" s="1"/>
  <c r="K25" i="27"/>
  <c r="P30" i="27" s="1"/>
  <c r="L25" i="26"/>
  <c r="P29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21" i="18" l="1"/>
  <c r="I16" i="25"/>
  <c r="I17" i="25"/>
  <c r="I18" i="25"/>
  <c r="K18" i="25" s="1"/>
  <c r="I19" i="25"/>
  <c r="I20" i="25"/>
  <c r="I22" i="25"/>
  <c r="K22" i="25" s="1"/>
  <c r="I23" i="25"/>
  <c r="L23" i="25" s="1"/>
  <c r="I24" i="25"/>
  <c r="P21" i="34"/>
  <c r="N25" i="34"/>
  <c r="P32" i="34" s="1"/>
  <c r="P33" i="34" s="1"/>
  <c r="I22" i="18"/>
  <c r="L22" i="18" s="1"/>
  <c r="I24" i="18"/>
  <c r="L24" i="18" s="1"/>
  <c r="I19" i="19"/>
  <c r="I20" i="19"/>
  <c r="I21" i="19"/>
  <c r="L21" i="19" s="1"/>
  <c r="I22" i="19"/>
  <c r="I23" i="19"/>
  <c r="I24" i="19"/>
  <c r="I16" i="22"/>
  <c r="K16" i="22" s="1"/>
  <c r="I17" i="22"/>
  <c r="I18" i="22"/>
  <c r="I19" i="22"/>
  <c r="I20" i="22"/>
  <c r="K20" i="22" s="1"/>
  <c r="I21" i="22"/>
  <c r="I22" i="22"/>
  <c r="O25" i="30"/>
  <c r="P16" i="32"/>
  <c r="P25" i="32" s="1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K21" i="20" s="1"/>
  <c r="I23" i="20"/>
  <c r="L23" i="20" s="1"/>
  <c r="M25" i="27"/>
  <c r="P24" i="27"/>
  <c r="P31" i="26"/>
  <c r="I16" i="24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K20" i="25"/>
  <c r="L20" i="25"/>
  <c r="K16" i="25"/>
  <c r="L16" i="25"/>
  <c r="K24" i="25"/>
  <c r="L24" i="25"/>
  <c r="L22" i="25"/>
  <c r="L17" i="25"/>
  <c r="K17" i="25"/>
  <c r="L19" i="25"/>
  <c r="K19" i="25"/>
  <c r="K21" i="25"/>
  <c r="L16" i="24"/>
  <c r="K16" i="24"/>
  <c r="K21" i="24"/>
  <c r="L23" i="23"/>
  <c r="K23" i="23"/>
  <c r="K18" i="22"/>
  <c r="L18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3" i="20"/>
  <c r="K20" i="19"/>
  <c r="L20" i="19"/>
  <c r="K24" i="19"/>
  <c r="L24" i="19"/>
  <c r="K22" i="19"/>
  <c r="L22" i="19"/>
  <c r="L19" i="19"/>
  <c r="K19" i="19"/>
  <c r="L23" i="19"/>
  <c r="K23" i="19"/>
  <c r="L21" i="18"/>
  <c r="K21" i="18"/>
  <c r="K22" i="18"/>
  <c r="M22" i="18" s="1"/>
  <c r="K24" i="18"/>
  <c r="M24" i="18" s="1"/>
  <c r="K18" i="18"/>
  <c r="M18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9" l="1"/>
  <c r="K18" i="19"/>
  <c r="L20" i="22"/>
  <c r="L16" i="22"/>
  <c r="M16" i="22" s="1"/>
  <c r="K17" i="23"/>
  <c r="K17" i="24"/>
  <c r="K23" i="25"/>
  <c r="I25" i="25"/>
  <c r="P28" i="25" s="1"/>
  <c r="K23" i="24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N23" i="25" s="1"/>
  <c r="O23" i="25" s="1"/>
  <c r="P23" i="25" s="1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N23" i="24" s="1"/>
  <c r="O23" i="24" s="1"/>
  <c r="M18" i="23"/>
  <c r="N18" i="23" s="1"/>
  <c r="O18" i="23" s="1"/>
  <c r="I25" i="23"/>
  <c r="P28" i="23" s="1"/>
  <c r="M24" i="22"/>
  <c r="M19" i="22"/>
  <c r="N19" i="22" s="1"/>
  <c r="O19" i="22" s="1"/>
  <c r="M18" i="22"/>
  <c r="N18" i="22" s="1"/>
  <c r="O18" i="22" s="1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N23" i="19" s="1"/>
  <c r="O23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19" i="25"/>
  <c r="O19" i="25" s="1"/>
  <c r="N20" i="24"/>
  <c r="O20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24" i="22"/>
  <c r="O24" i="22" s="1"/>
  <c r="P24" i="22" s="1"/>
  <c r="L25" i="22"/>
  <c r="P29" i="22" s="1"/>
  <c r="M21" i="21"/>
  <c r="N21" i="21" s="1"/>
  <c r="N16" i="21"/>
  <c r="M17" i="19"/>
  <c r="N17" i="19" s="1"/>
  <c r="O17" i="19" s="1"/>
  <c r="M21" i="19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5" i="24" l="1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P31" i="17" l="1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<sst xmlns="http://schemas.openxmlformats.org/spreadsheetml/2006/main" count="1598" uniqueCount="127">
  <si>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</si>
  <si>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</si>
  <si>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</si>
  <si>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</si>
  <si>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</si>
  <si>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</si>
  <si>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</si>
  <si>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</si>
  <si>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</si>
  <si>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</si>
  <si>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</si>
  <si>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</si>
  <si>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</si>
  <si>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</si>
  <si>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</si>
  <si>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</si>
  <si>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</si>
  <si>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</si>
  <si>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</si>
  <si>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</si>
  <si>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</si>
  <si>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</si>
  <si>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</si>
  <si>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</si>
  <si>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</si>
  <si>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</si>
  <si>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</si>
  <si>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</si>
  <si>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</si>
  <si>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</si>
  <si>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</si>
  <si>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</si>
  <si>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</si>
  <si>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</si>
  <si>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</si>
  <si>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</si>
  <si>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</si>
  <si>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</si>
  <si>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</si>
  <si>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</si>
  <si>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</si>
  <si>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</si>
  <si>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</si>
  <si>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</si>
  <si>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</si>
  <si>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</si>
  <si>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</si>
  <si>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</si>
  <si>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</si>
  <si>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</si>
  <si>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</si>
  <si>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</si>
  <si>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</si>
  <si>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</si>
  <si>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</si>
  <si>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</si>
  <si>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</si>
  <si>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</si>
  <si>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</si>
  <si>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</si>
  <si>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</si>
  <si>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</si>
  <si>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</si>
  <si>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</si>
  <si>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</si>
  <si>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</si>
  <si>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</si>
  <si>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</si>
  <si>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</si>
  <si>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</si>
  <si>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</si>
  <si>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</si>
  <si>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</si>
  <si>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</si>
  <si>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</si>
  <si>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</si>
  <si>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</si>
  <si>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</si>
  <si>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</si>
  <si>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</si>
  <si>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</si>
  <si>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</si>
  <si>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</si>
  <si>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</si>
  <si>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</si>
  <si>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</si>
  <si>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</si>
  <si>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</si>
  <si>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</si>
  <si>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</si>
  <si>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</si>
  <si>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</si>
  <si>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</si>
  <si>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</si>
  <si>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</si>
  <si>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</si>
  <si>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</si>
  <si>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</si>
  <si>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</si>
  <si>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</si>
  <si>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</si>
  <si>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</si>
  <si>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</si>
  <si>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</si>
  <si>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</si>
  <si>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</si>
  <si>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</si>
  <si>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</si>
  <si>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</si>
  <si>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</si>
  <si>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</si>
  <si>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</si>
  <si>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</si>
  <si>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Customer Name : Umer Store</t>
  </si>
  <si>
    <t>Address: Taj pura A Block</t>
  </si>
  <si>
    <t>Customer Name : MG Mart</t>
  </si>
  <si>
    <t>Address:Tajpura Butt Chowk</t>
  </si>
  <si>
    <t>Customer Name : Makkah Store</t>
  </si>
  <si>
    <t>Address:  Tajpura E Block</t>
  </si>
  <si>
    <t>Customer Name : Raya Mart</t>
  </si>
  <si>
    <t>Address: Tajbagh Gate no 3</t>
  </si>
  <si>
    <t>Customer Name : Madina Store</t>
  </si>
  <si>
    <t>Address: GhaziaAbad Road</t>
  </si>
  <si>
    <t>Customer Name : BABA G Welfair</t>
  </si>
  <si>
    <t>Address: Ghaza Abad Road</t>
  </si>
  <si>
    <t>E914162-5</t>
  </si>
  <si>
    <t>Mubeen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</si>
</sst>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top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8"/>
      <c r="B3" s="188"/>
      <c r="C3" s="188"/>
      <c r="D3" s="188"/>
      <c r="E3" s="188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</row>
    <row r="4" spans="1:29" x14ac:dyDescent="0.35">
      <c r="A4" s="190" t="s">
        <v>6</v>
      </c>
      <c r="B4" s="5" t="s">
        <v>7</v>
      </c>
      <c r="C4" s="5"/>
      <c r="D4" s="192" t="s">
        <v>8</v>
      </c>
      <c r="E4" s="194" t="s">
        <v>9</v>
      </c>
      <c r="F4" s="196" t="s">
        <v>3</v>
      </c>
      <c r="G4" s="196"/>
      <c r="H4" s="197" t="s">
        <v>10</v>
      </c>
      <c r="I4" s="197"/>
      <c r="J4" s="198" t="s">
        <v>11</v>
      </c>
      <c r="K4" s="199"/>
      <c r="L4" s="198" t="s">
        <v>12</v>
      </c>
      <c r="M4" s="199"/>
      <c r="N4" s="200" t="s">
        <v>13</v>
      </c>
      <c r="O4" s="200"/>
      <c r="P4" s="198" t="s">
        <v>4</v>
      </c>
      <c r="Q4" s="199"/>
      <c r="R4" s="198" t="s">
        <v>14</v>
      </c>
      <c r="S4" s="199"/>
      <c r="T4" s="201" t="s">
        <v>15</v>
      </c>
      <c r="U4" s="201"/>
      <c r="V4" s="202" t="s">
        <v>16</v>
      </c>
      <c r="W4" s="203"/>
      <c r="X4" s="202" t="s">
        <v>17</v>
      </c>
      <c r="Y4" s="203"/>
    </row>
    <row r="5" spans="1:29" ht="26.25" customHeight="1" thickBot="1" x14ac:dyDescent="0.4">
      <c r="A5" s="191"/>
      <c r="B5" s="7" t="s">
        <v>18</v>
      </c>
      <c r="C5" s="7" t="s">
        <v>8</v>
      </c>
      <c r="D5" s="193"/>
      <c r="E5" s="19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50" t="s">
        <v>45</v>
      </c>
      <c r="B2" s="250"/>
      <c r="C2" s="250"/>
    </row>
    <row r="3" spans="1:21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9" t="s">
        <v>126</v>
      </c>
      <c r="B5" s="249"/>
      <c r="C5" s="249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21 16383:16384" ht="15" customHeight="1" x14ac:dyDescent="0.35">
      <c r="A6" s="249"/>
      <c r="B6" s="249"/>
      <c r="C6" s="249"/>
      <c r="F6" s="70"/>
      <c r="G6" s="74"/>
      <c r="K6" s="234" t="s">
        <v>52</v>
      </c>
      <c r="L6" s="234"/>
      <c r="M6" s="234"/>
      <c r="N6" s="247" t="s">
        <v>42</v>
      </c>
      <c r="O6" s="247"/>
      <c r="P6" s="24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21 16383:16384" hidden="1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21 16383:16384" x14ac:dyDescent="0.35">
      <c r="A10" s="232"/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21 16383:16384" ht="15" thickBot="1" x14ac:dyDescent="0.4">
      <c r="A11" s="232"/>
      <c r="B11" s="76"/>
      <c r="C11" s="77"/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21 16383:16384" ht="14.65" customHeight="1" x14ac:dyDescent="0.35">
      <c r="A12" s="232"/>
      <c r="B12" s="76"/>
      <c r="C12" s="77"/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T12" s="204" t="s">
        <v>103</v>
      </c>
      <c r="U12" s="205"/>
      <c r="XFD12" t="s">
        <v>62</v>
      </c>
    </row>
    <row r="13" spans="1:21 16383:16384" ht="15" thickBot="1" x14ac:dyDescent="0.4">
      <c r="A13" s="233"/>
      <c r="J13" s="78"/>
      <c r="K13" s="78"/>
      <c r="L13" s="79">
        <v>0.05</v>
      </c>
      <c r="T13" s="206"/>
      <c r="U13" s="207"/>
      <c r="XFD13" t="s">
        <v>63</v>
      </c>
    </row>
    <row r="14" spans="1:21 16383:16384" ht="29.25" customHeight="1" x14ac:dyDescent="0.6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42" t="s">
        <v>68</v>
      </c>
      <c r="H14" s="243"/>
      <c r="I14" s="243" t="s">
        <v>69</v>
      </c>
      <c r="J14" s="243" t="s">
        <v>70</v>
      </c>
      <c r="K14" s="243"/>
      <c r="L14" s="245"/>
      <c r="M14" s="23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Umer Store</v>
      </c>
      <c r="U14" s="164">
        <f>+'1'!P35</f>
        <v>5813.4381135000003</v>
      </c>
      <c r="XFD14" t="s">
        <v>75</v>
      </c>
    </row>
    <row r="15" spans="1:21 16383:16384" ht="29.25" customHeight="1" thickBot="1" x14ac:dyDescent="0.65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4"/>
      <c r="J15" s="171" t="s">
        <v>78</v>
      </c>
      <c r="K15" s="171" t="s">
        <v>79</v>
      </c>
      <c r="L15" s="174" t="s">
        <v>80</v>
      </c>
      <c r="M15" s="23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MG Mart</v>
      </c>
      <c r="U15" s="164">
        <f>+'2'!P35</f>
        <v>8550.0077620499997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70</v>
      </c>
      <c r="I16" s="1">
        <f>(G16*D16)*F16+H16*F16</f>
        <v>3672.375</v>
      </c>
      <c r="J16" s="172">
        <f>+'1'!J16+'2'!J16+'4'!J16+'3'!J16+'5'!J16+'6'!J16+'7'!J16+'8'!J16+'9'!J16+'10'!J16+'11'!J16+'12'!J16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293.78999999999996</v>
      </c>
      <c r="M16" s="106">
        <f>I16-K16-L16</f>
        <v>3378.585</v>
      </c>
      <c r="N16" s="101">
        <f>+'1'!N16+'2'!N16+'4'!N16+'3'!N16+'5'!N16+'6'!N16+'7'!N16+'8'!N16+'9'!N16+'10'!N16</f>
        <v>777.91395000000011</v>
      </c>
      <c r="O16" s="101">
        <f>+'1'!O16+'2'!O16+'4'!O16+'3'!O16+'5'!O16+'6'!O16+'7'!O16+'8'!O16+'9'!O16+'10'!O16</f>
        <v>32.559276749999995</v>
      </c>
      <c r="P16" s="105">
        <f t="shared" ref="P16:P24" si="0">M16+N16+O16</f>
        <v>4189.0582267500004</v>
      </c>
      <c r="Q16" s="108"/>
      <c r="T16" s="163" t="str">
        <f>+'4'!A5</f>
        <v>Customer Name : Raya Mart</v>
      </c>
      <c r="U16" s="164">
        <f>+'4'!P35</f>
        <v>7170.9962985000002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70</v>
      </c>
      <c r="I17" s="1">
        <f t="shared" ref="I17:I23" si="1">(G17*D17)*F17+H17*F17</f>
        <v>3672.375</v>
      </c>
      <c r="J17" s="172">
        <f>+'1'!J17+'2'!J17+'4'!J17+'3'!J17+'5'!J17+'6'!J17+'7'!J17+'8'!J17+'9'!J17+'10'!J17+'11'!J17+'12'!J17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293.78999999999996</v>
      </c>
      <c r="M17" s="118">
        <f t="shared" ref="M17:M23" si="2">I17-K17-L17</f>
        <v>3378.585</v>
      </c>
      <c r="N17" s="101">
        <f>+'1'!N17+'2'!N17+'4'!N17+'3'!N17+'5'!N17+'6'!N17+'7'!N17+'8'!N17+'9'!N17+'10'!N17</f>
        <v>800.99745000000007</v>
      </c>
      <c r="O17" s="101">
        <f>+'1'!O17+'2'!O17+'4'!O17+'3'!O17+'5'!O17+'6'!O17+'7'!O17+'8'!O17+'9'!O17+'10'!O17</f>
        <v>33.13636425</v>
      </c>
      <c r="P17" s="120">
        <f t="shared" si="0"/>
        <v>4212.7188142499999</v>
      </c>
      <c r="S17" s="64"/>
      <c r="T17" s="163" t="str">
        <f>+'3'!A5</f>
        <v>Customer Name : Makkah Store</v>
      </c>
      <c r="U17" s="164">
        <f>+'3'!P35</f>
        <v>3542.6760448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80</v>
      </c>
      <c r="I18" s="1">
        <f t="shared" si="1"/>
        <v>4197</v>
      </c>
      <c r="J18" s="172">
        <f>+'1'!J18+'2'!J18+'4'!J18+'3'!J18+'5'!J18+'6'!J18+'7'!J18+'8'!J18+'9'!J18+'10'!J18+'11'!J18+'12'!J18</f>
        <v>3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335.76</v>
      </c>
      <c r="M18" s="118">
        <f t="shared" si="2"/>
        <v>3861.24</v>
      </c>
      <c r="N18" s="101">
        <f>+'1'!N18+'2'!N18+'4'!N18+'3'!N18+'5'!N18+'6'!N18+'7'!N18+'8'!N18+'9'!N18+'10'!N18</f>
        <v>884.09805000000006</v>
      </c>
      <c r="O18" s="101">
        <f>+'1'!O18+'2'!O18+'4'!O18+'3'!O18+'5'!O18+'6'!O18+'7'!O18+'8'!O18+'9'!O18+'10'!O18</f>
        <v>47.280254249999999</v>
      </c>
      <c r="P18" s="120">
        <f t="shared" si="0"/>
        <v>4792.6183042500006</v>
      </c>
      <c r="T18" s="163" t="str">
        <f>+'5'!A5</f>
        <v>Customer Name : Madina Store</v>
      </c>
      <c r="U18" s="164">
        <f>+'5'!P35</f>
        <v>3473.5506585600006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80</v>
      </c>
      <c r="I19" s="1">
        <f t="shared" si="1"/>
        <v>5811.2</v>
      </c>
      <c r="J19" s="172">
        <f>+'1'!J19+'2'!J19+'4'!J19+'3'!J19+'5'!J19+'6'!J19+'7'!J19+'8'!J19+'9'!J19+'10'!J19+'11'!J19+'12'!J19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464.89600000000002</v>
      </c>
      <c r="M19" s="118">
        <f t="shared" si="2"/>
        <v>5346.3040000000001</v>
      </c>
      <c r="N19" s="101">
        <f>+'1'!N19+'2'!N19+'4'!N19+'3'!N19+'5'!N19+'6'!N19+'7'!N19+'8'!N19+'9'!N19+'10'!N19</f>
        <v>1192.16768</v>
      </c>
      <c r="O19" s="101">
        <f>+'1'!O19+'2'!O19+'4'!O19+'3'!O19+'5'!O19+'6'!O19+'7'!O19+'8'!O19+'9'!O19+'10'!O19</f>
        <v>81.611040000000003</v>
      </c>
      <c r="P19" s="120">
        <f t="shared" si="0"/>
        <v>6620.0827200000003</v>
      </c>
      <c r="T19" s="163" t="str">
        <f>+'6'!A5</f>
        <v>Customer Name : BABA G Welfair</v>
      </c>
      <c r="U19" s="164">
        <f>+'6'!P35</f>
        <v>3309.6730752000003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62</v>
      </c>
      <c r="I20" s="1">
        <f t="shared" si="1"/>
        <v>4503.68</v>
      </c>
      <c r="J20" s="172">
        <f>+'1'!J20+'2'!J20+'4'!J20+'3'!J20+'5'!J20+'6'!J20+'7'!J20+'8'!J20+'9'!J20+'10'!J20+'11'!J20+'12'!J20</f>
        <v>9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360.29440000000005</v>
      </c>
      <c r="M20" s="118">
        <f t="shared" si="2"/>
        <v>4143.3856000000005</v>
      </c>
      <c r="N20" s="101">
        <f>+'1'!N20+'2'!N20+'4'!N20+'3'!N20+'5'!N20+'6'!N20+'7'!N20+'8'!N20+'9'!N20+'10'!N20</f>
        <v>1055.372032</v>
      </c>
      <c r="O20" s="101">
        <f>+'1'!O20+'2'!O20+'4'!O20+'3'!O20+'5'!O20+'6'!O20+'7'!O20+'8'!O20+'9'!O20+'10'!O20</f>
        <v>59.884706560000012</v>
      </c>
      <c r="P20" s="120">
        <f t="shared" si="0"/>
        <v>5258.642338560001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82</v>
      </c>
      <c r="I21" s="1">
        <f t="shared" si="1"/>
        <v>5956.4800000000005</v>
      </c>
      <c r="J21" s="172">
        <f>+'1'!J21+'2'!J21+'4'!J21+'3'!J21+'5'!J21+'6'!J21+'7'!J21+'8'!J21+'9'!J21+'10'!J21+'11'!J21+'12'!J21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476.51840000000004</v>
      </c>
      <c r="M21" s="118">
        <f t="shared" si="2"/>
        <v>5479.9616000000005</v>
      </c>
      <c r="N21" s="101">
        <f>+'1'!N21+'2'!N21+'4'!N21+'3'!N21+'5'!N21+'6'!N21+'7'!N21+'8'!N21+'9'!N21+'10'!N21</f>
        <v>1221.5723519999999</v>
      </c>
      <c r="O21" s="101">
        <f>+'1'!O21+'2'!O21+'4'!O21+'3'!O21+'5'!O21+'6'!O21+'7'!O21+'8'!O21+'9'!O21+'10'!O21</f>
        <v>85.687596800000009</v>
      </c>
      <c r="P21" s="120">
        <f t="shared" si="0"/>
        <v>6787.2215488000011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4" t="s">
        <v>84</v>
      </c>
      <c r="B25" s="215"/>
      <c r="C25" s="216"/>
      <c r="D25" s="210"/>
      <c r="E25" s="210"/>
      <c r="F25" s="210"/>
      <c r="G25" s="176">
        <f t="shared" ref="G25:M25" si="3">SUM(G16:G24)</f>
        <v>0</v>
      </c>
      <c r="H25" s="177">
        <f t="shared" si="3"/>
        <v>444</v>
      </c>
      <c r="I25" s="178">
        <f t="shared" si="3"/>
        <v>27813.11</v>
      </c>
      <c r="J25" s="177">
        <f t="shared" si="3"/>
        <v>22</v>
      </c>
      <c r="K25" s="178">
        <f t="shared" si="3"/>
        <v>0</v>
      </c>
      <c r="L25" s="179">
        <f t="shared" si="3"/>
        <v>2225.0488</v>
      </c>
      <c r="M25" s="141">
        <f t="shared" si="3"/>
        <v>25588.061200000004</v>
      </c>
      <c r="N25" s="142">
        <f>SUM(N16:N24)</f>
        <v>5932.1215140000004</v>
      </c>
      <c r="O25" s="143">
        <f>SUM(O16:O24)</f>
        <v>340.15923861000005</v>
      </c>
      <c r="P25" s="144">
        <f>SUM(P16:P24)</f>
        <v>31860.341952610004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31860.341952610001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27813.11</v>
      </c>
    </row>
    <row r="29" spans="1:21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2225.0488</v>
      </c>
    </row>
    <row r="30" spans="1:21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21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25588.0612</v>
      </c>
    </row>
    <row r="32" spans="1:21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5932.1215140000004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31520.182714000002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788.00456785000006</v>
      </c>
    </row>
    <row r="35" spans="2:16" ht="15.75" customHeight="1" thickBot="1" x14ac:dyDescent="0.4">
      <c r="N35" s="208" t="s">
        <v>92</v>
      </c>
      <c r="O35" s="209"/>
      <c r="P35" s="160">
        <f>P33+P34</f>
        <v>32308.187281850001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113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114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 t="shared" ref="O16:O24" si="1">(N16+M16)*$O$15</f>
        <v>14.720977499999998</v>
      </c>
      <c r="P16" s="105">
        <f t="shared" ref="P16:P24" si="2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>
        <v>2</v>
      </c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129.26760000000002</v>
      </c>
      <c r="O17" s="119">
        <f t="shared" si="1"/>
        <v>15.298065000000001</v>
      </c>
      <c r="P17" s="120">
        <f t="shared" si="2"/>
        <v>627.22066499999994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/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212.3682</v>
      </c>
      <c r="O18" s="119">
        <f t="shared" si="1"/>
        <v>29.441954999999997</v>
      </c>
      <c r="P18" s="120">
        <f t="shared" si="2"/>
        <v>1207.1201549999998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/>
      <c r="K19" s="1">
        <f t="shared" si="4"/>
        <v>0</v>
      </c>
      <c r="L19" s="105">
        <f t="shared" si="5"/>
        <v>58.112000000000002</v>
      </c>
      <c r="M19" s="118">
        <f t="shared" si="6"/>
        <v>668.28800000000001</v>
      </c>
      <c r="N19" s="118">
        <f t="shared" si="0"/>
        <v>147.02336</v>
      </c>
      <c r="O19" s="119">
        <f t="shared" si="1"/>
        <v>20.382784000000001</v>
      </c>
      <c r="P19" s="120">
        <f t="shared" si="2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>
        <v>2</v>
      </c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178.98496</v>
      </c>
      <c r="O20" s="119">
        <f t="shared" si="1"/>
        <v>21.181824000000002</v>
      </c>
      <c r="P20" s="120">
        <f t="shared" si="2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294.04671999999999</v>
      </c>
      <c r="O21" s="119">
        <f t="shared" si="1"/>
        <v>40.765568000000002</v>
      </c>
      <c r="P21" s="120">
        <f t="shared" si="2"/>
        <v>1671.3882880000001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141.79117350000001</v>
      </c>
      <c r="P25" s="144">
        <f>SUM(P16:P24)</f>
        <v>5813.4381135000003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5004.1000000000004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400.32799999999997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4603.7720000000008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5671.6469400000005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141.79117350000001</v>
      </c>
    </row>
    <row r="35" spans="2:16" ht="15.75" customHeight="1" thickBot="1" x14ac:dyDescent="0.4">
      <c r="N35" s="208" t="s">
        <v>92</v>
      </c>
      <c r="O35" s="209"/>
      <c r="P35" s="160">
        <f>P33+P34</f>
        <v>5813.4381135000003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2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115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116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>
        <v>3520114495049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5.9460997500000001</v>
      </c>
      <c r="P18" s="120">
        <f t="shared" si="1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120</v>
      </c>
      <c r="I25" s="137">
        <f t="shared" si="9"/>
        <v>7506.1500000000005</v>
      </c>
      <c r="J25" s="138"/>
      <c r="K25" s="139">
        <f t="shared" si="9"/>
        <v>0</v>
      </c>
      <c r="L25" s="140">
        <f t="shared" si="9"/>
        <v>600.49199999999996</v>
      </c>
      <c r="M25" s="141">
        <f t="shared" si="9"/>
        <v>6905.6579999999994</v>
      </c>
      <c r="N25" s="142">
        <f>SUM(N16:N24)</f>
        <v>1601.81241</v>
      </c>
      <c r="O25" s="143">
        <f>SUM(O16:O24)</f>
        <v>42.537352049999996</v>
      </c>
      <c r="P25" s="144">
        <f>SUM(P16:P24)</f>
        <v>8550.0077620500015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7506.1500000000005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600.49199999999996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6905.6580000000004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1601.81241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8507.4704099999999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42.537352050000003</v>
      </c>
    </row>
    <row r="35" spans="2:16" ht="15.75" customHeight="1" thickBot="1" x14ac:dyDescent="0.4">
      <c r="N35" s="208" t="s">
        <v>92</v>
      </c>
      <c r="O35" s="209"/>
      <c r="P35" s="160">
        <f>P33+P34</f>
        <v>8550.0077620499997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4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117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118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69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294.04671999999999</v>
      </c>
      <c r="O19" s="119">
        <f t="shared" si="6"/>
        <v>40.765568000000002</v>
      </c>
      <c r="P19" s="120">
        <f t="shared" si="1"/>
        <v>1671.3882880000001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24.459340800000003</v>
      </c>
      <c r="P21" s="120">
        <f t="shared" si="1"/>
        <v>1002.8329728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42</v>
      </c>
      <c r="I25" s="137">
        <f t="shared" si="9"/>
        <v>3050.88</v>
      </c>
      <c r="J25" s="138"/>
      <c r="K25" s="139">
        <f t="shared" si="9"/>
        <v>0</v>
      </c>
      <c r="L25" s="140">
        <f t="shared" si="9"/>
        <v>244.07040000000001</v>
      </c>
      <c r="M25" s="141">
        <f t="shared" si="9"/>
        <v>2806.8096</v>
      </c>
      <c r="N25" s="142">
        <f>SUM(N16:N24)</f>
        <v>649.45971199999997</v>
      </c>
      <c r="O25" s="143">
        <f>SUM(O16:O24)</f>
        <v>86.406732800000015</v>
      </c>
      <c r="P25" s="144">
        <f>SUM(P16:P24)</f>
        <v>3542.6760448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3050.88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244.07040000000001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2806.8096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649.45971199999997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3456.2693119999999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86.4067328</v>
      </c>
    </row>
    <row r="35" spans="2:16" ht="15.75" customHeight="1" thickBot="1" x14ac:dyDescent="0.4">
      <c r="N35" s="208" t="s">
        <v>92</v>
      </c>
      <c r="O35" s="209"/>
      <c r="P35" s="160">
        <f>P33+P34</f>
        <v>3542.6760448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21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3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119</v>
      </c>
      <c r="B5" s="257"/>
      <c r="C5" s="257"/>
      <c r="F5" s="70"/>
      <c r="G5" s="71"/>
      <c r="K5" s="234" t="s">
        <v>51</v>
      </c>
      <c r="L5" s="234"/>
      <c r="M5" s="234"/>
      <c r="N5" s="248">
        <f ca="1">N4</f>
        <v>46179</v>
      </c>
      <c r="O5" s="235"/>
      <c r="P5" s="235"/>
      <c r="R5" s="70"/>
      <c r="S5" s="71"/>
    </row>
    <row r="6" spans="1:19 16383:16384" ht="15" customHeight="1" x14ac:dyDescent="0.35">
      <c r="A6" s="234" t="s">
        <v>120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>
        <v>3520207724685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11.8921995</v>
      </c>
      <c r="P16" s="105">
        <f t="shared" ref="P16:P24" si="1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11.8921995</v>
      </c>
      <c r="P18" s="120">
        <f t="shared" si="1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120</v>
      </c>
      <c r="I25" s="137">
        <f t="shared" si="9"/>
        <v>6295.5</v>
      </c>
      <c r="J25" s="138"/>
      <c r="K25" s="139">
        <f t="shared" si="9"/>
        <v>0</v>
      </c>
      <c r="L25" s="140">
        <f t="shared" si="9"/>
        <v>503.64</v>
      </c>
      <c r="M25" s="141">
        <f t="shared" si="9"/>
        <v>5791.86</v>
      </c>
      <c r="N25" s="142">
        <f>SUM(N16:N24)</f>
        <v>1343.4597000000001</v>
      </c>
      <c r="O25" s="143">
        <f>SUM(O16:O24)</f>
        <v>35.676598499999997</v>
      </c>
      <c r="P25" s="144">
        <f>SUM(P16:P24)</f>
        <v>7170.9962985000002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6295.5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503.64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5791.86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1343.4597000000001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7135.3197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35.676598500000004</v>
      </c>
    </row>
    <row r="35" spans="2:16" ht="15.75" customHeight="1" thickBot="1" x14ac:dyDescent="0.4">
      <c r="N35" s="208" t="s">
        <v>92</v>
      </c>
      <c r="O35" s="209"/>
      <c r="P35" s="160">
        <f>P33+P34</f>
        <v>7170.9962985000002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C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5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122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69" t="s">
        <v>125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>
        <v>2</v>
      </c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208.38963200000001</v>
      </c>
      <c r="O20" s="119">
        <f t="shared" si="6"/>
        <v>5.0516761600000004</v>
      </c>
      <c r="P20" s="120">
        <f t="shared" si="1"/>
        <v>1015.3869081600001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294.04671999999999</v>
      </c>
      <c r="O21" s="119">
        <f t="shared" si="6"/>
        <v>8.1531136000000011</v>
      </c>
      <c r="P21" s="120">
        <f t="shared" si="1"/>
        <v>1638.7758336000002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42</v>
      </c>
      <c r="I25" s="137">
        <f t="shared" si="9"/>
        <v>3050.88</v>
      </c>
      <c r="J25" s="138"/>
      <c r="K25" s="139">
        <f t="shared" si="9"/>
        <v>0</v>
      </c>
      <c r="L25" s="140">
        <f t="shared" si="9"/>
        <v>244.07040000000001</v>
      </c>
      <c r="M25" s="141">
        <f t="shared" si="9"/>
        <v>2806.8096</v>
      </c>
      <c r="N25" s="142">
        <f>SUM(N16:N24)</f>
        <v>649.45971200000008</v>
      </c>
      <c r="O25" s="143">
        <f>SUM(O16:O24)</f>
        <v>17.281346560000003</v>
      </c>
      <c r="P25" s="144">
        <f>SUM(P16:P24)</f>
        <v>3473.5506585600006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3050.88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244.07040000000001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2806.8096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649.45971200000008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3456.2693120000004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17.281346560000003</v>
      </c>
    </row>
    <row r="35" spans="2:16" ht="15.75" customHeight="1" thickBot="1" x14ac:dyDescent="0.4">
      <c r="N35" s="208" t="s">
        <v>92</v>
      </c>
      <c r="O35" s="209"/>
      <c r="P35" s="160">
        <f>P33+P34</f>
        <v>3473.5506585600006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6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123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124</v>
      </c>
      <c r="B6" s="234"/>
      <c r="C6" s="234"/>
      <c r="F6" s="70"/>
      <c r="G6" s="74"/>
      <c r="K6" s="234" t="s">
        <v>52</v>
      </c>
      <c r="L6" s="234"/>
      <c r="M6" s="234"/>
      <c r="N6" s="247" t="s">
        <v>104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87">
        <v>3520129259503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294.04671999999999</v>
      </c>
      <c r="O19" s="119">
        <f t="shared" si="6"/>
        <v>8.1531136000000011</v>
      </c>
      <c r="P19" s="120">
        <f t="shared" si="1"/>
        <v>1638.7758336000002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2905.6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232.44800000000001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2673.152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3293.2070400000002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8" t="s">
        <v>92</v>
      </c>
      <c r="O35" s="209"/>
      <c r="P35" s="160">
        <f>P33+P34</f>
        <v>3309.6730752000003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K6" sqref="K6:M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7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107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108</v>
      </c>
      <c r="B6" s="234"/>
      <c r="C6" s="234"/>
      <c r="F6" s="70"/>
      <c r="G6" s="74"/>
      <c r="K6" s="234" t="s">
        <v>52</v>
      </c>
      <c r="L6" s="234"/>
      <c r="M6" s="234"/>
      <c r="N6" s="247" t="s">
        <v>44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69">
        <v>3520242563059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8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109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110</v>
      </c>
      <c r="B6" s="234"/>
      <c r="C6" s="234"/>
      <c r="F6" s="70"/>
      <c r="G6" s="74"/>
      <c r="K6" s="234" t="s">
        <v>52</v>
      </c>
      <c r="L6" s="234"/>
      <c r="M6" s="234"/>
      <c r="N6" s="247" t="s">
        <v>44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9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111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108</v>
      </c>
      <c r="B6" s="234"/>
      <c r="C6" s="234"/>
      <c r="F6" s="70"/>
      <c r="G6" s="74"/>
      <c r="K6" s="234" t="s">
        <v>52</v>
      </c>
      <c r="L6" s="234"/>
      <c r="M6" s="234"/>
      <c r="N6" s="247" t="s">
        <v>44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167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10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112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108</v>
      </c>
      <c r="B6" s="234"/>
      <c r="C6" s="234"/>
      <c r="F6" s="70"/>
      <c r="G6" s="74"/>
      <c r="K6" s="234" t="s">
        <v>52</v>
      </c>
      <c r="L6" s="234"/>
      <c r="M6" s="234"/>
      <c r="N6" s="247" t="s">
        <v>44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>
        <v>3628249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10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97</v>
      </c>
      <c r="B6" s="234"/>
      <c r="C6" s="234"/>
      <c r="F6" s="70"/>
      <c r="G6" s="74"/>
      <c r="K6" s="234" t="s">
        <v>52</v>
      </c>
      <c r="L6" s="234"/>
      <c r="M6" s="234"/>
      <c r="N6" s="247" t="s">
        <v>101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/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50</v>
      </c>
      <c r="C11" s="77" t="str">
        <f>IF($O34&gt;2.49%,"No","Yes")</f>
        <v>No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70"/>
      <c r="G3" s="71"/>
      <c r="K3" s="234" t="s">
        <v>47</v>
      </c>
      <c r="L3" s="234"/>
      <c r="M3" s="234"/>
      <c r="N3" s="235">
        <v>10</v>
      </c>
      <c r="O3" s="235"/>
      <c r="P3" s="23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7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7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70"/>
      <c r="S5" s="71"/>
    </row>
    <row r="6" spans="1:19 16383:16384" ht="15" customHeight="1" x14ac:dyDescent="0.35">
      <c r="A6" s="234" t="s">
        <v>99</v>
      </c>
      <c r="B6" s="234"/>
      <c r="C6" s="234"/>
      <c r="F6" s="70"/>
      <c r="G6" s="74"/>
      <c r="K6" s="234" t="s">
        <v>52</v>
      </c>
      <c r="L6" s="234"/>
      <c r="M6" s="234"/>
      <c r="N6" s="247" t="s">
        <v>101</v>
      </c>
      <c r="O6" s="247"/>
      <c r="P6" s="24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70"/>
      <c r="G7" s="74"/>
      <c r="K7" s="234"/>
      <c r="L7" s="234"/>
      <c r="M7" s="234"/>
      <c r="N7" s="247"/>
      <c r="O7" s="247"/>
      <c r="P7" s="24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70"/>
      <c r="G8" s="74"/>
      <c r="K8" s="234"/>
      <c r="L8" s="234"/>
      <c r="M8" s="234"/>
      <c r="N8" s="247"/>
      <c r="O8" s="247"/>
      <c r="P8" s="247"/>
      <c r="R8" s="70"/>
      <c r="S8" s="74"/>
    </row>
    <row r="9" spans="1:19 16383:16384" x14ac:dyDescent="0.35">
      <c r="A9" s="246"/>
      <c r="B9" s="246"/>
      <c r="C9" s="246"/>
      <c r="F9" s="70"/>
      <c r="G9" s="74"/>
      <c r="K9" s="234"/>
      <c r="L9" s="234"/>
      <c r="M9" s="234"/>
      <c r="N9" s="247"/>
      <c r="O9" s="247"/>
      <c r="P9" s="247"/>
      <c r="R9" s="7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7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70"/>
      <c r="S10" s="71"/>
      <c r="XFD10" t="s">
        <v>58</v>
      </c>
    </row>
    <row r="11" spans="1:19 16383:16384" x14ac:dyDescent="0.35">
      <c r="A11" s="232"/>
      <c r="B11" s="76" t="s">
        <v>48</v>
      </c>
      <c r="C11" s="77" t="str">
        <f>IF($O34&gt;2.49%,"No","Yes")</f>
        <v>Yes</v>
      </c>
      <c r="F11" s="7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70"/>
      <c r="S11" s="71"/>
    </row>
    <row r="12" spans="1:19 16383:16384" ht="14.65" customHeight="1" x14ac:dyDescent="0.35">
      <c r="A12" s="232" t="s">
        <v>60</v>
      </c>
      <c r="B12" s="76" t="s">
        <v>54</v>
      </c>
      <c r="C12" s="77" t="str">
        <f>IF($O32&gt;21.99%,"No","Yes")</f>
        <v>No</v>
      </c>
      <c r="F12" s="70"/>
      <c r="G12" s="71"/>
      <c r="K12" s="234" t="s">
        <v>61</v>
      </c>
      <c r="L12" s="234"/>
      <c r="M12" s="234"/>
      <c r="N12" s="235"/>
      <c r="O12" s="235"/>
      <c r="P12" s="235"/>
      <c r="R12" s="7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80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61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0" t="s">
        <v>45</v>
      </c>
      <c r="B2" s="250"/>
      <c r="C2" s="250"/>
    </row>
    <row r="3" spans="1:19 16383:16384" ht="15" customHeight="1" x14ac:dyDescent="0.35">
      <c r="A3" s="235" t="s">
        <v>46</v>
      </c>
      <c r="B3" s="235"/>
      <c r="C3" s="235"/>
      <c r="F3" s="180"/>
      <c r="G3" s="71"/>
      <c r="K3" s="234" t="s">
        <v>47</v>
      </c>
      <c r="L3" s="234"/>
      <c r="M3" s="234"/>
      <c r="N3" s="235">
        <v>10</v>
      </c>
      <c r="O3" s="235"/>
      <c r="P3" s="235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5" t="s">
        <v>94</v>
      </c>
      <c r="B4" s="235"/>
      <c r="C4" s="235"/>
      <c r="F4" s="180"/>
      <c r="G4" s="71"/>
      <c r="K4" s="234" t="s">
        <v>49</v>
      </c>
      <c r="L4" s="234"/>
      <c r="M4" s="234"/>
      <c r="N4" s="248">
        <f ca="1">TODAY()</f>
        <v>46179</v>
      </c>
      <c r="O4" s="248"/>
      <c r="P4" s="248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95</v>
      </c>
      <c r="B5" s="257"/>
      <c r="C5" s="257"/>
      <c r="F5" s="180"/>
      <c r="G5" s="71"/>
      <c r="K5" s="234" t="s">
        <v>51</v>
      </c>
      <c r="L5" s="234"/>
      <c r="M5" s="234"/>
      <c r="N5" s="248">
        <f ca="1">N4-1</f>
        <v>46178</v>
      </c>
      <c r="O5" s="235"/>
      <c r="P5" s="235"/>
      <c r="R5" s="180"/>
      <c r="S5" s="71"/>
    </row>
    <row r="6" spans="1:19 16383:16384" ht="15" customHeight="1" x14ac:dyDescent="0.35">
      <c r="A6" s="234" t="s">
        <v>99</v>
      </c>
      <c r="B6" s="234"/>
      <c r="C6" s="234"/>
      <c r="F6" s="180"/>
      <c r="G6" s="74"/>
      <c r="K6" s="234" t="s">
        <v>52</v>
      </c>
      <c r="L6" s="234"/>
      <c r="M6" s="234"/>
      <c r="N6" s="247" t="s">
        <v>101</v>
      </c>
      <c r="O6" s="247"/>
      <c r="P6" s="24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4"/>
      <c r="B7" s="234"/>
      <c r="C7" s="234"/>
      <c r="F7" s="180"/>
      <c r="G7" s="74"/>
      <c r="K7" s="234"/>
      <c r="L7" s="234"/>
      <c r="M7" s="234"/>
      <c r="N7" s="247"/>
      <c r="O7" s="247"/>
      <c r="P7" s="24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6"/>
      <c r="B8" s="246"/>
      <c r="C8" s="246"/>
      <c r="F8" s="180"/>
      <c r="G8" s="74"/>
      <c r="K8" s="234"/>
      <c r="L8" s="234"/>
      <c r="M8" s="234"/>
      <c r="N8" s="247"/>
      <c r="O8" s="247"/>
      <c r="P8" s="247"/>
      <c r="R8" s="180"/>
      <c r="S8" s="74"/>
    </row>
    <row r="9" spans="1:19 16383:16384" x14ac:dyDescent="0.35">
      <c r="A9" s="246"/>
      <c r="B9" s="246"/>
      <c r="C9" s="246"/>
      <c r="F9" s="180"/>
      <c r="G9" s="74"/>
      <c r="K9" s="234"/>
      <c r="L9" s="234"/>
      <c r="M9" s="234"/>
      <c r="N9" s="247"/>
      <c r="O9" s="247"/>
      <c r="P9" s="247"/>
      <c r="R9" s="180"/>
      <c r="S9" s="74"/>
      <c r="XFD9" t="s">
        <v>55</v>
      </c>
    </row>
    <row r="10" spans="1:19 16383:16384" x14ac:dyDescent="0.35">
      <c r="A10" s="232" t="s">
        <v>96</v>
      </c>
      <c r="B10" s="75" t="s">
        <v>100</v>
      </c>
      <c r="C10" s="75"/>
      <c r="F10" s="180"/>
      <c r="G10" s="71"/>
      <c r="K10" s="234" t="s">
        <v>56</v>
      </c>
      <c r="L10" s="234"/>
      <c r="M10" s="234"/>
      <c r="N10" s="235" t="s">
        <v>57</v>
      </c>
      <c r="O10" s="235"/>
      <c r="P10" s="235"/>
      <c r="R10" s="180"/>
      <c r="S10" s="71"/>
      <c r="XFD10" t="s">
        <v>58</v>
      </c>
    </row>
    <row r="11" spans="1:19 16383:16384" x14ac:dyDescent="0.35">
      <c r="A11" s="232"/>
      <c r="B11" s="76" t="s">
        <v>48</v>
      </c>
      <c r="C11" s="181" t="str">
        <f>IF($O34&gt;2.49%,"No","Yes")</f>
        <v>Yes</v>
      </c>
      <c r="F11" s="180"/>
      <c r="G11" s="71"/>
      <c r="K11" s="234" t="s">
        <v>59</v>
      </c>
      <c r="L11" s="234"/>
      <c r="M11" s="234"/>
      <c r="N11" s="235" t="s">
        <v>55</v>
      </c>
      <c r="O11" s="235"/>
      <c r="P11" s="235"/>
      <c r="R11" s="180"/>
      <c r="S11" s="71"/>
    </row>
    <row r="12" spans="1:19 16383:16384" ht="14.65" customHeight="1" x14ac:dyDescent="0.35">
      <c r="A12" s="232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4" t="s">
        <v>61</v>
      </c>
      <c r="L12" s="234"/>
      <c r="M12" s="234"/>
      <c r="N12" s="235"/>
      <c r="O12" s="235"/>
      <c r="P12" s="235"/>
      <c r="R12" s="180"/>
      <c r="S12" s="71"/>
      <c r="XFD12" t="s">
        <v>62</v>
      </c>
    </row>
    <row r="13" spans="1:19 16383:16384" ht="15" thickBot="1" x14ac:dyDescent="0.4">
      <c r="A13" s="233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6" t="s">
        <v>64</v>
      </c>
      <c r="B14" s="237"/>
      <c r="C14" s="240" t="s">
        <v>65</v>
      </c>
      <c r="D14" s="182" t="s">
        <v>2</v>
      </c>
      <c r="E14" s="81" t="s">
        <v>66</v>
      </c>
      <c r="F14" s="82" t="s">
        <v>67</v>
      </c>
      <c r="G14" s="252" t="s">
        <v>68</v>
      </c>
      <c r="H14" s="253"/>
      <c r="I14" s="254" t="s">
        <v>69</v>
      </c>
      <c r="J14" s="252" t="s">
        <v>70</v>
      </c>
      <c r="K14" s="256"/>
      <c r="L14" s="253"/>
      <c r="M14" s="254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8"/>
      <c r="B15" s="239"/>
      <c r="C15" s="24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5"/>
      <c r="J15" s="88" t="s">
        <v>78</v>
      </c>
      <c r="K15" s="90" t="s">
        <v>79</v>
      </c>
      <c r="L15" s="91" t="s">
        <v>80</v>
      </c>
      <c r="M15" s="25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4" t="s">
        <v>84</v>
      </c>
      <c r="B25" s="215"/>
      <c r="C25" s="216"/>
      <c r="D25" s="210"/>
      <c r="E25" s="210"/>
      <c r="F25" s="25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7" t="s">
        <v>85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  <c r="N28" s="226" t="s">
        <v>86</v>
      </c>
      <c r="O28" s="227"/>
      <c r="P28" s="152">
        <f>I25</f>
        <v>0</v>
      </c>
    </row>
    <row r="29" spans="1:19 16384:16384" ht="15" customHeight="1" x14ac:dyDescent="0.35">
      <c r="B29" s="220"/>
      <c r="C29" s="221"/>
      <c r="D29" s="221"/>
      <c r="E29" s="221"/>
      <c r="F29" s="221"/>
      <c r="G29" s="221"/>
      <c r="H29" s="221"/>
      <c r="I29" s="221"/>
      <c r="J29" s="221"/>
      <c r="K29" s="221"/>
      <c r="L29" s="222"/>
      <c r="N29" s="228" t="s">
        <v>87</v>
      </c>
      <c r="O29" s="229"/>
      <c r="P29" s="153">
        <f>L25</f>
        <v>0</v>
      </c>
    </row>
    <row r="30" spans="1:19 16384:16384" ht="15" customHeight="1" x14ac:dyDescent="0.35">
      <c r="B30" s="220"/>
      <c r="C30" s="221"/>
      <c r="D30" s="221"/>
      <c r="E30" s="221"/>
      <c r="F30" s="221"/>
      <c r="G30" s="221"/>
      <c r="H30" s="221"/>
      <c r="I30" s="221"/>
      <c r="J30" s="221"/>
      <c r="K30" s="221"/>
      <c r="L30" s="222"/>
      <c r="N30" s="228" t="s">
        <v>4</v>
      </c>
      <c r="O30" s="229"/>
      <c r="P30" s="154">
        <f>K25</f>
        <v>0</v>
      </c>
    </row>
    <row r="31" spans="1:19 16384:16384" ht="15" customHeight="1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2"/>
      <c r="M31" s="2"/>
      <c r="N31" s="228" t="s">
        <v>88</v>
      </c>
      <c r="O31" s="229"/>
      <c r="P31" s="153">
        <f>P28-P29-P30</f>
        <v>0</v>
      </c>
    </row>
    <row r="32" spans="1:19 16384:16384" ht="15" customHeight="1" x14ac:dyDescent="0.35">
      <c r="B32" s="220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0"/>
      <c r="C33" s="221"/>
      <c r="D33" s="221"/>
      <c r="E33" s="221"/>
      <c r="F33" s="221"/>
      <c r="G33" s="221"/>
      <c r="H33" s="221"/>
      <c r="I33" s="221"/>
      <c r="J33" s="221"/>
      <c r="K33" s="221"/>
      <c r="L33" s="222"/>
      <c r="M33" s="2"/>
      <c r="N33" s="230" t="s">
        <v>90</v>
      </c>
      <c r="O33" s="231"/>
      <c r="P33" s="153">
        <f>P31+P32</f>
        <v>0</v>
      </c>
    </row>
    <row r="34" spans="2:16" ht="15" customHeight="1" thickBot="1" x14ac:dyDescent="0.4">
      <c r="B34" s="223"/>
      <c r="C34" s="224"/>
      <c r="D34" s="224"/>
      <c r="E34" s="224"/>
      <c r="F34" s="224"/>
      <c r="G34" s="224"/>
      <c r="H34" s="224"/>
      <c r="I34" s="224"/>
      <c r="J34" s="224"/>
      <c r="K34" s="224"/>
      <c r="L34" s="225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8" t="s">
        <v>92</v>
      </c>
      <c r="O35" s="209"/>
      <c r="P35" s="160">
        <f>P33+P34</f>
        <v>0</v>
      </c>
    </row>
    <row r="36" spans="2:16" ht="15" thickBot="1" x14ac:dyDescent="0.4">
      <c r="B36" s="186" t="s">
        <v>93</v>
      </c>
      <c r="C36" s="210"/>
      <c r="D36" s="210"/>
      <c r="E36" s="210"/>
      <c r="F36" s="210"/>
      <c r="G36" s="210"/>
      <c r="H36" s="210"/>
      <c r="I36" s="211"/>
      <c r="J36" s="212"/>
      <c r="K36" s="21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2026-06-06T12:42:30Z</dcterms:modified>
</cp:coreProperties>
</file>