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39B6847A-ECDA-4DF4-AA45-48622B7E04A1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6" l="1"/>
  <c r="H18" i="16"/>
  <c r="H19" i="16"/>
  <c r="H20" i="16"/>
  <c r="H21" i="16"/>
  <c r="H22" i="16"/>
  <c r="H23" i="16"/>
  <c r="H24" i="16"/>
  <c r="H16" i="16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O25" i="35" l="1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L17" i="17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21" i="16" l="1"/>
  <c r="L21" i="15" s="1"/>
  <c r="K20" i="16"/>
  <c r="L20" i="16"/>
  <c r="K18" i="16"/>
  <c r="K18" i="15" s="1"/>
  <c r="L18" i="16"/>
  <c r="L18" i="15" s="1"/>
  <c r="M18" i="15" s="1"/>
  <c r="K16" i="16"/>
  <c r="L16" i="16"/>
  <c r="L16" i="15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P31" i="17" s="1"/>
  <c r="K24" i="16"/>
  <c r="K24" i="15" s="1"/>
  <c r="M24" i="15" s="1"/>
  <c r="M21" i="17"/>
  <c r="N21" i="17" s="1"/>
  <c r="O21" i="17" s="1"/>
  <c r="L20" i="15"/>
  <c r="L25" i="21"/>
  <c r="P29" i="21" s="1"/>
  <c r="P31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K23" i="16"/>
  <c r="K19" i="16"/>
  <c r="K19" i="15" s="1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0" i="16"/>
  <c r="N20" i="16" s="1"/>
  <c r="M21" i="15" l="1"/>
  <c r="M24" i="16"/>
  <c r="N24" i="16" s="1"/>
  <c r="M17" i="15"/>
  <c r="M18" i="16"/>
  <c r="N18" i="16" s="1"/>
  <c r="L25" i="16"/>
  <c r="P29" i="16" s="1"/>
  <c r="M22" i="16"/>
  <c r="N22" i="16" s="1"/>
  <c r="N22" i="15" s="1"/>
  <c r="M16" i="15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4" i="16" l="1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<sst xmlns="http://schemas.openxmlformats.org/spreadsheetml/2006/main" count="1599" uniqueCount="127">
  <si>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</si>
  <si>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</si>
  <si>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</si>
  <si>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</si>
  <si>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</si>
  <si>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</si>
  <si>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</si>
  <si>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</si>
  <si>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</si>
  <si>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</si>
  <si>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</si>
  <si>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</si>
  <si>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</si>
  <si>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</si>
  <si>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</si>
  <si>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</si>
  <si>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</si>
  <si>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</si>
  <si>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</si>
  <si>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</si>
  <si>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</si>
  <si>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</si>
  <si>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</si>
  <si>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</si>
  <si>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</si>
  <si>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</si>
  <si>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</si>
  <si>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</si>
  <si>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</si>
  <si>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</si>
  <si>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</si>
  <si>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</si>
  <si>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</si>
  <si>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</si>
  <si>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</si>
  <si>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</si>
  <si>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</si>
  <si>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</si>
  <si>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</si>
  <si>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</si>
  <si>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</si>
  <si>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</si>
  <si>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</si>
  <si>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</si>
  <si>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</si>
  <si>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</si>
  <si>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</si>
  <si>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</si>
  <si>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</si>
  <si>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</si>
  <si>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</si>
  <si>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</si>
  <si>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</si>
  <si>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</si>
  <si>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</si>
  <si>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</si>
  <si>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</si>
  <si>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</si>
  <si>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</si>
  <si>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</si>
  <si>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</si>
  <si>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</si>
  <si>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</si>
  <si>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</si>
  <si>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</si>
  <si>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</si>
  <si>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</si>
  <si>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</si>
  <si>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</si>
  <si>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</si>
  <si>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</si>
  <si>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</si>
  <si>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</si>
  <si>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</si>
  <si>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</si>
  <si>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</si>
  <si>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</si>
  <si>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</si>
  <si>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</si>
  <si>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</si>
  <si>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</si>
  <si>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</si>
  <si>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</si>
  <si>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</si>
  <si>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</si>
  <si>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</si>
  <si>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</si>
  <si>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</si>
  <si>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</si>
  <si>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</si>
  <si>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</si>
  <si>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</si>
  <si>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</si>
  <si>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</si>
  <si>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</si>
  <si>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</si>
  <si>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</si>
  <si>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</si>
  <si>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</si>
  <si>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</si>
  <si>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</si>
  <si>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</si>
  <si>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</si>
  <si>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Shop Bill Summary (Mobeen Ahmad)</t>
  </si>
  <si>
    <t>Mobeen Ahmad</t>
  </si>
  <si>
    <t>Rana Bilal Tso</t>
  </si>
  <si>
    <t>Shakoor</t>
  </si>
  <si>
    <t>Customer Name : Smart Mart</t>
  </si>
  <si>
    <t xml:space="preserve">Address:  Bibi pak daman </t>
  </si>
  <si>
    <t>Customer Name : Haneef Store</t>
  </si>
  <si>
    <t>Customer Name : Nazeer Store</t>
  </si>
  <si>
    <t xml:space="preserve">Address: Bibi pak daman </t>
  </si>
  <si>
    <t>Customer Name : Tufail Store</t>
  </si>
  <si>
    <t>Address: Police line</t>
  </si>
  <si>
    <t>Customer Name : Sadat Store</t>
  </si>
  <si>
    <t>Address: Police Line</t>
  </si>
  <si>
    <t>Customer Name : Araf Store</t>
  </si>
  <si>
    <t>Address: Gawal Mandi</t>
  </si>
  <si>
    <t>Customer Name : Nafees Store</t>
  </si>
  <si>
    <t xml:space="preserve">Address: Gawal Mandi </t>
  </si>
  <si>
    <t>Customer Name : Rehman Store</t>
  </si>
  <si>
    <t>Customer Name : Tuqeer Store</t>
  </si>
  <si>
    <t>vacant</t>
  </si>
  <si>
    <t>Address: Fateh gher Mughalpura</t>
  </si>
  <si>
    <t>Customer Name : MS Traders (Risen)</t>
  </si>
  <si>
    <t>9725069-2</t>
  </si>
  <si>
    <t>327787628553-1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</si>
</sst>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0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104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105</v>
      </c>
    </row>
    <row r="13" spans="1:2" x14ac:dyDescent="0.35">
      <c r="A13">
        <v>8</v>
      </c>
      <c r="B13" t="s">
        <v>106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0"/>
      <c r="B3" s="180"/>
      <c r="C3" s="180"/>
      <c r="D3" s="180"/>
      <c r="E3" s="180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spans="1:29" x14ac:dyDescent="0.35">
      <c r="A4" s="182" t="s">
        <v>6</v>
      </c>
      <c r="B4" s="5" t="s">
        <v>7</v>
      </c>
      <c r="C4" s="5"/>
      <c r="D4" s="184" t="s">
        <v>8</v>
      </c>
      <c r="E4" s="186" t="s">
        <v>9</v>
      </c>
      <c r="F4" s="188" t="s">
        <v>3</v>
      </c>
      <c r="G4" s="188"/>
      <c r="H4" s="189" t="s">
        <v>10</v>
      </c>
      <c r="I4" s="189"/>
      <c r="J4" s="190" t="s">
        <v>11</v>
      </c>
      <c r="K4" s="191"/>
      <c r="L4" s="190" t="s">
        <v>12</v>
      </c>
      <c r="M4" s="191"/>
      <c r="N4" s="192" t="s">
        <v>13</v>
      </c>
      <c r="O4" s="192"/>
      <c r="P4" s="190" t="s">
        <v>4</v>
      </c>
      <c r="Q4" s="191"/>
      <c r="R4" s="190" t="s">
        <v>14</v>
      </c>
      <c r="S4" s="191"/>
      <c r="T4" s="193" t="s">
        <v>15</v>
      </c>
      <c r="U4" s="193"/>
      <c r="V4" s="194" t="s">
        <v>16</v>
      </c>
      <c r="W4" s="195"/>
      <c r="X4" s="194" t="s">
        <v>17</v>
      </c>
      <c r="Y4" s="195"/>
    </row>
    <row r="5" spans="1:29" ht="26.25" customHeight="1" thickBot="1" x14ac:dyDescent="0.4">
      <c r="A5" s="183"/>
      <c r="B5" s="7" t="s">
        <v>18</v>
      </c>
      <c r="C5" s="7" t="s">
        <v>8</v>
      </c>
      <c r="D5" s="185"/>
      <c r="E5" s="187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S13" sqref="S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2" t="s">
        <v>45</v>
      </c>
      <c r="B2" s="242"/>
      <c r="C2" s="242"/>
    </row>
    <row r="3" spans="1:21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1" t="s">
        <v>122</v>
      </c>
      <c r="B5" s="241"/>
      <c r="C5" s="241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21 16383:16384" ht="15" customHeight="1" x14ac:dyDescent="0.35">
      <c r="A6" s="241"/>
      <c r="B6" s="241"/>
      <c r="C6" s="241"/>
      <c r="F6" s="70"/>
      <c r="G6" s="74"/>
      <c r="K6" s="226" t="s">
        <v>52</v>
      </c>
      <c r="L6" s="226"/>
      <c r="M6" s="226"/>
      <c r="N6" s="239" t="s">
        <v>42</v>
      </c>
      <c r="O6" s="239"/>
      <c r="P6" s="239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21 16383:16384" hidden="1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21 16383:16384" x14ac:dyDescent="0.35">
      <c r="A10" s="224"/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21 16383:16384" ht="15" thickBot="1" x14ac:dyDescent="0.4">
      <c r="A11" s="224"/>
      <c r="B11" s="76"/>
      <c r="C11" s="77"/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21 16383:16384" ht="14.65" customHeight="1" x14ac:dyDescent="0.35">
      <c r="A12" s="224"/>
      <c r="B12" s="76"/>
      <c r="C12" s="77"/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T12" s="196" t="s">
        <v>103</v>
      </c>
      <c r="U12" s="197"/>
      <c r="XFD12" t="s">
        <v>62</v>
      </c>
    </row>
    <row r="13" spans="1:21 16383:16384" ht="15" thickBot="1" x14ac:dyDescent="0.4">
      <c r="A13" s="225"/>
      <c r="J13" s="78"/>
      <c r="K13" s="78"/>
      <c r="L13" s="79">
        <v>0.05</v>
      </c>
      <c r="T13" s="198"/>
      <c r="U13" s="199"/>
      <c r="XFD13" t="s">
        <v>63</v>
      </c>
    </row>
    <row r="14" spans="1:21 16383:16384" ht="29.25" customHeight="1" x14ac:dyDescent="0.6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34" t="s">
        <v>68</v>
      </c>
      <c r="H14" s="235"/>
      <c r="I14" s="235" t="s">
        <v>69</v>
      </c>
      <c r="J14" s="235" t="s">
        <v>70</v>
      </c>
      <c r="K14" s="235"/>
      <c r="L14" s="237"/>
      <c r="M14" s="229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MS Traders (Risen)</v>
      </c>
      <c r="U14" s="164">
        <f>+'1'!P35</f>
        <v>255177.57416999998</v>
      </c>
      <c r="XFD14" t="s">
        <v>75</v>
      </c>
    </row>
    <row r="15" spans="1:21 16383:16384" ht="29.25" customHeight="1" thickBot="1" x14ac:dyDescent="0.65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6"/>
      <c r="J15" s="171" t="s">
        <v>78</v>
      </c>
      <c r="K15" s="171" t="s">
        <v>79</v>
      </c>
      <c r="L15" s="174" t="s">
        <v>80</v>
      </c>
      <c r="M15" s="23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Smart Mart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400</v>
      </c>
      <c r="I16" s="1">
        <f>(G16*D16)*F16+H16*F16</f>
        <v>20985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5875.8</v>
      </c>
      <c r="M16" s="106">
        <f>I16-K16-L16</f>
        <v>15109.2</v>
      </c>
      <c r="N16" s="101">
        <f>+'1'!N16+'2'!N16+'4'!N16+'3'!N16+'5'!N16+'6'!N16+'7'!N16+'8'!N16+'9'!N16+'10'!N16</f>
        <v>6496.9559999999992</v>
      </c>
      <c r="O16" s="101">
        <f>+'1'!O16+'2'!O16+'4'!O16+'3'!O16+'5'!O16+'6'!O16+'7'!O16+'8'!O16+'9'!O16+'10'!O16</f>
        <v>212.95577999999998</v>
      </c>
      <c r="P16" s="105">
        <f t="shared" ref="P16:P24" si="0">M16+N16+O16</f>
        <v>21819.111779999999</v>
      </c>
      <c r="Q16" s="108"/>
      <c r="T16" s="163" t="str">
        <f>+'4'!A5</f>
        <v>Customer Name : Nazeer Store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200</v>
      </c>
      <c r="I17" s="1">
        <f t="shared" ref="I17:I23" si="1">(G17*D17)*F17+H17*F17</f>
        <v>10492.5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2937.9</v>
      </c>
      <c r="M17" s="118">
        <f t="shared" ref="M17:M23" si="2">I17-K17-L17</f>
        <v>7554.6</v>
      </c>
      <c r="N17" s="101">
        <f>+'1'!N17+'2'!N17+'4'!N17+'3'!N17+'5'!N17+'6'!N17+'7'!N17+'8'!N17+'9'!N17+'10'!N17</f>
        <v>3248.4779999999996</v>
      </c>
      <c r="O17" s="101">
        <f>+'1'!O17+'2'!O17+'4'!O17+'3'!O17+'5'!O17+'6'!O17+'7'!O17+'8'!O17+'9'!O17+'10'!O17</f>
        <v>106.47788999999999</v>
      </c>
      <c r="P17" s="120">
        <f t="shared" si="0"/>
        <v>10909.55589</v>
      </c>
      <c r="S17" s="64"/>
      <c r="T17" s="163" t="str">
        <f>+'3'!A5</f>
        <v>Customer Name : Haneef Store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400</v>
      </c>
      <c r="I18" s="1">
        <f t="shared" si="1"/>
        <v>20985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5875.8</v>
      </c>
      <c r="M18" s="118">
        <f t="shared" si="2"/>
        <v>15109.2</v>
      </c>
      <c r="N18" s="101">
        <f>+'1'!N18+'2'!N18+'4'!N18+'3'!N18+'5'!N18+'6'!N18+'7'!N18+'8'!N18+'9'!N18+'10'!N18</f>
        <v>6496.9559999999992</v>
      </c>
      <c r="O18" s="101">
        <f>+'1'!O18+'2'!O18+'4'!O18+'3'!O18+'5'!O18+'6'!O18+'7'!O18+'8'!O18+'9'!O18+'10'!O18</f>
        <v>212.95577999999998</v>
      </c>
      <c r="P18" s="120">
        <f t="shared" si="0"/>
        <v>21819.111779999999</v>
      </c>
      <c r="T18" s="163" t="str">
        <f>+'5'!A5</f>
        <v>Customer Name : Tufail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400</v>
      </c>
      <c r="I19" s="1">
        <f t="shared" si="1"/>
        <v>29056</v>
      </c>
      <c r="J19" s="172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8135.6800000000012</v>
      </c>
      <c r="M19" s="118">
        <f t="shared" si="2"/>
        <v>20920.32</v>
      </c>
      <c r="N19" s="101">
        <f>+'1'!N19+'2'!N19+'4'!N19+'3'!N19+'5'!N19+'6'!N19+'7'!N19+'8'!N19+'9'!N19+'10'!N19</f>
        <v>8995.7376000000004</v>
      </c>
      <c r="O19" s="101">
        <f>+'1'!O19+'2'!O19+'4'!O19+'3'!O19+'5'!O19+'6'!O19+'7'!O19+'8'!O19+'9'!O19+'10'!O19</f>
        <v>294.86028800000003</v>
      </c>
      <c r="P19" s="120">
        <f t="shared" si="0"/>
        <v>30210.917888</v>
      </c>
      <c r="T19" s="163" t="str">
        <f>+'6'!A5</f>
        <v>Customer Name : Sadat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200</v>
      </c>
      <c r="I20" s="1">
        <f t="shared" si="1"/>
        <v>14528</v>
      </c>
      <c r="J20" s="172">
        <f>+'1'!J20+'2'!J20+'4'!J20+'3'!J20+'5'!J20+'6'!J20+'7'!J20+'8'!J20+'9'!J20+'10'!J20+'11'!J20+'12'!J20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4067.8400000000006</v>
      </c>
      <c r="M20" s="118">
        <f t="shared" si="2"/>
        <v>10460.16</v>
      </c>
      <c r="N20" s="101">
        <f>+'1'!N20+'2'!N20+'4'!N20+'3'!N20+'5'!N20+'6'!N20+'7'!N20+'8'!N20+'9'!N20+'10'!N20</f>
        <v>4497.8688000000002</v>
      </c>
      <c r="O20" s="101">
        <f>+'1'!O20+'2'!O20+'4'!O20+'3'!O20+'5'!O20+'6'!O20+'7'!O20+'8'!O20+'9'!O20+'10'!O20</f>
        <v>147.43014400000001</v>
      </c>
      <c r="P20" s="120">
        <f t="shared" si="0"/>
        <v>15105.458944</v>
      </c>
      <c r="T20" s="163" t="str">
        <f>+'7'!A5</f>
        <v>Customer Name : Araf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400</v>
      </c>
      <c r="I21" s="1">
        <f t="shared" si="1"/>
        <v>29056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8135.6800000000012</v>
      </c>
      <c r="M21" s="118">
        <f t="shared" si="2"/>
        <v>20920.32</v>
      </c>
      <c r="N21" s="101">
        <f>+'1'!N21+'2'!N21+'4'!N21+'3'!N21+'5'!N21+'6'!N21+'7'!N21+'8'!N21+'9'!N21+'10'!N21</f>
        <v>8995.7376000000004</v>
      </c>
      <c r="O21" s="101">
        <f>+'1'!O21+'2'!O21+'4'!O21+'3'!O21+'5'!O21+'6'!O21+'7'!O21+'8'!O21+'9'!O21+'10'!O21</f>
        <v>294.86028800000003</v>
      </c>
      <c r="P21" s="120">
        <f t="shared" si="0"/>
        <v>30210.917888</v>
      </c>
      <c r="T21" s="163" t="str">
        <f>+'8'!A5</f>
        <v>Customer Name : Nafees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Rehman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Tuqeer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6" t="s">
        <v>84</v>
      </c>
      <c r="B25" s="207"/>
      <c r="C25" s="208"/>
      <c r="D25" s="202"/>
      <c r="E25" s="202"/>
      <c r="F25" s="202"/>
      <c r="G25" s="176">
        <f t="shared" ref="G25:M25" si="3">SUM(G16:G24)</f>
        <v>0</v>
      </c>
      <c r="H25" s="177">
        <f t="shared" si="3"/>
        <v>2000</v>
      </c>
      <c r="I25" s="178">
        <f t="shared" si="3"/>
        <v>125102.5</v>
      </c>
      <c r="J25" s="177">
        <f t="shared" si="3"/>
        <v>0</v>
      </c>
      <c r="K25" s="178">
        <f t="shared" si="3"/>
        <v>0</v>
      </c>
      <c r="L25" s="179">
        <f t="shared" si="3"/>
        <v>35028.700000000004</v>
      </c>
      <c r="M25" s="141">
        <f t="shared" si="3"/>
        <v>90073.799999999988</v>
      </c>
      <c r="N25" s="142">
        <f>SUM(N16:N24)</f>
        <v>38731.733999999997</v>
      </c>
      <c r="O25" s="143">
        <f>SUM(O16:O24)</f>
        <v>1269.54017</v>
      </c>
      <c r="P25" s="144">
        <f>SUM(P16:P24)</f>
        <v>130075.07416999999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255177.57416999998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125102.5</v>
      </c>
    </row>
    <row r="29" spans="1:21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35028.700000000004</v>
      </c>
    </row>
    <row r="30" spans="1:21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21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90073.799999999988</v>
      </c>
    </row>
    <row r="32" spans="1:21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38731.733999999997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128805.53399999999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3220.1383499999997</v>
      </c>
    </row>
    <row r="35" spans="2:16" ht="15.75" customHeight="1" thickBot="1" x14ac:dyDescent="0.4">
      <c r="N35" s="200" t="s">
        <v>92</v>
      </c>
      <c r="O35" s="201"/>
      <c r="P35" s="160">
        <f>P33+P34</f>
        <v>132025.67234999998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F8" sqref="F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10.816406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1001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124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123</v>
      </c>
      <c r="B6" s="226"/>
      <c r="C6" s="226"/>
      <c r="F6" s="70"/>
      <c r="G6" s="74"/>
      <c r="K6" s="226" t="s">
        <v>52</v>
      </c>
      <c r="L6" s="226"/>
      <c r="M6" s="226"/>
      <c r="N6" s="239" t="s">
        <v>106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125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168" t="s">
        <v>126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>
        <v>10</v>
      </c>
      <c r="H16" s="101">
        <f>G16*40</f>
        <v>400</v>
      </c>
      <c r="I16" s="102">
        <f>(G16*D16)*F16+H16*F16</f>
        <v>41970</v>
      </c>
      <c r="J16" s="103"/>
      <c r="K16" s="104">
        <f>I16*$K$13</f>
        <v>0</v>
      </c>
      <c r="L16" s="105">
        <f>I16*14%</f>
        <v>5875.8</v>
      </c>
      <c r="M16" s="106">
        <f>I16-K16-L16</f>
        <v>36094.199999999997</v>
      </c>
      <c r="N16" s="106">
        <f t="shared" ref="N16:N24" si="0">(M16*$N$15)+(J16*F16)*$N$15</f>
        <v>6496.9559999999992</v>
      </c>
      <c r="O16" s="107">
        <f t="shared" ref="O16:O24" si="1">(N16+M16)*$O$15</f>
        <v>212.95577999999998</v>
      </c>
      <c r="P16" s="105">
        <f t="shared" ref="P16:P24" si="2">M16+N16+O16</f>
        <v>42804.111779999992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>
        <v>5</v>
      </c>
      <c r="H17" s="101">
        <f t="shared" ref="H17:H24" si="3">G17*40</f>
        <v>200</v>
      </c>
      <c r="I17" s="116">
        <f t="shared" ref="I17:I23" si="4">(G17*D17)*F17+H17*F17</f>
        <v>20985</v>
      </c>
      <c r="J17" s="117"/>
      <c r="K17" s="1">
        <f t="shared" ref="K17:K21" si="5">I17*$K$13</f>
        <v>0</v>
      </c>
      <c r="L17" s="105">
        <f t="shared" ref="L17:L21" si="6">I17*14%</f>
        <v>2937.9</v>
      </c>
      <c r="M17" s="118">
        <f t="shared" ref="M17:M23" si="7">I17-K17-L17</f>
        <v>18047.099999999999</v>
      </c>
      <c r="N17" s="118">
        <f t="shared" si="0"/>
        <v>3248.4779999999996</v>
      </c>
      <c r="O17" s="119">
        <f t="shared" si="1"/>
        <v>106.47788999999999</v>
      </c>
      <c r="P17" s="120">
        <f t="shared" si="2"/>
        <v>21402.055889999996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>
        <v>10</v>
      </c>
      <c r="H18" s="101">
        <f t="shared" si="3"/>
        <v>400</v>
      </c>
      <c r="I18" s="116">
        <f t="shared" si="4"/>
        <v>41970</v>
      </c>
      <c r="J18" s="117"/>
      <c r="K18" s="1">
        <f t="shared" si="5"/>
        <v>0</v>
      </c>
      <c r="L18" s="105">
        <f t="shared" si="6"/>
        <v>5875.8</v>
      </c>
      <c r="M18" s="118">
        <f t="shared" si="7"/>
        <v>36094.199999999997</v>
      </c>
      <c r="N18" s="118">
        <f t="shared" si="0"/>
        <v>6496.9559999999992</v>
      </c>
      <c r="O18" s="119">
        <f t="shared" si="1"/>
        <v>212.95577999999998</v>
      </c>
      <c r="P18" s="120">
        <f t="shared" si="2"/>
        <v>42804.111779999992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>
        <v>10</v>
      </c>
      <c r="H19" s="101">
        <f t="shared" si="3"/>
        <v>400</v>
      </c>
      <c r="I19" s="116">
        <f t="shared" si="4"/>
        <v>58112</v>
      </c>
      <c r="J19" s="117"/>
      <c r="K19" s="1">
        <f t="shared" si="5"/>
        <v>0</v>
      </c>
      <c r="L19" s="105">
        <f t="shared" si="6"/>
        <v>8135.6800000000012</v>
      </c>
      <c r="M19" s="118">
        <f t="shared" si="7"/>
        <v>49976.32</v>
      </c>
      <c r="N19" s="118">
        <f t="shared" si="0"/>
        <v>8995.7376000000004</v>
      </c>
      <c r="O19" s="119">
        <f t="shared" si="1"/>
        <v>294.86028800000003</v>
      </c>
      <c r="P19" s="120">
        <f t="shared" si="2"/>
        <v>59266.917888000004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>
        <v>5</v>
      </c>
      <c r="H20" s="101">
        <f t="shared" si="3"/>
        <v>200</v>
      </c>
      <c r="I20" s="116">
        <f t="shared" si="4"/>
        <v>29056</v>
      </c>
      <c r="J20" s="117"/>
      <c r="K20" s="1">
        <f t="shared" si="5"/>
        <v>0</v>
      </c>
      <c r="L20" s="105">
        <f t="shared" si="6"/>
        <v>4067.8400000000006</v>
      </c>
      <c r="M20" s="118">
        <f t="shared" si="7"/>
        <v>24988.16</v>
      </c>
      <c r="N20" s="118">
        <f t="shared" si="0"/>
        <v>4497.8688000000002</v>
      </c>
      <c r="O20" s="119">
        <f t="shared" si="1"/>
        <v>147.43014400000001</v>
      </c>
      <c r="P20" s="120">
        <f t="shared" si="2"/>
        <v>29633.458944000002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>
        <v>10</v>
      </c>
      <c r="H21" s="101">
        <f t="shared" si="3"/>
        <v>400</v>
      </c>
      <c r="I21" s="116">
        <f t="shared" si="4"/>
        <v>58112</v>
      </c>
      <c r="J21" s="117"/>
      <c r="K21" s="1">
        <f t="shared" si="5"/>
        <v>0</v>
      </c>
      <c r="L21" s="105">
        <f t="shared" si="6"/>
        <v>8135.6800000000012</v>
      </c>
      <c r="M21" s="118">
        <f t="shared" si="7"/>
        <v>49976.32</v>
      </c>
      <c r="N21" s="118">
        <f t="shared" si="0"/>
        <v>8995.7376000000004</v>
      </c>
      <c r="O21" s="119">
        <f t="shared" si="1"/>
        <v>294.86028800000003</v>
      </c>
      <c r="P21" s="120">
        <f t="shared" si="2"/>
        <v>59266.917888000004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01">
        <f t="shared" si="3"/>
        <v>0</v>
      </c>
      <c r="I22" s="116">
        <f t="shared" si="4"/>
        <v>0</v>
      </c>
      <c r="J22" s="117"/>
      <c r="K22" s="1">
        <f>I22*3.5%</f>
        <v>0</v>
      </c>
      <c r="L22" s="120">
        <f>I22*5%</f>
        <v>0</v>
      </c>
      <c r="M22" s="118">
        <f t="shared" si="7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01">
        <f t="shared" si="3"/>
        <v>0</v>
      </c>
      <c r="I23" s="116">
        <f t="shared" si="4"/>
        <v>0</v>
      </c>
      <c r="J23" s="117"/>
      <c r="K23" s="1">
        <f t="shared" ref="K23:K24" si="8">I23*3.5%</f>
        <v>0</v>
      </c>
      <c r="L23" s="120">
        <f t="shared" ref="L23:L24" si="9">I23*$L$13</f>
        <v>0</v>
      </c>
      <c r="M23" s="118">
        <f t="shared" si="7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01">
        <f t="shared" si="3"/>
        <v>0</v>
      </c>
      <c r="I24" s="129">
        <f>(G24*D24)*F24+H24*F24</f>
        <v>0</v>
      </c>
      <c r="J24" s="130"/>
      <c r="K24" s="131">
        <f t="shared" si="8"/>
        <v>0</v>
      </c>
      <c r="L24" s="132">
        <f t="shared" si="9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10">SUM(G16:G24)</f>
        <v>50</v>
      </c>
      <c r="H25" s="136">
        <f t="shared" si="10"/>
        <v>2000</v>
      </c>
      <c r="I25" s="137">
        <f t="shared" si="10"/>
        <v>250205</v>
      </c>
      <c r="J25" s="138"/>
      <c r="K25" s="139">
        <f t="shared" si="10"/>
        <v>0</v>
      </c>
      <c r="L25" s="140">
        <f t="shared" si="10"/>
        <v>35028.700000000004</v>
      </c>
      <c r="M25" s="141">
        <f t="shared" si="10"/>
        <v>215176.30000000002</v>
      </c>
      <c r="N25" s="142">
        <f>SUM(N16:N24)</f>
        <v>38731.733999999997</v>
      </c>
      <c r="O25" s="143">
        <f>SUM(O16:O24)</f>
        <v>1269.54017</v>
      </c>
      <c r="P25" s="144">
        <f>SUM(P16:P24)</f>
        <v>255177.57416999998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250205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35028.700000000004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215176.3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38731.733999999997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253908.03399999999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1269.54017</v>
      </c>
    </row>
    <row r="35" spans="2:16" ht="15.75" customHeight="1" thickBot="1" x14ac:dyDescent="0.4">
      <c r="N35" s="200" t="s">
        <v>92</v>
      </c>
      <c r="O35" s="201"/>
      <c r="P35" s="160">
        <f>P33+P34</f>
        <v>255177.57416999998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E7" sqref="E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2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107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108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4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109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108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3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110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111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5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112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113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6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115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0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7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116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117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>
        <v>3520242563059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3"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8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118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119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9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120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117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7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121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117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>
        <v>3628249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97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2026-06-16T06:04:21Z</dcterms:modified>
</cp:coreProperties>
</file>