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55350DD-712C-4A9E-A5FC-6DE56917FF67}" xr6:coauthVersionLast="47" xr6:coauthVersionMax="47" xr10:uidLastSave="{00000000-0000-0000-0000-000000000000}"/>
  <bookViews>
    <workbookView xWindow="-110" yWindow="-110" windowWidth="19420" windowHeight="10420" tabRatio="949" activeTab="1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30" l="1"/>
  <c r="I17" i="30"/>
  <c r="I18" i="30"/>
  <c r="K18" i="30" s="1"/>
  <c r="I19" i="30"/>
  <c r="I20" i="30"/>
  <c r="K20" i="30" s="1"/>
  <c r="I21" i="30"/>
  <c r="I22" i="30"/>
  <c r="I23" i="30"/>
  <c r="K23" i="30" s="1"/>
  <c r="M23" i="30" s="1"/>
  <c r="I24" i="30"/>
  <c r="I16" i="32"/>
  <c r="I17" i="32"/>
  <c r="I18" i="32"/>
  <c r="K18" i="32" s="1"/>
  <c r="I19" i="32"/>
  <c r="I20" i="32"/>
  <c r="K20" i="32" s="1"/>
  <c r="I21" i="32"/>
  <c r="I16" i="33"/>
  <c r="I16" i="28"/>
  <c r="I17" i="28"/>
  <c r="I18" i="28"/>
  <c r="K18" i="28" s="1"/>
  <c r="I19" i="28"/>
  <c r="K19" i="28" s="1"/>
  <c r="I20" i="28"/>
  <c r="K20" i="28" s="1"/>
  <c r="I21" i="28"/>
  <c r="I22" i="28"/>
  <c r="I23" i="28"/>
  <c r="L23" i="28" s="1"/>
  <c r="I24" i="28"/>
  <c r="I22" i="32"/>
  <c r="I18" i="33"/>
  <c r="K18" i="33" s="1"/>
  <c r="I20" i="33"/>
  <c r="K20" i="33" s="1"/>
  <c r="I16" i="31"/>
  <c r="I17" i="31"/>
  <c r="I18" i="31"/>
  <c r="K18" i="31" s="1"/>
  <c r="I19" i="31"/>
  <c r="K19" i="31" s="1"/>
  <c r="I20" i="31"/>
  <c r="I21" i="31"/>
  <c r="K21" i="31" s="1"/>
  <c r="I22" i="31"/>
  <c r="I23" i="31"/>
  <c r="K23" i="31" s="1"/>
  <c r="I24" i="31"/>
  <c r="I23" i="32"/>
  <c r="I22" i="33"/>
  <c r="I16" i="34"/>
  <c r="I17" i="34"/>
  <c r="I18" i="34"/>
  <c r="K18" i="34" s="1"/>
  <c r="I19" i="34"/>
  <c r="K19" i="34" s="1"/>
  <c r="I20" i="34"/>
  <c r="K20" i="34" s="1"/>
  <c r="I21" i="34"/>
  <c r="I22" i="34"/>
  <c r="I23" i="34"/>
  <c r="I24" i="34"/>
  <c r="L24" i="34" s="1"/>
  <c r="I16" i="29"/>
  <c r="I17" i="29"/>
  <c r="K17" i="29" s="1"/>
  <c r="I18" i="29"/>
  <c r="K18" i="29" s="1"/>
  <c r="I19" i="29"/>
  <c r="K19" i="29" s="1"/>
  <c r="I20" i="29"/>
  <c r="K20" i="29" s="1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K18" i="35"/>
  <c r="K19" i="35"/>
  <c r="K20" i="35"/>
  <c r="K21" i="35"/>
  <c r="K22" i="35"/>
  <c r="L22" i="35"/>
  <c r="M22" i="35"/>
  <c r="K23" i="35"/>
  <c r="L23" i="35"/>
  <c r="K24" i="35"/>
  <c r="L24" i="35"/>
  <c r="K17" i="34"/>
  <c r="K21" i="34"/>
  <c r="K22" i="34"/>
  <c r="L22" i="34"/>
  <c r="K23" i="34"/>
  <c r="M23" i="34" s="1"/>
  <c r="L23" i="34"/>
  <c r="K21" i="33"/>
  <c r="K22" i="33"/>
  <c r="L22" i="33"/>
  <c r="K19" i="33"/>
  <c r="K24" i="33"/>
  <c r="L24" i="33"/>
  <c r="M17" i="33"/>
  <c r="K24" i="32"/>
  <c r="L24" i="32"/>
  <c r="K16" i="32"/>
  <c r="K17" i="32"/>
  <c r="K19" i="32"/>
  <c r="K21" i="32"/>
  <c r="K23" i="32"/>
  <c r="L23" i="32"/>
  <c r="M23" i="32" s="1"/>
  <c r="K22" i="32"/>
  <c r="L22" i="32"/>
  <c r="K17" i="31"/>
  <c r="K22" i="31"/>
  <c r="L22" i="31"/>
  <c r="M22" i="31" s="1"/>
  <c r="K24" i="31"/>
  <c r="L24" i="31"/>
  <c r="K16" i="31"/>
  <c r="K20" i="31"/>
  <c r="L23" i="31"/>
  <c r="K21" i="30"/>
  <c r="M21" i="30"/>
  <c r="L23" i="30"/>
  <c r="K16" i="30"/>
  <c r="K17" i="30"/>
  <c r="K22" i="30"/>
  <c r="L22" i="30"/>
  <c r="K24" i="30"/>
  <c r="L24" i="30"/>
  <c r="K16" i="29"/>
  <c r="K24" i="29"/>
  <c r="M24" i="29" s="1"/>
  <c r="L24" i="29"/>
  <c r="K22" i="29"/>
  <c r="L22" i="29"/>
  <c r="K16" i="28"/>
  <c r="K17" i="28"/>
  <c r="K21" i="28"/>
  <c r="K22" i="28"/>
  <c r="L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21" i="29" l="1"/>
  <c r="I25" i="28"/>
  <c r="P28" i="28" s="1"/>
  <c r="M17" i="28"/>
  <c r="M17" i="31"/>
  <c r="I25" i="30"/>
  <c r="P28" i="30" s="1"/>
  <c r="I25" i="32"/>
  <c r="P28" i="32" s="1"/>
  <c r="M18" i="33"/>
  <c r="N18" i="33" s="1"/>
  <c r="O18" i="33" s="1"/>
  <c r="M18" i="35"/>
  <c r="M17" i="35"/>
  <c r="N17" i="35" s="1"/>
  <c r="O17" i="35" s="1"/>
  <c r="I25" i="34"/>
  <c r="P28" i="34" s="1"/>
  <c r="K23" i="28"/>
  <c r="M23" i="28" s="1"/>
  <c r="K23" i="29"/>
  <c r="M22" i="29"/>
  <c r="K24" i="34"/>
  <c r="M24" i="34" s="1"/>
  <c r="L25" i="34"/>
  <c r="P29" i="34" s="1"/>
  <c r="M21" i="35"/>
  <c r="M24" i="28"/>
  <c r="M24" i="30"/>
  <c r="N24" i="30" s="1"/>
  <c r="O24" i="30" s="1"/>
  <c r="P24" i="30" s="1"/>
  <c r="K19" i="30"/>
  <c r="M19" i="30" s="1"/>
  <c r="N19" i="30" s="1"/>
  <c r="O19" i="30" s="1"/>
  <c r="P19" i="30" s="1"/>
  <c r="M18" i="32"/>
  <c r="N18" i="32" s="1"/>
  <c r="O18" i="32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M23" i="35"/>
  <c r="I16" i="26"/>
  <c r="K16" i="26" s="1"/>
  <c r="I17" i="26"/>
  <c r="K17" i="26" s="1"/>
  <c r="I18" i="26"/>
  <c r="K18" i="26" s="1"/>
  <c r="I19" i="26"/>
  <c r="L19" i="26" s="1"/>
  <c r="I20" i="26"/>
  <c r="I21" i="26"/>
  <c r="K21" i="26" s="1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M19" i="29"/>
  <c r="N19" i="29" s="1"/>
  <c r="O19" i="29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M19" i="28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L25" i="31"/>
  <c r="P29" i="31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19" i="34"/>
  <c r="O19" i="34" s="1"/>
  <c r="N16" i="34"/>
  <c r="N24" i="33"/>
  <c r="O24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K25" i="30"/>
  <c r="P30" i="30" s="1"/>
  <c r="N22" i="30"/>
  <c r="O22" i="30" s="1"/>
  <c r="P22" i="30" s="1"/>
  <c r="N23" i="30"/>
  <c r="O23" i="30" s="1"/>
  <c r="N22" i="29"/>
  <c r="O22" i="29" s="1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20" i="15"/>
  <c r="T19" i="15"/>
  <c r="T18" i="15"/>
  <c r="T17" i="15"/>
  <c r="T16" i="15"/>
  <c r="T15" i="15"/>
  <c r="T14" i="15"/>
  <c r="K19" i="26" l="1"/>
  <c r="M19" i="26" s="1"/>
  <c r="N19" i="26" s="1"/>
  <c r="O19" i="26" s="1"/>
  <c r="K20" i="26"/>
  <c r="L25" i="32"/>
  <c r="P29" i="32" s="1"/>
  <c r="L25" i="33"/>
  <c r="P29" i="33" s="1"/>
  <c r="P31" i="33" s="1"/>
  <c r="M20" i="34"/>
  <c r="N20" i="34" s="1"/>
  <c r="O20" i="34" s="1"/>
  <c r="L25" i="29"/>
  <c r="P29" i="29" s="1"/>
  <c r="P31" i="29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20" i="31"/>
  <c r="P31" i="32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20" i="34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25" l="1"/>
  <c r="P25" i="34"/>
  <c r="K17" i="23"/>
  <c r="K17" i="24"/>
  <c r="I25" i="25"/>
  <c r="P28" i="25" s="1"/>
  <c r="M18" i="17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20" i="24"/>
  <c r="N20" i="24" s="1"/>
  <c r="O20" i="24" s="1"/>
  <c r="K19" i="24"/>
  <c r="M19" i="24" s="1"/>
  <c r="N19" i="24" s="1"/>
  <c r="O19" i="24" s="1"/>
  <c r="P19" i="24" s="1"/>
  <c r="L24" i="21"/>
  <c r="M17" i="20"/>
  <c r="N17" i="20" s="1"/>
  <c r="O17" i="20" s="1"/>
  <c r="K17" i="19"/>
  <c r="M16" i="17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K25" i="25" l="1"/>
  <c r="P30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1" i="15"/>
  <c r="M16" i="16"/>
  <c r="N16" i="16" s="1"/>
  <c r="M16" i="15"/>
  <c r="M18" i="15"/>
  <c r="N16" i="18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3" l="1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<sst xmlns="http://schemas.openxmlformats.org/spreadsheetml/2006/main" count="1599" uniqueCount="120">
  <si>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</si>
  <si>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</si>
  <si>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</si>
  <si>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</si>
  <si>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</si>
  <si>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</si>
  <si>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</si>
  <si>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</si>
  <si>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</si>
  <si>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</si>
  <si>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</si>
  <si>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</si>
  <si>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</si>
  <si>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</si>
  <si>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</si>
  <si>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</si>
  <si>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</si>
  <si>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</si>
  <si>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</si>
  <si>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</si>
  <si>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</si>
  <si>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</si>
  <si>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</si>
  <si>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</si>
  <si>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</si>
  <si>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</si>
  <si>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</si>
  <si>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</si>
  <si>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</si>
  <si>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</si>
  <si>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</si>
  <si>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</si>
  <si>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</si>
  <si>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</si>
  <si>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</si>
  <si>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</si>
  <si>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</si>
  <si>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</si>
  <si>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</si>
  <si>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</si>
  <si>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</si>
  <si>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</si>
  <si>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</si>
  <si>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</si>
  <si>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</si>
  <si>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</si>
  <si>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</si>
  <si>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</si>
  <si>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</si>
  <si>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</si>
  <si>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</si>
  <si>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</si>
  <si>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</si>
  <si>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</si>
  <si>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</si>
  <si>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</si>
  <si>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</si>
  <si>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</si>
  <si>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</si>
  <si>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</si>
  <si>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</si>
  <si>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</si>
  <si>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</si>
  <si>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</si>
  <si>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</si>
  <si>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</si>
  <si>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</si>
  <si>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</si>
  <si>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</si>
  <si>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</si>
  <si>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</si>
  <si>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</si>
  <si>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</si>
  <si>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</si>
  <si>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</si>
  <si>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</si>
  <si>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</si>
  <si>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</si>
  <si>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</si>
  <si>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</si>
  <si>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</si>
  <si>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</si>
  <si>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</si>
  <si>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</si>
  <si>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</si>
  <si>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</si>
  <si>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</si>
  <si>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</si>
  <si>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</si>
  <si>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</si>
  <si>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</si>
  <si>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</si>
  <si>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</si>
  <si>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</si>
  <si>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</si>
  <si>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</si>
  <si>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</si>
  <si>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</si>
  <si>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</si>
  <si>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</si>
  <si>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</si>
  <si>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</si>
  <si>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Gourmet Food</t>
  </si>
  <si>
    <t>Address: Faisal Town</t>
  </si>
  <si>
    <t>3218709-2</t>
  </si>
  <si>
    <t xml:space="preserve">Address: Nasera Abad </t>
  </si>
  <si>
    <t>Address: Zahoor Ilaahi</t>
  </si>
  <si>
    <t xml:space="preserve">Address: Model Town C Block </t>
  </si>
  <si>
    <t>Address: Firdos Market</t>
  </si>
  <si>
    <t>Address: Model Town Link Road</t>
  </si>
  <si>
    <t xml:space="preserve">Address: Yoaana Abad </t>
  </si>
  <si>
    <t>Address: Model Town A Block</t>
  </si>
  <si>
    <t xml:space="preserve">Address: Awan Market </t>
  </si>
  <si>
    <t xml:space="preserve">Address: Ismail Nager </t>
  </si>
  <si>
    <t xml:space="preserve">Address: Kahna Now </t>
  </si>
  <si>
    <t xml:space="preserve">Address: Pak Arab </t>
  </si>
  <si>
    <t xml:space="preserve">Address: Central Park </t>
  </si>
  <si>
    <t>Gourmet</t>
  </si>
  <si>
    <t>Shop Bill Summary (Gourmet)</t>
  </si>
  <si>
    <t>Address: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</si>
</sst>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8" sqref="L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3" zoomScale="70" zoomScaleNormal="70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117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118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Gourmet Food</v>
      </c>
      <c r="U14" s="164">
        <f>+'1'!P35</f>
        <v>43795.592962199997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334"/>
      <c r="J15" s="171" t="s">
        <v>78</v>
      </c>
      <c r="K15" s="171" t="s">
        <v>79</v>
      </c>
      <c r="L15" s="174" t="s">
        <v>80</v>
      </c>
      <c r="M15" s="32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Gourmet Food</v>
      </c>
      <c r="U15" s="164">
        <f>+'2'!P35</f>
        <v>29197.061974800003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800</v>
      </c>
      <c r="I16" s="1">
        <f>(G16*D16)*F16+H16*F16</f>
        <v>41970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5665.9499999999989</v>
      </c>
      <c r="M16" s="106">
        <f>I16-K16-L16</f>
        <v>36304.050000000003</v>
      </c>
      <c r="N16" s="101">
        <f>+'1'!N16+'2'!N16+'4'!N16+'3'!N16+'5'!N16+'6'!N16+'7'!N16+'8'!N16+'9'!N16+'10'!N16</f>
        <v>4646.0789999999997</v>
      </c>
      <c r="O16" s="101">
        <f>+'1'!O16+'2'!O16+'4'!O16+'3'!O16+'5'!O16+'6'!O16+'7'!O16+'8'!O16+'9'!O16+'10'!O16</f>
        <v>152.28814499999999</v>
      </c>
      <c r="P16" s="105">
        <f t="shared" ref="P16:P24" si="0">M16+N16+O16</f>
        <v>41102.417144999999</v>
      </c>
      <c r="Q16" s="108"/>
      <c r="T16" s="163" t="str">
        <f>+'4'!A5</f>
        <v>Customer Name : Gourmet Food</v>
      </c>
      <c r="U16" s="164">
        <f>+'4'!P35</f>
        <v>14598.530987400001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800</v>
      </c>
      <c r="I17" s="1">
        <f t="shared" ref="I17:I23" si="1">(G17*D17)*F17+H17*F17</f>
        <v>41970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5665.9499999999989</v>
      </c>
      <c r="M17" s="118">
        <f t="shared" ref="M17:M23" si="2">I17-K17-L17</f>
        <v>36304.050000000003</v>
      </c>
      <c r="N17" s="101">
        <f>+'1'!N17+'2'!N17+'4'!N17+'3'!N17+'5'!N17+'6'!N17+'7'!N17+'8'!N17+'9'!N17+'10'!N17</f>
        <v>4646.0789999999997</v>
      </c>
      <c r="O17" s="101">
        <f>+'1'!O17+'2'!O17+'4'!O17+'3'!O17+'5'!O17+'6'!O17+'7'!O17+'8'!O17+'9'!O17+'10'!O17</f>
        <v>152.28814499999999</v>
      </c>
      <c r="P17" s="120">
        <f t="shared" si="0"/>
        <v>41102.417144999999</v>
      </c>
      <c r="S17" s="64"/>
      <c r="T17" s="163" t="str">
        <f>+'3'!A5</f>
        <v>Customer Name : Gourmet Food</v>
      </c>
      <c r="U17" s="164">
        <f>+'3'!P35</f>
        <v>29197.061974800003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800</v>
      </c>
      <c r="I18" s="1">
        <f t="shared" si="1"/>
        <v>41970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5665.9499999999989</v>
      </c>
      <c r="M18" s="118">
        <f t="shared" si="2"/>
        <v>36304.050000000003</v>
      </c>
      <c r="N18" s="101">
        <f>+'1'!N18+'2'!N18+'4'!N18+'3'!N18+'5'!N18+'6'!N18+'7'!N18+'8'!N18+'9'!N18+'10'!N18</f>
        <v>4646.0789999999997</v>
      </c>
      <c r="O18" s="101">
        <f>+'1'!O18+'2'!O18+'4'!O18+'3'!O18+'5'!O18+'6'!O18+'7'!O18+'8'!O18+'9'!O18+'10'!O18</f>
        <v>152.28814499999999</v>
      </c>
      <c r="P18" s="120">
        <f t="shared" si="0"/>
        <v>41102.417144999999</v>
      </c>
      <c r="T18" s="163" t="str">
        <f>+'5'!A5</f>
        <v>Customer Name : Gourmet Food</v>
      </c>
      <c r="U18" s="164">
        <f>+'5'!P35</f>
        <v>14598.530987400001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7845.1199999999981</v>
      </c>
      <c r="M19" s="118">
        <f t="shared" si="2"/>
        <v>50266.880000000005</v>
      </c>
      <c r="N19" s="101">
        <f>+'1'!N19+'2'!N19+'4'!N19+'3'!N19+'5'!N19+'6'!N19+'7'!N19+'8'!N19+'9'!N19+'10'!N19</f>
        <v>6432.9984000000013</v>
      </c>
      <c r="O19" s="101">
        <f>+'1'!O19+'2'!O19+'4'!O19+'3'!O19+'5'!O19+'6'!O19+'7'!O19+'8'!O19+'9'!O19+'10'!O19</f>
        <v>210.85939199999999</v>
      </c>
      <c r="P19" s="120">
        <f t="shared" si="0"/>
        <v>56910.737792000007</v>
      </c>
      <c r="T19" s="163" t="str">
        <f>+'6'!A5</f>
        <v>Customer Name : Gourmet Food</v>
      </c>
      <c r="U19" s="164">
        <f>+'6'!P35</f>
        <v>14598.530987400001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800</v>
      </c>
      <c r="I20" s="1">
        <f t="shared" si="1"/>
        <v>58112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7845.1199999999981</v>
      </c>
      <c r="M20" s="118">
        <f t="shared" si="2"/>
        <v>50266.880000000005</v>
      </c>
      <c r="N20" s="101">
        <f>+'1'!N20+'2'!N20+'4'!N20+'3'!N20+'5'!N20+'6'!N20+'7'!N20+'8'!N20+'9'!N20+'10'!N20</f>
        <v>6432.9984000000013</v>
      </c>
      <c r="O20" s="101">
        <f>+'1'!O20+'2'!O20+'4'!O20+'3'!O20+'5'!O20+'6'!O20+'7'!O20+'8'!O20+'9'!O20+'10'!O20</f>
        <v>210.85939199999999</v>
      </c>
      <c r="P20" s="120">
        <f t="shared" si="0"/>
        <v>56910.737792000007</v>
      </c>
      <c r="T20" s="163" t="str">
        <f>+'7'!A5</f>
        <v>Customer Name : Gourmet Food</v>
      </c>
      <c r="U20" s="164">
        <f>+'7'!P35</f>
        <v>14598.530987400001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7845.1199999999981</v>
      </c>
      <c r="M21" s="118">
        <f t="shared" si="2"/>
        <v>50266.880000000005</v>
      </c>
      <c r="N21" s="101">
        <f>+'1'!N21+'2'!N21+'4'!N21+'3'!N21+'5'!N21+'6'!N21+'7'!N21+'8'!N21+'9'!N21+'10'!N21</f>
        <v>6432.9984000000013</v>
      </c>
      <c r="O21" s="101">
        <f>+'1'!O21+'2'!O21+'4'!O21+'3'!O21+'5'!O21+'6'!O21+'7'!O21+'8'!O21+'9'!O21+'10'!O21</f>
        <v>210.85939199999999</v>
      </c>
      <c r="P21" s="120">
        <f t="shared" si="0"/>
        <v>56910.737792000007</v>
      </c>
      <c r="T21" s="163" t="str">
        <f>+'8'!A5</f>
        <v>Customer Name : Gourmet Food</v>
      </c>
      <c r="U21" s="164">
        <f>+'8'!P35</f>
        <v>14598.530987400001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Gourmet Food</v>
      </c>
      <c r="U22" s="164">
        <f>+'9'!P35</f>
        <v>29197.061974800003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Gourmet Food</v>
      </c>
      <c r="U23" s="164">
        <f>+'10'!P35</f>
        <v>14598.530987400001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Gourmet Food</v>
      </c>
      <c r="U24" s="164">
        <f>+'11'!P35</f>
        <v>29197.061974800003</v>
      </c>
    </row>
    <row r="25" spans="1:21 16384:16384" ht="26.5" thickBot="1" x14ac:dyDescent="0.65">
      <c r="A25" s="304" t="s">
        <v>84</v>
      </c>
      <c r="B25" s="305"/>
      <c r="C25" s="306">
        <f>H25/40</f>
        <v>120</v>
      </c>
      <c r="D25" s="300"/>
      <c r="E25" s="300"/>
      <c r="F25" s="300"/>
      <c r="G25" s="176">
        <f t="shared" ref="G25:M25" si="3">SUM(G16:G24)</f>
        <v>0</v>
      </c>
      <c r="H25" s="177">
        <f t="shared" si="3"/>
        <v>4800</v>
      </c>
      <c r="I25" s="178">
        <f t="shared" si="3"/>
        <v>300246</v>
      </c>
      <c r="J25" s="177">
        <f t="shared" si="3"/>
        <v>0</v>
      </c>
      <c r="K25" s="178">
        <f t="shared" si="3"/>
        <v>0</v>
      </c>
      <c r="L25" s="179">
        <f t="shared" si="3"/>
        <v>40533.209999999992</v>
      </c>
      <c r="M25" s="141">
        <f t="shared" si="3"/>
        <v>259712.79000000004</v>
      </c>
      <c r="N25" s="142">
        <f>SUM(N16:N24)</f>
        <v>33237.232200000006</v>
      </c>
      <c r="O25" s="143">
        <f>SUM(O16:O24)</f>
        <v>1089.4426109999999</v>
      </c>
      <c r="P25" s="144">
        <f>SUM(P16:P24)</f>
        <v>294039.46481100004</v>
      </c>
      <c r="T25" s="163" t="str">
        <f>+'12'!A5</f>
        <v>Customer Name : Gourmet Food</v>
      </c>
      <c r="U25" s="164">
        <f>+'12'!P35</f>
        <v>14598.530987400001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Gourmet Food</v>
      </c>
      <c r="U26" s="164">
        <f>+'13'!P35</f>
        <v>14598.530987400001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Gourmet Food</v>
      </c>
      <c r="U27" s="164">
        <f>+'14'!P35</f>
        <v>14598.530987400001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Gourmet Food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291970.61974799994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307" t="s">
        <v>85</v>
      </c>
      <c r="C32" s="308"/>
      <c r="D32" s="308"/>
      <c r="E32" s="308"/>
      <c r="F32" s="308"/>
      <c r="G32" s="308"/>
      <c r="H32" s="308"/>
      <c r="I32" s="308"/>
      <c r="J32" s="308"/>
      <c r="K32" s="308"/>
      <c r="L32" s="309"/>
      <c r="N32" s="316" t="s">
        <v>86</v>
      </c>
      <c r="O32" s="317"/>
      <c r="P32" s="152">
        <f>I25</f>
        <v>300246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N33" s="318" t="s">
        <v>87</v>
      </c>
      <c r="O33" s="319"/>
      <c r="P33" s="153">
        <f>L25</f>
        <v>40533.209999999992</v>
      </c>
    </row>
    <row r="34" spans="2:16" ht="15" customHeight="1" x14ac:dyDescent="0.35">
      <c r="B34" s="310"/>
      <c r="C34" s="311"/>
      <c r="D34" s="311"/>
      <c r="E34" s="311"/>
      <c r="F34" s="311"/>
      <c r="G34" s="311"/>
      <c r="H34" s="311"/>
      <c r="I34" s="311"/>
      <c r="J34" s="311"/>
      <c r="K34" s="311"/>
      <c r="L34" s="312"/>
      <c r="N34" s="318" t="s">
        <v>4</v>
      </c>
      <c r="O34" s="319"/>
      <c r="P34" s="154">
        <f>K25</f>
        <v>0</v>
      </c>
    </row>
    <row r="35" spans="2:16" ht="15" customHeight="1" x14ac:dyDescent="0.35">
      <c r="B35" s="310"/>
      <c r="C35" s="311"/>
      <c r="D35" s="311"/>
      <c r="E35" s="311"/>
      <c r="F35" s="311"/>
      <c r="G35" s="311"/>
      <c r="H35" s="311"/>
      <c r="I35" s="311"/>
      <c r="J35" s="311"/>
      <c r="K35" s="311"/>
      <c r="L35" s="312"/>
      <c r="M35" s="2"/>
      <c r="N35" s="318" t="s">
        <v>88</v>
      </c>
      <c r="O35" s="319"/>
      <c r="P35" s="153">
        <f>P32-P33-P34</f>
        <v>259712.79</v>
      </c>
    </row>
    <row r="36" spans="2:16" ht="15" customHeight="1" x14ac:dyDescent="0.35">
      <c r="B36" s="310"/>
      <c r="C36" s="311"/>
      <c r="D36" s="311"/>
      <c r="E36" s="311"/>
      <c r="F36" s="311"/>
      <c r="G36" s="311"/>
      <c r="H36" s="311"/>
      <c r="I36" s="311"/>
      <c r="J36" s="311"/>
      <c r="K36" s="311"/>
      <c r="L36" s="312"/>
      <c r="M36" s="2"/>
      <c r="N36" s="155" t="s">
        <v>89</v>
      </c>
      <c r="O36" s="156">
        <f>IF(B12="Registered",18%,22%)</f>
        <v>0.22</v>
      </c>
      <c r="P36" s="153">
        <f>N25</f>
        <v>33237.232200000006</v>
      </c>
    </row>
    <row r="37" spans="2:16" ht="15" customHeight="1" x14ac:dyDescent="0.35">
      <c r="B37" s="310"/>
      <c r="C37" s="311"/>
      <c r="D37" s="311"/>
      <c r="E37" s="311"/>
      <c r="F37" s="311"/>
      <c r="G37" s="311"/>
      <c r="H37" s="311"/>
      <c r="I37" s="311"/>
      <c r="J37" s="311"/>
      <c r="K37" s="311"/>
      <c r="L37" s="312"/>
      <c r="M37" s="2"/>
      <c r="N37" s="320" t="s">
        <v>90</v>
      </c>
      <c r="O37" s="321"/>
      <c r="P37" s="153">
        <f>P35+P36</f>
        <v>292950.02220000001</v>
      </c>
    </row>
    <row r="38" spans="2:16" ht="15" customHeight="1" thickBot="1" x14ac:dyDescent="0.4">
      <c r="B38" s="313"/>
      <c r="C38" s="314"/>
      <c r="D38" s="314"/>
      <c r="E38" s="314"/>
      <c r="F38" s="314"/>
      <c r="G38" s="314"/>
      <c r="H38" s="314"/>
      <c r="I38" s="314"/>
      <c r="J38" s="314"/>
      <c r="K38" s="314"/>
      <c r="L38" s="315"/>
      <c r="M38" s="157"/>
      <c r="N38" s="158" t="s">
        <v>91</v>
      </c>
      <c r="O38" s="159">
        <f>IF(B11="Filer",0.5%,2.5%)</f>
        <v>2.5000000000000001E-2</v>
      </c>
      <c r="P38" s="153">
        <f>O38*P37</f>
        <v>7323.7505550000005</v>
      </c>
    </row>
    <row r="39" spans="2:16" ht="15.75" customHeight="1" thickBot="1" x14ac:dyDescent="0.4">
      <c r="N39" s="298" t="s">
        <v>92</v>
      </c>
      <c r="O39" s="299"/>
      <c r="P39" s="160">
        <f>P37+P38</f>
        <v>300273.77275499998</v>
      </c>
    </row>
    <row r="40" spans="2:16" ht="15" thickBot="1" x14ac:dyDescent="0.4">
      <c r="B40" s="161" t="s">
        <v>93</v>
      </c>
      <c r="C40" s="300"/>
      <c r="D40" s="300"/>
      <c r="E40" s="300"/>
      <c r="F40" s="300"/>
      <c r="G40" s="300"/>
      <c r="H40" s="300"/>
      <c r="I40" s="301"/>
      <c r="J40" s="302"/>
      <c r="K40" s="303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2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8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/>
      <c r="K16" s="104">
        <f>I16*$K$13</f>
        <v>0</v>
      </c>
      <c r="L16" s="105">
        <f>I16*18%</f>
        <v>1133.19</v>
      </c>
      <c r="M16" s="106">
        <f>I16-K16-L16</f>
        <v>5162.3099999999995</v>
      </c>
      <c r="N16" s="106">
        <f t="shared" ref="N16:N24" si="0">(M16*$N$15)+(J16*F16)*$N$15</f>
        <v>929.21579999999983</v>
      </c>
      <c r="O16" s="107">
        <f t="shared" ref="O16:O24" si="1">(N16+M16)*$O$15</f>
        <v>30.457628999999997</v>
      </c>
      <c r="P16" s="105">
        <f t="shared" ref="P16:P24" si="2">M16+N16+O16</f>
        <v>6121.9834289999999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3">(G17*D17)*F17+H17*F17</f>
        <v>6295.5</v>
      </c>
      <c r="J17" s="117"/>
      <c r="K17" s="1">
        <f t="shared" ref="K17:K21" si="4">I17*$K$13</f>
        <v>0</v>
      </c>
      <c r="L17" s="105">
        <f t="shared" ref="L17:L21" si="5">I17*18%</f>
        <v>1133.19</v>
      </c>
      <c r="M17" s="118">
        <f t="shared" ref="M17:M23" si="6">I17-K17-L17</f>
        <v>5162.3099999999995</v>
      </c>
      <c r="N17" s="118">
        <f t="shared" si="0"/>
        <v>929.21579999999983</v>
      </c>
      <c r="O17" s="119">
        <f t="shared" si="1"/>
        <v>30.457628999999997</v>
      </c>
      <c r="P17" s="120">
        <f t="shared" si="2"/>
        <v>6121.9834289999999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3"/>
        <v>6295.5</v>
      </c>
      <c r="J18" s="117"/>
      <c r="K18" s="1">
        <f t="shared" si="4"/>
        <v>0</v>
      </c>
      <c r="L18" s="105">
        <f t="shared" si="5"/>
        <v>1133.19</v>
      </c>
      <c r="M18" s="118">
        <f t="shared" si="6"/>
        <v>5162.3099999999995</v>
      </c>
      <c r="N18" s="118">
        <f t="shared" si="0"/>
        <v>929.21579999999983</v>
      </c>
      <c r="O18" s="119">
        <f t="shared" si="1"/>
        <v>30.457628999999997</v>
      </c>
      <c r="P18" s="120">
        <f t="shared" si="2"/>
        <v>6121.9834289999999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3"/>
        <v>8716.7999999999993</v>
      </c>
      <c r="J19" s="117"/>
      <c r="K19" s="1">
        <f t="shared" si="4"/>
        <v>0</v>
      </c>
      <c r="L19" s="105">
        <f t="shared" si="5"/>
        <v>1569.0239999999999</v>
      </c>
      <c r="M19" s="118">
        <f t="shared" si="6"/>
        <v>7147.7759999999998</v>
      </c>
      <c r="N19" s="118">
        <f t="shared" si="0"/>
        <v>1286.59968</v>
      </c>
      <c r="O19" s="119">
        <f t="shared" si="1"/>
        <v>42.171878399999997</v>
      </c>
      <c r="P19" s="120">
        <f t="shared" si="2"/>
        <v>8476.5475583999996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3"/>
        <v>8716.7999999999993</v>
      </c>
      <c r="J20" s="117"/>
      <c r="K20" s="1">
        <f t="shared" si="4"/>
        <v>0</v>
      </c>
      <c r="L20" s="105">
        <f t="shared" si="5"/>
        <v>1569.0239999999999</v>
      </c>
      <c r="M20" s="118">
        <f t="shared" si="6"/>
        <v>7147.7759999999998</v>
      </c>
      <c r="N20" s="118">
        <f t="shared" si="0"/>
        <v>1286.59968</v>
      </c>
      <c r="O20" s="119">
        <f t="shared" si="1"/>
        <v>42.171878399999997</v>
      </c>
      <c r="P20" s="120">
        <f t="shared" si="2"/>
        <v>8476.5475583999996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3"/>
        <v>8716.7999999999993</v>
      </c>
      <c r="J21" s="117"/>
      <c r="K21" s="1">
        <f t="shared" si="4"/>
        <v>0</v>
      </c>
      <c r="L21" s="105">
        <f t="shared" si="5"/>
        <v>1569.0239999999999</v>
      </c>
      <c r="M21" s="118">
        <f t="shared" si="6"/>
        <v>7147.7759999999998</v>
      </c>
      <c r="N21" s="118">
        <f t="shared" si="0"/>
        <v>1286.59968</v>
      </c>
      <c r="O21" s="119">
        <f t="shared" si="1"/>
        <v>42.171878399999997</v>
      </c>
      <c r="P21" s="120">
        <f t="shared" si="2"/>
        <v>8476.5475583999996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138"/>
      <c r="K25" s="139">
        <f t="shared" si="9"/>
        <v>0</v>
      </c>
      <c r="L25" s="140">
        <f t="shared" si="9"/>
        <v>8106.6419999999998</v>
      </c>
      <c r="M25" s="141">
        <f t="shared" si="9"/>
        <v>36930.257999999994</v>
      </c>
      <c r="N25" s="142">
        <f>SUM(N16:N24)</f>
        <v>6647.4464399999997</v>
      </c>
      <c r="O25" s="143">
        <f>SUM(O16:O24)</f>
        <v>217.88852219999998</v>
      </c>
      <c r="P25" s="144">
        <f>SUM(P16:P24)</f>
        <v>43795.592962200004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45036.899999999994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8106.6419999999998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36930.257999999994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6647.4464399999997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43577.704439999994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217.88852219999998</v>
      </c>
    </row>
    <row r="35" spans="2:16" ht="15.75" customHeight="1" thickBot="1" x14ac:dyDescent="0.4">
      <c r="N35" s="298" t="s">
        <v>92</v>
      </c>
      <c r="O35" s="299"/>
      <c r="P35" s="160">
        <f>P33+P34</f>
        <v>43795.592962199997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8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I16*18%</f>
        <v>755.45999999999992</v>
      </c>
      <c r="M16" s="106">
        <f>I16-K16-L16</f>
        <v>3441.54</v>
      </c>
      <c r="N16" s="106">
        <f t="shared" ref="N16:N24" si="0">(M16*$N$15)+(J16*F16)*$N$15</f>
        <v>619.47719999999993</v>
      </c>
      <c r="O16" s="107">
        <f>(N16+M16)*$O$15</f>
        <v>20.305085999999999</v>
      </c>
      <c r="P16" s="105">
        <f t="shared" ref="P16:P24" si="1">M16+N16+O16</f>
        <v>4081.3222859999996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I17*18%</f>
        <v>755.45999999999992</v>
      </c>
      <c r="M17" s="118">
        <f t="shared" ref="M17:M23" si="5">I17-K17-L17</f>
        <v>3441.54</v>
      </c>
      <c r="N17" s="118">
        <f t="shared" si="0"/>
        <v>619.47719999999993</v>
      </c>
      <c r="O17" s="119">
        <f t="shared" ref="O17:O24" si="6">(N17+M17)*$O$15</f>
        <v>20.305085999999999</v>
      </c>
      <c r="P17" s="120">
        <f t="shared" si="1"/>
        <v>4081.3222859999996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755.45999999999992</v>
      </c>
      <c r="M18" s="118">
        <f t="shared" si="5"/>
        <v>3441.54</v>
      </c>
      <c r="N18" s="118">
        <f t="shared" si="0"/>
        <v>619.47719999999993</v>
      </c>
      <c r="O18" s="119">
        <f t="shared" si="6"/>
        <v>20.305085999999999</v>
      </c>
      <c r="P18" s="120">
        <f t="shared" si="1"/>
        <v>4081.3222859999996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1046.0159999999998</v>
      </c>
      <c r="M19" s="118">
        <f t="shared" si="5"/>
        <v>4765.1840000000002</v>
      </c>
      <c r="N19" s="118">
        <f t="shared" si="0"/>
        <v>857.73311999999999</v>
      </c>
      <c r="O19" s="119">
        <f t="shared" si="6"/>
        <v>28.114585600000002</v>
      </c>
      <c r="P19" s="120">
        <f t="shared" si="1"/>
        <v>5651.0317056000004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1046.0159999999998</v>
      </c>
      <c r="M20" s="118">
        <f t="shared" si="5"/>
        <v>4765.1840000000002</v>
      </c>
      <c r="N20" s="118">
        <f t="shared" si="0"/>
        <v>857.73311999999999</v>
      </c>
      <c r="O20" s="119">
        <f t="shared" si="6"/>
        <v>28.114585600000002</v>
      </c>
      <c r="P20" s="120">
        <f t="shared" si="1"/>
        <v>5651.0317056000004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1046.0159999999998</v>
      </c>
      <c r="M21" s="118">
        <f t="shared" si="5"/>
        <v>4765.1840000000002</v>
      </c>
      <c r="N21" s="118">
        <f t="shared" si="0"/>
        <v>857.73311999999999</v>
      </c>
      <c r="O21" s="119">
        <f t="shared" si="6"/>
        <v>28.114585600000002</v>
      </c>
      <c r="P21" s="120">
        <f t="shared" si="1"/>
        <v>5651.0317056000004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24620.172000000002</v>
      </c>
      <c r="N25" s="142">
        <f>SUM(N16:N24)</f>
        <v>4431.6309599999995</v>
      </c>
      <c r="O25" s="143">
        <f>SUM(O16:O24)</f>
        <v>145.25901479999999</v>
      </c>
      <c r="P25" s="144">
        <f>SUM(P16:P24)</f>
        <v>29197.061974799995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60">
        <f>P33+P34</f>
        <v>29197.061974800003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9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I16*18%</f>
        <v>755.45999999999992</v>
      </c>
      <c r="M16" s="106">
        <f>I16-K16-L16</f>
        <v>3441.54</v>
      </c>
      <c r="N16" s="106">
        <f t="shared" ref="N16:N24" si="0">(M16*$N$15)+(J16*F16)*$N$15</f>
        <v>619.47719999999993</v>
      </c>
      <c r="O16" s="107">
        <f>(N16+M16)*$O$15</f>
        <v>20.305085999999999</v>
      </c>
      <c r="P16" s="105">
        <f t="shared" ref="P16:P24" si="1">M16+N16+O16</f>
        <v>4081.3222859999996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I17*18%</f>
        <v>755.45999999999992</v>
      </c>
      <c r="M17" s="118">
        <f t="shared" ref="M17:M23" si="5">I17-K17-L17</f>
        <v>3441.54</v>
      </c>
      <c r="N17" s="118">
        <f t="shared" si="0"/>
        <v>619.47719999999993</v>
      </c>
      <c r="O17" s="119">
        <f t="shared" ref="O17:O24" si="6">(N17+M17)*$O$15</f>
        <v>20.305085999999999</v>
      </c>
      <c r="P17" s="120">
        <f t="shared" si="1"/>
        <v>4081.3222859999996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755.45999999999992</v>
      </c>
      <c r="M18" s="118">
        <f t="shared" si="5"/>
        <v>3441.54</v>
      </c>
      <c r="N18" s="118">
        <f t="shared" si="0"/>
        <v>619.47719999999993</v>
      </c>
      <c r="O18" s="119">
        <f t="shared" si="6"/>
        <v>20.305085999999999</v>
      </c>
      <c r="P18" s="120">
        <f t="shared" si="1"/>
        <v>4081.3222859999996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1046.0159999999998</v>
      </c>
      <c r="M19" s="118">
        <f t="shared" si="5"/>
        <v>4765.1840000000002</v>
      </c>
      <c r="N19" s="118">
        <f t="shared" si="0"/>
        <v>857.73311999999999</v>
      </c>
      <c r="O19" s="119">
        <f t="shared" si="6"/>
        <v>28.114585600000002</v>
      </c>
      <c r="P19" s="120">
        <f t="shared" si="1"/>
        <v>5651.0317056000004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1046.0159999999998</v>
      </c>
      <c r="M20" s="118">
        <f t="shared" si="5"/>
        <v>4765.1840000000002</v>
      </c>
      <c r="N20" s="118">
        <f t="shared" si="0"/>
        <v>857.73311999999999</v>
      </c>
      <c r="O20" s="119">
        <f t="shared" si="6"/>
        <v>28.114585600000002</v>
      </c>
      <c r="P20" s="120">
        <f t="shared" si="1"/>
        <v>5651.0317056000004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1046.0159999999998</v>
      </c>
      <c r="M21" s="118">
        <f t="shared" si="5"/>
        <v>4765.1840000000002</v>
      </c>
      <c r="N21" s="118">
        <f t="shared" si="0"/>
        <v>857.73311999999999</v>
      </c>
      <c r="O21" s="119">
        <f t="shared" si="6"/>
        <v>28.114585600000002</v>
      </c>
      <c r="P21" s="120">
        <f t="shared" si="1"/>
        <v>5651.0317056000004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24620.172000000002</v>
      </c>
      <c r="N25" s="142">
        <f>SUM(N16:N24)</f>
        <v>4431.6309599999995</v>
      </c>
      <c r="O25" s="143">
        <f>SUM(O16:O24)</f>
        <v>145.25901479999999</v>
      </c>
      <c r="P25" s="144">
        <f>SUM(P16:P24)</f>
        <v>29197.061974799995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60">
        <f>P33+P34</f>
        <v>29197.061974800003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107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9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109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9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111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6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7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I16*18%</f>
        <v>755.45999999999992</v>
      </c>
      <c r="M16" s="106">
        <f>I16-K16-L16</f>
        <v>3441.54</v>
      </c>
      <c r="N16" s="106">
        <f t="shared" ref="N16:N24" si="0">(M16*$N$15)+(J16*F16)*$N$15</f>
        <v>619.47719999999993</v>
      </c>
      <c r="O16" s="107">
        <f>(N16+M16)*$O$15</f>
        <v>20.305085999999999</v>
      </c>
      <c r="P16" s="105">
        <f t="shared" ref="P16:P24" si="1">M16+N16+O16</f>
        <v>4081.3222859999996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I17*18%</f>
        <v>755.45999999999992</v>
      </c>
      <c r="M17" s="118">
        <f t="shared" ref="M17:M23" si="5">I17-K17-L17</f>
        <v>3441.54</v>
      </c>
      <c r="N17" s="118">
        <f t="shared" si="0"/>
        <v>619.47719999999993</v>
      </c>
      <c r="O17" s="119">
        <f t="shared" ref="O17:O24" si="6">(N17+M17)*$O$15</f>
        <v>20.305085999999999</v>
      </c>
      <c r="P17" s="120">
        <f t="shared" si="1"/>
        <v>4081.3222859999996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755.45999999999992</v>
      </c>
      <c r="M18" s="118">
        <f t="shared" si="5"/>
        <v>3441.54</v>
      </c>
      <c r="N18" s="118">
        <f t="shared" si="0"/>
        <v>619.47719999999993</v>
      </c>
      <c r="O18" s="119">
        <f t="shared" si="6"/>
        <v>20.305085999999999</v>
      </c>
      <c r="P18" s="120">
        <f t="shared" si="1"/>
        <v>4081.3222859999996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1046.0159999999998</v>
      </c>
      <c r="M19" s="118">
        <f t="shared" si="5"/>
        <v>4765.1840000000002</v>
      </c>
      <c r="N19" s="118">
        <f t="shared" si="0"/>
        <v>857.73311999999999</v>
      </c>
      <c r="O19" s="119">
        <f t="shared" si="6"/>
        <v>28.114585600000002</v>
      </c>
      <c r="P19" s="120">
        <f t="shared" si="1"/>
        <v>5651.0317056000004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1046.0159999999998</v>
      </c>
      <c r="M20" s="118">
        <f t="shared" si="5"/>
        <v>4765.1840000000002</v>
      </c>
      <c r="N20" s="118">
        <f t="shared" si="0"/>
        <v>857.73311999999999</v>
      </c>
      <c r="O20" s="119">
        <f t="shared" si="6"/>
        <v>28.114585600000002</v>
      </c>
      <c r="P20" s="120">
        <f t="shared" si="1"/>
        <v>5651.0317056000004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1046.0159999999998</v>
      </c>
      <c r="M21" s="118">
        <f t="shared" si="5"/>
        <v>4765.1840000000002</v>
      </c>
      <c r="N21" s="118">
        <f t="shared" si="0"/>
        <v>857.73311999999999</v>
      </c>
      <c r="O21" s="119">
        <f t="shared" si="6"/>
        <v>28.114585600000002</v>
      </c>
      <c r="P21" s="120">
        <f t="shared" si="1"/>
        <v>5651.0317056000004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24620.172000000002</v>
      </c>
      <c r="N25" s="142">
        <f>SUM(N16:N24)</f>
        <v>4431.6309599999995</v>
      </c>
      <c r="O25" s="143">
        <f>SUM(O16:O24)</f>
        <v>145.25901479999999</v>
      </c>
      <c r="P25" s="144">
        <f>SUM(P16:P24)</f>
        <v>29197.061974799995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60">
        <f>P33+P34</f>
        <v>29197.061974800003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C1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113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I16*18%</f>
        <v>755.45999999999992</v>
      </c>
      <c r="M16" s="106">
        <f>I16-K16-L16</f>
        <v>3441.54</v>
      </c>
      <c r="N16" s="106">
        <f t="shared" ref="N16:N24" si="0">(M16*$N$15)+(J16*F16)*$N$15</f>
        <v>619.47719999999993</v>
      </c>
      <c r="O16" s="107">
        <f>(N16+M16)*$O$15</f>
        <v>20.305085999999999</v>
      </c>
      <c r="P16" s="105">
        <f t="shared" ref="P16:P24" si="1">M16+N16+O16</f>
        <v>4081.3222859999996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I17*18%</f>
        <v>755.45999999999992</v>
      </c>
      <c r="M17" s="118">
        <f t="shared" ref="M17:M23" si="5">I17-K17-L17</f>
        <v>3441.54</v>
      </c>
      <c r="N17" s="118">
        <f t="shared" si="0"/>
        <v>619.47719999999993</v>
      </c>
      <c r="O17" s="119">
        <f t="shared" ref="O17:O24" si="6">(N17+M17)*$O$15</f>
        <v>20.305085999999999</v>
      </c>
      <c r="P17" s="120">
        <f t="shared" si="1"/>
        <v>4081.3222859999996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755.45999999999992</v>
      </c>
      <c r="M18" s="118">
        <f t="shared" si="5"/>
        <v>3441.54</v>
      </c>
      <c r="N18" s="118">
        <f t="shared" si="0"/>
        <v>619.47719999999993</v>
      </c>
      <c r="O18" s="119">
        <f t="shared" si="6"/>
        <v>20.305085999999999</v>
      </c>
      <c r="P18" s="120">
        <f t="shared" si="1"/>
        <v>4081.3222859999996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1046.0159999999998</v>
      </c>
      <c r="M19" s="118">
        <f t="shared" si="5"/>
        <v>4765.1840000000002</v>
      </c>
      <c r="N19" s="118">
        <f t="shared" si="0"/>
        <v>857.73311999999999</v>
      </c>
      <c r="O19" s="119">
        <f t="shared" si="6"/>
        <v>28.114585600000002</v>
      </c>
      <c r="P19" s="120">
        <f t="shared" si="1"/>
        <v>5651.0317056000004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1046.0159999999998</v>
      </c>
      <c r="M20" s="118">
        <f t="shared" si="5"/>
        <v>4765.1840000000002</v>
      </c>
      <c r="N20" s="118">
        <f t="shared" si="0"/>
        <v>857.73311999999999</v>
      </c>
      <c r="O20" s="119">
        <f t="shared" si="6"/>
        <v>28.114585600000002</v>
      </c>
      <c r="P20" s="120">
        <f t="shared" si="1"/>
        <v>5651.0317056000004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1046.0159999999998</v>
      </c>
      <c r="M21" s="118">
        <f t="shared" si="5"/>
        <v>4765.1840000000002</v>
      </c>
      <c r="N21" s="118">
        <f t="shared" si="0"/>
        <v>857.73311999999999</v>
      </c>
      <c r="O21" s="119">
        <f t="shared" si="6"/>
        <v>28.114585600000002</v>
      </c>
      <c r="P21" s="120">
        <f t="shared" si="1"/>
        <v>5651.0317056000004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24620.172000000002</v>
      </c>
      <c r="N25" s="142">
        <f>SUM(N16:N24)</f>
        <v>4431.6309599999995</v>
      </c>
      <c r="O25" s="143">
        <f>SUM(O16:O24)</f>
        <v>145.25901479999999</v>
      </c>
      <c r="P25" s="144">
        <f>SUM(P16:P24)</f>
        <v>29197.061974799995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60">
        <f>P33+P34</f>
        <v>29197.061974800003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B1" zoomScale="106" zoomScaleNormal="106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115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4"/>
      <c r="O1" s="183"/>
      <c r="P1" s="183"/>
      <c r="Q1" s="183"/>
    </row>
    <row r="2" spans="1:19 16383:16384" x14ac:dyDescent="0.35">
      <c r="A2" s="348" t="s">
        <v>45</v>
      </c>
      <c r="B2" s="348"/>
      <c r="C2" s="348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83"/>
      <c r="P2" s="183"/>
      <c r="Q2" s="183"/>
    </row>
    <row r="3" spans="1:19 16383:16384" ht="15" customHeight="1" x14ac:dyDescent="0.35">
      <c r="A3" s="349" t="s">
        <v>46</v>
      </c>
      <c r="B3" s="349"/>
      <c r="C3" s="349"/>
      <c r="D3" s="183"/>
      <c r="E3" s="183"/>
      <c r="F3" s="185"/>
      <c r="G3" s="186"/>
      <c r="H3" s="183"/>
      <c r="I3" s="183"/>
      <c r="J3" s="183"/>
      <c r="K3" s="350" t="s">
        <v>47</v>
      </c>
      <c r="L3" s="350"/>
      <c r="M3" s="350"/>
      <c r="N3" s="349">
        <v>1013</v>
      </c>
      <c r="O3" s="349"/>
      <c r="P3" s="349"/>
      <c r="Q3" s="18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3"/>
      <c r="E4" s="183"/>
      <c r="F4" s="185"/>
      <c r="G4" s="186"/>
      <c r="H4" s="183"/>
      <c r="I4" s="183"/>
      <c r="J4" s="183"/>
      <c r="K4" s="350" t="s">
        <v>49</v>
      </c>
      <c r="L4" s="350"/>
      <c r="M4" s="350"/>
      <c r="N4" s="351">
        <f ca="1">TODAY()</f>
        <v>46188</v>
      </c>
      <c r="O4" s="351"/>
      <c r="P4" s="351"/>
      <c r="Q4" s="18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102</v>
      </c>
      <c r="B5" s="352"/>
      <c r="C5" s="352"/>
      <c r="D5" s="183"/>
      <c r="E5" s="183"/>
      <c r="F5" s="185"/>
      <c r="G5" s="186"/>
      <c r="H5" s="183"/>
      <c r="I5" s="183"/>
      <c r="J5" s="183"/>
      <c r="K5" s="350" t="s">
        <v>51</v>
      </c>
      <c r="L5" s="350"/>
      <c r="M5" s="350"/>
      <c r="N5" s="351">
        <f ca="1">N4-1</f>
        <v>46187</v>
      </c>
      <c r="O5" s="349"/>
      <c r="P5" s="349"/>
      <c r="Q5" s="183"/>
      <c r="R5" s="70"/>
      <c r="S5" s="71"/>
    </row>
    <row r="6" spans="1:19 16383:16384" ht="15" customHeight="1" x14ac:dyDescent="0.35">
      <c r="A6" s="350" t="s">
        <v>119</v>
      </c>
      <c r="B6" s="350"/>
      <c r="C6" s="350"/>
      <c r="D6" s="183"/>
      <c r="E6" s="183"/>
      <c r="F6" s="185"/>
      <c r="G6" s="187"/>
      <c r="H6" s="183"/>
      <c r="I6" s="183"/>
      <c r="J6" s="183"/>
      <c r="K6" s="350" t="s">
        <v>52</v>
      </c>
      <c r="L6" s="350"/>
      <c r="M6" s="350"/>
      <c r="N6" s="353" t="s">
        <v>101</v>
      </c>
      <c r="O6" s="353"/>
      <c r="P6" s="353"/>
      <c r="Q6" s="18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8"/>
      <c r="E7" s="188"/>
      <c r="F7" s="185"/>
      <c r="G7" s="187"/>
      <c r="H7" s="188"/>
      <c r="I7" s="188"/>
      <c r="J7" s="188"/>
      <c r="K7" s="350"/>
      <c r="L7" s="350"/>
      <c r="M7" s="350"/>
      <c r="N7" s="353"/>
      <c r="O7" s="353"/>
      <c r="P7" s="353"/>
      <c r="Q7" s="18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3"/>
      <c r="E8" s="183"/>
      <c r="F8" s="185"/>
      <c r="G8" s="187"/>
      <c r="H8" s="183"/>
      <c r="I8" s="183"/>
      <c r="J8" s="183"/>
      <c r="K8" s="350"/>
      <c r="L8" s="350"/>
      <c r="M8" s="350"/>
      <c r="N8" s="353"/>
      <c r="O8" s="353"/>
      <c r="P8" s="353"/>
      <c r="Q8" s="183"/>
      <c r="R8" s="70"/>
      <c r="S8" s="74"/>
    </row>
    <row r="9" spans="1:19 16383:16384" x14ac:dyDescent="0.35">
      <c r="A9" s="354"/>
      <c r="B9" s="354"/>
      <c r="C9" s="354"/>
      <c r="D9" s="183"/>
      <c r="E9" s="183"/>
      <c r="F9" s="185"/>
      <c r="G9" s="187"/>
      <c r="H9" s="183"/>
      <c r="I9" s="183"/>
      <c r="J9" s="183"/>
      <c r="K9" s="350"/>
      <c r="L9" s="350"/>
      <c r="M9" s="350"/>
      <c r="N9" s="353"/>
      <c r="O9" s="353"/>
      <c r="P9" s="353"/>
      <c r="Q9" s="183"/>
      <c r="R9" s="70"/>
      <c r="S9" s="74"/>
      <c r="XFD9" t="s">
        <v>55</v>
      </c>
    </row>
    <row r="10" spans="1:19 16383:16384" x14ac:dyDescent="0.35">
      <c r="A10" s="355" t="s">
        <v>95</v>
      </c>
      <c r="B10" s="190" t="s">
        <v>104</v>
      </c>
      <c r="C10" s="190"/>
      <c r="D10" s="183"/>
      <c r="E10" s="183"/>
      <c r="F10" s="185"/>
      <c r="G10" s="186"/>
      <c r="H10" s="183"/>
      <c r="I10" s="183"/>
      <c r="J10" s="183"/>
      <c r="K10" s="350" t="s">
        <v>56</v>
      </c>
      <c r="L10" s="350"/>
      <c r="M10" s="350"/>
      <c r="N10" s="349" t="s">
        <v>57</v>
      </c>
      <c r="O10" s="349"/>
      <c r="P10" s="349"/>
      <c r="Q10" s="183"/>
      <c r="R10" s="70"/>
      <c r="S10" s="71"/>
      <c r="XFD10" t="s">
        <v>58</v>
      </c>
    </row>
    <row r="11" spans="1:19 16383:16384" x14ac:dyDescent="0.35">
      <c r="A11" s="355"/>
      <c r="B11" s="191" t="s">
        <v>48</v>
      </c>
      <c r="C11" s="189" t="str">
        <f>IF($O34&gt;2.49%,"No","Yes")</f>
        <v>Yes</v>
      </c>
      <c r="D11" s="183"/>
      <c r="E11" s="183"/>
      <c r="F11" s="185"/>
      <c r="G11" s="186"/>
      <c r="H11" s="183"/>
      <c r="I11" s="183"/>
      <c r="J11" s="183"/>
      <c r="K11" s="350" t="s">
        <v>59</v>
      </c>
      <c r="L11" s="350"/>
      <c r="M11" s="350"/>
      <c r="N11" s="349" t="s">
        <v>55</v>
      </c>
      <c r="O11" s="349"/>
      <c r="P11" s="349"/>
      <c r="Q11" s="183"/>
      <c r="R11" s="70"/>
      <c r="S11" s="71"/>
    </row>
    <row r="12" spans="1:19 16383:16384" ht="14.65" customHeight="1" x14ac:dyDescent="0.35">
      <c r="A12" s="355" t="s">
        <v>60</v>
      </c>
      <c r="B12" s="191" t="s">
        <v>53</v>
      </c>
      <c r="C12" s="189" t="str">
        <f>IF($O32&gt;21.99%,"No","Yes")</f>
        <v>Yes</v>
      </c>
      <c r="D12" s="183"/>
      <c r="E12" s="183"/>
      <c r="F12" s="185"/>
      <c r="G12" s="186"/>
      <c r="H12" s="183"/>
      <c r="I12" s="183"/>
      <c r="J12" s="183"/>
      <c r="K12" s="350" t="s">
        <v>61</v>
      </c>
      <c r="L12" s="350"/>
      <c r="M12" s="350"/>
      <c r="N12" s="349"/>
      <c r="O12" s="349"/>
      <c r="P12" s="349"/>
      <c r="Q12" s="183"/>
      <c r="R12" s="70"/>
      <c r="S12" s="71"/>
      <c r="XFD12" t="s">
        <v>62</v>
      </c>
    </row>
    <row r="13" spans="1:19 16383:16384" ht="15" thickBot="1" x14ac:dyDescent="0.4">
      <c r="A13" s="356"/>
      <c r="B13" s="192">
        <v>3277876231301</v>
      </c>
      <c r="C13" s="183"/>
      <c r="D13" s="183"/>
      <c r="E13" s="183"/>
      <c r="F13" s="183"/>
      <c r="G13" s="183"/>
      <c r="H13" s="183"/>
      <c r="I13" s="183"/>
      <c r="J13" s="193"/>
      <c r="K13" s="193"/>
      <c r="L13" s="194">
        <v>0.05</v>
      </c>
      <c r="M13" s="183"/>
      <c r="N13" s="184"/>
      <c r="O13" s="183"/>
      <c r="P13" s="183"/>
      <c r="Q13" s="183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5" t="s">
        <v>2</v>
      </c>
      <c r="E14" s="196" t="s">
        <v>66</v>
      </c>
      <c r="F14" s="197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9" t="s">
        <v>72</v>
      </c>
      <c r="O14" s="200" t="s">
        <v>73</v>
      </c>
      <c r="P14" s="201" t="s">
        <v>74</v>
      </c>
      <c r="Q14" s="183"/>
      <c r="XFD14" t="s">
        <v>75</v>
      </c>
    </row>
    <row r="15" spans="1:19 16383:16384" ht="25.5" thickBot="1" x14ac:dyDescent="0.4">
      <c r="A15" s="359"/>
      <c r="B15" s="360"/>
      <c r="C15" s="362"/>
      <c r="D15" s="202" t="s">
        <v>76</v>
      </c>
      <c r="E15" s="202" t="s">
        <v>3</v>
      </c>
      <c r="F15" s="203" t="s">
        <v>3</v>
      </c>
      <c r="G15" s="204" t="s">
        <v>2</v>
      </c>
      <c r="H15" s="205" t="s">
        <v>77</v>
      </c>
      <c r="I15" s="366"/>
      <c r="J15" s="204" t="s">
        <v>78</v>
      </c>
      <c r="K15" s="206" t="s">
        <v>79</v>
      </c>
      <c r="L15" s="207" t="s">
        <v>80</v>
      </c>
      <c r="M15" s="366"/>
      <c r="N15" s="208">
        <f>IF(B12="Registered",18%,22%)</f>
        <v>0.18</v>
      </c>
      <c r="O15" s="209">
        <f>IF(B11="Filer",0.5%,2.5%)</f>
        <v>5.0000000000000001E-3</v>
      </c>
      <c r="P15" s="210" t="s">
        <v>1</v>
      </c>
      <c r="Q15" s="183"/>
      <c r="XFD15" t="s">
        <v>81</v>
      </c>
    </row>
    <row r="16" spans="1:19 16383:16384" x14ac:dyDescent="0.35">
      <c r="A16" s="211" t="s">
        <v>27</v>
      </c>
      <c r="B16" s="212" t="str">
        <f>VLOOKUP($A16,'[1]Cust. Price List'!$D$6:$O$14,2,0)</f>
        <v xml:space="preserve">Meat Masala </v>
      </c>
      <c r="C16" s="213">
        <f>VLOOKUP(A16,'[1]Cust. Price List'!D6:M14,3,0)</f>
        <v>70</v>
      </c>
      <c r="D16" s="214">
        <f>VLOOKUP(A16,'[1]Cust. Price List'!D6:M14,4,0)</f>
        <v>40</v>
      </c>
      <c r="E16" s="214">
        <f>VLOOKUP(A16,'[1]Cust. Price List'!D6:M14,6,0)</f>
        <v>65</v>
      </c>
      <c r="F16" s="215">
        <f>VLOOKUP(A16,'[1]Cust. Price List'!D6:M14,10,0)</f>
        <v>52.462499999999999</v>
      </c>
      <c r="G16" s="216"/>
      <c r="H16" s="217">
        <v>40</v>
      </c>
      <c r="I16" s="218">
        <f>(G16*D16)*F16+H16*F16</f>
        <v>2098.5</v>
      </c>
      <c r="J16" s="219"/>
      <c r="K16" s="220">
        <f>I16*$K$13</f>
        <v>0</v>
      </c>
      <c r="L16" s="221">
        <f>I16*18%</f>
        <v>377.72999999999996</v>
      </c>
      <c r="M16" s="222">
        <f>I16-K16-L16</f>
        <v>1720.77</v>
      </c>
      <c r="N16" s="222">
        <f t="shared" ref="N16:N24" si="0">(M16*$N$15)+(J16*F16)*$N$15</f>
        <v>309.73859999999996</v>
      </c>
      <c r="O16" s="223">
        <f>(N16+M16)*$O$15</f>
        <v>10.152543</v>
      </c>
      <c r="P16" s="221">
        <f t="shared" ref="P16:P24" si="1">M16+N16+O16</f>
        <v>2040.6611429999998</v>
      </c>
      <c r="Q16" s="224"/>
      <c r="XFD16" t="s">
        <v>82</v>
      </c>
    </row>
    <row r="17" spans="1:19 16384:16384" x14ac:dyDescent="0.35">
      <c r="A17" s="225" t="s">
        <v>25</v>
      </c>
      <c r="B17" s="226" t="str">
        <f>VLOOKUP($A17,'[1]Cust. Price List'!$D$6:$O$14,2,0)</f>
        <v>Lemon Tarka</v>
      </c>
      <c r="C17" s="227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8">
        <f>VLOOKUP(A17,'[1]Cust. Price List'!D7:M15,10,0)</f>
        <v>52.462499999999999</v>
      </c>
      <c r="G17" s="229"/>
      <c r="H17" s="217">
        <v>40</v>
      </c>
      <c r="I17" s="230">
        <f t="shared" ref="I17:I23" si="2">(G17*D17)*F17+H17*F17</f>
        <v>2098.5</v>
      </c>
      <c r="J17" s="231"/>
      <c r="K17" s="232">
        <f t="shared" ref="K17:K21" si="3">I17*$K$13</f>
        <v>0</v>
      </c>
      <c r="L17" s="221">
        <f t="shared" ref="L17:L21" si="4">I17*18%</f>
        <v>377.72999999999996</v>
      </c>
      <c r="M17" s="233">
        <f t="shared" ref="M17:M23" si="5">I17-K17-L17</f>
        <v>1720.77</v>
      </c>
      <c r="N17" s="233">
        <f t="shared" si="0"/>
        <v>309.73859999999996</v>
      </c>
      <c r="O17" s="234">
        <f t="shared" ref="O17:O24" si="6">(N17+M17)*$O$15</f>
        <v>10.152543</v>
      </c>
      <c r="P17" s="235">
        <f t="shared" si="1"/>
        <v>2040.6611429999998</v>
      </c>
      <c r="Q17" s="183"/>
      <c r="S17" s="64"/>
      <c r="XFD17" t="s">
        <v>83</v>
      </c>
    </row>
    <row r="18" spans="1:19 16384:16384" x14ac:dyDescent="0.35">
      <c r="A18" s="225" t="s">
        <v>23</v>
      </c>
      <c r="B18" s="226" t="str">
        <f>VLOOKUP($A18,'[1]Cust. Price List'!$D$6:$O$14,2,0)</f>
        <v>Chicken Chatkhara</v>
      </c>
      <c r="C18" s="227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8">
        <f>VLOOKUP(A18,'[1]Cust. Price List'!D8:M16,10,0)</f>
        <v>52.462499999999999</v>
      </c>
      <c r="G18" s="229"/>
      <c r="H18" s="217">
        <v>40</v>
      </c>
      <c r="I18" s="230">
        <f t="shared" si="2"/>
        <v>2098.5</v>
      </c>
      <c r="J18" s="231"/>
      <c r="K18" s="232">
        <f t="shared" si="3"/>
        <v>0</v>
      </c>
      <c r="L18" s="221">
        <f t="shared" si="4"/>
        <v>377.72999999999996</v>
      </c>
      <c r="M18" s="233">
        <f t="shared" si="5"/>
        <v>1720.77</v>
      </c>
      <c r="N18" s="233">
        <f t="shared" si="0"/>
        <v>309.73859999999996</v>
      </c>
      <c r="O18" s="234">
        <f t="shared" si="6"/>
        <v>10.152543</v>
      </c>
      <c r="P18" s="235">
        <f t="shared" si="1"/>
        <v>2040.6611429999998</v>
      </c>
      <c r="Q18" s="183"/>
    </row>
    <row r="19" spans="1:19 16384:16384" x14ac:dyDescent="0.35">
      <c r="A19" s="225" t="s">
        <v>33</v>
      </c>
      <c r="B19" s="226" t="str">
        <f>VLOOKUP($A19,'[1]Cust. Price List'!$D$6:$O$14,2,0)</f>
        <v>Meat Masala (Jumbo)</v>
      </c>
      <c r="C19" s="227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8">
        <f>VLOOKUP(A19,'[1]Cust. Price List'!D9:M17,10,0)</f>
        <v>72.64</v>
      </c>
      <c r="G19" s="229"/>
      <c r="H19" s="217">
        <v>40</v>
      </c>
      <c r="I19" s="230">
        <f t="shared" si="2"/>
        <v>2905.6</v>
      </c>
      <c r="J19" s="231"/>
      <c r="K19" s="232">
        <f t="shared" si="3"/>
        <v>0</v>
      </c>
      <c r="L19" s="221">
        <f t="shared" si="4"/>
        <v>523.00799999999992</v>
      </c>
      <c r="M19" s="233">
        <f t="shared" si="5"/>
        <v>2382.5920000000001</v>
      </c>
      <c r="N19" s="233">
        <f t="shared" si="0"/>
        <v>428.86655999999999</v>
      </c>
      <c r="O19" s="234">
        <f t="shared" si="6"/>
        <v>14.057292800000001</v>
      </c>
      <c r="P19" s="235">
        <f t="shared" si="1"/>
        <v>2825.5158528000002</v>
      </c>
      <c r="Q19" s="183"/>
    </row>
    <row r="20" spans="1:19 16384:16384" x14ac:dyDescent="0.35">
      <c r="A20" s="225" t="s">
        <v>31</v>
      </c>
      <c r="B20" s="226" t="str">
        <f>VLOOKUP($A20,'[1]Cust. Price List'!$D$6:$O$14,2,0)</f>
        <v>Lemon Tarka (Jumbo)</v>
      </c>
      <c r="C20" s="227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8">
        <f>VLOOKUP(A20,'[1]Cust. Price List'!D10:M18,10,0)</f>
        <v>72.64</v>
      </c>
      <c r="G20" s="229"/>
      <c r="H20" s="217">
        <v>40</v>
      </c>
      <c r="I20" s="230">
        <f t="shared" si="2"/>
        <v>2905.6</v>
      </c>
      <c r="J20" s="231"/>
      <c r="K20" s="232">
        <f t="shared" si="3"/>
        <v>0</v>
      </c>
      <c r="L20" s="221">
        <f t="shared" si="4"/>
        <v>523.00799999999992</v>
      </c>
      <c r="M20" s="233">
        <f t="shared" si="5"/>
        <v>2382.5920000000001</v>
      </c>
      <c r="N20" s="233">
        <f t="shared" si="0"/>
        <v>428.86655999999999</v>
      </c>
      <c r="O20" s="234">
        <f t="shared" si="6"/>
        <v>14.057292800000001</v>
      </c>
      <c r="P20" s="235">
        <f t="shared" si="1"/>
        <v>2825.5158528000002</v>
      </c>
      <c r="Q20" s="183"/>
    </row>
    <row r="21" spans="1:19 16384:16384" x14ac:dyDescent="0.35">
      <c r="A21" s="225" t="s">
        <v>29</v>
      </c>
      <c r="B21" s="226" t="str">
        <f>VLOOKUP($A21,'[1]Cust. Price List'!$D$6:$O$14,2,0)</f>
        <v>Chicken Chatkhara (Jumbo)</v>
      </c>
      <c r="C21" s="227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8">
        <f>VLOOKUP(A21,'[1]Cust. Price List'!D11:M19,10,0)</f>
        <v>72.64</v>
      </c>
      <c r="G21" s="229"/>
      <c r="H21" s="217">
        <v>40</v>
      </c>
      <c r="I21" s="230">
        <f t="shared" si="2"/>
        <v>2905.6</v>
      </c>
      <c r="J21" s="231"/>
      <c r="K21" s="232">
        <f t="shared" si="3"/>
        <v>0</v>
      </c>
      <c r="L21" s="221">
        <f t="shared" si="4"/>
        <v>523.00799999999992</v>
      </c>
      <c r="M21" s="233">
        <f t="shared" si="5"/>
        <v>2382.5920000000001</v>
      </c>
      <c r="N21" s="233">
        <f t="shared" si="0"/>
        <v>428.86655999999999</v>
      </c>
      <c r="O21" s="234">
        <f t="shared" si="6"/>
        <v>14.057292800000001</v>
      </c>
      <c r="P21" s="235">
        <f t="shared" si="1"/>
        <v>2825.5158528000002</v>
      </c>
      <c r="Q21" s="183"/>
    </row>
    <row r="22" spans="1:19 16384:16384" x14ac:dyDescent="0.35">
      <c r="A22" s="225" t="s">
        <v>35</v>
      </c>
      <c r="B22" s="226" t="str">
        <f>VLOOKUP($A22,'[1]Cust. Price List'!$D$6:$O$14,2,0)</f>
        <v>Chicken Chatkhara  (ECO)</v>
      </c>
      <c r="C22" s="227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6">
        <f>VLOOKUP(A22,'[1]Cust. Price List'!D12:M20,10,0)</f>
        <v>39.230000000000004</v>
      </c>
      <c r="G22" s="229"/>
      <c r="H22" s="237"/>
      <c r="I22" s="230">
        <f t="shared" si="2"/>
        <v>0</v>
      </c>
      <c r="J22" s="231"/>
      <c r="K22" s="232">
        <f>I22*3.5%</f>
        <v>0</v>
      </c>
      <c r="L22" s="235">
        <f>I22*5%</f>
        <v>0</v>
      </c>
      <c r="M22" s="233">
        <f t="shared" si="5"/>
        <v>0</v>
      </c>
      <c r="N22" s="233">
        <f t="shared" si="0"/>
        <v>0</v>
      </c>
      <c r="O22" s="234">
        <f t="shared" si="6"/>
        <v>0</v>
      </c>
      <c r="P22" s="235">
        <f t="shared" si="1"/>
        <v>0</v>
      </c>
      <c r="Q22" s="183"/>
    </row>
    <row r="23" spans="1:19 16384:16384" x14ac:dyDescent="0.35">
      <c r="A23" s="225" t="s">
        <v>37</v>
      </c>
      <c r="B23" s="226" t="str">
        <f>VLOOKUP($A23,'[1]Cust. Price List'!$D$6:$O$14,2,0)</f>
        <v>Lemon Tarka (ECO)</v>
      </c>
      <c r="C23" s="227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8">
        <f>VLOOKUP(A23,'[1]Cust. Price List'!D13:M21,10,0)</f>
        <v>39.230000000000004</v>
      </c>
      <c r="G23" s="229"/>
      <c r="H23" s="237"/>
      <c r="I23" s="230">
        <f t="shared" si="2"/>
        <v>0</v>
      </c>
      <c r="J23" s="231"/>
      <c r="K23" s="232">
        <f t="shared" ref="K23:K24" si="7">I23*3.5%</f>
        <v>0</v>
      </c>
      <c r="L23" s="235">
        <f t="shared" ref="L23:L24" si="8">I23*$L$13</f>
        <v>0</v>
      </c>
      <c r="M23" s="233">
        <f t="shared" si="5"/>
        <v>0</v>
      </c>
      <c r="N23" s="233">
        <f t="shared" si="0"/>
        <v>0</v>
      </c>
      <c r="O23" s="234">
        <f t="shared" si="6"/>
        <v>0</v>
      </c>
      <c r="P23" s="235">
        <f t="shared" si="1"/>
        <v>0</v>
      </c>
      <c r="Q23" s="183"/>
    </row>
    <row r="24" spans="1:19 16384:16384" ht="15" thickBot="1" x14ac:dyDescent="0.4">
      <c r="A24" s="238" t="s">
        <v>39</v>
      </c>
      <c r="B24" s="239" t="str">
        <f>VLOOKUP($A24,'[1]Cust. Price List'!$D$6:$O$14,2,0)</f>
        <v>Meat Masala (ECO)</v>
      </c>
      <c r="C24" s="240">
        <f>VLOOKUP(B24,'[1]Cust. Price List'!E14:P22,2,0)</f>
        <v>60</v>
      </c>
      <c r="D24" s="241">
        <f>VLOOKUP(A24,'[1]Cust. Price List'!D14:M22,4,0)</f>
        <v>40</v>
      </c>
      <c r="E24" s="241">
        <f>VLOOKUP(A24,'[1]Cust. Price List'!D14:M22,6,0)</f>
        <v>50</v>
      </c>
      <c r="F24" s="242">
        <f>VLOOKUP(A24,'[1]Cust. Price List'!D14:M22,10,0)</f>
        <v>39.230000000000004</v>
      </c>
      <c r="G24" s="243"/>
      <c r="H24" s="244"/>
      <c r="I24" s="245">
        <f>(G24*D24)*F24+H24*F24</f>
        <v>0</v>
      </c>
      <c r="J24" s="246"/>
      <c r="K24" s="247">
        <f t="shared" si="7"/>
        <v>0</v>
      </c>
      <c r="L24" s="248">
        <f t="shared" si="8"/>
        <v>0</v>
      </c>
      <c r="M24" s="249">
        <f>I24-K24-L24</f>
        <v>0</v>
      </c>
      <c r="N24" s="249">
        <f t="shared" si="0"/>
        <v>0</v>
      </c>
      <c r="O24" s="250">
        <f t="shared" si="6"/>
        <v>0</v>
      </c>
      <c r="P24" s="248">
        <f t="shared" si="1"/>
        <v>0</v>
      </c>
      <c r="Q24" s="183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51">
        <f t="shared" ref="G25:M25" si="9">SUM(G16:G24)</f>
        <v>0</v>
      </c>
      <c r="H25" s="252">
        <f t="shared" si="9"/>
        <v>240</v>
      </c>
      <c r="I25" s="253">
        <f t="shared" si="9"/>
        <v>15012.300000000001</v>
      </c>
      <c r="J25" s="254"/>
      <c r="K25" s="255">
        <f t="shared" si="9"/>
        <v>0</v>
      </c>
      <c r="L25" s="256">
        <f t="shared" si="9"/>
        <v>2702.2139999999995</v>
      </c>
      <c r="M25" s="257">
        <f t="shared" si="9"/>
        <v>12310.086000000001</v>
      </c>
      <c r="N25" s="258">
        <f>SUM(N16:N24)</f>
        <v>2215.8154799999998</v>
      </c>
      <c r="O25" s="259">
        <f>SUM(O16:O24)</f>
        <v>72.629507399999994</v>
      </c>
      <c r="P25" s="260">
        <f>SUM(P16:P24)</f>
        <v>14598.530987399998</v>
      </c>
      <c r="Q25" s="183"/>
    </row>
    <row r="26" spans="1:19 16384:16384" x14ac:dyDescent="0.35">
      <c r="A26" s="261"/>
      <c r="B26" s="261"/>
      <c r="C26" s="261"/>
      <c r="D26" s="261"/>
      <c r="E26" s="261"/>
      <c r="F26" s="261"/>
      <c r="G26" s="262"/>
      <c r="H26" s="262"/>
      <c r="I26" s="263"/>
      <c r="J26" s="183"/>
      <c r="K26" s="264"/>
      <c r="L26" s="264"/>
      <c r="M26" s="264"/>
      <c r="N26" s="264"/>
      <c r="O26" s="265"/>
      <c r="P26" s="264"/>
      <c r="Q26" s="183"/>
    </row>
    <row r="27" spans="1:19 16384:16384" ht="15" thickBot="1" x14ac:dyDescent="0.4">
      <c r="A27" s="184"/>
      <c r="B27" s="184"/>
      <c r="C27" s="266"/>
      <c r="D27" s="266"/>
      <c r="E27" s="266"/>
      <c r="F27" s="266"/>
      <c r="G27" s="267"/>
      <c r="H27" s="267"/>
      <c r="I27" s="183"/>
      <c r="J27" s="183"/>
      <c r="K27" s="183"/>
      <c r="L27" s="183"/>
      <c r="M27" s="183"/>
      <c r="N27" s="184"/>
      <c r="O27" s="183"/>
      <c r="P27" s="183"/>
      <c r="Q27" s="183"/>
    </row>
    <row r="28" spans="1:19 16384:16384" x14ac:dyDescent="0.35">
      <c r="A28" s="183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3"/>
      <c r="N28" s="387" t="s">
        <v>86</v>
      </c>
      <c r="O28" s="388"/>
      <c r="P28" s="268">
        <f>I25</f>
        <v>15012.300000000001</v>
      </c>
      <c r="Q28" s="183"/>
    </row>
    <row r="29" spans="1:19 16384:16384" ht="15" customHeight="1" x14ac:dyDescent="0.35">
      <c r="A29" s="183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3"/>
      <c r="N29" s="389" t="s">
        <v>87</v>
      </c>
      <c r="O29" s="390"/>
      <c r="P29" s="270">
        <f>L25</f>
        <v>2702.2139999999995</v>
      </c>
      <c r="Q29" s="183"/>
    </row>
    <row r="30" spans="1:19 16384:16384" ht="15" customHeight="1" x14ac:dyDescent="0.35">
      <c r="A30" s="183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3"/>
      <c r="N30" s="389" t="s">
        <v>4</v>
      </c>
      <c r="O30" s="390"/>
      <c r="P30" s="271">
        <f>K25</f>
        <v>0</v>
      </c>
      <c r="Q30" s="183"/>
    </row>
    <row r="31" spans="1:19 16384:16384" ht="15" customHeight="1" x14ac:dyDescent="0.35">
      <c r="A31" s="183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2"/>
      <c r="N31" s="389" t="s">
        <v>88</v>
      </c>
      <c r="O31" s="390"/>
      <c r="P31" s="270">
        <f>P28-P29-P30</f>
        <v>12310.086000000001</v>
      </c>
      <c r="Q31" s="183"/>
    </row>
    <row r="32" spans="1:19 16384:16384" ht="15" customHeight="1" x14ac:dyDescent="0.35">
      <c r="A32" s="183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2"/>
      <c r="N32" s="269" t="s">
        <v>89</v>
      </c>
      <c r="O32" s="273">
        <f>IF(B12="Registered",18%,22%)</f>
        <v>0.18</v>
      </c>
      <c r="P32" s="270">
        <f>N25</f>
        <v>2215.8154799999998</v>
      </c>
      <c r="Q32" s="183"/>
    </row>
    <row r="33" spans="1:17" ht="15" customHeight="1" x14ac:dyDescent="0.35">
      <c r="A33" s="183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2"/>
      <c r="N33" s="391" t="s">
        <v>90</v>
      </c>
      <c r="O33" s="392"/>
      <c r="P33" s="270">
        <f>P31+P32</f>
        <v>14525.90148</v>
      </c>
      <c r="Q33" s="183"/>
    </row>
    <row r="34" spans="1:17" ht="15" customHeight="1" thickBot="1" x14ac:dyDescent="0.4">
      <c r="A34" s="183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5"/>
      <c r="N34" s="274" t="s">
        <v>91</v>
      </c>
      <c r="O34" s="276">
        <f>IF(B11="Filer",0.5%,2.5%)</f>
        <v>5.0000000000000001E-3</v>
      </c>
      <c r="P34" s="270">
        <f>O34*P33</f>
        <v>72.629507400000008</v>
      </c>
      <c r="Q34" s="183"/>
    </row>
    <row r="35" spans="1:17" ht="15.75" customHeight="1" thickBot="1" x14ac:dyDescent="0.4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368" t="s">
        <v>92</v>
      </c>
      <c r="O35" s="369"/>
      <c r="P35" s="277">
        <f>P33+P34</f>
        <v>14598.530987400001</v>
      </c>
      <c r="Q35" s="183"/>
    </row>
    <row r="36" spans="1:17" ht="15" thickBot="1" x14ac:dyDescent="0.4">
      <c r="A36" s="183"/>
      <c r="B36" s="198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3"/>
      <c r="M36" s="183"/>
      <c r="N36" s="184"/>
      <c r="O36" s="183"/>
      <c r="P36" s="183"/>
      <c r="Q36" s="183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0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I16*18%</f>
        <v>377.72999999999996</v>
      </c>
      <c r="M16" s="106">
        <f>I16-K16-L16</f>
        <v>1720.77</v>
      </c>
      <c r="N16" s="106">
        <f t="shared" ref="N16:N24" si="0">(M16*$N$15)+(J16*F16)*$N$15</f>
        <v>309.73859999999996</v>
      </c>
      <c r="O16" s="107">
        <f>(N16+M16)*$O$15</f>
        <v>10.152543</v>
      </c>
      <c r="P16" s="105">
        <f t="shared" ref="P16:P24" si="1">M16+N16+O16</f>
        <v>2040.6611429999998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I17*18%</f>
        <v>377.72999999999996</v>
      </c>
      <c r="M17" s="118">
        <f t="shared" ref="M17:M23" si="5">I17-K17-L17</f>
        <v>1720.77</v>
      </c>
      <c r="N17" s="118">
        <f t="shared" si="0"/>
        <v>309.73859999999996</v>
      </c>
      <c r="O17" s="119">
        <f t="shared" ref="O17:O24" si="6">(N17+M17)*$O$15</f>
        <v>10.152543</v>
      </c>
      <c r="P17" s="120">
        <f t="shared" si="1"/>
        <v>2040.6611429999998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377.72999999999996</v>
      </c>
      <c r="M18" s="118">
        <f t="shared" si="5"/>
        <v>1720.77</v>
      </c>
      <c r="N18" s="118">
        <f t="shared" si="0"/>
        <v>309.73859999999996</v>
      </c>
      <c r="O18" s="119">
        <f t="shared" si="6"/>
        <v>10.152543</v>
      </c>
      <c r="P18" s="120">
        <f t="shared" si="1"/>
        <v>2040.6611429999998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523.00799999999992</v>
      </c>
      <c r="M19" s="118">
        <f t="shared" si="5"/>
        <v>2382.5920000000001</v>
      </c>
      <c r="N19" s="118">
        <f t="shared" si="0"/>
        <v>428.86655999999999</v>
      </c>
      <c r="O19" s="119">
        <f t="shared" si="6"/>
        <v>14.057292800000001</v>
      </c>
      <c r="P19" s="120">
        <f t="shared" si="1"/>
        <v>2825.5158528000002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523.00799999999992</v>
      </c>
      <c r="M20" s="118">
        <f t="shared" si="5"/>
        <v>2382.5920000000001</v>
      </c>
      <c r="N20" s="118">
        <f t="shared" si="0"/>
        <v>428.86655999999999</v>
      </c>
      <c r="O20" s="119">
        <f t="shared" si="6"/>
        <v>14.057292800000001</v>
      </c>
      <c r="P20" s="120">
        <f t="shared" si="1"/>
        <v>2825.5158528000002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523.00799999999992</v>
      </c>
      <c r="M21" s="118">
        <f t="shared" si="5"/>
        <v>2382.5920000000001</v>
      </c>
      <c r="N21" s="118">
        <f t="shared" si="0"/>
        <v>428.86655999999999</v>
      </c>
      <c r="O21" s="119">
        <f t="shared" si="6"/>
        <v>14.057292800000001</v>
      </c>
      <c r="P21" s="120">
        <f t="shared" si="1"/>
        <v>2825.5158528000002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2702.2139999999995</v>
      </c>
      <c r="M25" s="141">
        <f t="shared" si="9"/>
        <v>12310.086000000001</v>
      </c>
      <c r="N25" s="142">
        <f>SUM(N16:N24)</f>
        <v>2215.8154799999998</v>
      </c>
      <c r="O25" s="143">
        <f>SUM(O16:O24)</f>
        <v>72.629507399999994</v>
      </c>
      <c r="P25" s="144">
        <f>SUM(P16:P24)</f>
        <v>14598.530987399998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0.18</v>
      </c>
      <c r="P32" s="153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5.0000000000000001E-3</v>
      </c>
      <c r="P34" s="153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60">
        <f>P33+P34</f>
        <v>14598.530987400001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41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80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97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97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97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97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46188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46187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97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104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50</v>
      </c>
      <c r="C11" s="77" t="str">
        <f>IF($O34&gt;2.49%,"No","Yes")</f>
        <v>No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91" t="s">
        <v>80</v>
      </c>
      <c r="M15" s="3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I16*18%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2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3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4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3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3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98" t="s">
        <v>92</v>
      </c>
      <c r="O35" s="299"/>
      <c r="P35" s="160">
        <f>P33+P34</f>
        <v>0</v>
      </c>
    </row>
    <row r="36" spans="2:16" ht="15" thickBot="1" x14ac:dyDescent="0.4">
      <c r="B36" s="161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2026-06-15T09:56:17Z</dcterms:modified>
</cp:coreProperties>
</file>