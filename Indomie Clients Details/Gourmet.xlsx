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1763829-DBE2-4229-BB0B-98167B2910AB}" xr6:coauthVersionLast="47" xr6:coauthVersionMax="47" xr10:uidLastSave="{00000000-0000-0000-0000-000000000000}"/>
  <bookViews>
    <workbookView xWindow="-110" yWindow="-110" windowWidth="19420" windowHeight="10420" tabRatio="949" firstSheet="1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U40" i="15"/>
  <c r="U39" i="15"/>
  <c r="U38" i="15"/>
  <c r="U37" i="15"/>
  <c r="U35" i="15"/>
  <c r="O34" i="36"/>
  <c r="O32" i="36"/>
  <c r="H25" i="36"/>
  <c r="G25" i="36"/>
  <c r="F24" i="36"/>
  <c r="E24" i="36"/>
  <c r="D24" i="36"/>
  <c r="I24" i="36" s="1"/>
  <c r="B24" i="36"/>
  <c r="C24" i="36" s="1"/>
  <c r="F23" i="36"/>
  <c r="E23" i="36"/>
  <c r="D23" i="36"/>
  <c r="I23" i="36" s="1"/>
  <c r="B23" i="36"/>
  <c r="C23" i="36" s="1"/>
  <c r="F22" i="36"/>
  <c r="E22" i="36"/>
  <c r="D22" i="36"/>
  <c r="I22" i="36" s="1"/>
  <c r="B22" i="36"/>
  <c r="C22" i="36" s="1"/>
  <c r="F21" i="36"/>
  <c r="E21" i="36"/>
  <c r="D21" i="36"/>
  <c r="I21" i="36" s="1"/>
  <c r="B21" i="36"/>
  <c r="C21" i="36" s="1"/>
  <c r="F20" i="36"/>
  <c r="E20" i="36"/>
  <c r="D20" i="36"/>
  <c r="I20" i="36" s="1"/>
  <c r="B20" i="36"/>
  <c r="C20" i="36" s="1"/>
  <c r="F19" i="36"/>
  <c r="E19" i="36"/>
  <c r="D19" i="36"/>
  <c r="I19" i="36" s="1"/>
  <c r="B19" i="36"/>
  <c r="C19" i="36" s="1"/>
  <c r="F18" i="36"/>
  <c r="E18" i="36"/>
  <c r="D18" i="36"/>
  <c r="I18" i="36" s="1"/>
  <c r="B18" i="36"/>
  <c r="C18" i="36" s="1"/>
  <c r="F17" i="36"/>
  <c r="E17" i="36"/>
  <c r="D17" i="36"/>
  <c r="I17" i="36" s="1"/>
  <c r="B17" i="36"/>
  <c r="C17" i="36" s="1"/>
  <c r="F16" i="36"/>
  <c r="E16" i="36"/>
  <c r="D16" i="36"/>
  <c r="I16" i="36" s="1"/>
  <c r="C16" i="36"/>
  <c r="B16" i="36"/>
  <c r="O15" i="36"/>
  <c r="N15" i="36"/>
  <c r="C12" i="36"/>
  <c r="C11" i="36"/>
  <c r="N4" i="36"/>
  <c r="N5" i="36" s="1"/>
  <c r="U31" i="15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I24" i="41" s="1"/>
  <c r="B24" i="41"/>
  <c r="C24" i="41" s="1"/>
  <c r="F23" i="41"/>
  <c r="E23" i="41"/>
  <c r="D23" i="41"/>
  <c r="I23" i="41" s="1"/>
  <c r="B23" i="41"/>
  <c r="C23" i="41" s="1"/>
  <c r="F22" i="41"/>
  <c r="E22" i="41"/>
  <c r="D22" i="41"/>
  <c r="I22" i="41" s="1"/>
  <c r="B22" i="41"/>
  <c r="C22" i="41" s="1"/>
  <c r="F21" i="41"/>
  <c r="E21" i="41"/>
  <c r="D21" i="41"/>
  <c r="I21" i="41" s="1"/>
  <c r="B21" i="41"/>
  <c r="C21" i="41" s="1"/>
  <c r="F20" i="41"/>
  <c r="E20" i="41"/>
  <c r="D20" i="41"/>
  <c r="I20" i="41" s="1"/>
  <c r="B20" i="41"/>
  <c r="C20" i="41" s="1"/>
  <c r="F19" i="41"/>
  <c r="E19" i="41"/>
  <c r="D19" i="41"/>
  <c r="I19" i="41" s="1"/>
  <c r="B19" i="41"/>
  <c r="C19" i="41" s="1"/>
  <c r="F18" i="41"/>
  <c r="E18" i="41"/>
  <c r="D18" i="41"/>
  <c r="I18" i="41" s="1"/>
  <c r="B18" i="41"/>
  <c r="C18" i="41" s="1"/>
  <c r="F17" i="41"/>
  <c r="E17" i="41"/>
  <c r="D17" i="41"/>
  <c r="I17" i="41" s="1"/>
  <c r="B17" i="41"/>
  <c r="C17" i="41" s="1"/>
  <c r="F16" i="41"/>
  <c r="E16" i="41"/>
  <c r="D16" i="41"/>
  <c r="I16" i="41" s="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I24" i="40" s="1"/>
  <c r="E24" i="40"/>
  <c r="D24" i="40"/>
  <c r="B24" i="40"/>
  <c r="C24" i="40" s="1"/>
  <c r="F23" i="40"/>
  <c r="I23" i="40" s="1"/>
  <c r="E23" i="40"/>
  <c r="D23" i="40"/>
  <c r="B23" i="40"/>
  <c r="C23" i="40" s="1"/>
  <c r="F22" i="40"/>
  <c r="I22" i="40" s="1"/>
  <c r="E22" i="40"/>
  <c r="D22" i="40"/>
  <c r="B22" i="40"/>
  <c r="C22" i="40" s="1"/>
  <c r="F21" i="40"/>
  <c r="I21" i="40" s="1"/>
  <c r="E21" i="40"/>
  <c r="D21" i="40"/>
  <c r="B21" i="40"/>
  <c r="C21" i="40" s="1"/>
  <c r="F20" i="40"/>
  <c r="I20" i="40" s="1"/>
  <c r="E20" i="40"/>
  <c r="D20" i="40"/>
  <c r="B20" i="40"/>
  <c r="C20" i="40" s="1"/>
  <c r="F19" i="40"/>
  <c r="I19" i="40" s="1"/>
  <c r="E19" i="40"/>
  <c r="D19" i="40"/>
  <c r="B19" i="40"/>
  <c r="C19" i="40" s="1"/>
  <c r="F18" i="40"/>
  <c r="I18" i="40" s="1"/>
  <c r="E18" i="40"/>
  <c r="D18" i="40"/>
  <c r="B18" i="40"/>
  <c r="C18" i="40" s="1"/>
  <c r="F17" i="40"/>
  <c r="I17" i="40" s="1"/>
  <c r="E17" i="40"/>
  <c r="D17" i="40"/>
  <c r="B17" i="40"/>
  <c r="C17" i="40" s="1"/>
  <c r="F16" i="40"/>
  <c r="I16" i="40" s="1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I24" i="39" s="1"/>
  <c r="C24" i="39"/>
  <c r="B24" i="39"/>
  <c r="F23" i="39"/>
  <c r="E23" i="39"/>
  <c r="D23" i="39"/>
  <c r="I23" i="39" s="1"/>
  <c r="C23" i="39"/>
  <c r="B23" i="39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I24" i="38" s="1"/>
  <c r="B24" i="38"/>
  <c r="C24" i="38" s="1"/>
  <c r="F23" i="38"/>
  <c r="E23" i="38"/>
  <c r="D23" i="38"/>
  <c r="I23" i="38" s="1"/>
  <c r="B23" i="38"/>
  <c r="C23" i="38" s="1"/>
  <c r="F22" i="38"/>
  <c r="E22" i="38"/>
  <c r="D22" i="38"/>
  <c r="I22" i="38" s="1"/>
  <c r="B22" i="38"/>
  <c r="C22" i="38" s="1"/>
  <c r="F21" i="38"/>
  <c r="E21" i="38"/>
  <c r="D21" i="38"/>
  <c r="I21" i="38" s="1"/>
  <c r="B21" i="38"/>
  <c r="C21" i="38" s="1"/>
  <c r="F20" i="38"/>
  <c r="E20" i="38"/>
  <c r="D20" i="38"/>
  <c r="I20" i="38" s="1"/>
  <c r="B20" i="38"/>
  <c r="C20" i="38" s="1"/>
  <c r="F19" i="38"/>
  <c r="E19" i="38"/>
  <c r="D19" i="38"/>
  <c r="I19" i="38" s="1"/>
  <c r="B19" i="38"/>
  <c r="C19" i="38" s="1"/>
  <c r="F18" i="38"/>
  <c r="E18" i="38"/>
  <c r="D18" i="38"/>
  <c r="I18" i="38" s="1"/>
  <c r="B18" i="38"/>
  <c r="C18" i="38" s="1"/>
  <c r="F17" i="38"/>
  <c r="E17" i="38"/>
  <c r="D17" i="38"/>
  <c r="I17" i="38" s="1"/>
  <c r="B17" i="38"/>
  <c r="C17" i="38" s="1"/>
  <c r="F16" i="38"/>
  <c r="E16" i="38"/>
  <c r="D16" i="38"/>
  <c r="I16" i="38" s="1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K18" i="36" l="1"/>
  <c r="L18" i="36"/>
  <c r="K19" i="36"/>
  <c r="L19" i="36"/>
  <c r="K22" i="36"/>
  <c r="L22" i="36"/>
  <c r="M22" i="36"/>
  <c r="I25" i="36"/>
  <c r="P28" i="36" s="1"/>
  <c r="K16" i="36"/>
  <c r="L16" i="36"/>
  <c r="M16" i="36"/>
  <c r="K21" i="36"/>
  <c r="M21" i="36" s="1"/>
  <c r="L21" i="36"/>
  <c r="K24" i="36"/>
  <c r="M24" i="36" s="1"/>
  <c r="L24" i="36"/>
  <c r="K17" i="36"/>
  <c r="M17" i="36" s="1"/>
  <c r="L17" i="36"/>
  <c r="K20" i="36"/>
  <c r="L20" i="36"/>
  <c r="K23" i="36"/>
  <c r="M23" i="36" s="1"/>
  <c r="L23" i="36"/>
  <c r="I25" i="42"/>
  <c r="P28" i="42" s="1"/>
  <c r="K16" i="42"/>
  <c r="L16" i="42"/>
  <c r="M16" i="42"/>
  <c r="K18" i="42"/>
  <c r="M18" i="42" s="1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M19" i="42" s="1"/>
  <c r="L19" i="42"/>
  <c r="K21" i="42"/>
  <c r="L21" i="42"/>
  <c r="M21" i="42" s="1"/>
  <c r="K24" i="42"/>
  <c r="L24" i="42"/>
  <c r="M24" i="42" s="1"/>
  <c r="I25" i="41"/>
  <c r="P28" i="41" s="1"/>
  <c r="K16" i="41"/>
  <c r="M16" i="41" s="1"/>
  <c r="L16" i="41"/>
  <c r="K17" i="41"/>
  <c r="M17" i="41" s="1"/>
  <c r="L17" i="41"/>
  <c r="K18" i="41"/>
  <c r="M18" i="41" s="1"/>
  <c r="L18" i="41"/>
  <c r="K19" i="41"/>
  <c r="L19" i="41"/>
  <c r="M19" i="41" s="1"/>
  <c r="K20" i="41"/>
  <c r="L20" i="41"/>
  <c r="M20" i="41"/>
  <c r="K21" i="41"/>
  <c r="M21" i="41"/>
  <c r="L21" i="41"/>
  <c r="K22" i="41"/>
  <c r="M22" i="41" s="1"/>
  <c r="L22" i="41"/>
  <c r="K23" i="41"/>
  <c r="M23" i="41"/>
  <c r="L23" i="41"/>
  <c r="K24" i="41"/>
  <c r="M24" i="41" s="1"/>
  <c r="L24" i="41"/>
  <c r="I25" i="40"/>
  <c r="P28" i="40" s="1"/>
  <c r="K16" i="40"/>
  <c r="M16" i="40"/>
  <c r="L16" i="40"/>
  <c r="K17" i="40"/>
  <c r="L17" i="40"/>
  <c r="K18" i="40"/>
  <c r="M18" i="40" s="1"/>
  <c r="L18" i="40"/>
  <c r="K19" i="40"/>
  <c r="M19" i="40" s="1"/>
  <c r="L19" i="40"/>
  <c r="K20" i="40"/>
  <c r="L20" i="40"/>
  <c r="M20" i="40" s="1"/>
  <c r="K21" i="40"/>
  <c r="M21" i="40" s="1"/>
  <c r="L21" i="40"/>
  <c r="K22" i="40"/>
  <c r="M22" i="40"/>
  <c r="L22" i="40"/>
  <c r="K23" i="40"/>
  <c r="M23" i="40" s="1"/>
  <c r="L23" i="40"/>
  <c r="K24" i="40"/>
  <c r="M24" i="40"/>
  <c r="L24" i="40"/>
  <c r="K23" i="39"/>
  <c r="M23" i="39" s="1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M18" i="39" s="1"/>
  <c r="L18" i="39"/>
  <c r="K19" i="39"/>
  <c r="M19" i="39" s="1"/>
  <c r="L19" i="39"/>
  <c r="K20" i="39"/>
  <c r="L20" i="39"/>
  <c r="M20" i="39" s="1"/>
  <c r="K21" i="39"/>
  <c r="L21" i="39"/>
  <c r="M21" i="39"/>
  <c r="K22" i="39"/>
  <c r="M22" i="39" s="1"/>
  <c r="L22" i="39"/>
  <c r="K17" i="38"/>
  <c r="L17" i="38"/>
  <c r="M17" i="38" s="1"/>
  <c r="K20" i="38"/>
  <c r="L20" i="38"/>
  <c r="K22" i="38"/>
  <c r="M22" i="38" s="1"/>
  <c r="L22" i="38"/>
  <c r="K23" i="38"/>
  <c r="L23" i="38"/>
  <c r="M23" i="38"/>
  <c r="I25" i="38"/>
  <c r="P28" i="38" s="1"/>
  <c r="K16" i="38"/>
  <c r="L16" i="38"/>
  <c r="K18" i="38"/>
  <c r="L18" i="38"/>
  <c r="M18" i="38" s="1"/>
  <c r="K19" i="38"/>
  <c r="L19" i="38"/>
  <c r="K21" i="38"/>
  <c r="L21" i="38"/>
  <c r="K24" i="38"/>
  <c r="L24" i="38"/>
  <c r="M24" i="38"/>
  <c r="I25" i="37"/>
  <c r="P28" i="37" s="1"/>
  <c r="K16" i="37"/>
  <c r="L16" i="37"/>
  <c r="K17" i="37"/>
  <c r="L17" i="37"/>
  <c r="K20" i="37"/>
  <c r="M20" i="37" s="1"/>
  <c r="L20" i="37"/>
  <c r="K22" i="37"/>
  <c r="L22" i="37"/>
  <c r="K24" i="37"/>
  <c r="M24" i="37" s="1"/>
  <c r="L24" i="37"/>
  <c r="K19" i="37"/>
  <c r="L19" i="37"/>
  <c r="K23" i="37"/>
  <c r="M23" i="37" s="1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M19" i="38" l="1"/>
  <c r="N19" i="38" s="1"/>
  <c r="O19" i="38" s="1"/>
  <c r="M20" i="38"/>
  <c r="M19" i="36"/>
  <c r="N19" i="36" s="1"/>
  <c r="O19" i="36" s="1"/>
  <c r="M20" i="36"/>
  <c r="N20" i="36" s="1"/>
  <c r="M18" i="36"/>
  <c r="N24" i="36"/>
  <c r="O24" i="36" s="1"/>
  <c r="P24" i="36"/>
  <c r="N23" i="36"/>
  <c r="O23" i="36" s="1"/>
  <c r="P23" i="36"/>
  <c r="N18" i="36"/>
  <c r="O18" i="36" s="1"/>
  <c r="N17" i="36"/>
  <c r="O17" i="36" s="1"/>
  <c r="P17" i="36"/>
  <c r="M25" i="36"/>
  <c r="N16" i="36"/>
  <c r="K25" i="36"/>
  <c r="P30" i="36" s="1"/>
  <c r="N22" i="36"/>
  <c r="O22" i="36" s="1"/>
  <c r="P22" i="36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N18" i="42"/>
  <c r="O18" i="42" s="1"/>
  <c r="L25" i="42"/>
  <c r="P29" i="42" s="1"/>
  <c r="N21" i="42"/>
  <c r="O21" i="42" s="1"/>
  <c r="N23" i="42"/>
  <c r="O23" i="42" s="1"/>
  <c r="P23" i="42"/>
  <c r="K25" i="42"/>
  <c r="P30" i="42" s="1"/>
  <c r="N22" i="41"/>
  <c r="O22" i="41" s="1"/>
  <c r="N17" i="41"/>
  <c r="O17" i="41" s="1"/>
  <c r="N18" i="41"/>
  <c r="O18" i="41" s="1"/>
  <c r="P18" i="41"/>
  <c r="M25" i="41"/>
  <c r="N16" i="41"/>
  <c r="N24" i="41"/>
  <c r="O24" i="41" s="1"/>
  <c r="P24" i="41"/>
  <c r="P19" i="41"/>
  <c r="N19" i="41"/>
  <c r="O19" i="41" s="1"/>
  <c r="L25" i="41"/>
  <c r="P29" i="41" s="1"/>
  <c r="N21" i="41"/>
  <c r="O21" i="41" s="1"/>
  <c r="P21" i="41"/>
  <c r="K25" i="41"/>
  <c r="P30" i="41" s="1"/>
  <c r="N23" i="41"/>
  <c r="O23" i="41" s="1"/>
  <c r="P23" i="41"/>
  <c r="N20" i="41"/>
  <c r="O20" i="41" s="1"/>
  <c r="P31" i="41"/>
  <c r="M17" i="40"/>
  <c r="M25" i="40" s="1"/>
  <c r="M17" i="39"/>
  <c r="M21" i="38"/>
  <c r="M21" i="37"/>
  <c r="M19" i="37"/>
  <c r="N19" i="37" s="1"/>
  <c r="M22" i="37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/>
  <c r="N19" i="40"/>
  <c r="O19" i="40" s="1"/>
  <c r="P19" i="40"/>
  <c r="N18" i="40"/>
  <c r="O18" i="40" s="1"/>
  <c r="N23" i="39"/>
  <c r="O23" i="39" s="1"/>
  <c r="N18" i="39"/>
  <c r="O18" i="39" s="1"/>
  <c r="N22" i="39"/>
  <c r="O22" i="39" s="1"/>
  <c r="N17" i="39"/>
  <c r="O17" i="39" s="1"/>
  <c r="P17" i="39"/>
  <c r="N21" i="39"/>
  <c r="O21" i="39" s="1"/>
  <c r="L25" i="39"/>
  <c r="P29" i="39" s="1"/>
  <c r="K25" i="39"/>
  <c r="P30" i="39" s="1"/>
  <c r="P31" i="39" s="1"/>
  <c r="N20" i="39"/>
  <c r="O20" i="39" s="1"/>
  <c r="N19" i="39"/>
  <c r="O19" i="39" s="1"/>
  <c r="M25" i="39"/>
  <c r="N16" i="39"/>
  <c r="P24" i="39"/>
  <c r="N24" i="39"/>
  <c r="O24" i="39" s="1"/>
  <c r="N20" i="38"/>
  <c r="O20" i="38" s="1"/>
  <c r="N18" i="38"/>
  <c r="O18" i="38" s="1"/>
  <c r="P18" i="38"/>
  <c r="N17" i="38"/>
  <c r="O17" i="38" s="1"/>
  <c r="P17" i="38"/>
  <c r="N21" i="38"/>
  <c r="O21" i="38" s="1"/>
  <c r="N22" i="38"/>
  <c r="O22" i="38" s="1"/>
  <c r="P22" i="38"/>
  <c r="N24" i="38"/>
  <c r="O24" i="38" s="1"/>
  <c r="L25" i="38"/>
  <c r="P29" i="38" s="1"/>
  <c r="P31" i="38" s="1"/>
  <c r="K25" i="38"/>
  <c r="P30" i="38" s="1"/>
  <c r="N23" i="38"/>
  <c r="O23" i="38" s="1"/>
  <c r="M16" i="38"/>
  <c r="N17" i="37"/>
  <c r="O17" i="37" s="1"/>
  <c r="N23" i="37"/>
  <c r="O23" i="37" s="1"/>
  <c r="N20" i="37"/>
  <c r="O20" i="37" s="1"/>
  <c r="N22" i="37"/>
  <c r="O22" i="37" s="1"/>
  <c r="P22" i="37"/>
  <c r="N21" i="37"/>
  <c r="O21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K17" i="33"/>
  <c r="L17" i="33"/>
  <c r="I16" i="30"/>
  <c r="L16" i="30" s="1"/>
  <c r="I17" i="30"/>
  <c r="L17" i="30" s="1"/>
  <c r="I18" i="30"/>
  <c r="I19" i="30"/>
  <c r="L19" i="30" s="1"/>
  <c r="I20" i="30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I23" i="28"/>
  <c r="L23" i="28" s="1"/>
  <c r="I24" i="28"/>
  <c r="I22" i="32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I22" i="33"/>
  <c r="I16" i="34"/>
  <c r="L16" i="34" s="1"/>
  <c r="I17" i="34"/>
  <c r="L17" i="34" s="1"/>
  <c r="I18" i="34"/>
  <c r="I19" i="34"/>
  <c r="I20" i="34"/>
  <c r="I21" i="34"/>
  <c r="L21" i="34" s="1"/>
  <c r="I22" i="34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17" i="34"/>
  <c r="K22" i="34"/>
  <c r="L22" i="34"/>
  <c r="K23" i="34"/>
  <c r="L23" i="34"/>
  <c r="K21" i="33"/>
  <c r="K22" i="33"/>
  <c r="L22" i="33"/>
  <c r="K19" i="33"/>
  <c r="K24" i="33"/>
  <c r="L24" i="33"/>
  <c r="M17" i="33"/>
  <c r="K24" i="32"/>
  <c r="L24" i="32"/>
  <c r="K16" i="32"/>
  <c r="K17" i="32"/>
  <c r="K21" i="32"/>
  <c r="K23" i="32"/>
  <c r="L23" i="32"/>
  <c r="M23" i="32" s="1"/>
  <c r="K22" i="32"/>
  <c r="L22" i="32"/>
  <c r="K17" i="31"/>
  <c r="K24" i="31"/>
  <c r="L24" i="31"/>
  <c r="K16" i="31"/>
  <c r="L23" i="31"/>
  <c r="K21" i="30"/>
  <c r="L23" i="30"/>
  <c r="K16" i="30"/>
  <c r="K17" i="30"/>
  <c r="K22" i="30"/>
  <c r="L22" i="30"/>
  <c r="K24" i="30"/>
  <c r="L24" i="30"/>
  <c r="K24" i="29"/>
  <c r="M24" i="29" s="1"/>
  <c r="L24" i="29"/>
  <c r="K22" i="29"/>
  <c r="L22" i="29"/>
  <c r="K16" i="28"/>
  <c r="K17" i="28"/>
  <c r="K22" i="28"/>
  <c r="L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P19" i="38" l="1"/>
  <c r="M23" i="34"/>
  <c r="L22" i="31"/>
  <c r="M22" i="31" s="1"/>
  <c r="O20" i="36"/>
  <c r="P20" i="36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P33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N25" i="40"/>
  <c r="P32" i="40" s="1"/>
  <c r="P33" i="40" s="1"/>
  <c r="O16" i="40"/>
  <c r="O25" i="40" s="1"/>
  <c r="P17" i="40"/>
  <c r="P21" i="40"/>
  <c r="P23" i="40"/>
  <c r="N25" i="39"/>
  <c r="P32" i="39" s="1"/>
  <c r="P33" i="39" s="1"/>
  <c r="O16" i="39"/>
  <c r="O25" i="39" s="1"/>
  <c r="P20" i="39"/>
  <c r="P16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K21" i="34"/>
  <c r="M21" i="34" s="1"/>
  <c r="N21" i="34" s="1"/>
  <c r="O21" i="34" s="1"/>
  <c r="K20" i="34"/>
  <c r="L20" i="34"/>
  <c r="K19" i="34"/>
  <c r="L19" i="34"/>
  <c r="K20" i="33"/>
  <c r="L20" i="33"/>
  <c r="K18" i="33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M19" i="31" s="1"/>
  <c r="N19" i="31" s="1"/>
  <c r="O19" i="31" s="1"/>
  <c r="L19" i="31"/>
  <c r="K18" i="31"/>
  <c r="L18" i="31"/>
  <c r="M21" i="30"/>
  <c r="K18" i="30"/>
  <c r="M18" i="30" s="1"/>
  <c r="N18" i="30" s="1"/>
  <c r="O18" i="30" s="1"/>
  <c r="P18" i="30" s="1"/>
  <c r="L18" i="30"/>
  <c r="K20" i="30"/>
  <c r="M20" i="30" s="1"/>
  <c r="N20" i="30" s="1"/>
  <c r="O20" i="30" s="1"/>
  <c r="L20" i="30"/>
  <c r="K21" i="28"/>
  <c r="K19" i="29"/>
  <c r="L19" i="29"/>
  <c r="K16" i="29"/>
  <c r="M16" i="29" s="1"/>
  <c r="N16" i="29" s="1"/>
  <c r="K18" i="29"/>
  <c r="L18" i="29"/>
  <c r="M18" i="29" s="1"/>
  <c r="N18" i="29" s="1"/>
  <c r="O18" i="29" s="1"/>
  <c r="K17" i="29"/>
  <c r="L17" i="29"/>
  <c r="K20" i="29"/>
  <c r="M20" i="29" s="1"/>
  <c r="N20" i="29" s="1"/>
  <c r="O20" i="29" s="1"/>
  <c r="L20" i="29"/>
  <c r="K19" i="28"/>
  <c r="L19" i="28"/>
  <c r="K18" i="28"/>
  <c r="M18" i="28" s="1"/>
  <c r="N18" i="28" s="1"/>
  <c r="O18" i="28" s="1"/>
  <c r="P18" i="28" s="1"/>
  <c r="L18" i="28"/>
  <c r="L25" i="28" s="1"/>
  <c r="P29" i="28" s="1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3"/>
  <c r="N18" i="33" s="1"/>
  <c r="O18" i="33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K24" i="34"/>
  <c r="M24" i="34" s="1"/>
  <c r="L25" i="34"/>
  <c r="P29" i="34" s="1"/>
  <c r="M21" i="35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M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9" i="34"/>
  <c r="M19" i="28"/>
  <c r="N19" i="28" s="1"/>
  <c r="O19" i="28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1"/>
  <c r="P29" i="31" s="1"/>
  <c r="M18" i="34"/>
  <c r="N18" i="34" s="1"/>
  <c r="O18" i="34" s="1"/>
  <c r="P18" i="34" s="1"/>
  <c r="M16" i="30"/>
  <c r="N16" i="30" s="1"/>
  <c r="L25" i="30"/>
  <c r="P29" i="30" s="1"/>
  <c r="M20" i="28"/>
  <c r="N20" i="28" s="1"/>
  <c r="O20" i="28" s="1"/>
  <c r="P20" i="28" s="1"/>
  <c r="N24" i="35"/>
  <c r="O24" i="35" s="1"/>
  <c r="P24" i="35" s="1"/>
  <c r="N22" i="35"/>
  <c r="O22" i="35" s="1"/>
  <c r="N21" i="35"/>
  <c r="O21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19" i="34"/>
  <c r="O19" i="34" s="1"/>
  <c r="N24" i="33"/>
  <c r="O24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M16" i="31"/>
  <c r="K25" i="31"/>
  <c r="P30" i="31" s="1"/>
  <c r="N22" i="31"/>
  <c r="O22" i="31" s="1"/>
  <c r="P22" i="31" s="1"/>
  <c r="N21" i="30"/>
  <c r="O21" i="30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M18" i="32" l="1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O25" i="36"/>
  <c r="P16" i="36"/>
  <c r="P25" i="36" s="1"/>
  <c r="P34" i="42"/>
  <c r="P35" i="42" s="1"/>
  <c r="P16" i="42"/>
  <c r="P25" i="42" s="1"/>
  <c r="P34" i="41"/>
  <c r="P35" i="41" s="1"/>
  <c r="P16" i="41"/>
  <c r="P25" i="41" s="1"/>
  <c r="P16" i="40"/>
  <c r="P25" i="40"/>
  <c r="P34" i="40"/>
  <c r="P35" i="40" s="1"/>
  <c r="P34" i="39"/>
  <c r="P35" i="39" s="1"/>
  <c r="P25" i="39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31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M16" i="26" s="1"/>
  <c r="L16" i="26"/>
  <c r="K19" i="26"/>
  <c r="M19" i="26" s="1"/>
  <c r="N19" i="26" s="1"/>
  <c r="O19" i="26" s="1"/>
  <c r="K20" i="26"/>
  <c r="L25" i="32"/>
  <c r="P29" i="32" s="1"/>
  <c r="L25" i="33"/>
  <c r="P29" i="33" s="1"/>
  <c r="P31" i="33" s="1"/>
  <c r="M20" i="34"/>
  <c r="N20" i="34" s="1"/>
  <c r="O20" i="34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P17" i="31"/>
  <c r="P18" i="29"/>
  <c r="P19" i="32"/>
  <c r="M25" i="32"/>
  <c r="P22" i="35"/>
  <c r="P17" i="32"/>
  <c r="P17" i="33"/>
  <c r="P21" i="31"/>
  <c r="P31" i="31"/>
  <c r="P20" i="31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8" l="1"/>
  <c r="P25" i="38" s="1"/>
  <c r="P34" i="38"/>
  <c r="P35" i="38" s="1"/>
  <c r="U36" i="15" s="1"/>
  <c r="P34" i="37"/>
  <c r="P35" i="37" s="1"/>
  <c r="P16" i="37"/>
  <c r="P25" i="37" s="1"/>
  <c r="M25" i="34"/>
  <c r="M25" i="29"/>
  <c r="P33" i="32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M20" i="17" s="1"/>
  <c r="N20" i="17" s="1"/>
  <c r="O20" i="17" s="1"/>
  <c r="L20" i="17"/>
  <c r="K16" i="17"/>
  <c r="L16" i="17"/>
  <c r="K19" i="17"/>
  <c r="M19" i="17" s="1"/>
  <c r="N19" i="17" s="1"/>
  <c r="O19" i="17" s="1"/>
  <c r="P19" i="17" s="1"/>
  <c r="L19" i="17"/>
  <c r="K17" i="17"/>
  <c r="L17" i="17"/>
  <c r="K18" i="17"/>
  <c r="M18" i="17" s="1"/>
  <c r="N18" i="17" s="1"/>
  <c r="O18" i="17" s="1"/>
  <c r="L18" i="17"/>
  <c r="K19" i="18"/>
  <c r="L19" i="18"/>
  <c r="K17" i="20"/>
  <c r="L17" i="20"/>
  <c r="K19" i="20"/>
  <c r="L19" i="20"/>
  <c r="M19" i="20" s="1"/>
  <c r="N19" i="20" s="1"/>
  <c r="O19" i="20" s="1"/>
  <c r="K18" i="20"/>
  <c r="L18" i="20"/>
  <c r="K19" i="23"/>
  <c r="L19" i="23"/>
  <c r="K21" i="23"/>
  <c r="L21" i="23"/>
  <c r="M21" i="23" s="1"/>
  <c r="N21" i="23" s="1"/>
  <c r="O21" i="23" s="1"/>
  <c r="K17" i="25"/>
  <c r="L22" i="25"/>
  <c r="K21" i="24"/>
  <c r="K18" i="24"/>
  <c r="M18" i="24" s="1"/>
  <c r="N18" i="24" s="1"/>
  <c r="O18" i="24" s="1"/>
  <c r="L18" i="24"/>
  <c r="K20" i="24"/>
  <c r="L20" i="24"/>
  <c r="K21" i="21"/>
  <c r="M21" i="21" s="1"/>
  <c r="N21" i="21" s="1"/>
  <c r="L21" i="21"/>
  <c r="K20" i="21"/>
  <c r="L20" i="21"/>
  <c r="K19" i="21"/>
  <c r="M19" i="21" s="1"/>
  <c r="N19" i="21" s="1"/>
  <c r="O19" i="21" s="1"/>
  <c r="L19" i="21"/>
  <c r="K18" i="21"/>
  <c r="M18" i="21" s="1"/>
  <c r="N18" i="21" s="1"/>
  <c r="O18" i="21" s="1"/>
  <c r="L18" i="21"/>
  <c r="K18" i="25"/>
  <c r="M18" i="25" s="1"/>
  <c r="N18" i="25" s="1"/>
  <c r="O18" i="25" s="1"/>
  <c r="P25" i="34"/>
  <c r="K17" i="23"/>
  <c r="K17" i="24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M16" i="17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M20" i="24" l="1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25" i="19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3" l="1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<sst xmlns="http://schemas.openxmlformats.org/spreadsheetml/2006/main" count="2010" uniqueCount="154">
  <si>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</si>
  <si>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</si>
  <si>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</si>
  <si>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</si>
  <si>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</si>
  <si>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</si>
  <si>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</si>
  <si>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</si>
  <si>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</si>
  <si>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</si>
  <si>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</si>
  <si>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</si>
  <si>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</si>
  <si>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</si>
  <si>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</si>
  <si>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</si>
  <si>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</si>
  <si>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</si>
  <si>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</si>
  <si>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</si>
  <si>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</si>
  <si>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</si>
  <si>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</si>
  <si>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</si>
  <si>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</si>
  <si>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</si>
  <si>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</si>
  <si>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</si>
  <si>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</si>
  <si>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</si>
  <si>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</si>
  <si>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</si>
  <si>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</si>
  <si>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</si>
  <si>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</si>
  <si>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</si>
  <si>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</si>
  <si>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</si>
  <si>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</si>
  <si>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</si>
  <si>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</si>
  <si>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</si>
  <si>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</si>
  <si>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</si>
  <si>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</si>
  <si>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</si>
  <si>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</si>
  <si>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</si>
  <si>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</si>
  <si>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</si>
  <si>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</si>
  <si>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</si>
  <si>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</si>
  <si>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</si>
  <si>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</si>
  <si>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</si>
  <si>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</si>
  <si>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</si>
  <si>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</si>
  <si>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</si>
  <si>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</si>
  <si>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</si>
  <si>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</si>
  <si>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</si>
  <si>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</si>
  <si>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</si>
  <si>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</si>
  <si>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</si>
  <si>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</si>
  <si>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</si>
  <si>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</si>
  <si>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</si>
  <si>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</si>
  <si>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</si>
  <si>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</si>
  <si>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</si>
  <si>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</si>
  <si>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</si>
  <si>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</si>
  <si>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</si>
  <si>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</si>
  <si>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</si>
  <si>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</si>
  <si>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</si>
  <si>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</si>
  <si>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</si>
  <si>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</si>
  <si>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</si>
  <si>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</si>
  <si>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</si>
  <si>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</si>
  <si>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</si>
  <si>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</si>
  <si>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</si>
  <si>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</si>
  <si>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</si>
  <si>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</si>
  <si>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</si>
  <si>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</si>
  <si>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</si>
  <si>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</si>
  <si>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</si>
  <si>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Address: Faisal Town</t>
  </si>
  <si>
    <t>3218709-2</t>
  </si>
  <si>
    <t xml:space="preserve">Address: Nasera Abad </t>
  </si>
  <si>
    <t>Address: Zahoor Ilaahi</t>
  </si>
  <si>
    <t xml:space="preserve">Address: Model Town C Block </t>
  </si>
  <si>
    <t>Address: Firdos Market</t>
  </si>
  <si>
    <t>Address: Model Town Link Road</t>
  </si>
  <si>
    <t>Address: Model Town A Block</t>
  </si>
  <si>
    <t>Gourmet</t>
  </si>
  <si>
    <t>Shop Bill Summary (Gourmet)</t>
  </si>
  <si>
    <t>Address: Bata pur</t>
  </si>
  <si>
    <t>Address: Sadar Kitchari</t>
  </si>
  <si>
    <t xml:space="preserve">Address: Jhora Pull </t>
  </si>
  <si>
    <t>Address: Shalimar Link Road</t>
  </si>
  <si>
    <t>Address: Salamat Pura</t>
  </si>
  <si>
    <t xml:space="preserve">Address: Dharoghe Wala </t>
  </si>
  <si>
    <t>Address: Neelam Cinema</t>
  </si>
  <si>
    <t>Address: Laal Pull</t>
  </si>
  <si>
    <t xml:space="preserve">Address:Shadman </t>
  </si>
  <si>
    <t>Address: Cant Girja Road</t>
  </si>
  <si>
    <t xml:space="preserve">Address: Railway Palaza </t>
  </si>
  <si>
    <t xml:space="preserve">Address: Tajh Bagh </t>
  </si>
  <si>
    <t>Address: Tajh pura</t>
  </si>
  <si>
    <t>Address: kot Khawaja saeed</t>
  </si>
  <si>
    <t xml:space="preserve">Address: Dharam Pura </t>
  </si>
  <si>
    <t>Address: Baghbanpura</t>
  </si>
  <si>
    <t>Address: Sultan Pura</t>
  </si>
  <si>
    <t>Address: ShadiPura</t>
  </si>
  <si>
    <t>Address: Manawan GT Road</t>
  </si>
  <si>
    <t>Customer Name : Gourmet Food Bata pur</t>
  </si>
  <si>
    <t>Customer Name : Gourmet Food Model Town Ablock</t>
  </si>
  <si>
    <t>Customer Name : Gourmet Food Sadar Kitchari</t>
  </si>
  <si>
    <t>Customer Name : Gourmet Food Jhor Pul</t>
  </si>
  <si>
    <t>Customer Name : Gourmet Food Shalimar link Road</t>
  </si>
  <si>
    <t>Customer Name : Gourmet Food Salamat Pura</t>
  </si>
  <si>
    <t>Customer Name : Gourmet Food Dhroghewala</t>
  </si>
  <si>
    <t>Customer Name : Gourmet Food Neelam Cinema</t>
  </si>
  <si>
    <t xml:space="preserve">Customer Name : Gourmet Food Laal Pul </t>
  </si>
  <si>
    <t xml:space="preserve">Customer Name : Gourmet Food Shadman </t>
  </si>
  <si>
    <t xml:space="preserve">Customer Name : Gourmet Food Cant Girja </t>
  </si>
  <si>
    <t xml:space="preserve">Customer Name : Gourmet Food Railway Plaza </t>
  </si>
  <si>
    <t xml:space="preserve">Customer Name : Gourmet Food Tajh Bagh </t>
  </si>
  <si>
    <t>Customer Name : Gourmet Food Tajh pura</t>
  </si>
  <si>
    <t xml:space="preserve">Customer Name : Gourmet Food Shaheed </t>
  </si>
  <si>
    <t xml:space="preserve">Customer Name : Gourmet Food Kot Khawaja </t>
  </si>
  <si>
    <t>Customer Name : Gourmet Food Dharam Pura</t>
  </si>
  <si>
    <t>Customer Name : Gourmet Food Baghban pura</t>
  </si>
  <si>
    <t>Customer Name : Gourmet Food SultanPura</t>
  </si>
  <si>
    <t>Customer Name : Gourmet Food Shadi pura</t>
  </si>
  <si>
    <t>Customer Name : Gourmet Food Manawan</t>
  </si>
  <si>
    <t>Address: Shaheed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</si>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</sst>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0" fillId="4" borderId="48" xfId="0" applyFont="1" applyFill="1" applyBorder="1"/>
    <xf numFmtId="0" fontId="10" fillId="2" borderId="48" xfId="0" applyFont="1" applyFill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20" activeCellId="1" sqref="H20 B2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B20" activeCellId="1" sqref="H20 B20"/>
      <selection pane="topRight" activeCell="B20" activeCellId="1" sqref="H20 B20"/>
      <selection pane="bottomLeft" activeCell="B20" activeCellId="1" sqref="H20 B20"/>
      <selection pane="bottomRight" activeCell="B20" activeCellId="1" sqref="H20 B2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80"/>
      <c r="B3" s="280"/>
      <c r="C3" s="280"/>
      <c r="D3" s="280"/>
      <c r="E3" s="280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</row>
    <row r="4" spans="1:29" x14ac:dyDescent="0.35">
      <c r="A4" s="282" t="s">
        <v>6</v>
      </c>
      <c r="B4" s="5" t="s">
        <v>7</v>
      </c>
      <c r="C4" s="5"/>
      <c r="D4" s="284" t="s">
        <v>8</v>
      </c>
      <c r="E4" s="286" t="s">
        <v>9</v>
      </c>
      <c r="F4" s="288" t="s">
        <v>3</v>
      </c>
      <c r="G4" s="288"/>
      <c r="H4" s="289" t="s">
        <v>10</v>
      </c>
      <c r="I4" s="289"/>
      <c r="J4" s="290" t="s">
        <v>11</v>
      </c>
      <c r="K4" s="291"/>
      <c r="L4" s="290" t="s">
        <v>12</v>
      </c>
      <c r="M4" s="291"/>
      <c r="N4" s="292" t="s">
        <v>13</v>
      </c>
      <c r="O4" s="292"/>
      <c r="P4" s="290" t="s">
        <v>4</v>
      </c>
      <c r="Q4" s="291"/>
      <c r="R4" s="290" t="s">
        <v>14</v>
      </c>
      <c r="S4" s="291"/>
      <c r="T4" s="293" t="s">
        <v>15</v>
      </c>
      <c r="U4" s="293"/>
      <c r="V4" s="294" t="s">
        <v>16</v>
      </c>
      <c r="W4" s="295"/>
      <c r="X4" s="294" t="s">
        <v>17</v>
      </c>
      <c r="Y4" s="295"/>
    </row>
    <row r="5" spans="1:29" ht="26.25" customHeight="1" thickBot="1" x14ac:dyDescent="0.4">
      <c r="A5" s="283"/>
      <c r="B5" s="7" t="s">
        <v>18</v>
      </c>
      <c r="C5" s="7" t="s">
        <v>8</v>
      </c>
      <c r="D5" s="285"/>
      <c r="E5" s="2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13" zoomScale="70" zoomScaleNormal="70" workbookViewId="0">
      <selection activeCell="V26" sqref="V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2" t="s">
        <v>45</v>
      </c>
      <c r="B2" s="342"/>
      <c r="C2" s="342"/>
    </row>
    <row r="3" spans="1:21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41" t="s">
        <v>110</v>
      </c>
      <c r="B5" s="341"/>
      <c r="C5" s="341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21 16383:16384" ht="15" customHeight="1" x14ac:dyDescent="0.35">
      <c r="A6" s="341"/>
      <c r="B6" s="341"/>
      <c r="C6" s="341"/>
      <c r="F6" s="70"/>
      <c r="G6" s="74"/>
      <c r="K6" s="326" t="s">
        <v>52</v>
      </c>
      <c r="L6" s="326"/>
      <c r="M6" s="326"/>
      <c r="N6" s="339" t="s">
        <v>42</v>
      </c>
      <c r="O6" s="339"/>
      <c r="P6" s="339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21 16383:16384" hidden="1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21 16383:16384" x14ac:dyDescent="0.35">
      <c r="A10" s="324"/>
      <c r="B10" s="75"/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21 16383:16384" ht="15" thickBot="1" x14ac:dyDescent="0.4">
      <c r="A11" s="324"/>
      <c r="B11" s="76"/>
      <c r="C11" s="77"/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21 16383:16384" ht="14.65" customHeight="1" x14ac:dyDescent="0.35">
      <c r="A12" s="324"/>
      <c r="B12" s="76"/>
      <c r="C12" s="77"/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T12" s="296" t="s">
        <v>111</v>
      </c>
      <c r="U12" s="297"/>
      <c r="XFD12" t="s">
        <v>62</v>
      </c>
    </row>
    <row r="13" spans="1:21 16383:16384" ht="15" thickBot="1" x14ac:dyDescent="0.4">
      <c r="A13" s="325"/>
      <c r="J13" s="78"/>
      <c r="K13" s="78"/>
      <c r="L13" s="79">
        <v>0.05</v>
      </c>
      <c r="T13" s="298"/>
      <c r="U13" s="299"/>
      <c r="XFD13" t="s">
        <v>63</v>
      </c>
    </row>
    <row r="14" spans="1:21 16383:16384" ht="29.25" customHeight="1" x14ac:dyDescent="0.6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34" t="s">
        <v>68</v>
      </c>
      <c r="H14" s="335"/>
      <c r="I14" s="335" t="s">
        <v>69</v>
      </c>
      <c r="J14" s="335" t="s">
        <v>70</v>
      </c>
      <c r="K14" s="335"/>
      <c r="L14" s="337"/>
      <c r="M14" s="329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0</v>
      </c>
      <c r="XFD14" t="s">
        <v>75</v>
      </c>
    </row>
    <row r="15" spans="1:21 16383:16384" ht="29.25" customHeight="1" thickBot="1" x14ac:dyDescent="0.65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6"/>
      <c r="J15" s="170" t="s">
        <v>78</v>
      </c>
      <c r="K15" s="170" t="s">
        <v>79</v>
      </c>
      <c r="L15" s="173" t="s">
        <v>80</v>
      </c>
      <c r="M15" s="33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520</v>
      </c>
      <c r="I16" s="1">
        <f>(G16*D16)*F16+H16*F16</f>
        <v>27280.5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377.72999999999996</v>
      </c>
      <c r="M16" s="105">
        <f>I16-K16-L16</f>
        <v>26902.77</v>
      </c>
      <c r="N16" s="100">
        <f>+'1'!N16+'2'!N16+'4'!N16+'3'!N16+'5'!N16+'6'!N16+'7'!N16+'8'!N16+'9'!N16+'10'!N16</f>
        <v>309.73859999999996</v>
      </c>
      <c r="O16" s="100">
        <f>+'1'!O16+'2'!O16+'4'!O16+'3'!O16+'5'!O16+'6'!O16+'7'!O16+'8'!O16+'9'!O16+'10'!O16</f>
        <v>10.152543</v>
      </c>
      <c r="P16" s="104">
        <f t="shared" ref="P16:P24" si="0">M16+N16+O16</f>
        <v>27222.661143000001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520</v>
      </c>
      <c r="I17" s="1">
        <f t="shared" ref="I17:I23" si="1">(G17*D17)*F17+H17*F17</f>
        <v>27280.5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377.72999999999996</v>
      </c>
      <c r="M17" s="117">
        <f t="shared" ref="M17:M23" si="2">I17-K17-L17</f>
        <v>26902.77</v>
      </c>
      <c r="N17" s="100">
        <f>+'1'!N17+'2'!N17+'4'!N17+'3'!N17+'5'!N17+'6'!N17+'7'!N17+'8'!N17+'9'!N17+'10'!N17</f>
        <v>309.73859999999996</v>
      </c>
      <c r="O17" s="100">
        <f>+'1'!O17+'2'!O17+'4'!O17+'3'!O17+'5'!O17+'6'!O17+'7'!O17+'8'!O17+'9'!O17+'10'!O17</f>
        <v>10.152543</v>
      </c>
      <c r="P17" s="119">
        <f t="shared" si="0"/>
        <v>27222.661143000001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520</v>
      </c>
      <c r="I18" s="1">
        <f t="shared" si="1"/>
        <v>27280.5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377.72999999999996</v>
      </c>
      <c r="M18" s="117">
        <f t="shared" si="2"/>
        <v>26902.77</v>
      </c>
      <c r="N18" s="100">
        <f>+'1'!N18+'2'!N18+'4'!N18+'3'!N18+'5'!N18+'6'!N18+'7'!N18+'8'!N18+'9'!N18+'10'!N18</f>
        <v>309.73859999999996</v>
      </c>
      <c r="O18" s="100">
        <f>+'1'!O18+'2'!O18+'4'!O18+'3'!O18+'5'!O18+'6'!O18+'7'!O18+'8'!O18+'9'!O18+'10'!O18</f>
        <v>10.152543</v>
      </c>
      <c r="P18" s="119">
        <f t="shared" si="0"/>
        <v>27222.661143000001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520</v>
      </c>
      <c r="I19" s="1">
        <f t="shared" si="1"/>
        <v>37772.800000000003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523.00799999999992</v>
      </c>
      <c r="M19" s="117">
        <f t="shared" si="2"/>
        <v>37249.792000000001</v>
      </c>
      <c r="N19" s="100">
        <f>+'1'!N19+'2'!N19+'4'!N19+'3'!N19+'5'!N19+'6'!N19+'7'!N19+'8'!N19+'9'!N19+'10'!N19</f>
        <v>428.86655999999999</v>
      </c>
      <c r="O19" s="100">
        <f>+'1'!O19+'2'!O19+'4'!O19+'3'!O19+'5'!O19+'6'!O19+'7'!O19+'8'!O19+'9'!O19+'10'!O19</f>
        <v>14.057292800000001</v>
      </c>
      <c r="P19" s="119">
        <f t="shared" si="0"/>
        <v>37692.7158528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520</v>
      </c>
      <c r="I20" s="1">
        <f t="shared" si="1"/>
        <v>37772.800000000003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523.00799999999992</v>
      </c>
      <c r="M20" s="117">
        <f t="shared" si="2"/>
        <v>37249.792000000001</v>
      </c>
      <c r="N20" s="100">
        <f>+'1'!N20+'2'!N20+'4'!N20+'3'!N20+'5'!N20+'6'!N20+'7'!N20+'8'!N20+'9'!N20+'10'!N20</f>
        <v>428.86655999999999</v>
      </c>
      <c r="O20" s="100">
        <f>+'1'!O20+'2'!O20+'4'!O20+'3'!O20+'5'!O20+'6'!O20+'7'!O20+'8'!O20+'9'!O20+'10'!O20</f>
        <v>14.057292800000001</v>
      </c>
      <c r="P20" s="119">
        <f t="shared" si="0"/>
        <v>37692.7158528</v>
      </c>
      <c r="S20" t="s">
        <v>153</v>
      </c>
      <c r="T20" s="278" t="str">
        <f>+'7'!A5</f>
        <v>Customer Name : Gourmet Food Bata pur</v>
      </c>
      <c r="U20" s="163">
        <f>+'7'!P35</f>
        <v>14598.530987400001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520</v>
      </c>
      <c r="I21" s="1">
        <f t="shared" si="1"/>
        <v>37772.800000000003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523.00799999999992</v>
      </c>
      <c r="M21" s="117">
        <f t="shared" si="2"/>
        <v>37249.792000000001</v>
      </c>
      <c r="N21" s="100">
        <f>+'1'!N21+'2'!N21+'4'!N21+'3'!N21+'5'!N21+'6'!N21+'7'!N21+'8'!N21+'9'!N21+'10'!N21</f>
        <v>428.86655999999999</v>
      </c>
      <c r="O21" s="100">
        <f>+'1'!O21+'2'!O21+'4'!O21+'3'!O21+'5'!O21+'6'!O21+'7'!O21+'8'!O21+'9'!O21+'10'!O21</f>
        <v>14.057292800000001</v>
      </c>
      <c r="P21" s="119">
        <f t="shared" si="0"/>
        <v>37692.7158528</v>
      </c>
      <c r="T21" s="162" t="str">
        <f>+'8'!A5</f>
        <v>Customer Name : Gourmet Food Model Town Ablock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Sadar Kitchari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Jhor Pul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S24" t="s">
        <v>153</v>
      </c>
      <c r="T24" s="278" t="str">
        <f>+'11'!A5</f>
        <v>Customer Name : Gourmet Food Shalimar link Road</v>
      </c>
      <c r="U24" s="163">
        <f>+'11'!P35</f>
        <v>14598.530987400001</v>
      </c>
    </row>
    <row r="25" spans="1:21 16384:16384" ht="26.5" thickBot="1" x14ac:dyDescent="0.65">
      <c r="A25" s="306" t="s">
        <v>84</v>
      </c>
      <c r="B25" s="307"/>
      <c r="C25" s="308">
        <f>H25/40</f>
        <v>78</v>
      </c>
      <c r="D25" s="302"/>
      <c r="E25" s="302"/>
      <c r="F25" s="302"/>
      <c r="G25" s="175">
        <f t="shared" ref="G25:M25" si="3">SUM(G16:G24)</f>
        <v>0</v>
      </c>
      <c r="H25" s="176">
        <f t="shared" si="3"/>
        <v>3120</v>
      </c>
      <c r="I25" s="177">
        <f t="shared" si="3"/>
        <v>195159.90000000002</v>
      </c>
      <c r="J25" s="176">
        <f t="shared" si="3"/>
        <v>0</v>
      </c>
      <c r="K25" s="177">
        <f t="shared" si="3"/>
        <v>0</v>
      </c>
      <c r="L25" s="178">
        <f t="shared" si="3"/>
        <v>2702.2139999999995</v>
      </c>
      <c r="M25" s="140">
        <f t="shared" si="3"/>
        <v>192457.68599999999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194746.13098740001</v>
      </c>
      <c r="S25" t="s">
        <v>153</v>
      </c>
      <c r="T25" s="278" t="str">
        <f>+'12'!A5</f>
        <v>Customer Name : Gourmet Food Salamat Pura</v>
      </c>
      <c r="U25" s="163">
        <f>+'12'!P35</f>
        <v>14598.530987400001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S26" t="s">
        <v>153</v>
      </c>
      <c r="T26" s="278" t="str">
        <f>+'13'!A5</f>
        <v>Customer Name : Gourmet Food Dhroghewala</v>
      </c>
      <c r="U26" s="163">
        <f>+'13'!P35</f>
        <v>29197.061974800003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S27" t="s">
        <v>153</v>
      </c>
      <c r="T27" s="278" t="str">
        <f>+'14'!A5</f>
        <v>Customer Name : Gourmet Food Neelam Cinema</v>
      </c>
      <c r="U27" s="163">
        <f>+'14'!P35</f>
        <v>14598.530987400001</v>
      </c>
    </row>
    <row r="28" spans="1:21 16384:16384" ht="26" hidden="1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Gourmet Food Laal Pul </v>
      </c>
      <c r="U28" s="181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 xml:space="preserve">Customer Name : Gourmet Food Shadman 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 xml:space="preserve">Customer Name : Gourmet Food Cant Girja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153</v>
      </c>
      <c r="T31" s="278" t="str">
        <f>+'18'!A5</f>
        <v xml:space="preserve">Customer Name : Gourmet Food Railway Plaza </v>
      </c>
      <c r="U31" s="181">
        <f>+'18'!P35</f>
        <v>14598.530987400001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 xml:space="preserve">Customer Name : Gourmet Food Tajh Bagh 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 Tajh pura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 xml:space="preserve">Customer Name : Gourmet Food Shaheed 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153</v>
      </c>
      <c r="T35" s="278" t="str">
        <f>+'22'!A5</f>
        <v xml:space="preserve">Customer Name : Gourmet Food Kot Khawaja </v>
      </c>
      <c r="U35" s="181">
        <f>+'22'!P35</f>
        <v>14598.530987400001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279" t="str">
        <f>+'23'!A5</f>
        <v>Customer Name : Gourmet Food Dharam Pura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153</v>
      </c>
      <c r="T37" s="278" t="str">
        <f>+'24'!A5</f>
        <v>Customer Name : Gourmet Food Baghban pura</v>
      </c>
      <c r="U37" s="181">
        <f>+'24'!P35</f>
        <v>14598.530987400001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153</v>
      </c>
      <c r="T38" s="278" t="str">
        <f>+'25'!A5</f>
        <v>Customer Name : Gourmet Food SultanPura</v>
      </c>
      <c r="U38" s="181">
        <f>+'25'!P35</f>
        <v>14598.530987400001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153</v>
      </c>
      <c r="T39" s="278" t="str">
        <f>+'26'!A5</f>
        <v>Customer Name : Gourmet Food Shadi pura</v>
      </c>
      <c r="U39" s="181">
        <f>+'26'!P35</f>
        <v>14598.530987400001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153</v>
      </c>
      <c r="T40" s="278" t="str">
        <f>+'27'!A5</f>
        <v>Customer Name : Gourmet Food Manawan</v>
      </c>
      <c r="U40" s="181">
        <f>+'27'!P35</f>
        <v>29197.061974800003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SUM(U14:U28)</f>
        <v>87591.185924400022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9" t="s">
        <v>85</v>
      </c>
      <c r="C44" s="310"/>
      <c r="D44" s="310"/>
      <c r="E44" s="310"/>
      <c r="F44" s="310"/>
      <c r="G44" s="310"/>
      <c r="H44" s="310"/>
      <c r="I44" s="310"/>
      <c r="J44" s="310"/>
      <c r="K44" s="310"/>
      <c r="L44" s="311"/>
      <c r="N44" s="318" t="s">
        <v>86</v>
      </c>
      <c r="O44" s="319"/>
      <c r="P44" s="151">
        <f>I25</f>
        <v>195159.90000000002</v>
      </c>
    </row>
    <row r="45" spans="1:21" ht="15" customHeight="1" x14ac:dyDescent="0.35">
      <c r="B45" s="312"/>
      <c r="C45" s="313"/>
      <c r="D45" s="313"/>
      <c r="E45" s="313"/>
      <c r="F45" s="313"/>
      <c r="G45" s="313"/>
      <c r="H45" s="313"/>
      <c r="I45" s="313"/>
      <c r="J45" s="313"/>
      <c r="K45" s="313"/>
      <c r="L45" s="314"/>
      <c r="N45" s="320" t="s">
        <v>87</v>
      </c>
      <c r="O45" s="321"/>
      <c r="P45" s="152">
        <f>L25</f>
        <v>2702.2139999999995</v>
      </c>
    </row>
    <row r="46" spans="1:21" ht="15" customHeight="1" x14ac:dyDescent="0.35">
      <c r="B46" s="312"/>
      <c r="C46" s="313"/>
      <c r="D46" s="313"/>
      <c r="E46" s="313"/>
      <c r="F46" s="313"/>
      <c r="G46" s="313"/>
      <c r="H46" s="313"/>
      <c r="I46" s="313"/>
      <c r="J46" s="313"/>
      <c r="K46" s="313"/>
      <c r="L46" s="314"/>
      <c r="N46" s="320" t="s">
        <v>4</v>
      </c>
      <c r="O46" s="321"/>
      <c r="P46" s="153">
        <f>K25</f>
        <v>0</v>
      </c>
    </row>
    <row r="47" spans="1:21" ht="15" customHeight="1" x14ac:dyDescent="0.35">
      <c r="B47" s="312"/>
      <c r="C47" s="313"/>
      <c r="D47" s="313"/>
      <c r="E47" s="313"/>
      <c r="F47" s="313"/>
      <c r="G47" s="313"/>
      <c r="H47" s="313"/>
      <c r="I47" s="313"/>
      <c r="J47" s="313"/>
      <c r="K47" s="313"/>
      <c r="L47" s="314"/>
      <c r="M47" s="2"/>
      <c r="N47" s="320" t="s">
        <v>88</v>
      </c>
      <c r="O47" s="321"/>
      <c r="P47" s="152">
        <f>P44-P45-P46</f>
        <v>192457.68600000002</v>
      </c>
    </row>
    <row r="48" spans="1:21" ht="15" customHeight="1" x14ac:dyDescent="0.35">
      <c r="B48" s="312"/>
      <c r="C48" s="313"/>
      <c r="D48" s="313"/>
      <c r="E48" s="313"/>
      <c r="F48" s="313"/>
      <c r="G48" s="313"/>
      <c r="H48" s="313"/>
      <c r="I48" s="313"/>
      <c r="J48" s="313"/>
      <c r="K48" s="313"/>
      <c r="L48" s="314"/>
      <c r="M48" s="2"/>
      <c r="N48" s="154" t="s">
        <v>89</v>
      </c>
      <c r="O48" s="155">
        <f>IF(B12="Registered",18%,22%)</f>
        <v>0.22</v>
      </c>
      <c r="P48" s="152">
        <f>N25</f>
        <v>2215.8154799999998</v>
      </c>
    </row>
    <row r="49" spans="2:16" ht="15" customHeight="1" x14ac:dyDescent="0.35">
      <c r="B49" s="312"/>
      <c r="C49" s="313"/>
      <c r="D49" s="313"/>
      <c r="E49" s="313"/>
      <c r="F49" s="313"/>
      <c r="G49" s="313"/>
      <c r="H49" s="313"/>
      <c r="I49" s="313"/>
      <c r="J49" s="313"/>
      <c r="K49" s="313"/>
      <c r="L49" s="314"/>
      <c r="M49" s="2"/>
      <c r="N49" s="322" t="s">
        <v>90</v>
      </c>
      <c r="O49" s="323"/>
      <c r="P49" s="152">
        <f>P47+P48</f>
        <v>194673.50148000001</v>
      </c>
    </row>
    <row r="50" spans="2:16" ht="15" customHeight="1" thickBot="1" x14ac:dyDescent="0.4">
      <c r="B50" s="315"/>
      <c r="C50" s="316"/>
      <c r="D50" s="316"/>
      <c r="E50" s="316"/>
      <c r="F50" s="316"/>
      <c r="G50" s="316"/>
      <c r="H50" s="316"/>
      <c r="I50" s="316"/>
      <c r="J50" s="316"/>
      <c r="K50" s="316"/>
      <c r="L50" s="317"/>
      <c r="M50" s="156"/>
      <c r="N50" s="157" t="s">
        <v>91</v>
      </c>
      <c r="O50" s="158">
        <f>IF(B11="Filer",0.5%,2.5%)</f>
        <v>2.5000000000000001E-2</v>
      </c>
      <c r="P50" s="152">
        <f>O50*P49</f>
        <v>4866.8375370000003</v>
      </c>
    </row>
    <row r="51" spans="2:16" ht="15.75" customHeight="1" thickBot="1" x14ac:dyDescent="0.4">
      <c r="N51" s="300" t="s">
        <v>92</v>
      </c>
      <c r="O51" s="301"/>
      <c r="P51" s="159">
        <f>P49+P50</f>
        <v>199540.33901700002</v>
      </c>
    </row>
    <row r="52" spans="2:16" ht="15" thickBot="1" x14ac:dyDescent="0.4">
      <c r="B52" s="160" t="s">
        <v>93</v>
      </c>
      <c r="C52" s="302"/>
      <c r="D52" s="302"/>
      <c r="E52" s="302"/>
      <c r="F52" s="302"/>
      <c r="G52" s="302"/>
      <c r="H52" s="302"/>
      <c r="I52" s="303"/>
      <c r="J52" s="304"/>
      <c r="K52" s="305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1001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102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0">
        <v>120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I17*18%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Q17" s="114">
        <v>120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120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3"/>
        <v>0</v>
      </c>
      <c r="J19" s="116"/>
      <c r="K19" s="1">
        <f t="shared" si="4"/>
        <v>0</v>
      </c>
      <c r="L19" s="104">
        <f t="shared" si="5"/>
        <v>0</v>
      </c>
      <c r="M19" s="117">
        <f t="shared" si="6"/>
        <v>0</v>
      </c>
      <c r="N19" s="117">
        <f t="shared" si="0"/>
        <v>0</v>
      </c>
      <c r="O19" s="118">
        <f t="shared" si="1"/>
        <v>0</v>
      </c>
      <c r="P19" s="119">
        <f t="shared" si="2"/>
        <v>0</v>
      </c>
      <c r="Q19" s="114">
        <v>120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16"/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  <c r="Q20" s="114">
        <v>120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3"/>
        <v>0</v>
      </c>
      <c r="J21" s="116"/>
      <c r="K21" s="1">
        <f t="shared" si="4"/>
        <v>0</v>
      </c>
      <c r="L21" s="104">
        <f t="shared" si="5"/>
        <v>0</v>
      </c>
      <c r="M21" s="117">
        <f t="shared" si="6"/>
        <v>0</v>
      </c>
      <c r="N21" s="117">
        <f t="shared" si="0"/>
        <v>0</v>
      </c>
      <c r="O21" s="118">
        <f t="shared" si="1"/>
        <v>0</v>
      </c>
      <c r="P21" s="119">
        <f t="shared" si="2"/>
        <v>0</v>
      </c>
      <c r="Q21" s="114">
        <v>120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1002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104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1003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105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168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1004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106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1005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107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168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1006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101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108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20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1007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112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168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activeCell="H11" sqref="H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1008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132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109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H16" sqref="H16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1009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133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113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166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1010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134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114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1011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135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115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zoomScale="106" zoomScaleNormal="106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1012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136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116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50" t="s">
        <v>45</v>
      </c>
      <c r="B2" s="350"/>
      <c r="C2" s="350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51" t="s">
        <v>46</v>
      </c>
      <c r="B3" s="351"/>
      <c r="C3" s="351"/>
      <c r="D3" s="182"/>
      <c r="E3" s="182"/>
      <c r="F3" s="184"/>
      <c r="G3" s="185"/>
      <c r="H3" s="182"/>
      <c r="I3" s="182"/>
      <c r="J3" s="182"/>
      <c r="K3" s="352" t="s">
        <v>47</v>
      </c>
      <c r="L3" s="352"/>
      <c r="M3" s="352"/>
      <c r="N3" s="351">
        <v>1013</v>
      </c>
      <c r="O3" s="351"/>
      <c r="P3" s="351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51" t="s">
        <v>94</v>
      </c>
      <c r="B4" s="351"/>
      <c r="C4" s="351"/>
      <c r="D4" s="182"/>
      <c r="E4" s="182"/>
      <c r="F4" s="184"/>
      <c r="G4" s="185"/>
      <c r="H4" s="182"/>
      <c r="I4" s="182"/>
      <c r="J4" s="182"/>
      <c r="K4" s="352" t="s">
        <v>49</v>
      </c>
      <c r="L4" s="352"/>
      <c r="M4" s="352"/>
      <c r="N4" s="353">
        <f ca="1">TODAY()</f>
        <v>46190</v>
      </c>
      <c r="O4" s="353"/>
      <c r="P4" s="353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4" t="s">
        <v>137</v>
      </c>
      <c r="B5" s="354"/>
      <c r="C5" s="354"/>
      <c r="D5" s="182"/>
      <c r="E5" s="182"/>
      <c r="F5" s="184"/>
      <c r="G5" s="185"/>
      <c r="H5" s="182"/>
      <c r="I5" s="182"/>
      <c r="J5" s="182"/>
      <c r="K5" s="352" t="s">
        <v>51</v>
      </c>
      <c r="L5" s="352"/>
      <c r="M5" s="352"/>
      <c r="N5" s="353">
        <f ca="1">N4-1</f>
        <v>46189</v>
      </c>
      <c r="O5" s="351"/>
      <c r="P5" s="351"/>
      <c r="Q5" s="182"/>
      <c r="R5" s="70"/>
      <c r="S5" s="71"/>
    </row>
    <row r="6" spans="1:19 16383:16384" ht="15" customHeight="1" x14ac:dyDescent="0.35">
      <c r="A6" s="352" t="s">
        <v>117</v>
      </c>
      <c r="B6" s="352"/>
      <c r="C6" s="352"/>
      <c r="D6" s="182"/>
      <c r="E6" s="182"/>
      <c r="F6" s="184"/>
      <c r="G6" s="186"/>
      <c r="H6" s="182"/>
      <c r="I6" s="182"/>
      <c r="J6" s="182"/>
      <c r="K6" s="352" t="s">
        <v>52</v>
      </c>
      <c r="L6" s="352"/>
      <c r="M6" s="352"/>
      <c r="N6" s="355" t="s">
        <v>100</v>
      </c>
      <c r="O6" s="355"/>
      <c r="P6" s="355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2"/>
      <c r="B7" s="352"/>
      <c r="C7" s="352"/>
      <c r="D7" s="187"/>
      <c r="E7" s="187"/>
      <c r="F7" s="184"/>
      <c r="G7" s="186"/>
      <c r="H7" s="187"/>
      <c r="I7" s="187"/>
      <c r="J7" s="187"/>
      <c r="K7" s="352"/>
      <c r="L7" s="352"/>
      <c r="M7" s="352"/>
      <c r="N7" s="355"/>
      <c r="O7" s="355"/>
      <c r="P7" s="355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6"/>
      <c r="B8" s="356"/>
      <c r="C8" s="356"/>
      <c r="D8" s="182"/>
      <c r="E8" s="182"/>
      <c r="F8" s="184"/>
      <c r="G8" s="186"/>
      <c r="H8" s="182"/>
      <c r="I8" s="182"/>
      <c r="J8" s="182"/>
      <c r="K8" s="352"/>
      <c r="L8" s="352"/>
      <c r="M8" s="352"/>
      <c r="N8" s="355"/>
      <c r="O8" s="355"/>
      <c r="P8" s="355"/>
      <c r="Q8" s="182"/>
      <c r="R8" s="70"/>
      <c r="S8" s="74"/>
    </row>
    <row r="9" spans="1:19 16383:16384" x14ac:dyDescent="0.35">
      <c r="A9" s="356"/>
      <c r="B9" s="356"/>
      <c r="C9" s="356"/>
      <c r="D9" s="182"/>
      <c r="E9" s="182"/>
      <c r="F9" s="184"/>
      <c r="G9" s="186"/>
      <c r="H9" s="182"/>
      <c r="I9" s="182"/>
      <c r="J9" s="182"/>
      <c r="K9" s="352"/>
      <c r="L9" s="352"/>
      <c r="M9" s="352"/>
      <c r="N9" s="355"/>
      <c r="O9" s="355"/>
      <c r="P9" s="355"/>
      <c r="Q9" s="182"/>
      <c r="R9" s="70"/>
      <c r="S9" s="74"/>
      <c r="XFD9" t="s">
        <v>55</v>
      </c>
    </row>
    <row r="10" spans="1:19 16383:16384" x14ac:dyDescent="0.35">
      <c r="A10" s="357" t="s">
        <v>95</v>
      </c>
      <c r="B10" s="189" t="s">
        <v>103</v>
      </c>
      <c r="C10" s="189"/>
      <c r="D10" s="182"/>
      <c r="E10" s="182"/>
      <c r="F10" s="184"/>
      <c r="G10" s="185"/>
      <c r="H10" s="182"/>
      <c r="I10" s="182"/>
      <c r="J10" s="182"/>
      <c r="K10" s="352" t="s">
        <v>56</v>
      </c>
      <c r="L10" s="352"/>
      <c r="M10" s="352"/>
      <c r="N10" s="351" t="s">
        <v>57</v>
      </c>
      <c r="O10" s="351"/>
      <c r="P10" s="351"/>
      <c r="Q10" s="182"/>
      <c r="R10" s="70"/>
      <c r="S10" s="71"/>
      <c r="XFD10" t="s">
        <v>58</v>
      </c>
    </row>
    <row r="11" spans="1:19 16383:16384" x14ac:dyDescent="0.35">
      <c r="A11" s="357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2" t="s">
        <v>59</v>
      </c>
      <c r="L11" s="352"/>
      <c r="M11" s="352"/>
      <c r="N11" s="351" t="s">
        <v>55</v>
      </c>
      <c r="O11" s="351"/>
      <c r="P11" s="351"/>
      <c r="Q11" s="182"/>
      <c r="R11" s="70"/>
      <c r="S11" s="71"/>
    </row>
    <row r="12" spans="1:19 16383:16384" ht="14.65" customHeight="1" x14ac:dyDescent="0.35">
      <c r="A12" s="357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2" t="s">
        <v>61</v>
      </c>
      <c r="L12" s="352"/>
      <c r="M12" s="352"/>
      <c r="N12" s="351"/>
      <c r="O12" s="351"/>
      <c r="P12" s="351"/>
      <c r="Q12" s="182"/>
      <c r="R12" s="70"/>
      <c r="S12" s="71"/>
      <c r="XFD12" t="s">
        <v>62</v>
      </c>
    </row>
    <row r="13" spans="1:19 16383:16384" ht="15" thickBot="1" x14ac:dyDescent="0.4">
      <c r="A13" s="358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9" t="s">
        <v>64</v>
      </c>
      <c r="B14" s="360"/>
      <c r="C14" s="363" t="s">
        <v>65</v>
      </c>
      <c r="D14" s="194" t="s">
        <v>2</v>
      </c>
      <c r="E14" s="195" t="s">
        <v>66</v>
      </c>
      <c r="F14" s="196" t="s">
        <v>67</v>
      </c>
      <c r="G14" s="365" t="s">
        <v>68</v>
      </c>
      <c r="H14" s="366"/>
      <c r="I14" s="367" t="s">
        <v>69</v>
      </c>
      <c r="J14" s="365" t="s">
        <v>70</v>
      </c>
      <c r="K14" s="369"/>
      <c r="L14" s="366"/>
      <c r="M14" s="367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61"/>
      <c r="B15" s="362"/>
      <c r="C15" s="364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8"/>
      <c r="J15" s="203" t="s">
        <v>78</v>
      </c>
      <c r="K15" s="205" t="s">
        <v>79</v>
      </c>
      <c r="L15" s="277">
        <v>0.18</v>
      </c>
      <c r="M15" s="368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80</v>
      </c>
      <c r="I16" s="216">
        <f>(G16*D16)*F16+H16*F16</f>
        <v>4197</v>
      </c>
      <c r="J16" s="217"/>
      <c r="K16" s="218">
        <f>I16*$K$13</f>
        <v>0</v>
      </c>
      <c r="L16" s="219">
        <f>I16*18%</f>
        <v>755.45999999999992</v>
      </c>
      <c r="M16" s="220">
        <f>I16-K16-L16</f>
        <v>3441.54</v>
      </c>
      <c r="N16" s="220">
        <f t="shared" ref="N16:N24" si="0">(M16*$N$15)+(J16*F16)*$N$15</f>
        <v>619.47719999999993</v>
      </c>
      <c r="O16" s="221">
        <f>(N16+M16)*$O$15</f>
        <v>20.305085999999999</v>
      </c>
      <c r="P16" s="219">
        <f t="shared" ref="P16:P24" si="1">M16+N16+O16</f>
        <v>4081.3222859999996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80</v>
      </c>
      <c r="I17" s="228">
        <f t="shared" ref="I17:I23" si="2">(G17*D17)*F17+H17*F17</f>
        <v>4197</v>
      </c>
      <c r="J17" s="229"/>
      <c r="K17" s="230">
        <f t="shared" ref="K17:K21" si="3">I17*$K$13</f>
        <v>0</v>
      </c>
      <c r="L17" s="219">
        <f t="shared" ref="L17:L21" si="4">I17*18%</f>
        <v>755.45999999999992</v>
      </c>
      <c r="M17" s="231">
        <f t="shared" ref="M17:M23" si="5">I17-K17-L17</f>
        <v>3441.54</v>
      </c>
      <c r="N17" s="231">
        <f t="shared" si="0"/>
        <v>619.47719999999993</v>
      </c>
      <c r="O17" s="232">
        <f t="shared" ref="O17:O24" si="6">(N17+M17)*$O$15</f>
        <v>20.305085999999999</v>
      </c>
      <c r="P17" s="233">
        <f t="shared" si="1"/>
        <v>4081.3222859999996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80</v>
      </c>
      <c r="I18" s="228">
        <f t="shared" si="2"/>
        <v>4197</v>
      </c>
      <c r="J18" s="229"/>
      <c r="K18" s="230">
        <f t="shared" si="3"/>
        <v>0</v>
      </c>
      <c r="L18" s="219">
        <f t="shared" si="4"/>
        <v>755.45999999999992</v>
      </c>
      <c r="M18" s="231">
        <f t="shared" si="5"/>
        <v>3441.54</v>
      </c>
      <c r="N18" s="231">
        <f t="shared" si="0"/>
        <v>619.47719999999993</v>
      </c>
      <c r="O18" s="232">
        <f t="shared" si="6"/>
        <v>20.305085999999999</v>
      </c>
      <c r="P18" s="233">
        <f t="shared" si="1"/>
        <v>4081.3222859999996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80</v>
      </c>
      <c r="I19" s="228">
        <f t="shared" si="2"/>
        <v>5811.2</v>
      </c>
      <c r="J19" s="229"/>
      <c r="K19" s="230">
        <f t="shared" si="3"/>
        <v>0</v>
      </c>
      <c r="L19" s="219">
        <f t="shared" si="4"/>
        <v>1046.0159999999998</v>
      </c>
      <c r="M19" s="231">
        <f t="shared" si="5"/>
        <v>4765.1840000000002</v>
      </c>
      <c r="N19" s="231">
        <f t="shared" si="0"/>
        <v>857.73311999999999</v>
      </c>
      <c r="O19" s="232">
        <f t="shared" si="6"/>
        <v>28.114585600000002</v>
      </c>
      <c r="P19" s="233">
        <f t="shared" si="1"/>
        <v>5651.0317056000004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80</v>
      </c>
      <c r="I20" s="228">
        <f t="shared" si="2"/>
        <v>5811.2</v>
      </c>
      <c r="J20" s="229"/>
      <c r="K20" s="230">
        <f t="shared" si="3"/>
        <v>0</v>
      </c>
      <c r="L20" s="219">
        <f t="shared" si="4"/>
        <v>1046.0159999999998</v>
      </c>
      <c r="M20" s="231">
        <f t="shared" si="5"/>
        <v>4765.1840000000002</v>
      </c>
      <c r="N20" s="231">
        <f t="shared" si="0"/>
        <v>857.73311999999999</v>
      </c>
      <c r="O20" s="232">
        <f t="shared" si="6"/>
        <v>28.114585600000002</v>
      </c>
      <c r="P20" s="233">
        <f t="shared" si="1"/>
        <v>5651.0317056000004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80</v>
      </c>
      <c r="I21" s="228">
        <f t="shared" si="2"/>
        <v>5811.2</v>
      </c>
      <c r="J21" s="229"/>
      <c r="K21" s="230">
        <f t="shared" si="3"/>
        <v>0</v>
      </c>
      <c r="L21" s="219">
        <f t="shared" si="4"/>
        <v>1046.0159999999998</v>
      </c>
      <c r="M21" s="231">
        <f t="shared" si="5"/>
        <v>4765.1840000000002</v>
      </c>
      <c r="N21" s="231">
        <f t="shared" si="0"/>
        <v>857.73311999999999</v>
      </c>
      <c r="O21" s="232">
        <f t="shared" si="6"/>
        <v>28.114585600000002</v>
      </c>
      <c r="P21" s="233">
        <f t="shared" si="1"/>
        <v>5651.0317056000004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/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6" t="s">
        <v>84</v>
      </c>
      <c r="B25" s="377"/>
      <c r="C25" s="378"/>
      <c r="D25" s="372"/>
      <c r="E25" s="372"/>
      <c r="F25" s="379"/>
      <c r="G25" s="249">
        <f t="shared" ref="G25:M25" si="9">SUM(G16:G24)</f>
        <v>0</v>
      </c>
      <c r="H25" s="250">
        <f t="shared" si="9"/>
        <v>480</v>
      </c>
      <c r="I25" s="251">
        <f t="shared" si="9"/>
        <v>30024.600000000002</v>
      </c>
      <c r="J25" s="252"/>
      <c r="K25" s="253">
        <f t="shared" si="9"/>
        <v>0</v>
      </c>
      <c r="L25" s="254">
        <f t="shared" si="9"/>
        <v>5404.427999999999</v>
      </c>
      <c r="M25" s="255">
        <f t="shared" si="9"/>
        <v>24620.172000000002</v>
      </c>
      <c r="N25" s="256">
        <f>SUM(N16:N24)</f>
        <v>4431.6309599999995</v>
      </c>
      <c r="O25" s="257">
        <f>SUM(O16:O24)</f>
        <v>145.25901479999999</v>
      </c>
      <c r="P25" s="258">
        <f>SUM(P16:P24)</f>
        <v>29197.061974799995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80" t="s">
        <v>85</v>
      </c>
      <c r="C28" s="381"/>
      <c r="D28" s="381"/>
      <c r="E28" s="381"/>
      <c r="F28" s="381"/>
      <c r="G28" s="381"/>
      <c r="H28" s="381"/>
      <c r="I28" s="381"/>
      <c r="J28" s="381"/>
      <c r="K28" s="381"/>
      <c r="L28" s="382"/>
      <c r="M28" s="182"/>
      <c r="N28" s="389" t="s">
        <v>86</v>
      </c>
      <c r="O28" s="390"/>
      <c r="P28" s="266">
        <f>I25</f>
        <v>30024.600000000002</v>
      </c>
      <c r="Q28" s="182"/>
    </row>
    <row r="29" spans="1:19 16384:16384" ht="15" customHeight="1" x14ac:dyDescent="0.35">
      <c r="A29" s="182"/>
      <c r="B29" s="383"/>
      <c r="C29" s="384"/>
      <c r="D29" s="384"/>
      <c r="E29" s="384"/>
      <c r="F29" s="384"/>
      <c r="G29" s="384"/>
      <c r="H29" s="384"/>
      <c r="I29" s="384"/>
      <c r="J29" s="384"/>
      <c r="K29" s="384"/>
      <c r="L29" s="385"/>
      <c r="M29" s="182"/>
      <c r="N29" s="391" t="s">
        <v>87</v>
      </c>
      <c r="O29" s="392"/>
      <c r="P29" s="268">
        <f>L25</f>
        <v>5404.427999999999</v>
      </c>
      <c r="Q29" s="182"/>
    </row>
    <row r="30" spans="1:19 16384:16384" ht="15" customHeight="1" x14ac:dyDescent="0.35">
      <c r="A30" s="182"/>
      <c r="B30" s="383"/>
      <c r="C30" s="384"/>
      <c r="D30" s="384"/>
      <c r="E30" s="384"/>
      <c r="F30" s="384"/>
      <c r="G30" s="384"/>
      <c r="H30" s="384"/>
      <c r="I30" s="384"/>
      <c r="J30" s="384"/>
      <c r="K30" s="384"/>
      <c r="L30" s="385"/>
      <c r="M30" s="182"/>
      <c r="N30" s="391" t="s">
        <v>4</v>
      </c>
      <c r="O30" s="392"/>
      <c r="P30" s="269">
        <f>K25</f>
        <v>0</v>
      </c>
      <c r="Q30" s="182"/>
    </row>
    <row r="31" spans="1:19 16384:16384" ht="15" customHeight="1" x14ac:dyDescent="0.35">
      <c r="A31" s="182"/>
      <c r="B31" s="383"/>
      <c r="C31" s="384"/>
      <c r="D31" s="384"/>
      <c r="E31" s="384"/>
      <c r="F31" s="384"/>
      <c r="G31" s="384"/>
      <c r="H31" s="384"/>
      <c r="I31" s="384"/>
      <c r="J31" s="384"/>
      <c r="K31" s="384"/>
      <c r="L31" s="385"/>
      <c r="M31" s="270"/>
      <c r="N31" s="391" t="s">
        <v>88</v>
      </c>
      <c r="O31" s="392"/>
      <c r="P31" s="268">
        <f>P28-P29-P30</f>
        <v>24620.172000000002</v>
      </c>
      <c r="Q31" s="182"/>
    </row>
    <row r="32" spans="1:19 16384:16384" ht="15" customHeight="1" x14ac:dyDescent="0.35">
      <c r="A32" s="182"/>
      <c r="B32" s="383"/>
      <c r="C32" s="384"/>
      <c r="D32" s="384"/>
      <c r="E32" s="384"/>
      <c r="F32" s="384"/>
      <c r="G32" s="384"/>
      <c r="H32" s="384"/>
      <c r="I32" s="384"/>
      <c r="J32" s="384"/>
      <c r="K32" s="384"/>
      <c r="L32" s="385"/>
      <c r="M32" s="270"/>
      <c r="N32" s="267" t="s">
        <v>89</v>
      </c>
      <c r="O32" s="271">
        <f>IF(B12="Registered",18%,22%)</f>
        <v>0.18</v>
      </c>
      <c r="P32" s="268">
        <f>N25</f>
        <v>4431.6309599999995</v>
      </c>
      <c r="Q32" s="182"/>
    </row>
    <row r="33" spans="1:17" ht="15" customHeight="1" x14ac:dyDescent="0.35">
      <c r="A33" s="182"/>
      <c r="B33" s="383"/>
      <c r="C33" s="384"/>
      <c r="D33" s="384"/>
      <c r="E33" s="384"/>
      <c r="F33" s="384"/>
      <c r="G33" s="384"/>
      <c r="H33" s="384"/>
      <c r="I33" s="384"/>
      <c r="J33" s="384"/>
      <c r="K33" s="384"/>
      <c r="L33" s="385"/>
      <c r="M33" s="270"/>
      <c r="N33" s="393" t="s">
        <v>90</v>
      </c>
      <c r="O33" s="394"/>
      <c r="P33" s="268">
        <f>P31+P32</f>
        <v>29051.802960000001</v>
      </c>
      <c r="Q33" s="182"/>
    </row>
    <row r="34" spans="1:17" ht="15" customHeight="1" thickBot="1" x14ac:dyDescent="0.4">
      <c r="A34" s="182"/>
      <c r="B34" s="386"/>
      <c r="C34" s="387"/>
      <c r="D34" s="387"/>
      <c r="E34" s="387"/>
      <c r="F34" s="387"/>
      <c r="G34" s="387"/>
      <c r="H34" s="387"/>
      <c r="I34" s="387"/>
      <c r="J34" s="387"/>
      <c r="K34" s="387"/>
      <c r="L34" s="388"/>
      <c r="M34" s="273"/>
      <c r="N34" s="272" t="s">
        <v>91</v>
      </c>
      <c r="O34" s="274">
        <f>IF(B11="Filer",0.5%,2.5%)</f>
        <v>5.0000000000000001E-3</v>
      </c>
      <c r="P34" s="268">
        <f>O34*P33</f>
        <v>145.25901480000002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70" t="s">
        <v>92</v>
      </c>
      <c r="O35" s="371"/>
      <c r="P35" s="275">
        <f>P33+P34</f>
        <v>29197.061974800003</v>
      </c>
      <c r="Q35" s="182"/>
    </row>
    <row r="36" spans="1:17" ht="15" thickBot="1" x14ac:dyDescent="0.4">
      <c r="A36" s="182"/>
      <c r="B36" s="197" t="s">
        <v>93</v>
      </c>
      <c r="C36" s="372"/>
      <c r="D36" s="372"/>
      <c r="E36" s="372"/>
      <c r="F36" s="372"/>
      <c r="G36" s="372"/>
      <c r="H36" s="372"/>
      <c r="I36" s="373"/>
      <c r="J36" s="374"/>
      <c r="K36" s="375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1014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138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118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139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119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179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140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120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141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121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142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122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H16" sqref="H16: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143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123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2" t="s">
        <v>45</v>
      </c>
      <c r="B2" s="342"/>
      <c r="C2" s="342"/>
    </row>
    <row r="3" spans="1:19 16383:16384" ht="1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9" t="s">
        <v>144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  <c r="S5" s="71"/>
    </row>
    <row r="6" spans="1:19 16383:16384" ht="15" customHeight="1" x14ac:dyDescent="0.35">
      <c r="A6" s="326" t="s">
        <v>124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6"/>
      <c r="B7" s="326"/>
      <c r="C7" s="326"/>
      <c r="F7" s="70"/>
      <c r="G7" s="74"/>
      <c r="K7" s="326"/>
      <c r="L7" s="326"/>
      <c r="M7" s="326"/>
      <c r="N7" s="339"/>
      <c r="O7" s="339"/>
      <c r="P7" s="3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  <c r="S8" s="74"/>
    </row>
    <row r="9" spans="1:19 16383:16384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  <c r="S9" s="74"/>
      <c r="XFD9" t="s">
        <v>55</v>
      </c>
    </row>
    <row r="10" spans="1:19 16383:16384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  <c r="S10" s="71"/>
      <c r="XFD10" t="s">
        <v>58</v>
      </c>
    </row>
    <row r="11" spans="1:19 16383:16384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  <c r="S11" s="71"/>
    </row>
    <row r="12" spans="1:19 16383:16384" ht="14.6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  <c r="S12" s="71"/>
      <c r="XFD12" t="s">
        <v>62</v>
      </c>
    </row>
    <row r="13" spans="1:19 16383:16384" ht="15" thickBot="1" x14ac:dyDescent="0.4">
      <c r="A13" s="325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9 16384:16384" ht="1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9 16384:16384" ht="1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9 16384:16384" ht="1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9 16384:16384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customHeight="1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6" sqref="H1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2" t="s">
        <v>45</v>
      </c>
      <c r="B2" s="342"/>
      <c r="C2" s="342"/>
      <c r="N2" s="69"/>
    </row>
    <row r="3" spans="1:18" ht="14.5" customHeight="1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</row>
    <row r="4" spans="1:18" ht="14.5" customHeight="1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</row>
    <row r="5" spans="1:18" ht="14.5" customHeight="1" x14ac:dyDescent="0.35">
      <c r="A5" s="349" t="s">
        <v>145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</row>
    <row r="6" spans="1:18" x14ac:dyDescent="0.35">
      <c r="A6" s="326" t="s">
        <v>152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</row>
    <row r="7" spans="1:18" ht="14.5" customHeight="1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R7" s="70"/>
    </row>
    <row r="8" spans="1:18" ht="14.5" customHeight="1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</row>
    <row r="9" spans="1:18" ht="14.5" customHeight="1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</row>
    <row r="10" spans="1:18" ht="14.5" customHeight="1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</row>
    <row r="11" spans="1:18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</row>
    <row r="12" spans="1:18" ht="20.5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</row>
    <row r="13" spans="1:18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7" ht="14.5" customHeight="1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7" ht="14.5" customHeight="1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7" ht="14.5" customHeight="1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7" ht="15" customHeight="1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F8" sqref="F8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2" t="s">
        <v>45</v>
      </c>
      <c r="B2" s="342"/>
      <c r="C2" s="342"/>
      <c r="N2" s="69"/>
    </row>
    <row r="3" spans="1:18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</row>
    <row r="4" spans="1:18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</row>
    <row r="5" spans="1:18" x14ac:dyDescent="0.35">
      <c r="A5" s="349" t="s">
        <v>146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</row>
    <row r="6" spans="1:18" x14ac:dyDescent="0.35">
      <c r="A6" s="326" t="s">
        <v>125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</row>
    <row r="7" spans="1:18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  <c r="R7" s="70"/>
    </row>
    <row r="8" spans="1:18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</row>
    <row r="9" spans="1:18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</row>
    <row r="10" spans="1:18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</row>
    <row r="11" spans="1:18" ht="20" customHeight="1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</row>
    <row r="12" spans="1:18" ht="17" customHeight="1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</row>
    <row r="13" spans="1:18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6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6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6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6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20" sqref="H20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2" t="s">
        <v>45</v>
      </c>
      <c r="B2" s="342"/>
      <c r="C2" s="342"/>
      <c r="N2" s="69"/>
    </row>
    <row r="3" spans="1:18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</row>
    <row r="4" spans="1:18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</row>
    <row r="5" spans="1:18" x14ac:dyDescent="0.35">
      <c r="A5" s="349" t="s">
        <v>147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</row>
    <row r="6" spans="1:18" x14ac:dyDescent="0.35">
      <c r="A6" s="326" t="s">
        <v>126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</row>
    <row r="7" spans="1:18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  <c r="R7" s="70"/>
    </row>
    <row r="8" spans="1:18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</row>
    <row r="9" spans="1:18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</row>
    <row r="10" spans="1:18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</row>
    <row r="11" spans="1:18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</row>
    <row r="12" spans="1:18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</row>
    <row r="13" spans="1:18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0</v>
      </c>
    </row>
    <row r="29" spans="1:17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0</v>
      </c>
    </row>
    <row r="30" spans="1:17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7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0</v>
      </c>
    </row>
    <row r="32" spans="1:17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0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0" t="s">
        <v>92</v>
      </c>
      <c r="O35" s="301"/>
      <c r="P35" s="159">
        <f>P33+P34</f>
        <v>0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2" t="s">
        <v>45</v>
      </c>
      <c r="B2" s="342"/>
      <c r="C2" s="342"/>
      <c r="N2" s="69"/>
    </row>
    <row r="3" spans="1:18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</row>
    <row r="4" spans="1:18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</row>
    <row r="5" spans="1:18" x14ac:dyDescent="0.35">
      <c r="A5" s="349" t="s">
        <v>148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</row>
    <row r="6" spans="1:18" x14ac:dyDescent="0.35">
      <c r="A6" s="326" t="s">
        <v>127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</row>
    <row r="7" spans="1:18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  <c r="R7" s="70"/>
    </row>
    <row r="8" spans="1:18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</row>
    <row r="9" spans="1:18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</row>
    <row r="10" spans="1:18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</row>
    <row r="11" spans="1:18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</row>
    <row r="12" spans="1:18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</row>
    <row r="13" spans="1:18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6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6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6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6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2" t="s">
        <v>45</v>
      </c>
      <c r="B2" s="342"/>
      <c r="C2" s="342"/>
      <c r="N2" s="69"/>
    </row>
    <row r="3" spans="1:18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  <c r="R3" s="70"/>
    </row>
    <row r="4" spans="1:18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  <c r="R4" s="70"/>
    </row>
    <row r="5" spans="1:18" x14ac:dyDescent="0.35">
      <c r="A5" s="349" t="s">
        <v>149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  <c r="R5" s="70"/>
    </row>
    <row r="6" spans="1:18" x14ac:dyDescent="0.35">
      <c r="A6" s="326" t="s">
        <v>128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  <c r="R6" s="70"/>
    </row>
    <row r="7" spans="1:18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  <c r="R7" s="70"/>
    </row>
    <row r="8" spans="1:18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  <c r="R8" s="70"/>
    </row>
    <row r="9" spans="1:18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  <c r="R9" s="70"/>
    </row>
    <row r="10" spans="1:18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  <c r="R10" s="70"/>
    </row>
    <row r="11" spans="1:18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  <c r="R11" s="70"/>
    </row>
    <row r="12" spans="1:18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  <c r="R12" s="70"/>
    </row>
    <row r="13" spans="1:18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6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6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6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6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2" t="s">
        <v>45</v>
      </c>
      <c r="B2" s="342"/>
      <c r="C2" s="342"/>
      <c r="N2" s="69"/>
    </row>
    <row r="3" spans="1:17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</row>
    <row r="4" spans="1:17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</row>
    <row r="5" spans="1:17" x14ac:dyDescent="0.35">
      <c r="A5" s="349" t="s">
        <v>150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</row>
    <row r="6" spans="1:17" x14ac:dyDescent="0.35">
      <c r="A6" s="326" t="s">
        <v>129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</row>
    <row r="7" spans="1:17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</row>
    <row r="8" spans="1:17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</row>
    <row r="9" spans="1:17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</row>
    <row r="10" spans="1:17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</row>
    <row r="11" spans="1:17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</row>
    <row r="12" spans="1:17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</row>
    <row r="13" spans="1:17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15012.300000000001</v>
      </c>
    </row>
    <row r="29" spans="1:16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2702.2139999999995</v>
      </c>
    </row>
    <row r="30" spans="1:16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6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12310.086000000001</v>
      </c>
    </row>
    <row r="32" spans="1:16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14525.90148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00" t="s">
        <v>92</v>
      </c>
      <c r="O35" s="301"/>
      <c r="P35" s="159">
        <f>P33+P34</f>
        <v>14598.530987400001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2" t="s">
        <v>45</v>
      </c>
      <c r="B2" s="342"/>
      <c r="C2" s="342"/>
      <c r="N2" s="69"/>
    </row>
    <row r="3" spans="1:17" x14ac:dyDescent="0.35">
      <c r="A3" s="327" t="s">
        <v>46</v>
      </c>
      <c r="B3" s="327"/>
      <c r="C3" s="327"/>
      <c r="F3" s="70"/>
      <c r="G3" s="71"/>
      <c r="K3" s="326" t="s">
        <v>47</v>
      </c>
      <c r="L3" s="326"/>
      <c r="M3" s="326"/>
      <c r="N3" s="327">
        <v>100</v>
      </c>
      <c r="O3" s="327"/>
      <c r="P3" s="327"/>
    </row>
    <row r="4" spans="1:17" x14ac:dyDescent="0.35">
      <c r="A4" s="327" t="s">
        <v>94</v>
      </c>
      <c r="B4" s="327"/>
      <c r="C4" s="327"/>
      <c r="F4" s="70"/>
      <c r="G4" s="71"/>
      <c r="K4" s="326" t="s">
        <v>49</v>
      </c>
      <c r="L4" s="326"/>
      <c r="M4" s="326"/>
      <c r="N4" s="340">
        <f ca="1">TODAY()</f>
        <v>46190</v>
      </c>
      <c r="O4" s="340"/>
      <c r="P4" s="340"/>
    </row>
    <row r="5" spans="1:17" x14ac:dyDescent="0.35">
      <c r="A5" s="349" t="s">
        <v>151</v>
      </c>
      <c r="B5" s="349"/>
      <c r="C5" s="349"/>
      <c r="F5" s="70"/>
      <c r="G5" s="71"/>
      <c r="K5" s="326" t="s">
        <v>51</v>
      </c>
      <c r="L5" s="326"/>
      <c r="M5" s="326"/>
      <c r="N5" s="340">
        <f ca="1">N4-1</f>
        <v>46189</v>
      </c>
      <c r="O5" s="327"/>
      <c r="P5" s="327"/>
    </row>
    <row r="6" spans="1:17" x14ac:dyDescent="0.35">
      <c r="A6" s="326" t="s">
        <v>130</v>
      </c>
      <c r="B6" s="326"/>
      <c r="C6" s="326"/>
      <c r="F6" s="70"/>
      <c r="G6" s="74"/>
      <c r="K6" s="326" t="s">
        <v>52</v>
      </c>
      <c r="L6" s="326"/>
      <c r="M6" s="326"/>
      <c r="N6" s="339" t="s">
        <v>100</v>
      </c>
      <c r="O6" s="339"/>
      <c r="P6" s="339"/>
    </row>
    <row r="7" spans="1:17" x14ac:dyDescent="0.35">
      <c r="A7" s="326"/>
      <c r="B7" s="326"/>
      <c r="C7" s="326"/>
      <c r="D7" s="73"/>
      <c r="E7" s="73"/>
      <c r="F7" s="70"/>
      <c r="G7" s="74"/>
      <c r="H7" s="73"/>
      <c r="I7" s="73"/>
      <c r="J7" s="73"/>
      <c r="K7" s="326"/>
      <c r="L7" s="326"/>
      <c r="M7" s="326"/>
      <c r="N7" s="339"/>
      <c r="O7" s="339"/>
      <c r="P7" s="339"/>
      <c r="Q7" s="73"/>
    </row>
    <row r="8" spans="1:17" x14ac:dyDescent="0.35">
      <c r="A8" s="338"/>
      <c r="B8" s="338"/>
      <c r="C8" s="338"/>
      <c r="F8" s="70"/>
      <c r="G8" s="74"/>
      <c r="K8" s="326"/>
      <c r="L8" s="326"/>
      <c r="M8" s="326"/>
      <c r="N8" s="339"/>
      <c r="O8" s="339"/>
      <c r="P8" s="339"/>
    </row>
    <row r="9" spans="1:17" x14ac:dyDescent="0.35">
      <c r="A9" s="338"/>
      <c r="B9" s="338"/>
      <c r="C9" s="338"/>
      <c r="F9" s="70"/>
      <c r="G9" s="74"/>
      <c r="K9" s="326"/>
      <c r="L9" s="326"/>
      <c r="M9" s="326"/>
      <c r="N9" s="339"/>
      <c r="O9" s="339"/>
      <c r="P9" s="339"/>
    </row>
    <row r="10" spans="1:17" x14ac:dyDescent="0.35">
      <c r="A10" s="324" t="s">
        <v>95</v>
      </c>
      <c r="B10" s="75" t="s">
        <v>103</v>
      </c>
      <c r="C10" s="75"/>
      <c r="F10" s="70"/>
      <c r="G10" s="71"/>
      <c r="K10" s="326" t="s">
        <v>56</v>
      </c>
      <c r="L10" s="326"/>
      <c r="M10" s="326"/>
      <c r="N10" s="327" t="s">
        <v>57</v>
      </c>
      <c r="O10" s="327"/>
      <c r="P10" s="327"/>
    </row>
    <row r="11" spans="1:17" x14ac:dyDescent="0.35">
      <c r="A11" s="324"/>
      <c r="B11" s="76" t="s">
        <v>48</v>
      </c>
      <c r="C11" s="77" t="str">
        <f>IF($O34&gt;2.49%,"No","Yes")</f>
        <v>Yes</v>
      </c>
      <c r="F11" s="70"/>
      <c r="G11" s="71"/>
      <c r="K11" s="326" t="s">
        <v>59</v>
      </c>
      <c r="L11" s="326"/>
      <c r="M11" s="326"/>
      <c r="N11" s="327" t="s">
        <v>55</v>
      </c>
      <c r="O11" s="327"/>
      <c r="P11" s="327"/>
    </row>
    <row r="12" spans="1:17" x14ac:dyDescent="0.35">
      <c r="A12" s="3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6" t="s">
        <v>61</v>
      </c>
      <c r="L12" s="326"/>
      <c r="M12" s="326"/>
      <c r="N12" s="327"/>
      <c r="O12" s="327"/>
      <c r="P12" s="327"/>
    </row>
    <row r="13" spans="1:17" ht="15" thickBot="1" x14ac:dyDescent="0.4">
      <c r="A13" s="325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8" t="s">
        <v>64</v>
      </c>
      <c r="B14" s="329"/>
      <c r="C14" s="332" t="s">
        <v>65</v>
      </c>
      <c r="D14" s="80" t="s">
        <v>2</v>
      </c>
      <c r="E14" s="81" t="s">
        <v>66</v>
      </c>
      <c r="F14" s="82" t="s">
        <v>67</v>
      </c>
      <c r="G14" s="344" t="s">
        <v>68</v>
      </c>
      <c r="H14" s="345"/>
      <c r="I14" s="346" t="s">
        <v>69</v>
      </c>
      <c r="J14" s="344" t="s">
        <v>70</v>
      </c>
      <c r="K14" s="348"/>
      <c r="L14" s="345"/>
      <c r="M14" s="346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0"/>
      <c r="B15" s="331"/>
      <c r="C15" s="3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7"/>
      <c r="J15" s="88" t="s">
        <v>78</v>
      </c>
      <c r="K15" s="90" t="s">
        <v>79</v>
      </c>
      <c r="L15" s="276">
        <v>0.18</v>
      </c>
      <c r="M15" s="347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6" t="s">
        <v>84</v>
      </c>
      <c r="B25" s="307"/>
      <c r="C25" s="308"/>
      <c r="D25" s="302"/>
      <c r="E25" s="302"/>
      <c r="F25" s="343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9" t="s">
        <v>85</v>
      </c>
      <c r="C28" s="310"/>
      <c r="D28" s="310"/>
      <c r="E28" s="310"/>
      <c r="F28" s="310"/>
      <c r="G28" s="310"/>
      <c r="H28" s="310"/>
      <c r="I28" s="310"/>
      <c r="J28" s="310"/>
      <c r="K28" s="310"/>
      <c r="L28" s="311"/>
      <c r="N28" s="318" t="s">
        <v>86</v>
      </c>
      <c r="O28" s="319"/>
      <c r="P28" s="151">
        <f>I25</f>
        <v>30024.600000000002</v>
      </c>
    </row>
    <row r="29" spans="1:16" x14ac:dyDescent="0.35">
      <c r="B29" s="312"/>
      <c r="C29" s="313"/>
      <c r="D29" s="313"/>
      <c r="E29" s="313"/>
      <c r="F29" s="313"/>
      <c r="G29" s="313"/>
      <c r="H29" s="313"/>
      <c r="I29" s="313"/>
      <c r="J29" s="313"/>
      <c r="K29" s="313"/>
      <c r="L29" s="314"/>
      <c r="N29" s="320" t="s">
        <v>87</v>
      </c>
      <c r="O29" s="321"/>
      <c r="P29" s="152">
        <f>L25</f>
        <v>5404.427999999999</v>
      </c>
    </row>
    <row r="30" spans="1:16" x14ac:dyDescent="0.35">
      <c r="B30" s="312"/>
      <c r="C30" s="313"/>
      <c r="D30" s="313"/>
      <c r="E30" s="313"/>
      <c r="F30" s="313"/>
      <c r="G30" s="313"/>
      <c r="H30" s="313"/>
      <c r="I30" s="313"/>
      <c r="J30" s="313"/>
      <c r="K30" s="313"/>
      <c r="L30" s="314"/>
      <c r="N30" s="320" t="s">
        <v>4</v>
      </c>
      <c r="O30" s="321"/>
      <c r="P30" s="153">
        <f>K25</f>
        <v>0</v>
      </c>
    </row>
    <row r="31" spans="1:16" x14ac:dyDescent="0.35">
      <c r="B31" s="312"/>
      <c r="C31" s="313"/>
      <c r="D31" s="313"/>
      <c r="E31" s="313"/>
      <c r="F31" s="313"/>
      <c r="G31" s="313"/>
      <c r="H31" s="313"/>
      <c r="I31" s="313"/>
      <c r="J31" s="313"/>
      <c r="K31" s="313"/>
      <c r="L31" s="314"/>
      <c r="M31" s="2"/>
      <c r="N31" s="320" t="s">
        <v>88</v>
      </c>
      <c r="O31" s="321"/>
      <c r="P31" s="152">
        <f>P28-P29-P30</f>
        <v>24620.172000000002</v>
      </c>
    </row>
    <row r="32" spans="1:16" x14ac:dyDescent="0.35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4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x14ac:dyDescent="0.35">
      <c r="B33" s="312"/>
      <c r="C33" s="313"/>
      <c r="D33" s="313"/>
      <c r="E33" s="313"/>
      <c r="F33" s="313"/>
      <c r="G33" s="313"/>
      <c r="H33" s="313"/>
      <c r="I33" s="313"/>
      <c r="J33" s="313"/>
      <c r="K33" s="313"/>
      <c r="L33" s="314"/>
      <c r="M33" s="2"/>
      <c r="N33" s="322" t="s">
        <v>90</v>
      </c>
      <c r="O33" s="323"/>
      <c r="P33" s="152">
        <f>P31+P32</f>
        <v>29051.802960000001</v>
      </c>
    </row>
    <row r="34" spans="2:16" ht="15" thickBot="1" x14ac:dyDescent="0.4">
      <c r="B34" s="315"/>
      <c r="C34" s="316"/>
      <c r="D34" s="316"/>
      <c r="E34" s="316"/>
      <c r="F34" s="316"/>
      <c r="G34" s="316"/>
      <c r="H34" s="316"/>
      <c r="I34" s="316"/>
      <c r="J34" s="316"/>
      <c r="K34" s="316"/>
      <c r="L34" s="317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" thickBot="1" x14ac:dyDescent="0.4">
      <c r="N35" s="300" t="s">
        <v>92</v>
      </c>
      <c r="O35" s="301"/>
      <c r="P35" s="159">
        <f>P33+P34</f>
        <v>29197.061974800003</v>
      </c>
    </row>
    <row r="36" spans="2:16" ht="15" thickBot="1" x14ac:dyDescent="0.4">
      <c r="B36" s="160" t="s">
        <v>93</v>
      </c>
      <c r="C36" s="302"/>
      <c r="D36" s="302"/>
      <c r="E36" s="302"/>
      <c r="F36" s="302"/>
      <c r="G36" s="302"/>
      <c r="H36" s="302"/>
      <c r="I36" s="303"/>
      <c r="J36" s="304"/>
      <c r="K36" s="305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1"/>
  <sheetViews>
    <sheetView workbookViewId="0">
      <selection activeCell="G10" sqref="G1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2026-06-17T12:50:25Z</dcterms:modified>
</cp:coreProperties>
</file>