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77D7055F-E6F5-440D-A0C7-20BF354A831A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09-06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'09-06'!$K$3:$P$6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16" l="1"/>
  <c r="H17" i="16"/>
  <c r="H16" i="16"/>
  <c r="L22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K18" i="16"/>
  <c r="K18" i="15" s="1"/>
  <c r="L18" i="16"/>
  <c r="K16" i="16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5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8" i="15" l="1"/>
  <c r="M21" i="15"/>
  <c r="M16" i="15"/>
  <c r="M18" i="16"/>
  <c r="N18" i="16" s="1"/>
  <c r="O18" i="16" s="1"/>
  <c r="O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N18" i="15" l="1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<sst xmlns="http://schemas.openxmlformats.org/spreadsheetml/2006/main" count="1599" uniqueCount="127">
  <si>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</si>
  <si>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</si>
  <si>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</si>
  <si>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</si>
  <si>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</si>
  <si>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</si>
  <si>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</si>
  <si>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</si>
  <si>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</si>
  <si>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</si>
  <si>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</si>
  <si>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</si>
  <si>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</si>
  <si>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</si>
  <si>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</si>
  <si>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</si>
  <si>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</si>
  <si>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</si>
  <si>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</si>
  <si>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</si>
  <si>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</si>
  <si>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</si>
  <si>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</si>
  <si>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</si>
  <si>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</si>
  <si>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</si>
  <si>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</si>
  <si>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</si>
  <si>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</si>
  <si>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</si>
  <si>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</si>
  <si>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</si>
  <si>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</si>
  <si>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</si>
  <si>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</si>
  <si>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</si>
  <si>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</si>
  <si>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</si>
  <si>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</si>
  <si>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</si>
  <si>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</si>
  <si>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</si>
  <si>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</si>
  <si>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</si>
  <si>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</si>
  <si>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</si>
  <si>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</si>
  <si>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</si>
  <si>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</si>
  <si>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</si>
  <si>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</si>
  <si>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</si>
  <si>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</si>
  <si>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</si>
  <si>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</si>
  <si>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</si>
  <si>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</si>
  <si>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</si>
  <si>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</si>
  <si>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</si>
  <si>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</si>
  <si>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</si>
  <si>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</si>
  <si>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</si>
  <si>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</si>
  <si>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</si>
  <si>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</si>
  <si>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</si>
  <si>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</si>
  <si>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</si>
  <si>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</si>
  <si>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</si>
  <si>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</si>
  <si>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</si>
  <si>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</si>
  <si>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</si>
  <si>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</si>
  <si>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</si>
  <si>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</si>
  <si>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</si>
  <si>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</si>
  <si>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</si>
  <si>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</si>
  <si>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</si>
  <si>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</si>
  <si>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</si>
  <si>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</si>
  <si>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</si>
  <si>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</si>
  <si>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</si>
  <si>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</si>
  <si>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</si>
  <si>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</si>
  <si>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</si>
  <si>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</si>
  <si>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</si>
  <si>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</si>
  <si>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</si>
  <si>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</si>
  <si>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</si>
  <si>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</si>
  <si>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</si>
  <si>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</si>
  <si>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</si>
  <si>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</si>
  <si>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</si>
  <si>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</si>
  <si>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</si>
  <si>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</si>
  <si>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</si>
  <si>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</si>
  <si>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</si>
  <si>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</si>
  <si>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</si>
  <si>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</si>
  <si>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</si>
  <si>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</si>
  <si>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</si>
  <si>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</si>
  <si>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</si>
  <si>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</si>
  <si>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shakoor</t>
  </si>
  <si>
    <t>Shop Bill Summary (Shakoor SB)</t>
  </si>
  <si>
    <t xml:space="preserve">Customer Name : Zabaida Associates </t>
  </si>
  <si>
    <t>Address: LHR, punjab 5400 PAK</t>
  </si>
  <si>
    <t>4269497-3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</si>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</sst>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0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121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122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+'09-06'!A5</f>
        <v xml:space="preserve">Customer Name : Zabaida Associates </v>
      </c>
      <c r="U14" s="164">
        <f>+'09-06'!P35</f>
        <v>516442.37303999998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+'09-06'!H16+'2'!H16+'4'!H16+'3'!H16+'5'!H16+'6'!H16+'7'!H16+'8'!H16+'9'!H16+'10'!H16+'11'!H16+'12'!H16</f>
        <v>1200</v>
      </c>
      <c r="I16" s="1">
        <f>(G16*D16)*F16+H16*F16</f>
        <v>62955</v>
      </c>
      <c r="J16" s="172">
        <f>+'09-06'!J16+'2'!J16+'4'!J16+'3'!J16+'5'!J16+'6'!J16+'7'!J16+'8'!J16+'9'!J16+'10'!J16+'11'!J16+'12'!J16</f>
        <v>0</v>
      </c>
      <c r="K16" s="172">
        <f>+'09-06'!K16+'2'!K16+'4'!K16+'3'!K16+'5'!K16+'6'!K16+'7'!K16+'8'!K16+'9'!K16+'10'!K16</f>
        <v>0</v>
      </c>
      <c r="L16" s="175">
        <f>+'09-06'!L16+'2'!L16+'4'!L16+'3'!L16+'5'!L16+'6'!L16+'7'!L16+'8'!L16+'9'!L16+'10'!L16</f>
        <v>11331.9</v>
      </c>
      <c r="M16" s="106">
        <f>I16-K16-L16</f>
        <v>51623.1</v>
      </c>
      <c r="N16" s="101">
        <f>+'09-06'!N16+'2'!N16+'4'!N16+'3'!N16+'5'!N16+'6'!N16+'7'!N16+'8'!N16+'9'!N16+'10'!N16</f>
        <v>9292.1579999999994</v>
      </c>
      <c r="O16" s="101">
        <f>+'09-06'!O16+'2'!O16+'4'!O16+'3'!O16+'5'!O16+'6'!O16+'7'!O16+'8'!O16+'9'!O16+'10'!O16</f>
        <v>304.57629000000003</v>
      </c>
      <c r="P16" s="105">
        <f t="shared" ref="P16:P24" si="0">M16+N16+O16</f>
        <v>61219.834289999999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+'09-06'!H17+'2'!H17+'4'!H17+'3'!H17+'5'!H17+'6'!H17+'7'!H17+'8'!H17+'9'!H17+'10'!H17+'11'!H17+'12'!H17</f>
        <v>1200</v>
      </c>
      <c r="I17" s="1">
        <f t="shared" ref="I17:I23" si="1">(G17*D17)*F17+H17*F17</f>
        <v>62955</v>
      </c>
      <c r="J17" s="172">
        <f>+'09-06'!J17+'2'!J17+'4'!J17+'3'!J17+'5'!J17+'6'!J17+'7'!J17+'8'!J17+'9'!J17+'10'!J17+'11'!J17+'12'!J17</f>
        <v>0</v>
      </c>
      <c r="K17" s="172">
        <f>+'09-06'!K17+'2'!K17+'4'!K17+'3'!K17+'5'!K17+'6'!K17+'7'!K17+'8'!K17+'9'!K17+'10'!K17</f>
        <v>0</v>
      </c>
      <c r="L17" s="175">
        <f>+'09-06'!L17+'2'!L17+'4'!L17+'3'!L17+'5'!L17+'6'!L17+'7'!L17+'8'!L17+'9'!L17+'10'!L17</f>
        <v>11331.9</v>
      </c>
      <c r="M17" s="118">
        <f t="shared" ref="M17:M23" si="2">I17-K17-L17</f>
        <v>51623.1</v>
      </c>
      <c r="N17" s="101">
        <f>+'09-06'!N17+'2'!N17+'4'!N17+'3'!N17+'5'!N17+'6'!N17+'7'!N17+'8'!N17+'9'!N17+'10'!N17</f>
        <v>9292.1579999999994</v>
      </c>
      <c r="O17" s="101">
        <f>+'09-06'!O17+'2'!O17+'4'!O17+'3'!O17+'5'!O17+'6'!O17+'7'!O17+'8'!O17+'9'!O17+'10'!O17</f>
        <v>304.57629000000003</v>
      </c>
      <c r="P17" s="120">
        <f t="shared" si="0"/>
        <v>61219.834289999999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+'09-06'!H18+'2'!H18+'4'!H18+'3'!H18+'5'!H18+'6'!H18+'7'!H18+'8'!H18+'9'!H18+'10'!H18+'11'!H18+'12'!H18</f>
        <v>800</v>
      </c>
      <c r="I18" s="1">
        <f t="shared" si="1"/>
        <v>41970</v>
      </c>
      <c r="J18" s="172">
        <f>+'09-06'!J18+'2'!J18+'4'!J18+'3'!J18+'5'!J18+'6'!J18+'7'!J18+'8'!J18+'9'!J18+'10'!J18+'11'!J18+'12'!J18</f>
        <v>0</v>
      </c>
      <c r="K18" s="172">
        <f>+'09-06'!K18+'2'!K18+'4'!K18+'3'!K18+'5'!K18+'6'!K18+'7'!K18+'8'!K18+'9'!K18+'10'!K18</f>
        <v>0</v>
      </c>
      <c r="L18" s="175">
        <f>+'09-06'!L18+'2'!L18+'4'!L18+'3'!L18+'5'!L18+'6'!L18+'7'!L18+'8'!L18+'9'!L18+'10'!L18</f>
        <v>7554.5999999999995</v>
      </c>
      <c r="M18" s="118">
        <f t="shared" si="2"/>
        <v>34415.4</v>
      </c>
      <c r="N18" s="101">
        <f>+'09-06'!N18+'2'!N18+'4'!N18+'3'!N18+'5'!N18+'6'!N18+'7'!N18+'8'!N18+'9'!N18+'10'!N18</f>
        <v>6194.7719999999999</v>
      </c>
      <c r="O18" s="101">
        <f>+'09-06'!O18+'2'!O18+'4'!O18+'3'!O18+'5'!O18+'6'!O18+'7'!O18+'8'!O18+'9'!O18+'10'!O18</f>
        <v>203.05086</v>
      </c>
      <c r="P18" s="120">
        <f t="shared" si="0"/>
        <v>40813.222860000002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+'09-06'!H19+'2'!H19+'4'!H19+'3'!H19+'5'!H19+'6'!H19+'7'!H19+'8'!H19+'9'!H19+'10'!H19+'11'!H19+'12'!H19</f>
        <v>1600</v>
      </c>
      <c r="I19" s="1">
        <f t="shared" si="1"/>
        <v>116224</v>
      </c>
      <c r="J19" s="172">
        <f>+'09-06'!J19+'2'!J19+'4'!J19+'3'!J19+'5'!J19+'6'!J19+'7'!J19+'8'!J19+'9'!J19+'10'!J19+'11'!J19+'12'!J19</f>
        <v>0</v>
      </c>
      <c r="K19" s="172">
        <f>+'09-06'!K19+'2'!K19+'4'!K19+'3'!K19+'5'!K19+'6'!K19+'7'!K19+'8'!K19+'9'!K19+'10'!K19</f>
        <v>0</v>
      </c>
      <c r="L19" s="175">
        <f>+'09-06'!L19+'2'!L19+'4'!L19+'3'!L19+'5'!L19+'6'!L19+'7'!L19+'8'!L19+'9'!L19+'10'!L19</f>
        <v>20920.32</v>
      </c>
      <c r="M19" s="118">
        <f t="shared" si="2"/>
        <v>95303.679999999993</v>
      </c>
      <c r="N19" s="101">
        <f>+'09-06'!N19+'2'!N19+'4'!N19+'3'!N19+'5'!N19+'6'!N19+'7'!N19+'8'!N19+'9'!N19+'10'!N19</f>
        <v>17154.662399999997</v>
      </c>
      <c r="O19" s="101">
        <f>+'09-06'!O19+'2'!O19+'4'!O19+'3'!O19+'5'!O19+'6'!O19+'7'!O19+'8'!O19+'9'!O19+'10'!O19</f>
        <v>562.29171199999996</v>
      </c>
      <c r="P19" s="120">
        <f t="shared" si="0"/>
        <v>113020.634112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+'09-06'!H20+'2'!H20+'4'!H20+'3'!H20+'5'!H20+'6'!H20+'7'!H20+'8'!H20+'9'!H20+'10'!H20+'11'!H20+'12'!H20</f>
        <v>1800</v>
      </c>
      <c r="I20" s="1">
        <f t="shared" si="1"/>
        <v>130752</v>
      </c>
      <c r="J20" s="172">
        <f>+'09-06'!J20+'2'!J20+'4'!J20+'3'!J20+'5'!J20+'6'!J20+'7'!J20+'8'!J20+'9'!J20+'10'!J20+'11'!J20+'12'!J20</f>
        <v>0</v>
      </c>
      <c r="K20" s="172">
        <f>+'09-06'!K20+'2'!K20+'4'!K20+'3'!K20+'5'!K20+'6'!K20+'7'!K20+'8'!K20+'9'!K20+'10'!K20</f>
        <v>0</v>
      </c>
      <c r="L20" s="175">
        <f>+'09-06'!L20+'2'!L20+'4'!L20+'3'!L20+'5'!L20+'6'!L20+'7'!L20+'8'!L20+'9'!L20+'10'!L20</f>
        <v>23535.360000000001</v>
      </c>
      <c r="M20" s="118">
        <f t="shared" si="2"/>
        <v>107216.64</v>
      </c>
      <c r="N20" s="101">
        <f>+'09-06'!N20+'2'!N20+'4'!N20+'3'!N20+'5'!N20+'6'!N20+'7'!N20+'8'!N20+'9'!N20+'10'!N20</f>
        <v>19298.995199999998</v>
      </c>
      <c r="O20" s="101">
        <f>+'09-06'!O20+'2'!O20+'4'!O20+'3'!O20+'5'!O20+'6'!O20+'7'!O20+'8'!O20+'9'!O20+'10'!O20</f>
        <v>632.57817599999998</v>
      </c>
      <c r="P20" s="120">
        <f t="shared" si="0"/>
        <v>127148.21337599999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+'09-06'!H21+'2'!H21+'4'!H21+'3'!H21+'5'!H21+'6'!H21+'7'!H21+'8'!H21+'9'!H21+'10'!H21+'11'!H21+'12'!H21</f>
        <v>1600</v>
      </c>
      <c r="I21" s="1">
        <f t="shared" si="1"/>
        <v>116224</v>
      </c>
      <c r="J21" s="172">
        <f>+'09-06'!J21+'2'!J21+'4'!J21+'3'!J21+'5'!J21+'6'!J21+'7'!J21+'8'!J21+'9'!J21+'10'!J21+'11'!J21+'12'!J21</f>
        <v>0</v>
      </c>
      <c r="K21" s="172">
        <f>+'09-06'!K21+'2'!K21+'4'!K21+'3'!K21+'5'!K21+'6'!K21+'7'!K21+'8'!K21+'9'!K21+'10'!K21</f>
        <v>0</v>
      </c>
      <c r="L21" s="175">
        <f>+'09-06'!L21+'2'!L21+'4'!L21+'3'!L21+'5'!L21+'6'!L21+'7'!L21+'8'!L21+'9'!L21+'10'!L21</f>
        <v>20920.32</v>
      </c>
      <c r="M21" s="118">
        <f t="shared" si="2"/>
        <v>95303.679999999993</v>
      </c>
      <c r="N21" s="101">
        <f>+'09-06'!N21+'2'!N21+'4'!N21+'3'!N21+'5'!N21+'6'!N21+'7'!N21+'8'!N21+'9'!N21+'10'!N21</f>
        <v>17154.662399999997</v>
      </c>
      <c r="O21" s="101">
        <f>+'09-06'!O21+'2'!O21+'4'!O21+'3'!O21+'5'!O21+'6'!O21+'7'!O21+'8'!O21+'9'!O21+'10'!O21</f>
        <v>562.29171199999996</v>
      </c>
      <c r="P21" s="120">
        <f t="shared" si="0"/>
        <v>113020.634112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+'09-06'!H22+'2'!H22+'4'!H22+'3'!H22+'5'!H22+'6'!H22+'7'!H22+'8'!H22+'9'!H22+'10'!H22+'11'!H22+'12'!H22</f>
        <v>0</v>
      </c>
      <c r="I22" s="1">
        <f t="shared" si="1"/>
        <v>0</v>
      </c>
      <c r="J22" s="172">
        <f>+'09-06'!J22+'2'!J22+'4'!J22+'3'!J22+'5'!J22+'6'!J22+'7'!J22+'8'!J22+'9'!J22+'10'!J22+'11'!J22+'12'!J22</f>
        <v>0</v>
      </c>
      <c r="K22" s="172">
        <f>+'09-06'!K22+'2'!K22+'4'!K22+'3'!K22+'5'!K22+'6'!K22+'7'!K22+'8'!K22+'9'!K22+'10'!K22</f>
        <v>0</v>
      </c>
      <c r="L22" s="175">
        <f>+'09-06'!L22+'2'!L22+'4'!L22+'3'!L22+'5'!L22+'6'!L22+'7'!L22+'8'!L22+'9'!L22+'10'!L22</f>
        <v>0</v>
      </c>
      <c r="M22" s="118">
        <f t="shared" si="2"/>
        <v>0</v>
      </c>
      <c r="N22" s="101">
        <f>+'09-06'!N22+'2'!N22+'4'!N22+'3'!N22+'5'!N22+'6'!N22+'7'!N22+'8'!N22+'9'!N22+'10'!N22</f>
        <v>0</v>
      </c>
      <c r="O22" s="101">
        <f>+'09-06'!O22+'2'!O22+'4'!O22+'3'!O22+'5'!O22+'6'!O22+'7'!O22+'8'!O22+'9'!O22+'10'!O22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+'09-06'!H23+'2'!H23+'4'!H23+'3'!H23+'5'!H23+'6'!H23+'7'!H23+'8'!H23+'9'!H23+'10'!H23+'11'!H23+'12'!H23</f>
        <v>0</v>
      </c>
      <c r="I23" s="1">
        <f t="shared" si="1"/>
        <v>0</v>
      </c>
      <c r="J23" s="172">
        <f>+'09-06'!J23+'2'!J23+'4'!J23+'3'!J23+'5'!J23+'6'!J23+'7'!J23+'8'!J23+'9'!J23+'10'!J23+'11'!J23+'12'!J23</f>
        <v>0</v>
      </c>
      <c r="K23" s="172">
        <f>+'09-06'!K23+'2'!K23+'4'!K23+'3'!K23+'5'!K23+'6'!K23+'7'!K23+'8'!K23+'9'!K23+'10'!K23</f>
        <v>0</v>
      </c>
      <c r="L23" s="175">
        <f>+'09-06'!L23+'2'!L23+'4'!L23+'3'!L23+'5'!L23+'6'!L23+'7'!L23+'8'!L23+'9'!L23+'10'!L23</f>
        <v>0</v>
      </c>
      <c r="M23" s="118">
        <f t="shared" si="2"/>
        <v>0</v>
      </c>
      <c r="N23" s="101">
        <f>+'09-06'!N23+'2'!N23+'4'!N23+'3'!N23+'5'!N23+'6'!N23+'7'!N23+'8'!N23+'9'!N23+'10'!N23</f>
        <v>0</v>
      </c>
      <c r="O23" s="101">
        <f>+'09-06'!O23+'2'!O23+'4'!O23+'3'!O23+'5'!O23+'6'!O23+'7'!O23+'8'!O23+'9'!O23+'10'!O23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+'09-06'!H24+'2'!H24+'4'!H24+'3'!H24+'5'!H24+'6'!H24+'7'!H24+'8'!H24+'9'!H24+'10'!H24+'11'!H24+'12'!H24</f>
        <v>0</v>
      </c>
      <c r="I24" s="1">
        <f>(G24*D24)*F24+H24*F24</f>
        <v>0</v>
      </c>
      <c r="J24" s="172">
        <f>+'09-06'!J24+'2'!J24+'4'!J24+'3'!J24+'5'!J24+'6'!J24+'7'!J24+'8'!J24+'9'!J24+'10'!J24+'11'!J24+'12'!J24</f>
        <v>0</v>
      </c>
      <c r="K24" s="172">
        <f>+'09-06'!K24+'2'!K24+'4'!K24+'3'!K24+'5'!K24+'6'!K24+'7'!K24+'8'!K24+'9'!K24+'10'!K24</f>
        <v>0</v>
      </c>
      <c r="L24" s="175">
        <f>+'09-06'!L24+'2'!L24+'4'!L24+'3'!L24+'5'!L24+'6'!L24+'7'!L24+'8'!L24+'9'!L24+'10'!L24</f>
        <v>0</v>
      </c>
      <c r="M24" s="133">
        <f>I24-K24-L24</f>
        <v>0</v>
      </c>
      <c r="N24" s="101">
        <f>+'09-06'!N24+'2'!N24+'4'!N24+'3'!N24+'5'!N24+'6'!N24+'7'!N24+'8'!N24+'9'!N24+'10'!N24</f>
        <v>0</v>
      </c>
      <c r="O24" s="101">
        <f>+'09-06'!O24+'2'!O24+'4'!O24+'3'!O24+'5'!O24+'6'!O24+'7'!O24+'8'!O24+'9'!O24+'10'!O24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>
        <f>H25/40</f>
        <v>205</v>
      </c>
      <c r="D25" s="209"/>
      <c r="E25" s="209"/>
      <c r="F25" s="209"/>
      <c r="G25" s="176">
        <f t="shared" ref="G25:M25" si="3">SUM(G16:G24)</f>
        <v>0</v>
      </c>
      <c r="H25" s="177">
        <f t="shared" si="3"/>
        <v>8200</v>
      </c>
      <c r="I25" s="178">
        <f t="shared" si="3"/>
        <v>531080</v>
      </c>
      <c r="J25" s="177">
        <f t="shared" si="3"/>
        <v>0</v>
      </c>
      <c r="K25" s="178">
        <f t="shared" si="3"/>
        <v>0</v>
      </c>
      <c r="L25" s="179">
        <f t="shared" si="3"/>
        <v>95594.4</v>
      </c>
      <c r="M25" s="141">
        <f t="shared" si="3"/>
        <v>435485.6</v>
      </c>
      <c r="N25" s="142">
        <f>SUM(N16:N24)</f>
        <v>78387.407999999996</v>
      </c>
      <c r="O25" s="143">
        <f>SUM(O16:O24)</f>
        <v>2569.3650399999997</v>
      </c>
      <c r="P25" s="144">
        <f>SUM(P16:P24)</f>
        <v>516442.37304000003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516442.37303999998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531080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95594.4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435485.6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78387.407999999996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513873.00799999997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12846.825199999999</v>
      </c>
    </row>
    <row r="35" spans="2:16" ht="15.75" customHeight="1" thickBot="1" x14ac:dyDescent="0.4">
      <c r="N35" s="207" t="s">
        <v>92</v>
      </c>
      <c r="O35" s="208"/>
      <c r="P35" s="160">
        <f>P33+P34</f>
        <v>526719.83319999999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tabSelected="1" workbookViewId="0">
      <selection activeCell="I2" sqref="I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A1" t="s">
        <v>126</v>
      </c>
    </row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1001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124</v>
      </c>
      <c r="B6" s="233"/>
      <c r="C6" s="233"/>
      <c r="F6" s="70"/>
      <c r="G6" s="74"/>
      <c r="K6" s="233" t="s">
        <v>52</v>
      </c>
      <c r="L6" s="233"/>
      <c r="M6" s="233"/>
      <c r="N6" s="246" t="s">
        <v>105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125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600+600</f>
        <v>1200</v>
      </c>
      <c r="I16" s="102">
        <f>(G16*D16)*F16+H16*F16</f>
        <v>62955</v>
      </c>
      <c r="J16" s="103"/>
      <c r="K16" s="104">
        <f>I16*$K$13</f>
        <v>0</v>
      </c>
      <c r="L16" s="105">
        <f>I16*18%</f>
        <v>11331.9</v>
      </c>
      <c r="M16" s="106">
        <f>I16-K16-L16</f>
        <v>51623.1</v>
      </c>
      <c r="N16" s="106">
        <f t="shared" ref="N16:N24" si="0">(M16*$N$15)+(J16*F16)*$N$15</f>
        <v>9292.1579999999994</v>
      </c>
      <c r="O16" s="107">
        <f t="shared" ref="O16:O24" si="1">(N16+M16)*$O$15</f>
        <v>304.57629000000003</v>
      </c>
      <c r="P16" s="105">
        <f t="shared" ref="P16:P24" si="2">M16+N16+O16</f>
        <v>61219.834289999999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600+600</f>
        <v>1200</v>
      </c>
      <c r="I17" s="116">
        <f t="shared" ref="I17:I23" si="3">(G17*D17)*F17+H17*F17</f>
        <v>62955</v>
      </c>
      <c r="J17" s="117"/>
      <c r="K17" s="1">
        <f t="shared" ref="K17:K21" si="4">I17*$K$13</f>
        <v>0</v>
      </c>
      <c r="L17" s="105">
        <f t="shared" ref="L17:L22" si="5">I17*18%</f>
        <v>11331.9</v>
      </c>
      <c r="M17" s="118">
        <f t="shared" ref="M17:M23" si="6">I17-K17-L17</f>
        <v>51623.1</v>
      </c>
      <c r="N17" s="118">
        <f t="shared" si="0"/>
        <v>9292.1579999999994</v>
      </c>
      <c r="O17" s="119">
        <f t="shared" si="1"/>
        <v>304.57629000000003</v>
      </c>
      <c r="P17" s="120">
        <f t="shared" si="2"/>
        <v>61219.834289999999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800</v>
      </c>
      <c r="I18" s="116">
        <f t="shared" si="3"/>
        <v>41970</v>
      </c>
      <c r="J18" s="117"/>
      <c r="K18" s="1">
        <f t="shared" si="4"/>
        <v>0</v>
      </c>
      <c r="L18" s="105">
        <f t="shared" si="5"/>
        <v>7554.5999999999995</v>
      </c>
      <c r="M18" s="118">
        <f t="shared" si="6"/>
        <v>34415.4</v>
      </c>
      <c r="N18" s="118">
        <f t="shared" si="0"/>
        <v>6194.7719999999999</v>
      </c>
      <c r="O18" s="119">
        <f t="shared" si="1"/>
        <v>203.05086</v>
      </c>
      <c r="P18" s="120">
        <f t="shared" si="2"/>
        <v>40813.222860000002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1600</v>
      </c>
      <c r="I19" s="116">
        <f t="shared" si="3"/>
        <v>116224</v>
      </c>
      <c r="J19" s="117"/>
      <c r="K19" s="1">
        <f t="shared" si="4"/>
        <v>0</v>
      </c>
      <c r="L19" s="105">
        <f t="shared" si="5"/>
        <v>20920.32</v>
      </c>
      <c r="M19" s="118">
        <f t="shared" si="6"/>
        <v>95303.679999999993</v>
      </c>
      <c r="N19" s="118">
        <f t="shared" si="0"/>
        <v>17154.662399999997</v>
      </c>
      <c r="O19" s="119">
        <f t="shared" si="1"/>
        <v>562.29171199999996</v>
      </c>
      <c r="P19" s="120">
        <f t="shared" si="2"/>
        <v>113020.634112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1200+600</f>
        <v>1800</v>
      </c>
      <c r="I20" s="116">
        <f t="shared" si="3"/>
        <v>130752</v>
      </c>
      <c r="J20" s="117"/>
      <c r="K20" s="1">
        <f t="shared" si="4"/>
        <v>0</v>
      </c>
      <c r="L20" s="105">
        <f t="shared" si="5"/>
        <v>23535.360000000001</v>
      </c>
      <c r="M20" s="118">
        <f t="shared" si="6"/>
        <v>107216.64</v>
      </c>
      <c r="N20" s="118">
        <f t="shared" si="0"/>
        <v>19298.995199999998</v>
      </c>
      <c r="O20" s="119">
        <f t="shared" si="1"/>
        <v>632.57817599999998</v>
      </c>
      <c r="P20" s="120">
        <f t="shared" si="2"/>
        <v>127148.21337599999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1600</v>
      </c>
      <c r="I21" s="116">
        <f t="shared" si="3"/>
        <v>116224</v>
      </c>
      <c r="J21" s="117"/>
      <c r="K21" s="1">
        <f t="shared" si="4"/>
        <v>0</v>
      </c>
      <c r="L21" s="105">
        <f t="shared" si="5"/>
        <v>20920.32</v>
      </c>
      <c r="M21" s="118">
        <f t="shared" si="6"/>
        <v>95303.679999999993</v>
      </c>
      <c r="N21" s="118">
        <f t="shared" si="0"/>
        <v>17154.662399999997</v>
      </c>
      <c r="O21" s="119">
        <f t="shared" si="1"/>
        <v>562.29171199999996</v>
      </c>
      <c r="P21" s="120">
        <f t="shared" si="2"/>
        <v>113020.634112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v>0</v>
      </c>
      <c r="H25" s="136">
        <f t="shared" ref="H25:M25" si="9">SUM(H16:H24)</f>
        <v>8200</v>
      </c>
      <c r="I25" s="137">
        <f t="shared" si="9"/>
        <v>531080</v>
      </c>
      <c r="J25" s="138"/>
      <c r="K25" s="139">
        <f t="shared" si="9"/>
        <v>0</v>
      </c>
      <c r="L25" s="140">
        <f t="shared" si="9"/>
        <v>95594.4</v>
      </c>
      <c r="M25" s="141">
        <f t="shared" si="9"/>
        <v>435485.6</v>
      </c>
      <c r="N25" s="142">
        <f>SUM(N16:N24)</f>
        <v>78387.407999999996</v>
      </c>
      <c r="O25" s="143">
        <f>SUM(O16:O24)</f>
        <v>2569.3650399999997</v>
      </c>
      <c r="P25" s="144">
        <f>SUM(P16:P24)</f>
        <v>516442.37304000003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531080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95594.4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435485.6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78387.407999999996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513873.00799999997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2569.3650400000001</v>
      </c>
    </row>
    <row r="35" spans="2:16" ht="15.75" customHeight="1" thickBot="1" x14ac:dyDescent="0.4">
      <c r="N35" s="207" t="s">
        <v>92</v>
      </c>
      <c r="O35" s="208"/>
      <c r="P35" s="160">
        <f>P33+P34</f>
        <v>516442.37303999998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108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109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110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111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114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116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>
        <v>3520242563059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117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118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119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116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7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116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>
        <v>3628249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97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99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09-06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2026-06-10T05:48:01Z</dcterms:modified>
</cp:coreProperties>
</file>