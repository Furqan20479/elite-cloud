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filterPrivacy="1" codeName="ThisWorkbook" defaultThemeVersion="124226"/>
  <xr:revisionPtr revIDLastSave="0" documentId="13_ncr:1_{0A37C587-C100-43F8-B1A5-9911AD0056A0}" xr6:coauthVersionLast="45" xr6:coauthVersionMax="45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09-06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'09-06'!$K$3:$P$6</definedName>
    <definedName name="_xlnm._FilterDatabase" localSheetId="1" hidden="1">'Cust. Price List'!$A$7:$Q$7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6" i="16" l="1"/>
  <c r="L20" i="16" l="1"/>
  <c r="L21" i="16"/>
  <c r="L17" i="16" l="1"/>
  <c r="L18" i="16"/>
  <c r="L19" i="16"/>
  <c r="L22" i="16"/>
  <c r="L16" i="16"/>
  <c r="O34" i="35" l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C11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C11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C11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/>
  <c r="N20" i="32"/>
  <c r="O20" i="32" s="1"/>
  <c r="M25" i="32"/>
  <c r="N16" i="32"/>
  <c r="L25" i="32"/>
  <c r="P29" i="32" s="1"/>
  <c r="P31" i="32" s="1"/>
  <c r="N22" i="32"/>
  <c r="O22" i="32" s="1"/>
  <c r="P22" i="32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P18" i="30"/>
  <c r="N18" i="30"/>
  <c r="O18" i="30" s="1"/>
  <c r="K25" i="30"/>
  <c r="P30" i="30" s="1"/>
  <c r="P31" i="30" s="1"/>
  <c r="N24" i="30"/>
  <c r="O24" i="30" s="1"/>
  <c r="P24" i="30"/>
  <c r="N22" i="30"/>
  <c r="O22" i="30" s="1"/>
  <c r="P22" i="30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/>
  <c r="N20" i="28"/>
  <c r="O20" i="28" s="1"/>
  <c r="P20" i="28"/>
  <c r="N22" i="28"/>
  <c r="O22" i="28" s="1"/>
  <c r="P22" i="28"/>
  <c r="K25" i="28"/>
  <c r="P30" i="28" s="1"/>
  <c r="N23" i="28"/>
  <c r="O23" i="28" s="1"/>
  <c r="P23" i="28"/>
  <c r="N19" i="28"/>
  <c r="O19" i="28" s="1"/>
  <c r="L25" i="28"/>
  <c r="P29" i="28" s="1"/>
  <c r="M16" i="28"/>
  <c r="N21" i="28"/>
  <c r="O21" i="28" s="1"/>
  <c r="N18" i="28"/>
  <c r="O18" i="28" s="1"/>
  <c r="P18" i="28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16" i="32"/>
  <c r="P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P16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C12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5" l="1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1" i="21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K18" i="17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O25" i="35" l="1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L16" i="17"/>
  <c r="K20" i="18"/>
  <c r="M20" i="18" s="1"/>
  <c r="L17" i="17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K18" i="15" s="1"/>
  <c r="I19" i="16"/>
  <c r="I20" i="16"/>
  <c r="K20" i="16" s="1"/>
  <c r="I21" i="16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N20" i="18"/>
  <c r="O20" i="18" s="1"/>
  <c r="M16" i="17"/>
  <c r="I23" i="15"/>
  <c r="L17" i="15" l="1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P31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P31" i="21" s="1"/>
  <c r="K16" i="15"/>
  <c r="L22" i="15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M17" i="15" s="1"/>
  <c r="P23" i="22"/>
  <c r="I25" i="15"/>
  <c r="P28" i="15" s="1"/>
  <c r="M24" i="16"/>
  <c r="N24" i="16" s="1"/>
  <c r="K23" i="16"/>
  <c r="K19" i="16"/>
  <c r="K19" i="15" s="1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N16" i="17"/>
  <c r="P20" i="17"/>
  <c r="P24" i="17"/>
  <c r="P18" i="17"/>
  <c r="P22" i="17"/>
  <c r="M22" i="16"/>
  <c r="N22" i="16" s="1"/>
  <c r="M20" i="16"/>
  <c r="N20" i="16" s="1"/>
  <c r="M16" i="15" l="1"/>
  <c r="L25" i="16"/>
  <c r="P29" i="16" s="1"/>
  <c r="M18" i="16"/>
  <c r="N18" i="16" s="1"/>
  <c r="N18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N22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P33" i="17" s="1"/>
  <c r="O16" i="16"/>
  <c r="O18" i="16" l="1"/>
  <c r="O18" i="15" s="1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26" i="15" s="1"/>
  <c r="N25" i="15"/>
  <c r="P32" i="15" s="1"/>
  <c r="P33" i="15" s="1"/>
  <c r="P34" i="15" s="1"/>
  <c r="P35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<sst xmlns="http://schemas.openxmlformats.org/spreadsheetml/2006/main" count="1598" uniqueCount="126">
  <si>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</si>
  <si>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</si>
  <si>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</si>
  <si>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</si>
  <si>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</si>
  <si>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</si>
  <si>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</si>
  <si>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</si>
  <si>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</si>
  <si>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</si>
  <si>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</si>
  <si>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</si>
  <si>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</si>
  <si>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</si>
  <si>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</si>
  <si>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</si>
  <si>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</si>
  <si>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</si>
  <si>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</si>
  <si>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</si>
  <si>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</si>
  <si>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</si>
  <si>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</si>
  <si>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</si>
  <si>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</si>
  <si>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</si>
  <si>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</si>
  <si>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</si>
  <si>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</si>
  <si>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</si>
  <si>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</si>
  <si>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</si>
  <si>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</si>
  <si>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</si>
  <si>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</si>
  <si>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</si>
  <si>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</si>
  <si>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</si>
  <si>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</si>
  <si>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</si>
  <si>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</si>
  <si>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</si>
  <si>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</si>
  <si>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</si>
  <si>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</si>
  <si>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</si>
  <si>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</si>
  <si>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</si>
  <si>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</si>
  <si>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</si>
  <si>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</si>
  <si>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</si>
  <si>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</si>
  <si>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</si>
  <si>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</si>
  <si>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</si>
  <si>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</si>
  <si>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</si>
  <si>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</si>
  <si>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</si>
  <si>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</si>
  <si>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</si>
  <si>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</si>
  <si>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</si>
  <si>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</si>
  <si>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</si>
  <si>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</si>
  <si>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</si>
  <si>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</si>
  <si>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</si>
  <si>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</si>
  <si>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</si>
  <si>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</si>
  <si>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</si>
  <si>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</si>
  <si>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</si>
  <si>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</si>
  <si>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</si>
  <si>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</si>
  <si>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</si>
  <si>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</si>
  <si>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</si>
  <si>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</si>
  <si>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</si>
  <si>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</si>
  <si>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</si>
  <si>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</si>
  <si>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</si>
  <si>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</si>
  <si>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</si>
  <si>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</si>
  <si>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</si>
  <si>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</si>
  <si>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</si>
  <si>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</si>
  <si>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 xml:space="preserve">Customer Name : </t>
  </si>
  <si>
    <t>NTN/CNIC Number:</t>
  </si>
  <si>
    <t xml:space="preserve">Address: </t>
  </si>
  <si>
    <t>Furqan</t>
  </si>
  <si>
    <t>Address: Nishat Colony</t>
  </si>
  <si>
    <t>8058676-4</t>
  </si>
  <si>
    <t>Furqan Ali</t>
  </si>
  <si>
    <t>Salman Butt</t>
  </si>
  <si>
    <t>Shop Bill Summary (Mobeen Ahmad)</t>
  </si>
  <si>
    <t>Mobeen Ahmad</t>
  </si>
  <si>
    <t>Rana Bilal Tso</t>
  </si>
  <si>
    <t>Shakoor</t>
  </si>
  <si>
    <t>Customer Name : Smart Mart</t>
  </si>
  <si>
    <t xml:space="preserve">Address:  Bibi pak daman </t>
  </si>
  <si>
    <t>Customer Name : Haneef Store</t>
  </si>
  <si>
    <t>Customer Name : Nazeer Store</t>
  </si>
  <si>
    <t xml:space="preserve">Address: Bibi pak daman </t>
  </si>
  <si>
    <t>Customer Name : Tufail Store</t>
  </si>
  <si>
    <t>Address: Police line</t>
  </si>
  <si>
    <t>Customer Name : Sadat Store</t>
  </si>
  <si>
    <t>Address: Police Line</t>
  </si>
  <si>
    <t>Customer Name : Araf Store</t>
  </si>
  <si>
    <t>Address: Gawal Mandi</t>
  </si>
  <si>
    <t>Customer Name : Nafees Store</t>
  </si>
  <si>
    <t xml:space="preserve">Address: Gawal Mandi </t>
  </si>
  <si>
    <t>Customer Name : Rehman Store</t>
  </si>
  <si>
    <t>Customer Name : Tuqeer Store</t>
  </si>
  <si>
    <t>vacant</t>
  </si>
  <si>
    <t xml:space="preserve">Customer Name : Jalal Sons </t>
  </si>
  <si>
    <t>Address: Askari 10</t>
  </si>
  <si>
    <t>1010737-1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</si>
</sst>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top" wrapText="1"/>
    </xf>
    <xf numFmtId="0" fontId="13" fillId="0" borderId="4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48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34" xfId="0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C8" sqref="C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102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104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98</v>
      </c>
    </row>
    <row r="12" spans="1:2" x14ac:dyDescent="0.35">
      <c r="A12">
        <v>7</v>
      </c>
      <c r="B12" t="s">
        <v>105</v>
      </c>
    </row>
    <row r="13" spans="1:2" x14ac:dyDescent="0.35">
      <c r="A13">
        <v>8</v>
      </c>
      <c r="B13" t="s">
        <v>106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pane="topRight" activeCell="L1" sqref="L1"/>
      <selection pane="bottomLeft" activeCell="A7" sqref="A7"/>
      <selection pane="bottomRight" activeCell="F17" sqref="F1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7"/>
      <c r="B3" s="187"/>
      <c r="C3" s="187"/>
      <c r="D3" s="187"/>
      <c r="E3" s="187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</row>
    <row r="4" spans="1:29" x14ac:dyDescent="0.35">
      <c r="A4" s="189" t="s">
        <v>6</v>
      </c>
      <c r="B4" s="5" t="s">
        <v>7</v>
      </c>
      <c r="C4" s="5"/>
      <c r="D4" s="191" t="s">
        <v>8</v>
      </c>
      <c r="E4" s="193" t="s">
        <v>9</v>
      </c>
      <c r="F4" s="195" t="s">
        <v>3</v>
      </c>
      <c r="G4" s="195"/>
      <c r="H4" s="196" t="s">
        <v>10</v>
      </c>
      <c r="I4" s="196"/>
      <c r="J4" s="197" t="s">
        <v>11</v>
      </c>
      <c r="K4" s="198"/>
      <c r="L4" s="197" t="s">
        <v>12</v>
      </c>
      <c r="M4" s="198"/>
      <c r="N4" s="199" t="s">
        <v>13</v>
      </c>
      <c r="O4" s="199"/>
      <c r="P4" s="197" t="s">
        <v>4</v>
      </c>
      <c r="Q4" s="198"/>
      <c r="R4" s="197" t="s">
        <v>14</v>
      </c>
      <c r="S4" s="198"/>
      <c r="T4" s="200" t="s">
        <v>15</v>
      </c>
      <c r="U4" s="200"/>
      <c r="V4" s="201" t="s">
        <v>16</v>
      </c>
      <c r="W4" s="202"/>
      <c r="X4" s="201" t="s">
        <v>17</v>
      </c>
      <c r="Y4" s="202"/>
    </row>
    <row r="5" spans="1:29" ht="26.25" customHeight="1" thickBot="1" x14ac:dyDescent="0.4">
      <c r="A5" s="190"/>
      <c r="B5" s="7" t="s">
        <v>18</v>
      </c>
      <c r="C5" s="7" t="s">
        <v>8</v>
      </c>
      <c r="D5" s="192"/>
      <c r="E5" s="194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zoomScale="70" zoomScaleNormal="70" workbookViewId="0">
      <selection activeCell="S21" sqref="S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03" t="s">
        <v>45</v>
      </c>
      <c r="B2" s="203"/>
      <c r="C2" s="203"/>
    </row>
    <row r="3" spans="1:21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1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8" t="s">
        <v>122</v>
      </c>
      <c r="B5" s="208"/>
      <c r="C5" s="208"/>
      <c r="F5" s="7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70"/>
      <c r="S5" s="71"/>
    </row>
    <row r="6" spans="1:21 16383:16384" ht="15" customHeight="1" x14ac:dyDescent="0.35">
      <c r="A6" s="208"/>
      <c r="B6" s="208"/>
      <c r="C6" s="208"/>
      <c r="F6" s="70"/>
      <c r="G6" s="74"/>
      <c r="K6" s="205" t="s">
        <v>52</v>
      </c>
      <c r="L6" s="205"/>
      <c r="M6" s="205"/>
      <c r="N6" s="207" t="s">
        <v>42</v>
      </c>
      <c r="O6" s="207"/>
      <c r="P6" s="207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21 16383:16384" hidden="1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21 16383:16384" x14ac:dyDescent="0.35">
      <c r="A10" s="210"/>
      <c r="B10" s="75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21 16383:16384" ht="15" thickBot="1" x14ac:dyDescent="0.4">
      <c r="A11" s="210"/>
      <c r="B11" s="76"/>
      <c r="C11" s="77"/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21 16383:16384" ht="14.65" customHeight="1" x14ac:dyDescent="0.35">
      <c r="A12" s="210"/>
      <c r="B12" s="76"/>
      <c r="C12" s="77"/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T12" s="219" t="s">
        <v>103</v>
      </c>
      <c r="U12" s="220"/>
      <c r="XFD12" t="s">
        <v>62</v>
      </c>
    </row>
    <row r="13" spans="1:21 16383:16384" ht="15" thickBot="1" x14ac:dyDescent="0.4">
      <c r="A13" s="247"/>
      <c r="J13" s="78"/>
      <c r="K13" s="78"/>
      <c r="L13" s="79">
        <v>0.05</v>
      </c>
      <c r="T13" s="221"/>
      <c r="U13" s="222"/>
      <c r="XFD13" t="s">
        <v>63</v>
      </c>
    </row>
    <row r="14" spans="1:21 16383:16384" ht="29.25" customHeight="1" x14ac:dyDescent="0.6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13" t="s">
        <v>68</v>
      </c>
      <c r="H14" s="214"/>
      <c r="I14" s="214" t="s">
        <v>69</v>
      </c>
      <c r="J14" s="214" t="s">
        <v>70</v>
      </c>
      <c r="K14" s="214"/>
      <c r="L14" s="216"/>
      <c r="M14" s="217" t="s">
        <v>71</v>
      </c>
      <c r="N14" s="83" t="s">
        <v>72</v>
      </c>
      <c r="O14" s="84" t="s">
        <v>73</v>
      </c>
      <c r="P14" s="85" t="s">
        <v>74</v>
      </c>
      <c r="T14" s="163" t="str">
        <f>+'09-06'!A5</f>
        <v xml:space="preserve">Customer Name : Jalal Sons </v>
      </c>
      <c r="U14" s="164">
        <f>+'09-06'!P35</f>
        <v>13476.738369600002</v>
      </c>
      <c r="XFD14" t="s">
        <v>75</v>
      </c>
    </row>
    <row r="15" spans="1:21 16383:16384" ht="29.25" customHeight="1" thickBot="1" x14ac:dyDescent="0.65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5"/>
      <c r="J15" s="171" t="s">
        <v>78</v>
      </c>
      <c r="K15" s="171" t="s">
        <v>79</v>
      </c>
      <c r="L15" s="174" t="s">
        <v>80</v>
      </c>
      <c r="M15" s="21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Smart Mart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+'09-06'!H16+'2'!H16+'4'!H16+'3'!H16+'5'!H16+'6'!H16+'7'!H16+'8'!H16+'9'!H16+'10'!H16+'11'!H16+'12'!H16</f>
        <v>0</v>
      </c>
      <c r="I16" s="1">
        <f>(G16*D16)*F16+H16*F16</f>
        <v>0</v>
      </c>
      <c r="J16" s="172">
        <f>+'09-06'!J16+'2'!J16+'4'!J16+'3'!J16+'5'!J16+'6'!J16+'7'!J16+'8'!J16+'9'!J16+'10'!J16+'11'!J16+'12'!J16</f>
        <v>0</v>
      </c>
      <c r="K16" s="172">
        <f>+'09-06'!K16+'2'!K16+'4'!K16+'3'!K16+'5'!K16+'6'!K16+'7'!K16+'8'!K16+'9'!K16+'10'!K16</f>
        <v>0</v>
      </c>
      <c r="L16" s="175">
        <f>+'09-06'!L16+'2'!L16+'4'!L16+'3'!L16+'5'!L16+'6'!L16+'7'!L16+'8'!L16+'9'!L16+'10'!L16</f>
        <v>0</v>
      </c>
      <c r="M16" s="106">
        <f>I16-K16-L16</f>
        <v>0</v>
      </c>
      <c r="N16" s="101">
        <f>+'09-06'!N16+'2'!N16+'4'!N16+'3'!N16+'5'!N16+'6'!N16+'7'!N16+'8'!N16+'9'!N16+'10'!N16</f>
        <v>0</v>
      </c>
      <c r="O16" s="101">
        <f>+'09-06'!O16+'2'!O16+'4'!O16+'3'!O16+'5'!O16+'6'!O16+'7'!O16+'8'!O16+'9'!O16+'10'!O16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+'4'!A5</f>
        <v>Customer Name : Nazeer Store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+'09-06'!H17+'2'!H17+'4'!H17+'3'!H17+'5'!H17+'6'!H17+'7'!H17+'8'!H17+'9'!H17+'10'!H17+'11'!H17+'12'!H17</f>
        <v>40</v>
      </c>
      <c r="I17" s="1">
        <f t="shared" ref="I17:I23" si="1">(G17*D17)*F17+H17*F17</f>
        <v>2098.5</v>
      </c>
      <c r="J17" s="172">
        <f>+'09-06'!J17+'2'!J17+'4'!J17+'3'!J17+'5'!J17+'6'!J17+'7'!J17+'8'!J17+'9'!J17+'10'!J17+'11'!J17+'12'!J17</f>
        <v>0</v>
      </c>
      <c r="K17" s="172">
        <f>+'09-06'!K17+'2'!K17+'4'!K17+'3'!K17+'5'!K17+'6'!K17+'7'!K17+'8'!K17+'9'!K17+'10'!K17</f>
        <v>0</v>
      </c>
      <c r="L17" s="175">
        <f>+'09-06'!L17+'2'!L17+'4'!L17+'3'!L17+'5'!L17+'6'!L17+'7'!L17+'8'!L17+'9'!L17+'10'!L17</f>
        <v>251.82</v>
      </c>
      <c r="M17" s="118">
        <f t="shared" ref="M17:M23" si="2">I17-K17-L17</f>
        <v>1846.68</v>
      </c>
      <c r="N17" s="101">
        <f>+'09-06'!N17+'2'!N17+'4'!N17+'3'!N17+'5'!N17+'6'!N17+'7'!N17+'8'!N17+'9'!N17+'10'!N17</f>
        <v>332.4024</v>
      </c>
      <c r="O17" s="101">
        <f>+'09-06'!O17+'2'!O17+'4'!O17+'3'!O17+'5'!O17+'6'!O17+'7'!O17+'8'!O17+'9'!O17+'10'!O17</f>
        <v>10.895412000000002</v>
      </c>
      <c r="P17" s="120">
        <f t="shared" si="0"/>
        <v>2189.9778120000001</v>
      </c>
      <c r="S17" s="64"/>
      <c r="T17" s="163" t="str">
        <f>+'3'!A5</f>
        <v>Customer Name : Haneef Store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+'09-06'!H18+'2'!H18+'4'!H18+'3'!H18+'5'!H18+'6'!H18+'7'!H18+'8'!H18+'9'!H18+'10'!H18+'11'!H18+'12'!H18</f>
        <v>40</v>
      </c>
      <c r="I18" s="1">
        <f t="shared" si="1"/>
        <v>2098.5</v>
      </c>
      <c r="J18" s="172">
        <f>+'09-06'!J18+'2'!J18+'4'!J18+'3'!J18+'5'!J18+'6'!J18+'7'!J18+'8'!J18+'9'!J18+'10'!J18+'11'!J18+'12'!J18</f>
        <v>0</v>
      </c>
      <c r="K18" s="172">
        <f>+'09-06'!K18+'2'!K18+'4'!K18+'3'!K18+'5'!K18+'6'!K18+'7'!K18+'8'!K18+'9'!K18+'10'!K18</f>
        <v>0</v>
      </c>
      <c r="L18" s="175">
        <f>+'09-06'!L18+'2'!L18+'4'!L18+'3'!L18+'5'!L18+'6'!L18+'7'!L18+'8'!L18+'9'!L18+'10'!L18</f>
        <v>251.82</v>
      </c>
      <c r="M18" s="118">
        <f t="shared" si="2"/>
        <v>1846.68</v>
      </c>
      <c r="N18" s="101">
        <f>+'09-06'!N18+'2'!N18+'4'!N18+'3'!N18+'5'!N18+'6'!N18+'7'!N18+'8'!N18+'9'!N18+'10'!N18</f>
        <v>332.4024</v>
      </c>
      <c r="O18" s="101">
        <f>+'09-06'!O18+'2'!O18+'4'!O18+'3'!O18+'5'!O18+'6'!O18+'7'!O18+'8'!O18+'9'!O18+'10'!O18</f>
        <v>10.895412000000002</v>
      </c>
      <c r="P18" s="120">
        <f t="shared" si="0"/>
        <v>2189.9778120000001</v>
      </c>
      <c r="T18" s="163" t="str">
        <f>+'5'!A5</f>
        <v>Customer Name : Tufail Store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+'09-06'!H19+'2'!H19+'4'!H19+'3'!H19+'5'!H19+'6'!H19+'7'!H19+'8'!H19+'9'!H19+'10'!H19+'11'!H19+'12'!H19</f>
        <v>40</v>
      </c>
      <c r="I19" s="1">
        <f t="shared" si="1"/>
        <v>2905.6</v>
      </c>
      <c r="J19" s="172">
        <f>+'09-06'!J19+'2'!J19+'4'!J19+'3'!J19+'5'!J19+'6'!J19+'7'!J19+'8'!J19+'9'!J19+'10'!J19+'11'!J19+'12'!J19</f>
        <v>0</v>
      </c>
      <c r="K19" s="172">
        <f>+'09-06'!K19+'2'!K19+'4'!K19+'3'!K19+'5'!K19+'6'!K19+'7'!K19+'8'!K19+'9'!K19+'10'!K19</f>
        <v>0</v>
      </c>
      <c r="L19" s="175">
        <f>+'09-06'!L19+'2'!L19+'4'!L19+'3'!L19+'5'!L19+'6'!L19+'7'!L19+'8'!L19+'9'!L19+'10'!L19</f>
        <v>348.67199999999997</v>
      </c>
      <c r="M19" s="118">
        <f t="shared" si="2"/>
        <v>2556.9279999999999</v>
      </c>
      <c r="N19" s="101">
        <f>+'09-06'!N19+'2'!N19+'4'!N19+'3'!N19+'5'!N19+'6'!N19+'7'!N19+'8'!N19+'9'!N19+'10'!N19</f>
        <v>460.24703999999997</v>
      </c>
      <c r="O19" s="101">
        <f>+'09-06'!O19+'2'!O19+'4'!O19+'3'!O19+'5'!O19+'6'!O19+'7'!O19+'8'!O19+'9'!O19+'10'!O19</f>
        <v>15.0858752</v>
      </c>
      <c r="P19" s="120">
        <f t="shared" si="0"/>
        <v>3032.2609152</v>
      </c>
      <c r="T19" s="163" t="str">
        <f>+'6'!A5</f>
        <v>Customer Name : Sadat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+'09-06'!H20+'2'!H20+'4'!H20+'3'!H20+'5'!H20+'6'!H20+'7'!H20+'8'!H20+'9'!H20+'10'!H20+'11'!H20+'12'!H20</f>
        <v>40</v>
      </c>
      <c r="I20" s="1">
        <f t="shared" si="1"/>
        <v>2905.6</v>
      </c>
      <c r="J20" s="172">
        <f>+'09-06'!J20+'2'!J20+'4'!J20+'3'!J20+'5'!J20+'6'!J20+'7'!J20+'8'!J20+'9'!J20+'10'!J20+'11'!J20+'12'!J20</f>
        <v>0</v>
      </c>
      <c r="K20" s="172">
        <f>+'09-06'!K20+'2'!K20+'4'!K20+'3'!K20+'5'!K20+'6'!K20+'7'!K20+'8'!K20+'9'!K20+'10'!K20</f>
        <v>0</v>
      </c>
      <c r="L20" s="175">
        <f>+'09-06'!L20+'2'!L20+'4'!L20+'3'!L20+'5'!L20+'6'!L20+'7'!L20+'8'!L20+'9'!L20+'10'!L20</f>
        <v>348.67199999999997</v>
      </c>
      <c r="M20" s="118">
        <f t="shared" si="2"/>
        <v>2556.9279999999999</v>
      </c>
      <c r="N20" s="101">
        <f>+'09-06'!N20+'2'!N20+'4'!N20+'3'!N20+'5'!N20+'6'!N20+'7'!N20+'8'!N20+'9'!N20+'10'!N20</f>
        <v>460.24703999999997</v>
      </c>
      <c r="O20" s="101">
        <f>+'09-06'!O20+'2'!O20+'4'!O20+'3'!O20+'5'!O20+'6'!O20+'7'!O20+'8'!O20+'9'!O20+'10'!O20</f>
        <v>15.0858752</v>
      </c>
      <c r="P20" s="120">
        <f t="shared" si="0"/>
        <v>3032.2609152</v>
      </c>
      <c r="T20" s="163" t="str">
        <f>+'7'!A5</f>
        <v>Customer Name : Araf Store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+'09-06'!H21+'2'!H21+'4'!H21+'3'!H21+'5'!H21+'6'!H21+'7'!H21+'8'!H21+'9'!H21+'10'!H21+'11'!H21+'12'!H21</f>
        <v>40</v>
      </c>
      <c r="I21" s="1">
        <f t="shared" si="1"/>
        <v>2905.6</v>
      </c>
      <c r="J21" s="172">
        <f>+'09-06'!J21+'2'!J21+'4'!J21+'3'!J21+'5'!J21+'6'!J21+'7'!J21+'8'!J21+'9'!J21+'10'!J21+'11'!J21+'12'!J21</f>
        <v>0</v>
      </c>
      <c r="K21" s="172">
        <f>+'09-06'!K21+'2'!K21+'4'!K21+'3'!K21+'5'!K21+'6'!K21+'7'!K21+'8'!K21+'9'!K21+'10'!K21</f>
        <v>0</v>
      </c>
      <c r="L21" s="175">
        <f>+'09-06'!L21+'2'!L21+'4'!L21+'3'!L21+'5'!L21+'6'!L21+'7'!L21+'8'!L21+'9'!L21+'10'!L21</f>
        <v>348.67199999999997</v>
      </c>
      <c r="M21" s="118">
        <f t="shared" si="2"/>
        <v>2556.9279999999999</v>
      </c>
      <c r="N21" s="101">
        <f>+'09-06'!N21+'2'!N21+'4'!N21+'3'!N21+'5'!N21+'6'!N21+'7'!N21+'8'!N21+'9'!N21+'10'!N21</f>
        <v>460.24703999999997</v>
      </c>
      <c r="O21" s="101">
        <f>+'09-06'!O21+'2'!O21+'4'!O21+'3'!O21+'5'!O21+'6'!O21+'7'!O21+'8'!O21+'9'!O21+'10'!O21</f>
        <v>15.0858752</v>
      </c>
      <c r="P21" s="120">
        <f t="shared" si="0"/>
        <v>3032.2609152</v>
      </c>
      <c r="T21" s="163" t="str">
        <f>+'8'!A5</f>
        <v>Customer Name : Nafees Store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+'09-06'!H22+'2'!H22+'4'!H22+'3'!H22+'5'!H22+'6'!H22+'7'!H22+'8'!H22+'9'!H22+'10'!H22+'11'!H22+'12'!H22</f>
        <v>0</v>
      </c>
      <c r="I22" s="1">
        <f t="shared" si="1"/>
        <v>0</v>
      </c>
      <c r="J22" s="172">
        <f>+'09-06'!J22+'2'!J22+'4'!J22+'3'!J22+'5'!J22+'6'!J22+'7'!J22+'8'!J22+'9'!J22+'10'!J22+'11'!J22+'12'!J22</f>
        <v>0</v>
      </c>
      <c r="K22" s="172">
        <f>+'09-06'!K22+'2'!K22+'4'!K22+'3'!K22+'5'!K22+'6'!K22+'7'!K22+'8'!K22+'9'!K22+'10'!K22</f>
        <v>0</v>
      </c>
      <c r="L22" s="175">
        <f>+'09-06'!L22+'2'!L22+'4'!L22+'3'!L22+'5'!L22+'6'!L22+'7'!L22+'8'!L22+'9'!L22+'10'!L22</f>
        <v>0</v>
      </c>
      <c r="M22" s="118">
        <f t="shared" si="2"/>
        <v>0</v>
      </c>
      <c r="N22" s="101">
        <f>+'09-06'!N22+'2'!N22+'4'!N22+'3'!N22+'5'!N22+'6'!N22+'7'!N22+'8'!N22+'9'!N22+'10'!N22</f>
        <v>0</v>
      </c>
      <c r="O22" s="101">
        <f>+'09-06'!O22+'2'!O22+'4'!O22+'3'!O22+'5'!O22+'6'!O22+'7'!O22+'8'!O22+'9'!O22+'10'!O22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Rehman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+'09-06'!H23+'2'!H23+'4'!H23+'3'!H23+'5'!H23+'6'!H23+'7'!H23+'8'!H23+'9'!H23+'10'!H23+'11'!H23+'12'!H23</f>
        <v>0</v>
      </c>
      <c r="I23" s="1">
        <f t="shared" si="1"/>
        <v>0</v>
      </c>
      <c r="J23" s="172">
        <f>+'09-06'!J23+'2'!J23+'4'!J23+'3'!J23+'5'!J23+'6'!J23+'7'!J23+'8'!J23+'9'!J23+'10'!J23+'11'!J23+'12'!J23</f>
        <v>0</v>
      </c>
      <c r="K23" s="172">
        <f>+'09-06'!K23+'2'!K23+'4'!K23+'3'!K23+'5'!K23+'6'!K23+'7'!K23+'8'!K23+'9'!K23+'10'!K23</f>
        <v>0</v>
      </c>
      <c r="L23" s="175">
        <f>+'09-06'!L23+'2'!L23+'4'!L23+'3'!L23+'5'!L23+'6'!L23+'7'!L23+'8'!L23+'9'!L23+'10'!L23</f>
        <v>0</v>
      </c>
      <c r="M23" s="118">
        <f t="shared" si="2"/>
        <v>0</v>
      </c>
      <c r="N23" s="101">
        <f>+'09-06'!N23+'2'!N23+'4'!N23+'3'!N23+'5'!N23+'6'!N23+'7'!N23+'8'!N23+'9'!N23+'10'!N23</f>
        <v>0</v>
      </c>
      <c r="O23" s="101">
        <f>+'09-06'!O23+'2'!O23+'4'!O23+'3'!O23+'5'!O23+'6'!O23+'7'!O23+'8'!O23+'9'!O23+'10'!O23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Tuqeer Store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+'09-06'!H24+'2'!H24+'4'!H24+'3'!H24+'5'!H24+'6'!H24+'7'!H24+'8'!H24+'9'!H24+'10'!H24+'11'!H24+'12'!H24</f>
        <v>0</v>
      </c>
      <c r="I24" s="1">
        <f>(G24*D24)*F24+H24*F24</f>
        <v>0</v>
      </c>
      <c r="J24" s="172">
        <f>+'09-06'!J24+'2'!J24+'4'!J24+'3'!J24+'5'!J24+'6'!J24+'7'!J24+'8'!J24+'9'!J24+'10'!J24+'11'!J24+'12'!J24</f>
        <v>0</v>
      </c>
      <c r="K24" s="172">
        <f>+'09-06'!K24+'2'!K24+'4'!K24+'3'!K24+'5'!K24+'6'!K24+'7'!K24+'8'!K24+'9'!K24+'10'!K24</f>
        <v>0</v>
      </c>
      <c r="L24" s="175">
        <f>+'09-06'!L24+'2'!L24+'4'!L24+'3'!L24+'5'!L24+'6'!L24+'7'!L24+'8'!L24+'9'!L24+'10'!L24</f>
        <v>0</v>
      </c>
      <c r="M24" s="133">
        <f>I24-K24-L24</f>
        <v>0</v>
      </c>
      <c r="N24" s="101">
        <f>+'09-06'!N24+'2'!N24+'4'!N24+'3'!N24+'5'!N24+'6'!N24+'7'!N24+'8'!N24+'9'!N24+'10'!N24</f>
        <v>0</v>
      </c>
      <c r="O24" s="101">
        <f>+'09-06'!O24+'2'!O24+'4'!O24+'3'!O24+'5'!O24+'6'!O24+'7'!O24+'8'!O24+'9'!O24+'10'!O24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9" t="s">
        <v>84</v>
      </c>
      <c r="B25" s="230"/>
      <c r="C25" s="231"/>
      <c r="D25" s="225"/>
      <c r="E25" s="225"/>
      <c r="F25" s="225"/>
      <c r="G25" s="176">
        <f t="shared" ref="G25:M25" si="3">SUM(G16:G24)</f>
        <v>0</v>
      </c>
      <c r="H25" s="177">
        <f t="shared" si="3"/>
        <v>200</v>
      </c>
      <c r="I25" s="178">
        <f t="shared" si="3"/>
        <v>12913.800000000001</v>
      </c>
      <c r="J25" s="177">
        <f t="shared" si="3"/>
        <v>0</v>
      </c>
      <c r="K25" s="178">
        <f t="shared" si="3"/>
        <v>0</v>
      </c>
      <c r="L25" s="179">
        <f t="shared" si="3"/>
        <v>1549.6559999999999</v>
      </c>
      <c r="M25" s="141">
        <f t="shared" si="3"/>
        <v>11364.144</v>
      </c>
      <c r="N25" s="142">
        <f>SUM(N16:N24)</f>
        <v>2045.54592</v>
      </c>
      <c r="O25" s="143">
        <f>SUM(O16:O24)</f>
        <v>67.048449600000012</v>
      </c>
      <c r="P25" s="144">
        <f>SUM(P16:P24)</f>
        <v>13476.738369600002</v>
      </c>
      <c r="T25" s="163" t="str">
        <f>+'12'!A5</f>
        <v xml:space="preserve">Customer Name : 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13476.738369600002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12913.800000000001</v>
      </c>
    </row>
    <row r="29" spans="1:21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1549.6559999999999</v>
      </c>
    </row>
    <row r="30" spans="1:21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21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11364.144</v>
      </c>
    </row>
    <row r="32" spans="1:21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2045.54592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13409.689920000001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335.24224800000002</v>
      </c>
    </row>
    <row r="35" spans="2:16" ht="15.75" customHeight="1" thickBot="1" x14ac:dyDescent="0.4">
      <c r="N35" s="223" t="s">
        <v>92</v>
      </c>
      <c r="O35" s="224"/>
      <c r="P35" s="160">
        <f>P33+P34</f>
        <v>13744.932168000001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3" zoomScale="85" zoomScaleNormal="8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906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1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123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70"/>
      <c r="S5" s="71"/>
    </row>
    <row r="6" spans="1:19 16383:16384" ht="15" customHeight="1" x14ac:dyDescent="0.35">
      <c r="A6" s="205" t="s">
        <v>124</v>
      </c>
      <c r="B6" s="205"/>
      <c r="C6" s="205"/>
      <c r="F6" s="70"/>
      <c r="G6" s="74"/>
      <c r="K6" s="205" t="s">
        <v>52</v>
      </c>
      <c r="L6" s="205"/>
      <c r="M6" s="205"/>
      <c r="N6" s="207" t="s">
        <v>106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 t="s">
        <v>125</v>
      </c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48</v>
      </c>
      <c r="C11" s="77" t="str">
        <f>IF($O34&gt;2.49%,"No","Yes")</f>
        <v>Yes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168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/>
      <c r="K17" s="1">
        <f t="shared" ref="K17:K21" si="4">I17*$K$13</f>
        <v>0</v>
      </c>
      <c r="L17" s="105">
        <f t="shared" ref="L17:L22" si="5">I17*12%</f>
        <v>251.82</v>
      </c>
      <c r="M17" s="118">
        <f t="shared" ref="M17:M23" si="6">I17-K17-L17</f>
        <v>1846.68</v>
      </c>
      <c r="N17" s="118">
        <f t="shared" si="0"/>
        <v>332.4024</v>
      </c>
      <c r="O17" s="119">
        <f t="shared" si="1"/>
        <v>10.895412000000002</v>
      </c>
      <c r="P17" s="120">
        <f t="shared" si="2"/>
        <v>2189.9778120000001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/>
      <c r="K18" s="1">
        <f t="shared" si="4"/>
        <v>0</v>
      </c>
      <c r="L18" s="105">
        <f t="shared" si="5"/>
        <v>251.82</v>
      </c>
      <c r="M18" s="118">
        <f t="shared" si="6"/>
        <v>1846.68</v>
      </c>
      <c r="N18" s="118">
        <f t="shared" si="0"/>
        <v>332.4024</v>
      </c>
      <c r="O18" s="119">
        <f t="shared" si="1"/>
        <v>10.895412000000002</v>
      </c>
      <c r="P18" s="120">
        <f t="shared" si="2"/>
        <v>2189.9778120000001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/>
      <c r="K19" s="1">
        <f t="shared" si="4"/>
        <v>0</v>
      </c>
      <c r="L19" s="105">
        <f t="shared" si="5"/>
        <v>348.67199999999997</v>
      </c>
      <c r="M19" s="118">
        <f t="shared" si="6"/>
        <v>2556.9279999999999</v>
      </c>
      <c r="N19" s="118">
        <f t="shared" si="0"/>
        <v>460.24703999999997</v>
      </c>
      <c r="O19" s="119">
        <f t="shared" si="1"/>
        <v>15.0858752</v>
      </c>
      <c r="P19" s="120">
        <f t="shared" si="2"/>
        <v>3032.2609152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/>
      <c r="K20" s="1">
        <f t="shared" si="4"/>
        <v>0</v>
      </c>
      <c r="L20" s="105">
        <f t="shared" si="5"/>
        <v>348.67199999999997</v>
      </c>
      <c r="M20" s="118">
        <f t="shared" si="6"/>
        <v>2556.9279999999999</v>
      </c>
      <c r="N20" s="118">
        <f t="shared" si="0"/>
        <v>460.24703999999997</v>
      </c>
      <c r="O20" s="119">
        <f t="shared" si="1"/>
        <v>15.0858752</v>
      </c>
      <c r="P20" s="120">
        <f t="shared" si="2"/>
        <v>3032.2609152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/>
      <c r="K21" s="1">
        <f t="shared" si="4"/>
        <v>0</v>
      </c>
      <c r="L21" s="105">
        <f t="shared" si="5"/>
        <v>348.67199999999997</v>
      </c>
      <c r="M21" s="118">
        <f t="shared" si="6"/>
        <v>2556.9279999999999</v>
      </c>
      <c r="N21" s="118">
        <f t="shared" si="0"/>
        <v>460.24703999999997</v>
      </c>
      <c r="O21" s="119">
        <f t="shared" si="1"/>
        <v>15.0858752</v>
      </c>
      <c r="P21" s="120">
        <f t="shared" si="2"/>
        <v>3032.2609152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05">
        <f t="shared" si="5"/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200</v>
      </c>
      <c r="I25" s="137">
        <f t="shared" si="9"/>
        <v>12913.800000000001</v>
      </c>
      <c r="J25" s="138"/>
      <c r="K25" s="139">
        <f t="shared" si="9"/>
        <v>0</v>
      </c>
      <c r="L25" s="140">
        <f t="shared" si="9"/>
        <v>1549.6559999999999</v>
      </c>
      <c r="M25" s="141">
        <f t="shared" si="9"/>
        <v>11364.144</v>
      </c>
      <c r="N25" s="142">
        <f>SUM(N16:N24)</f>
        <v>2045.54592</v>
      </c>
      <c r="O25" s="143">
        <f>SUM(O16:O24)</f>
        <v>67.048449600000012</v>
      </c>
      <c r="P25" s="144">
        <f>SUM(P16:P24)</f>
        <v>13476.738369600002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5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12913.800000000001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1549.6559999999999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11364.144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0.18</v>
      </c>
      <c r="P32" s="153">
        <f>N25</f>
        <v>2045.54592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13409.689920000001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5.0000000000000001E-3</v>
      </c>
      <c r="P34" s="153">
        <f>O34*P33</f>
        <v>67.048449599999998</v>
      </c>
    </row>
    <row r="35" spans="2:16" ht="15.75" customHeight="1" thickBot="1" x14ac:dyDescent="0.4">
      <c r="N35" s="223" t="s">
        <v>92</v>
      </c>
      <c r="O35" s="224"/>
      <c r="P35" s="160">
        <f>P33+P34</f>
        <v>13476.738369600002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2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107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70"/>
      <c r="S5" s="71"/>
    </row>
    <row r="6" spans="1:19 16383:16384" ht="15" customHeight="1" x14ac:dyDescent="0.35">
      <c r="A6" s="205" t="s">
        <v>108</v>
      </c>
      <c r="B6" s="205"/>
      <c r="C6" s="205"/>
      <c r="F6" s="70"/>
      <c r="G6" s="74"/>
      <c r="K6" s="205" t="s">
        <v>52</v>
      </c>
      <c r="L6" s="205"/>
      <c r="M6" s="205"/>
      <c r="N6" s="207" t="s">
        <v>44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50</v>
      </c>
      <c r="C11" s="77" t="str">
        <f>IF($O34&gt;2.49%,"No","Yes")</f>
        <v>No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4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109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70"/>
      <c r="S5" s="71"/>
    </row>
    <row r="6" spans="1:19 16383:16384" ht="15" customHeight="1" x14ac:dyDescent="0.35">
      <c r="A6" s="205" t="s">
        <v>108</v>
      </c>
      <c r="B6" s="205"/>
      <c r="C6" s="205"/>
      <c r="F6" s="70"/>
      <c r="G6" s="74"/>
      <c r="K6" s="205" t="s">
        <v>52</v>
      </c>
      <c r="L6" s="205"/>
      <c r="M6" s="205"/>
      <c r="N6" s="207" t="s">
        <v>44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169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50</v>
      </c>
      <c r="C11" s="77" t="str">
        <f>IF($O34&gt;2.49%,"No","Yes")</f>
        <v>No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3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110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70"/>
      <c r="S5" s="71"/>
    </row>
    <row r="6" spans="1:19 16383:16384" ht="15" customHeight="1" x14ac:dyDescent="0.35">
      <c r="A6" s="205" t="s">
        <v>111</v>
      </c>
      <c r="B6" s="205"/>
      <c r="C6" s="205"/>
      <c r="F6" s="70"/>
      <c r="G6" s="74"/>
      <c r="K6" s="205" t="s">
        <v>52</v>
      </c>
      <c r="L6" s="205"/>
      <c r="M6" s="205"/>
      <c r="N6" s="207" t="s">
        <v>44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50</v>
      </c>
      <c r="C11" s="77" t="str">
        <f>IF($O34&gt;2.49%,"No","Yes")</f>
        <v>No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5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112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70"/>
      <c r="S5" s="71"/>
    </row>
    <row r="6" spans="1:19 16383:16384" ht="15" customHeight="1" x14ac:dyDescent="0.35">
      <c r="A6" s="205" t="s">
        <v>113</v>
      </c>
      <c r="B6" s="205"/>
      <c r="C6" s="205"/>
      <c r="F6" s="70"/>
      <c r="G6" s="74"/>
      <c r="K6" s="205" t="s">
        <v>52</v>
      </c>
      <c r="L6" s="205"/>
      <c r="M6" s="205"/>
      <c r="N6" s="207" t="s">
        <v>44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169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50</v>
      </c>
      <c r="C11" s="77" t="str">
        <f>IF($O34&gt;2.49%,"No","Yes")</f>
        <v>No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6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114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70"/>
      <c r="S5" s="71"/>
    </row>
    <row r="6" spans="1:19 16383:16384" ht="15" customHeight="1" x14ac:dyDescent="0.35">
      <c r="A6" s="205" t="s">
        <v>115</v>
      </c>
      <c r="B6" s="205"/>
      <c r="C6" s="205"/>
      <c r="F6" s="70"/>
      <c r="G6" s="74"/>
      <c r="K6" s="205" t="s">
        <v>52</v>
      </c>
      <c r="L6" s="205"/>
      <c r="M6" s="205"/>
      <c r="N6" s="207" t="s">
        <v>44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50</v>
      </c>
      <c r="C11" s="77" t="str">
        <f>IF($O34&gt;2.49%,"No","Yes")</f>
        <v>No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7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116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70"/>
      <c r="S5" s="71"/>
    </row>
    <row r="6" spans="1:19 16383:16384" ht="15" customHeight="1" x14ac:dyDescent="0.35">
      <c r="A6" s="205" t="s">
        <v>117</v>
      </c>
      <c r="B6" s="205"/>
      <c r="C6" s="205"/>
      <c r="F6" s="70"/>
      <c r="G6" s="74"/>
      <c r="K6" s="205" t="s">
        <v>52</v>
      </c>
      <c r="L6" s="205"/>
      <c r="M6" s="205"/>
      <c r="N6" s="207" t="s">
        <v>44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169">
        <v>3520242563059</v>
      </c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48</v>
      </c>
      <c r="C11" s="77" t="str">
        <f>IF($O34&gt;2.49%,"No","Yes")</f>
        <v>Yes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8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118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70"/>
      <c r="S5" s="71"/>
    </row>
    <row r="6" spans="1:19 16383:16384" ht="15" customHeight="1" x14ac:dyDescent="0.35">
      <c r="A6" s="205" t="s">
        <v>119</v>
      </c>
      <c r="B6" s="205"/>
      <c r="C6" s="205"/>
      <c r="F6" s="70"/>
      <c r="G6" s="74"/>
      <c r="K6" s="205" t="s">
        <v>52</v>
      </c>
      <c r="L6" s="205"/>
      <c r="M6" s="205"/>
      <c r="N6" s="207" t="s">
        <v>44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50</v>
      </c>
      <c r="C11" s="77" t="str">
        <f>IF($O34&gt;2.49%,"No","Yes")</f>
        <v>No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9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120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70"/>
      <c r="S5" s="71"/>
    </row>
    <row r="6" spans="1:19 16383:16384" ht="15" customHeight="1" x14ac:dyDescent="0.35">
      <c r="A6" s="205" t="s">
        <v>117</v>
      </c>
      <c r="B6" s="205"/>
      <c r="C6" s="205"/>
      <c r="F6" s="70"/>
      <c r="G6" s="74"/>
      <c r="K6" s="205" t="s">
        <v>52</v>
      </c>
      <c r="L6" s="205"/>
      <c r="M6" s="205"/>
      <c r="N6" s="207" t="s">
        <v>44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167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50</v>
      </c>
      <c r="C11" s="77" t="str">
        <f>IF($O34&gt;2.49%,"No","Yes")</f>
        <v>No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10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121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70"/>
      <c r="S5" s="71"/>
    </row>
    <row r="6" spans="1:19 16383:16384" ht="15" customHeight="1" x14ac:dyDescent="0.35">
      <c r="A6" s="205" t="s">
        <v>117</v>
      </c>
      <c r="B6" s="205"/>
      <c r="C6" s="205"/>
      <c r="F6" s="70"/>
      <c r="G6" s="74"/>
      <c r="K6" s="205" t="s">
        <v>52</v>
      </c>
      <c r="L6" s="205"/>
      <c r="M6" s="205"/>
      <c r="N6" s="207" t="s">
        <v>44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>
        <v>3628249</v>
      </c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48</v>
      </c>
      <c r="C11" s="77" t="str">
        <f>IF($O34&gt;2.49%,"No","Yes")</f>
        <v>Yes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>
        <v>3520230571269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10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70"/>
      <c r="S5" s="71"/>
    </row>
    <row r="6" spans="1:19 16383:16384" ht="15" customHeight="1" x14ac:dyDescent="0.35">
      <c r="A6" s="205" t="s">
        <v>97</v>
      </c>
      <c r="B6" s="205"/>
      <c r="C6" s="205"/>
      <c r="F6" s="70"/>
      <c r="G6" s="74"/>
      <c r="K6" s="205" t="s">
        <v>52</v>
      </c>
      <c r="L6" s="205"/>
      <c r="M6" s="205"/>
      <c r="N6" s="207" t="s">
        <v>101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50</v>
      </c>
      <c r="C11" s="77" t="str">
        <f>IF($O34&gt;2.49%,"No","Yes")</f>
        <v>No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I7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10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70"/>
      <c r="S5" s="71"/>
    </row>
    <row r="6" spans="1:19 16383:16384" ht="15" customHeight="1" x14ac:dyDescent="0.35">
      <c r="A6" s="205" t="s">
        <v>99</v>
      </c>
      <c r="B6" s="205"/>
      <c r="C6" s="205"/>
      <c r="F6" s="70"/>
      <c r="G6" s="74"/>
      <c r="K6" s="205" t="s">
        <v>52</v>
      </c>
      <c r="L6" s="205"/>
      <c r="M6" s="205"/>
      <c r="N6" s="207" t="s">
        <v>101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48</v>
      </c>
      <c r="C11" s="77" t="str">
        <f>IF($O34&gt;2.49%,"No","Yes")</f>
        <v>Yes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N8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K5" sqref="K5:M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K8" sqref="K8:M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2" activeCellId="1" sqref="J14:L14 K12:M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1" sqref="K11:M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0" sqref="K10:M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46184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46183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09-06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2026-06-11T06:59:56Z</dcterms:modified>
</cp:coreProperties>
</file>