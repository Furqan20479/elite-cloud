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8FD28C64-7947-423B-9E2E-6072C27F33A4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20" i="17"/>
  <c r="L17" i="19"/>
  <c r="L20" i="19"/>
  <c r="L17" i="18"/>
  <c r="L20" i="18"/>
  <c r="L17" i="20"/>
  <c r="L20" i="20"/>
  <c r="L17" i="21"/>
  <c r="L20" i="21"/>
  <c r="L17" i="22"/>
  <c r="L20" i="22"/>
  <c r="L17" i="23"/>
  <c r="L20" i="23"/>
  <c r="L17" i="24"/>
  <c r="L20" i="24"/>
  <c r="L17" i="25"/>
  <c r="L20" i="25"/>
  <c r="L17" i="26"/>
  <c r="L20" i="26"/>
  <c r="L17" i="27"/>
  <c r="L20" i="27"/>
  <c r="L17" i="28"/>
  <c r="L20" i="28"/>
  <c r="L17" i="29"/>
  <c r="L20" i="29"/>
  <c r="L17" i="30"/>
  <c r="L20" i="30"/>
  <c r="L17" i="31"/>
  <c r="L20" i="31"/>
  <c r="L17" i="32"/>
  <c r="L20" i="32"/>
  <c r="L17" i="33"/>
  <c r="L20" i="33"/>
  <c r="L17" i="34"/>
  <c r="L20" i="34"/>
  <c r="L17" i="35"/>
  <c r="L20" i="35"/>
  <c r="L17" i="16"/>
  <c r="L18" i="16"/>
  <c r="L19" i="16"/>
  <c r="L20" i="16"/>
  <c r="L21" i="16"/>
  <c r="L16" i="16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8" i="33" l="1"/>
  <c r="L18" i="33"/>
  <c r="I16" i="31"/>
  <c r="L16" i="31" s="1"/>
  <c r="I17" i="31"/>
  <c r="I18" i="31"/>
  <c r="I19" i="31"/>
  <c r="I20" i="31"/>
  <c r="I21" i="31"/>
  <c r="L21" i="31" s="1"/>
  <c r="I22" i="31"/>
  <c r="K22" i="31" s="1"/>
  <c r="I23" i="31"/>
  <c r="K23" i="31" s="1"/>
  <c r="I24" i="31"/>
  <c r="I23" i="32"/>
  <c r="I22" i="33"/>
  <c r="I16" i="34"/>
  <c r="L16" i="34" s="1"/>
  <c r="I17" i="34"/>
  <c r="I18" i="34"/>
  <c r="L18" i="34" s="1"/>
  <c r="I19" i="34"/>
  <c r="L19" i="34" s="1"/>
  <c r="I20" i="34"/>
  <c r="K20" i="34" s="1"/>
  <c r="I21" i="34"/>
  <c r="L21" i="34" s="1"/>
  <c r="I22" i="34"/>
  <c r="I23" i="34"/>
  <c r="I24" i="34"/>
  <c r="L24" i="34" s="1"/>
  <c r="M24" i="34" s="1"/>
  <c r="I16" i="29"/>
  <c r="L16" i="29" s="1"/>
  <c r="I17" i="29"/>
  <c r="I18" i="29"/>
  <c r="L18" i="29" s="1"/>
  <c r="I19" i="29"/>
  <c r="I20" i="29"/>
  <c r="I21" i="29"/>
  <c r="L21" i="29" s="1"/>
  <c r="I22" i="29"/>
  <c r="L22" i="29" s="1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4" i="31"/>
  <c r="L24" i="31"/>
  <c r="M24" i="31" s="1"/>
  <c r="K16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1" i="29" l="1"/>
  <c r="K21" i="31"/>
  <c r="M21" i="31" s="1"/>
  <c r="N21" i="31" s="1"/>
  <c r="O21" i="31" s="1"/>
  <c r="K21" i="34"/>
  <c r="K19" i="29"/>
  <c r="L19" i="29"/>
  <c r="K19" i="31"/>
  <c r="L19" i="31"/>
  <c r="M19" i="31" s="1"/>
  <c r="N19" i="31" s="1"/>
  <c r="O19" i="31" s="1"/>
  <c r="K18" i="31"/>
  <c r="L18" i="31"/>
  <c r="M22" i="33"/>
  <c r="L22" i="31"/>
  <c r="M21" i="35"/>
  <c r="N21" i="35" s="1"/>
  <c r="O21" i="35" s="1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I17" i="26"/>
  <c r="I18" i="26"/>
  <c r="I19" i="26"/>
  <c r="L19" i="26" s="1"/>
  <c r="I20" i="26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N19" i="35" s="1"/>
  <c r="O19" i="35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18" i="26" l="1"/>
  <c r="L18" i="26"/>
  <c r="K16" i="26"/>
  <c r="L16" i="26"/>
  <c r="L25" i="31"/>
  <c r="P29" i="31" s="1"/>
  <c r="P31" i="31" s="1"/>
  <c r="K25" i="34"/>
  <c r="P30" i="34" s="1"/>
  <c r="P31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I16" i="25"/>
  <c r="L16" i="25" s="1"/>
  <c r="I17" i="25"/>
  <c r="I18" i="25"/>
  <c r="I19" i="25"/>
  <c r="L19" i="25" s="1"/>
  <c r="I20" i="25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I21" i="19"/>
  <c r="L21" i="19" s="1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I18" i="24"/>
  <c r="I19" i="24"/>
  <c r="L19" i="24" s="1"/>
  <c r="I20" i="24"/>
  <c r="K20" i="24" s="1"/>
  <c r="I21" i="24"/>
  <c r="L21" i="24" s="1"/>
  <c r="I22" i="24"/>
  <c r="K22" i="24" s="1"/>
  <c r="I21" i="23"/>
  <c r="I23" i="23"/>
  <c r="I17" i="2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I17" i="23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K22" i="23" s="1"/>
  <c r="I24" i="23"/>
  <c r="L24" i="23" s="1"/>
  <c r="I16" i="20"/>
  <c r="L16" i="20" s="1"/>
  <c r="I18" i="20"/>
  <c r="I20" i="20"/>
  <c r="I22" i="20"/>
  <c r="K22" i="20" s="1"/>
  <c r="I24" i="20"/>
  <c r="K24" i="20" s="1"/>
  <c r="I16" i="21"/>
  <c r="L16" i="21" s="1"/>
  <c r="I18" i="21"/>
  <c r="I20" i="21"/>
  <c r="K20" i="21" s="1"/>
  <c r="I22" i="21"/>
  <c r="K22" i="21" s="1"/>
  <c r="I24" i="21"/>
  <c r="K24" i="21" s="1"/>
  <c r="I16" i="17"/>
  <c r="I17" i="17"/>
  <c r="K17" i="17" s="1"/>
  <c r="I18" i="17"/>
  <c r="I19" i="17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3" l="1"/>
  <c r="L21" i="23"/>
  <c r="K21" i="21"/>
  <c r="M21" i="21" s="1"/>
  <c r="N21" i="21" s="1"/>
  <c r="L21" i="21"/>
  <c r="K19" i="21"/>
  <c r="L19" i="21"/>
  <c r="K19" i="18"/>
  <c r="L19" i="18"/>
  <c r="L25" i="18" s="1"/>
  <c r="P29" i="18" s="1"/>
  <c r="K19" i="23"/>
  <c r="L19" i="23"/>
  <c r="K19" i="20"/>
  <c r="L19" i="20"/>
  <c r="M19" i="20" s="1"/>
  <c r="N19" i="20" s="1"/>
  <c r="O19" i="20" s="1"/>
  <c r="K19" i="17"/>
  <c r="L19" i="17"/>
  <c r="K18" i="24"/>
  <c r="L18" i="24"/>
  <c r="K18" i="21"/>
  <c r="L18" i="21"/>
  <c r="M18" i="21" s="1"/>
  <c r="N18" i="21" s="1"/>
  <c r="O18" i="21" s="1"/>
  <c r="K18" i="25"/>
  <c r="L18" i="25"/>
  <c r="K18" i="20"/>
  <c r="L18" i="20"/>
  <c r="K18" i="17"/>
  <c r="L18" i="17"/>
  <c r="K16" i="17"/>
  <c r="L16" i="17"/>
  <c r="K21" i="18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L21" i="15" l="1"/>
  <c r="K25" i="24"/>
  <c r="P30" i="24" s="1"/>
  <c r="K25" i="25"/>
  <c r="P30" i="25" s="1"/>
  <c r="M16" i="24"/>
  <c r="N16" i="24" s="1"/>
  <c r="O16" i="24" s="1"/>
  <c r="K25" i="19"/>
  <c r="P30" i="19" s="1"/>
  <c r="P31" i="19" s="1"/>
  <c r="K22" i="15"/>
  <c r="M19" i="18"/>
  <c r="N19" i="18" s="1"/>
  <c r="O19" i="18" s="1"/>
  <c r="K18" i="15"/>
  <c r="L25" i="24"/>
  <c r="P29" i="24" s="1"/>
  <c r="L17" i="15"/>
  <c r="L23" i="15"/>
  <c r="L16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L20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31" i="24" l="1"/>
  <c r="M25" i="19"/>
  <c r="M16" i="15"/>
  <c r="M18" i="15"/>
  <c r="P22" i="20"/>
  <c r="M22" i="15"/>
  <c r="N16" i="18"/>
  <c r="N16" i="15" s="1"/>
  <c r="M18" i="16"/>
  <c r="N18" i="16" s="1"/>
  <c r="O18" i="16" s="1"/>
  <c r="O18" i="15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O16" i="18" l="1"/>
  <c r="O25" i="18" s="1"/>
  <c r="N25" i="18"/>
  <c r="P32" i="18" s="1"/>
  <c r="P33" i="18" s="1"/>
  <c r="N18" i="15"/>
  <c r="P18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<sst xmlns="http://schemas.openxmlformats.org/spreadsheetml/2006/main" count="1579" uniqueCount="107">
  <si>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</si>
  <si>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</si>
  <si>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</si>
  <si>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</si>
  <si>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</si>
  <si>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</si>
  <si>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</si>
  <si>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</si>
  <si>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</si>
  <si>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</si>
  <si>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</si>
  <si>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</si>
  <si>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</si>
  <si>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</si>
  <si>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</si>
  <si>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</si>
  <si>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</si>
  <si>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</si>
  <si>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</si>
  <si>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</si>
  <si>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</si>
  <si>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</si>
  <si>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</si>
  <si>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</si>
  <si>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</si>
  <si>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</si>
  <si>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</si>
  <si>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</si>
  <si>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</si>
  <si>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</si>
  <si>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</si>
  <si>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</si>
  <si>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</si>
  <si>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</si>
  <si>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</si>
  <si>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</si>
  <si>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</si>
  <si>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</si>
  <si>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</si>
  <si>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</si>
  <si>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</si>
  <si>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</si>
  <si>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</si>
  <si>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</si>
  <si>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</si>
  <si>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</si>
  <si>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</si>
  <si>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</si>
  <si>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</si>
  <si>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</si>
  <si>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</si>
  <si>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</si>
  <si>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</si>
  <si>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</si>
  <si>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</si>
  <si>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</si>
  <si>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</si>
  <si>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</si>
  <si>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</si>
  <si>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</si>
  <si>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</si>
  <si>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</si>
  <si>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</si>
  <si>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</si>
  <si>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</si>
  <si>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</si>
  <si>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</si>
  <si>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</si>
  <si>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</si>
  <si>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</si>
  <si>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</si>
  <si>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</si>
  <si>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</si>
  <si>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</si>
  <si>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</si>
  <si>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</si>
  <si>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</si>
  <si>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</si>
  <si>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</si>
  <si>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</si>
  <si>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</si>
  <si>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</si>
  <si>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</si>
  <si>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</si>
  <si>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</si>
  <si>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</si>
  <si>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</si>
  <si>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</si>
  <si>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</si>
  <si>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</si>
  <si>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</si>
  <si>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</si>
  <si>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</si>
  <si>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</si>
  <si>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</si>
  <si>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</si>
  <si>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</si>
  <si>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</si>
  <si>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</si>
  <si>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</si>
  <si>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</si>
  <si>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</si>
  <si>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</si>
  <si>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</si>
  <si>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>Customer Name : Raheem Store</t>
  </si>
  <si>
    <t xml:space="preserve">Address: Iqbal Town </t>
  </si>
  <si>
    <t>A244322-8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</si>
</sst>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2" sqref="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2" sqref="H22"/>
      <selection pane="topRight" activeCell="H22" sqref="H22"/>
      <selection pane="bottomLeft" activeCell="H22" sqref="H22"/>
      <selection pane="bottomRight" activeCell="H22" sqref="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C1" zoomScale="70" zoomScaleNormal="7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102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103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Raheem Store</v>
      </c>
      <c r="U14" s="163">
        <f>+'1'!P35</f>
        <v>59431.627538999994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39"/>
      <c r="J15" s="170" t="s">
        <v>78</v>
      </c>
      <c r="K15" s="170" t="s">
        <v>79</v>
      </c>
      <c r="L15" s="173" t="s">
        <v>80</v>
      </c>
      <c r="M15" s="23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Raheem Store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80</v>
      </c>
      <c r="I16" s="1">
        <f>(G16*D16)*F16+H16*F16</f>
        <v>4197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587.58000000000004</v>
      </c>
      <c r="M16" s="105">
        <f>I16-K16-L16</f>
        <v>3609.42</v>
      </c>
      <c r="N16" s="100">
        <f>+'1'!N16+'2'!N16+'4'!N16+'3'!N16+'5'!N16+'6'!N16+'7'!N16+'8'!N16+'9'!N16+'10'!N16</f>
        <v>649.69560000000001</v>
      </c>
      <c r="O16" s="100">
        <f>+'1'!O16+'2'!O16+'4'!O16+'3'!O16+'5'!O16+'6'!O16+'7'!O16+'8'!O16+'9'!O16+'10'!O16</f>
        <v>21.295578000000003</v>
      </c>
      <c r="P16" s="104">
        <f t="shared" ref="P16:P24" si="0">M16+N16+O16</f>
        <v>4280.4111780000003</v>
      </c>
      <c r="Q16" s="107"/>
      <c r="T16" s="162" t="str">
        <f>+'4'!A5</f>
        <v>Customer Name : Raheem Store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0</v>
      </c>
      <c r="I17" s="1">
        <f t="shared" ref="I17:I23" si="1">(G17*D17)*F17+H17*F17</f>
        <v>0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0</v>
      </c>
      <c r="M17" s="117">
        <f t="shared" ref="M17:M23" si="2">I17-K17-L17</f>
        <v>0</v>
      </c>
      <c r="N17" s="100">
        <f>+'1'!N17+'2'!N17+'4'!N17+'3'!N17+'5'!N17+'6'!N17+'7'!N17+'8'!N17+'9'!N17+'10'!N17</f>
        <v>0</v>
      </c>
      <c r="O17" s="100">
        <f>+'1'!O17+'2'!O17+'4'!O17+'3'!O17+'5'!O17+'6'!O17+'7'!O17+'8'!O17+'9'!O17+'10'!O17</f>
        <v>0</v>
      </c>
      <c r="P17" s="119">
        <f t="shared" si="0"/>
        <v>0</v>
      </c>
      <c r="S17" s="64"/>
      <c r="T17" s="162" t="str">
        <f>+'3'!A5</f>
        <v>Customer Name : Raheem Store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200</v>
      </c>
      <c r="I18" s="1">
        <f t="shared" si="1"/>
        <v>10492.5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1468.95</v>
      </c>
      <c r="M18" s="117">
        <f t="shared" si="2"/>
        <v>9023.5499999999993</v>
      </c>
      <c r="N18" s="100">
        <f>+'1'!N18+'2'!N18+'4'!N18+'3'!N18+'5'!N18+'6'!N18+'7'!N18+'8'!N18+'9'!N18+'10'!N18</f>
        <v>1624.2389999999998</v>
      </c>
      <c r="O18" s="100">
        <f>+'1'!O18+'2'!O18+'4'!O18+'3'!O18+'5'!O18+'6'!O18+'7'!O18+'8'!O18+'9'!O18+'10'!O18</f>
        <v>53.238944999999994</v>
      </c>
      <c r="P18" s="119">
        <f t="shared" si="0"/>
        <v>10701.027944999998</v>
      </c>
      <c r="T18" s="162" t="str">
        <f>+'5'!A5</f>
        <v>Customer Name : Raheem Store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200</v>
      </c>
      <c r="I19" s="1">
        <f t="shared" si="1"/>
        <v>14528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2033.9200000000003</v>
      </c>
      <c r="M19" s="117">
        <f t="shared" si="2"/>
        <v>12494.08</v>
      </c>
      <c r="N19" s="100">
        <f>+'1'!N19+'2'!N19+'4'!N19+'3'!N19+'5'!N19+'6'!N19+'7'!N19+'8'!N19+'9'!N19+'10'!N19</f>
        <v>2248.9344000000001</v>
      </c>
      <c r="O19" s="100">
        <f>+'1'!O19+'2'!O19+'4'!O19+'3'!O19+'5'!O19+'6'!O19+'7'!O19+'8'!O19+'9'!O19+'10'!O19</f>
        <v>73.715072000000006</v>
      </c>
      <c r="P19" s="119">
        <f t="shared" si="0"/>
        <v>14816.729472000001</v>
      </c>
      <c r="T19" s="162" t="str">
        <f>+'6'!A5</f>
        <v>Customer Name : Raheem Store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Raheem Store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400</v>
      </c>
      <c r="I21" s="1">
        <f t="shared" si="1"/>
        <v>29056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4067.8400000000006</v>
      </c>
      <c r="M21" s="117">
        <f t="shared" si="2"/>
        <v>24988.16</v>
      </c>
      <c r="N21" s="100">
        <f>+'1'!N21+'2'!N21+'4'!N21+'3'!N21+'5'!N21+'6'!N21+'7'!N21+'8'!N21+'9'!N21+'10'!N21</f>
        <v>4497.8688000000002</v>
      </c>
      <c r="O21" s="100">
        <f>+'1'!O21+'2'!O21+'4'!O21+'3'!O21+'5'!O21+'6'!O21+'7'!O21+'8'!O21+'9'!O21+'10'!O21</f>
        <v>147.43014400000001</v>
      </c>
      <c r="P21" s="119">
        <f t="shared" si="0"/>
        <v>29633.458944000002</v>
      </c>
      <c r="T21" s="162" t="str">
        <f>+'8'!A5</f>
        <v>Customer Name : Raheem Store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Raheem Store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Raheem Store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Raheem Store</v>
      </c>
      <c r="U24" s="163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22</v>
      </c>
      <c r="D25" s="205"/>
      <c r="E25" s="205"/>
      <c r="F25" s="205"/>
      <c r="G25" s="175">
        <f t="shared" ref="G25:M25" si="3">SUM(G16:G24)</f>
        <v>0</v>
      </c>
      <c r="H25" s="176">
        <f t="shared" si="3"/>
        <v>880</v>
      </c>
      <c r="I25" s="177">
        <f t="shared" si="3"/>
        <v>58273.5</v>
      </c>
      <c r="J25" s="176">
        <f t="shared" si="3"/>
        <v>0</v>
      </c>
      <c r="K25" s="177">
        <f t="shared" si="3"/>
        <v>0</v>
      </c>
      <c r="L25" s="178">
        <f t="shared" si="3"/>
        <v>8158.2900000000009</v>
      </c>
      <c r="M25" s="140">
        <f t="shared" si="3"/>
        <v>50115.21</v>
      </c>
      <c r="N25" s="141">
        <f>SUM(N16:N24)</f>
        <v>9020.737799999999</v>
      </c>
      <c r="O25" s="142">
        <f>SUM(O16:O24)</f>
        <v>295.67973900000004</v>
      </c>
      <c r="P25" s="143">
        <f>SUM(P16:P24)</f>
        <v>59431.627539000001</v>
      </c>
      <c r="T25" s="162" t="str">
        <f>+'12'!A5</f>
        <v>Customer Name : Raheem Store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Raheem Store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Raheem Store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Raheem Store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Raheem Store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Raheem Store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Raheem Store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59431.627538999994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2" t="s">
        <v>85</v>
      </c>
      <c r="C35" s="213"/>
      <c r="D35" s="213"/>
      <c r="E35" s="213"/>
      <c r="F35" s="213"/>
      <c r="G35" s="213"/>
      <c r="H35" s="213"/>
      <c r="I35" s="213"/>
      <c r="J35" s="213"/>
      <c r="K35" s="213"/>
      <c r="L35" s="214"/>
      <c r="N35" s="221" t="s">
        <v>86</v>
      </c>
      <c r="O35" s="222"/>
      <c r="P35" s="151">
        <f>I25</f>
        <v>58273.5</v>
      </c>
    </row>
    <row r="36" spans="1:21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N36" s="223" t="s">
        <v>87</v>
      </c>
      <c r="O36" s="224"/>
      <c r="P36" s="152">
        <f>L25</f>
        <v>8158.2900000000009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4</v>
      </c>
      <c r="O37" s="224"/>
      <c r="P37" s="153">
        <f>K25</f>
        <v>0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M38" s="2"/>
      <c r="N38" s="223" t="s">
        <v>88</v>
      </c>
      <c r="O38" s="224"/>
      <c r="P38" s="152">
        <f>P35-P36-P37</f>
        <v>50115.21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154" t="s">
        <v>89</v>
      </c>
      <c r="O39" s="155">
        <f>IF(B12="Registered",18%,22%)</f>
        <v>0.22</v>
      </c>
      <c r="P39" s="152">
        <f>N25</f>
        <v>9020.737799999999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225" t="s">
        <v>90</v>
      </c>
      <c r="O40" s="226"/>
      <c r="P40" s="152">
        <f>P38+P39</f>
        <v>59135.947799999994</v>
      </c>
    </row>
    <row r="41" spans="1:21" ht="15" customHeight="1" thickBot="1" x14ac:dyDescent="0.4">
      <c r="B41" s="218"/>
      <c r="C41" s="219"/>
      <c r="D41" s="219"/>
      <c r="E41" s="219"/>
      <c r="F41" s="219"/>
      <c r="G41" s="219"/>
      <c r="H41" s="219"/>
      <c r="I41" s="219"/>
      <c r="J41" s="219"/>
      <c r="K41" s="219"/>
      <c r="L41" s="220"/>
      <c r="M41" s="156"/>
      <c r="N41" s="157" t="s">
        <v>91</v>
      </c>
      <c r="O41" s="158">
        <f>IF(B11="Filer",0.5%,2.5%)</f>
        <v>2.5000000000000001E-2</v>
      </c>
      <c r="P41" s="152">
        <f>O41*P40</f>
        <v>1478.3986949999999</v>
      </c>
    </row>
    <row r="42" spans="1:21" ht="15.75" customHeight="1" thickBot="1" x14ac:dyDescent="0.4">
      <c r="N42" s="203" t="s">
        <v>92</v>
      </c>
      <c r="O42" s="204"/>
      <c r="P42" s="159">
        <f>P40+P41</f>
        <v>60614.346494999991</v>
      </c>
    </row>
    <row r="43" spans="1:21" ht="15" thickBot="1" x14ac:dyDescent="0.4">
      <c r="B43" s="160" t="s">
        <v>93</v>
      </c>
      <c r="C43" s="205"/>
      <c r="D43" s="205"/>
      <c r="E43" s="205"/>
      <c r="F43" s="205"/>
      <c r="G43" s="205"/>
      <c r="H43" s="205"/>
      <c r="I43" s="206"/>
      <c r="J43" s="207"/>
      <c r="K43" s="208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101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>
        <v>0</v>
      </c>
      <c r="K16" s="103">
        <f>I16*$K$13</f>
        <v>0</v>
      </c>
      <c r="L16" s="104">
        <f>I16*14%</f>
        <v>587.58000000000004</v>
      </c>
      <c r="M16" s="105">
        <f>I16-K16-L16</f>
        <v>3609.42</v>
      </c>
      <c r="N16" s="105">
        <f t="shared" ref="N16:N24" si="0">(M16*$N$15)+(J16*F16)*$N$15</f>
        <v>649.69560000000001</v>
      </c>
      <c r="O16" s="106">
        <f t="shared" ref="O16:O24" si="1">(N16+M16)*$O$15</f>
        <v>21.295578000000003</v>
      </c>
      <c r="P16" s="104">
        <f t="shared" ref="P16:P24" si="2">M16+N16+O16</f>
        <v>4280.4111780000003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3">(G17*D17)*F17+H17*F17</f>
        <v>0</v>
      </c>
      <c r="J17" s="116">
        <v>0</v>
      </c>
      <c r="K17" s="1">
        <f t="shared" ref="K17:K21" si="4">I17*$K$13</f>
        <v>0</v>
      </c>
      <c r="L17" s="104">
        <f t="shared" ref="L17:L21" si="5">I17*14%</f>
        <v>0</v>
      </c>
      <c r="M17" s="117">
        <f t="shared" ref="M17:M23" si="6">I17-K17-L17</f>
        <v>0</v>
      </c>
      <c r="N17" s="117">
        <f t="shared" si="0"/>
        <v>0</v>
      </c>
      <c r="O17" s="118">
        <f t="shared" si="1"/>
        <v>0</v>
      </c>
      <c r="P17" s="119">
        <f t="shared" si="2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200</v>
      </c>
      <c r="I18" s="115">
        <f t="shared" si="3"/>
        <v>10492.5</v>
      </c>
      <c r="J18" s="116">
        <v>0</v>
      </c>
      <c r="K18" s="1">
        <f t="shared" si="4"/>
        <v>0</v>
      </c>
      <c r="L18" s="104">
        <f t="shared" si="5"/>
        <v>1468.95</v>
      </c>
      <c r="M18" s="117">
        <f t="shared" si="6"/>
        <v>9023.5499999999993</v>
      </c>
      <c r="N18" s="117">
        <f t="shared" si="0"/>
        <v>1624.2389999999998</v>
      </c>
      <c r="O18" s="118">
        <f t="shared" si="1"/>
        <v>53.238944999999994</v>
      </c>
      <c r="P18" s="119">
        <f t="shared" si="2"/>
        <v>10701.027944999998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200</v>
      </c>
      <c r="I19" s="115">
        <f t="shared" si="3"/>
        <v>14528</v>
      </c>
      <c r="J19" s="116">
        <v>0</v>
      </c>
      <c r="K19" s="1">
        <f t="shared" si="4"/>
        <v>0</v>
      </c>
      <c r="L19" s="104">
        <f t="shared" si="5"/>
        <v>2033.9200000000003</v>
      </c>
      <c r="M19" s="117">
        <f t="shared" si="6"/>
        <v>12494.08</v>
      </c>
      <c r="N19" s="117">
        <f t="shared" si="0"/>
        <v>2248.9344000000001</v>
      </c>
      <c r="O19" s="118">
        <f t="shared" si="1"/>
        <v>73.715072000000006</v>
      </c>
      <c r="P19" s="119">
        <f t="shared" si="2"/>
        <v>14816.729472000001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3"/>
        <v>0</v>
      </c>
      <c r="J20" s="116">
        <v>0</v>
      </c>
      <c r="K20" s="1">
        <f t="shared" si="4"/>
        <v>0</v>
      </c>
      <c r="L20" s="104">
        <f t="shared" si="5"/>
        <v>0</v>
      </c>
      <c r="M20" s="117">
        <f t="shared" si="6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400</v>
      </c>
      <c r="I21" s="115">
        <f t="shared" si="3"/>
        <v>29056</v>
      </c>
      <c r="J21" s="116">
        <v>0</v>
      </c>
      <c r="K21" s="1">
        <f t="shared" si="4"/>
        <v>0</v>
      </c>
      <c r="L21" s="104">
        <f t="shared" si="5"/>
        <v>4067.8400000000006</v>
      </c>
      <c r="M21" s="117">
        <f t="shared" si="6"/>
        <v>24988.16</v>
      </c>
      <c r="N21" s="117">
        <f t="shared" si="0"/>
        <v>4497.8688000000002</v>
      </c>
      <c r="O21" s="118">
        <f t="shared" si="1"/>
        <v>147.43014400000001</v>
      </c>
      <c r="P21" s="119">
        <f t="shared" si="2"/>
        <v>29633.458944000002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880</v>
      </c>
      <c r="I25" s="136">
        <f t="shared" si="9"/>
        <v>58273.5</v>
      </c>
      <c r="J25" s="182">
        <f>SUM(J16:J21)</f>
        <v>0</v>
      </c>
      <c r="K25" s="138">
        <f t="shared" si="9"/>
        <v>0</v>
      </c>
      <c r="L25" s="139">
        <f t="shared" si="9"/>
        <v>8158.2900000000009</v>
      </c>
      <c r="M25" s="140">
        <f t="shared" si="9"/>
        <v>50115.21</v>
      </c>
      <c r="N25" s="141">
        <f>SUM(N16:N24)</f>
        <v>9020.737799999999</v>
      </c>
      <c r="O25" s="142">
        <f>SUM(O16:O24)</f>
        <v>295.67973900000004</v>
      </c>
      <c r="P25" s="143">
        <f>SUM(P16:P24)</f>
        <v>59431.627539000001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58273.5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8158.2900000000009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50115.21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9020.737799999999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59135.947799999994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295.67973899999998</v>
      </c>
    </row>
    <row r="35" spans="2:16" ht="15.75" customHeight="1" thickBot="1" x14ac:dyDescent="0.4">
      <c r="N35" s="203" t="s">
        <v>92</v>
      </c>
      <c r="O35" s="204"/>
      <c r="P35" s="159">
        <f>P33+P34</f>
        <v>59431.627538999994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8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6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53</v>
      </c>
      <c r="C12" s="77" t="str">
        <f>IF($O32&gt;21.99%,"No","Yes")</f>
        <v>Yes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79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1001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106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1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2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3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2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2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3" t="s">
        <v>92</v>
      </c>
      <c r="O35" s="204"/>
      <c r="P35" s="159">
        <f>P33+P34</f>
        <v>0</v>
      </c>
    </row>
    <row r="36" spans="2:16" ht="15" thickBot="1" x14ac:dyDescent="0.4">
      <c r="B36" s="160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2026-06-19T05:00:33Z</dcterms:modified>
</cp:coreProperties>
</file>