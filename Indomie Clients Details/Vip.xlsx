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F7F6AF4-41CA-4BE6-9A25-A0903518E3F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6" l="1"/>
  <c r="L18" i="16"/>
  <c r="L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<sst xmlns="http://schemas.openxmlformats.org/spreadsheetml/2006/main" count="1598" uniqueCount="107">
  <si>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</si>
  <si>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</si>
  <si>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</si>
  <si>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</si>
  <si>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</si>
  <si>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</si>
  <si>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</si>
  <si>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</si>
  <si>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</si>
  <si>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</si>
  <si>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</si>
  <si>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</si>
  <si>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</si>
  <si>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</si>
  <si>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</si>
  <si>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</si>
  <si>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</si>
  <si>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</si>
  <si>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</si>
  <si>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</si>
  <si>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</si>
  <si>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</si>
  <si>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</si>
  <si>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</si>
  <si>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</si>
  <si>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</si>
  <si>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</si>
  <si>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</si>
  <si>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</si>
  <si>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</si>
  <si>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</si>
  <si>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</si>
  <si>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</si>
  <si>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</si>
  <si>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</si>
  <si>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</si>
  <si>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</si>
  <si>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</si>
  <si>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</si>
  <si>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</si>
  <si>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</si>
  <si>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</si>
  <si>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</si>
  <si>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</si>
  <si>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</si>
  <si>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</si>
  <si>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</si>
  <si>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</si>
  <si>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</si>
  <si>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</si>
  <si>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</si>
  <si>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</si>
  <si>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</si>
  <si>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</si>
  <si>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</si>
  <si>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</si>
  <si>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</si>
  <si>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</si>
  <si>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</si>
  <si>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</si>
  <si>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</si>
  <si>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</si>
  <si>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</si>
  <si>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</si>
  <si>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</si>
  <si>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</si>
  <si>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</si>
  <si>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</si>
  <si>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</si>
  <si>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</si>
  <si>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</si>
  <si>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</si>
  <si>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</si>
  <si>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</si>
  <si>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</si>
  <si>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</si>
  <si>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</si>
  <si>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</si>
  <si>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</si>
  <si>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</si>
  <si>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</si>
  <si>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</si>
  <si>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</si>
  <si>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</si>
  <si>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</si>
  <si>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</si>
  <si>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</si>
  <si>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</si>
  <si>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</si>
  <si>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</si>
  <si>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</si>
  <si>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</si>
  <si>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</si>
  <si>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</si>
  <si>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</si>
  <si>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</si>
  <si>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</si>
  <si>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</si>
  <si>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</si>
  <si>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</si>
  <si>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</si>
  <si>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</si>
  <si>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VIP</t>
  </si>
  <si>
    <t>Shop Bill Summary (VIP)</t>
  </si>
  <si>
    <t>Address: Zarar Shaheed Road Sadar</t>
  </si>
  <si>
    <t>Customer Name : VIP General Store</t>
  </si>
  <si>
    <t>7974614-2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</si>
</sst>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102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103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VIP General Store</v>
      </c>
      <c r="U14" s="164">
        <f>+'1'!P35</f>
        <v>55053.757209599993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3"/>
      <c r="J15" s="171" t="s">
        <v>78</v>
      </c>
      <c r="K15" s="171" t="s">
        <v>79</v>
      </c>
      <c r="L15" s="174" t="s">
        <v>80</v>
      </c>
      <c r="M15" s="21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VIP General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VIP General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VIP General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VIP General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</f>
        <v>12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2092.0319999999997</v>
      </c>
      <c r="M19" s="118">
        <f t="shared" si="2"/>
        <v>15341.567999999999</v>
      </c>
      <c r="N19" s="101">
        <f>+'1'!N19+'2'!N19+'4'!N19+'3'!N19+'5'!N19+'6'!N19+'7'!N19+'8'!N19+'9'!N19+'10'!N19</f>
        <v>2918.3846399999998</v>
      </c>
      <c r="O19" s="101">
        <f>+'1'!O19+'2'!O19+'4'!O19+'3'!O19+'5'!O19+'6'!O19+'7'!O19+'8'!O19+'9'!O19+'10'!O19</f>
        <v>91.299763200000001</v>
      </c>
      <c r="P19" s="120">
        <f t="shared" si="0"/>
        <v>18351.2524032</v>
      </c>
      <c r="T19" s="163" t="str">
        <f>+'6'!A5</f>
        <v>Customer Name : VIP General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</f>
        <v>12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2092.0319999999997</v>
      </c>
      <c r="M20" s="118">
        <f t="shared" si="2"/>
        <v>15341.567999999999</v>
      </c>
      <c r="N20" s="101">
        <f>+'1'!N20+'2'!N20+'4'!N20+'3'!N20+'5'!N20+'6'!N20+'7'!N20+'8'!N20+'9'!N20+'10'!N20</f>
        <v>2918.3846399999998</v>
      </c>
      <c r="O20" s="101">
        <f>+'1'!O20+'2'!O20+'4'!O20+'3'!O20+'5'!O20+'6'!O20+'7'!O20+'8'!O20+'9'!O20+'10'!O20</f>
        <v>91.299763200000001</v>
      </c>
      <c r="P20" s="120">
        <f t="shared" si="0"/>
        <v>18351.2524032</v>
      </c>
      <c r="T20" s="163" t="str">
        <f>+'7'!A5</f>
        <v>Customer Name : VIP General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2092.0319999999997</v>
      </c>
      <c r="M21" s="118">
        <f t="shared" si="2"/>
        <v>15341.567999999999</v>
      </c>
      <c r="N21" s="101">
        <f>+'1'!N21+'2'!N21+'4'!N21+'3'!N21+'5'!N21+'6'!N21+'7'!N21+'8'!N21+'9'!N21+'10'!N21</f>
        <v>2918.3846399999998</v>
      </c>
      <c r="O21" s="101">
        <f>+'1'!O21+'2'!O21+'4'!O21+'3'!O21+'5'!O21+'6'!O21+'7'!O21+'8'!O21+'9'!O21+'10'!O21</f>
        <v>91.299763200000001</v>
      </c>
      <c r="P21" s="120">
        <f t="shared" si="0"/>
        <v>18351.2524032</v>
      </c>
      <c r="T21" s="163" t="str">
        <f>+'8'!A5</f>
        <v>Customer Name : VIP General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VIP General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VIP General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VIP General Store</v>
      </c>
      <c r="U24" s="164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18</v>
      </c>
      <c r="D25" s="223"/>
      <c r="E25" s="223"/>
      <c r="F25" s="223"/>
      <c r="G25" s="176">
        <f t="shared" ref="G25:M25" si="3">SUM(G16:G24)</f>
        <v>0</v>
      </c>
      <c r="H25" s="177">
        <f t="shared" si="3"/>
        <v>720</v>
      </c>
      <c r="I25" s="178">
        <f t="shared" si="3"/>
        <v>52300.799999999996</v>
      </c>
      <c r="J25" s="177">
        <f t="shared" si="3"/>
        <v>36</v>
      </c>
      <c r="K25" s="178">
        <f t="shared" si="3"/>
        <v>0</v>
      </c>
      <c r="L25" s="179">
        <f t="shared" si="3"/>
        <v>6276.0959999999995</v>
      </c>
      <c r="M25" s="141">
        <f t="shared" si="3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  <c r="T25" s="163" t="str">
        <f>+'12'!A5</f>
        <v>Customer Name : VIP General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VIP General Store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VIP General Store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VIP General Store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VIP General Store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VIP General Store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VIP General Store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55053.757209599993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2">
        <f>I25</f>
        <v>52300.799999999996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3">
        <f>L25</f>
        <v>6276.0959999999995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4">
        <f>K25</f>
        <v>0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3">
        <f>P35-P36-P37</f>
        <v>46024.703999999998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5" t="s">
        <v>89</v>
      </c>
      <c r="O39" s="156">
        <f>IF(B12="Registered",18%,22%)</f>
        <v>0.22</v>
      </c>
      <c r="P39" s="153">
        <f>N25</f>
        <v>8755.1539199999988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3">
        <f>P38+P39</f>
        <v>54779.857919999995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7"/>
      <c r="N41" s="158" t="s">
        <v>91</v>
      </c>
      <c r="O41" s="159">
        <f>IF(B11="Filer",0.5%,2.5%)</f>
        <v>2.5000000000000001E-2</v>
      </c>
      <c r="P41" s="153">
        <f>O41*P40</f>
        <v>1369.4964479999999</v>
      </c>
    </row>
    <row r="42" spans="1:21" ht="15.75" customHeight="1" thickBot="1" x14ac:dyDescent="0.4">
      <c r="N42" s="221" t="s">
        <v>92</v>
      </c>
      <c r="O42" s="222"/>
      <c r="P42" s="160">
        <f>P40+P41</f>
        <v>56149.354367999993</v>
      </c>
    </row>
    <row r="43" spans="1:21" ht="15" thickBot="1" x14ac:dyDescent="0.4">
      <c r="B43" s="161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4">
        <v>0.12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3">(G17*D17)*F17+H17*F17</f>
        <v>0</v>
      </c>
      <c r="J17" s="117">
        <v>0</v>
      </c>
      <c r="K17" s="1">
        <f t="shared" ref="K17:K21" si="4">I17*$K$13</f>
        <v>0</v>
      </c>
      <c r="L17" s="105">
        <f t="shared" ref="L17:L21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>
        <v>12</v>
      </c>
      <c r="K19" s="1">
        <f t="shared" si="4"/>
        <v>0</v>
      </c>
      <c r="L19" s="105">
        <f t="shared" si="5"/>
        <v>2092.0319999999997</v>
      </c>
      <c r="M19" s="118">
        <f t="shared" si="6"/>
        <v>15341.567999999999</v>
      </c>
      <c r="N19" s="118">
        <f t="shared" si="0"/>
        <v>2918.3846399999998</v>
      </c>
      <c r="O19" s="119">
        <f t="shared" si="1"/>
        <v>91.299763200000001</v>
      </c>
      <c r="P19" s="120">
        <f t="shared" si="2"/>
        <v>18351.2524032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>
        <v>12</v>
      </c>
      <c r="K20" s="1">
        <f t="shared" si="4"/>
        <v>0</v>
      </c>
      <c r="L20" s="105">
        <f t="shared" si="5"/>
        <v>2092.0319999999997</v>
      </c>
      <c r="M20" s="118">
        <f t="shared" si="6"/>
        <v>15341.567999999999</v>
      </c>
      <c r="N20" s="118">
        <f t="shared" si="0"/>
        <v>2918.3846399999998</v>
      </c>
      <c r="O20" s="119">
        <f t="shared" si="1"/>
        <v>91.299763200000001</v>
      </c>
      <c r="P20" s="120">
        <f t="shared" si="2"/>
        <v>18351.2524032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>
        <v>12</v>
      </c>
      <c r="K21" s="1">
        <f t="shared" si="4"/>
        <v>0</v>
      </c>
      <c r="L21" s="105">
        <f t="shared" si="5"/>
        <v>2092.0319999999997</v>
      </c>
      <c r="M21" s="118">
        <f t="shared" si="6"/>
        <v>15341.567999999999</v>
      </c>
      <c r="N21" s="118">
        <f t="shared" si="0"/>
        <v>2918.3846399999998</v>
      </c>
      <c r="O21" s="119">
        <f t="shared" si="1"/>
        <v>91.299763200000001</v>
      </c>
      <c r="P21" s="120">
        <f t="shared" si="2"/>
        <v>18351.2524032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720</v>
      </c>
      <c r="I25" s="137">
        <f t="shared" si="9"/>
        <v>52300.799999999996</v>
      </c>
      <c r="J25" s="183">
        <f>SUM(J16:J21)</f>
        <v>36</v>
      </c>
      <c r="K25" s="139">
        <f t="shared" si="9"/>
        <v>0</v>
      </c>
      <c r="L25" s="140">
        <f t="shared" si="9"/>
        <v>6276.0959999999995</v>
      </c>
      <c r="M25" s="141">
        <f t="shared" si="9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52300.799999999996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6276.0959999999995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46024.703999999998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8755.1539199999988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54779.857919999995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273.89928959999997</v>
      </c>
    </row>
    <row r="35" spans="2:16" ht="15.75" customHeight="1" thickBot="1" x14ac:dyDescent="0.4">
      <c r="N35" s="221" t="s">
        <v>92</v>
      </c>
      <c r="O35" s="222"/>
      <c r="P35" s="160">
        <f>P33+P34</f>
        <v>55053.757209599993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4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3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5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6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7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8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9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7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80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46202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46201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2026-06-29T05:42:37Z</dcterms:modified>
</cp:coreProperties>
</file>