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BCB2E226-4CF1-4C21-830B-B12A32E8C286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6" l="1"/>
  <c r="L18" i="16"/>
  <c r="L16" i="16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L17" i="34" s="1"/>
  <c r="I18" i="34"/>
  <c r="I19" i="34"/>
  <c r="L19" i="34" s="1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L19" i="33" s="1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K18" i="34"/>
  <c r="L18" i="34"/>
  <c r="K21" i="34"/>
  <c r="L21" i="34"/>
  <c r="K22" i="34"/>
  <c r="L22" i="34"/>
  <c r="K23" i="34"/>
  <c r="M23" i="34"/>
  <c r="L23" i="34"/>
  <c r="K24" i="34"/>
  <c r="K21" i="33"/>
  <c r="L21" i="33"/>
  <c r="K22" i="33"/>
  <c r="L22" i="33"/>
  <c r="K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L19" i="31"/>
  <c r="K21" i="31"/>
  <c r="L21" i="31"/>
  <c r="K24" i="31"/>
  <c r="L24" i="31"/>
  <c r="M24" i="31" s="1"/>
  <c r="K16" i="31"/>
  <c r="L16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L20" i="34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L20" i="26" s="1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K23" i="26"/>
  <c r="L23" i="26"/>
  <c r="K20" i="26"/>
  <c r="K21" i="26"/>
  <c r="L21" i="26"/>
  <c r="K24" i="26"/>
  <c r="L24" i="26"/>
  <c r="M24" i="26" s="1"/>
  <c r="L16" i="26"/>
  <c r="T23" i="15"/>
  <c r="T22" i="15"/>
  <c r="T21" i="15"/>
  <c r="T20" i="15"/>
  <c r="T19" i="15"/>
  <c r="T18" i="15"/>
  <c r="T17" i="15"/>
  <c r="T16" i="15"/>
  <c r="T15" i="15"/>
  <c r="T14" i="15"/>
  <c r="L18" i="26" l="1"/>
  <c r="K25" i="34"/>
  <c r="P30" i="34" s="1"/>
  <c r="L22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L17" i="25" s="1"/>
  <c r="I18" i="25"/>
  <c r="K18" i="25" s="1"/>
  <c r="I19" i="25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L20" i="25"/>
  <c r="K16" i="25"/>
  <c r="L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L18" i="25"/>
  <c r="K17" i="24"/>
  <c r="K22" i="18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N18" i="22"/>
  <c r="O18" i="22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L21" i="16" l="1"/>
  <c r="L21" i="15" s="1"/>
  <c r="K20" i="16"/>
  <c r="L20" i="16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P22" i="20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<sst xmlns="http://schemas.openxmlformats.org/spreadsheetml/2006/main" count="1598" uniqueCount="107">
  <si>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</si>
  <si>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</si>
  <si>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</si>
  <si>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</si>
  <si>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</si>
  <si>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</si>
  <si>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</si>
  <si>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</si>
  <si>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</si>
  <si>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</si>
  <si>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</si>
  <si>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</si>
  <si>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</si>
  <si>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</si>
  <si>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</si>
  <si>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</si>
  <si>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</si>
  <si>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</si>
  <si>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</si>
  <si>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</si>
  <si>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</si>
  <si>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</si>
  <si>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</si>
  <si>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</si>
  <si>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</si>
  <si>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</si>
  <si>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</si>
  <si>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</si>
  <si>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</si>
  <si>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</si>
  <si>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</si>
  <si>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</si>
  <si>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</si>
  <si>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</si>
  <si>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</si>
  <si>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</si>
  <si>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</si>
  <si>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</si>
  <si>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</si>
  <si>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</si>
  <si>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</si>
  <si>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</si>
  <si>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</si>
  <si>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</si>
  <si>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</si>
  <si>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</si>
  <si>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</si>
  <si>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</si>
  <si>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</si>
  <si>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</si>
  <si>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</si>
  <si>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</si>
  <si>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</si>
  <si>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</si>
  <si>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</si>
  <si>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</si>
  <si>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</si>
  <si>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</si>
  <si>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</si>
  <si>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</si>
  <si>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</si>
  <si>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</si>
  <si>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</si>
  <si>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</si>
  <si>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</si>
  <si>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</si>
  <si>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</si>
  <si>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</si>
  <si>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</si>
  <si>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</si>
  <si>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</si>
  <si>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</si>
  <si>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</si>
  <si>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</si>
  <si>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</si>
  <si>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</si>
  <si>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</si>
  <si>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</si>
  <si>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</si>
  <si>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</si>
  <si>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</si>
  <si>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</si>
  <si>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</si>
  <si>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</si>
  <si>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</si>
  <si>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</si>
  <si>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</si>
  <si>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</si>
  <si>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</si>
  <si>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</si>
  <si>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</si>
  <si>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</si>
  <si>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</si>
  <si>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</si>
  <si>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</si>
  <si>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</si>
  <si>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</si>
  <si>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</si>
  <si>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</si>
  <si>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</si>
  <si>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</si>
  <si>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</si>
  <si>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VIP</t>
  </si>
  <si>
    <t>Shop Bill Summary (VIP)</t>
  </si>
  <si>
    <t>Address: Zarar Shaheed Road Sadar</t>
  </si>
  <si>
    <t>Customer Name : VIP General Store</t>
  </si>
  <si>
    <t>7974614-2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</si>
</sst>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13" zoomScale="70" zoomScaleNormal="70" workbookViewId="0">
      <selection activeCell="S15" sqref="S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1" t="s">
        <v>45</v>
      </c>
      <c r="B2" s="201"/>
      <c r="C2" s="201"/>
    </row>
    <row r="3" spans="1:21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6" t="s">
        <v>102</v>
      </c>
      <c r="B5" s="206"/>
      <c r="C5" s="206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21 16383:16384" ht="15" customHeight="1" x14ac:dyDescent="0.35">
      <c r="A6" s="206"/>
      <c r="B6" s="206"/>
      <c r="C6" s="206"/>
      <c r="F6" s="70"/>
      <c r="G6" s="74"/>
      <c r="K6" s="203" t="s">
        <v>52</v>
      </c>
      <c r="L6" s="203"/>
      <c r="M6" s="203"/>
      <c r="N6" s="205" t="s">
        <v>42</v>
      </c>
      <c r="O6" s="205"/>
      <c r="P6" s="205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21 16383:16384" hidden="1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21 16383:16384" x14ac:dyDescent="0.35">
      <c r="A10" s="208"/>
      <c r="B10" s="75"/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21 16383:16384" ht="15" thickBot="1" x14ac:dyDescent="0.4">
      <c r="A11" s="208"/>
      <c r="B11" s="76"/>
      <c r="C11" s="77"/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21 16383:16384" ht="14.65" customHeight="1" x14ac:dyDescent="0.35">
      <c r="A12" s="208"/>
      <c r="B12" s="76"/>
      <c r="C12" s="77"/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T12" s="217" t="s">
        <v>103</v>
      </c>
      <c r="U12" s="218"/>
      <c r="XFD12" t="s">
        <v>62</v>
      </c>
    </row>
    <row r="13" spans="1:21 16383:16384" ht="15" thickBot="1" x14ac:dyDescent="0.4">
      <c r="A13" s="245"/>
      <c r="J13" s="78"/>
      <c r="K13" s="78"/>
      <c r="L13" s="79">
        <v>0.05</v>
      </c>
      <c r="T13" s="219"/>
      <c r="U13" s="220"/>
      <c r="XFD13" t="s">
        <v>63</v>
      </c>
    </row>
    <row r="14" spans="1:21 16383:16384" ht="29.25" customHeight="1" x14ac:dyDescent="0.6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11" t="s">
        <v>68</v>
      </c>
      <c r="H14" s="212"/>
      <c r="I14" s="212" t="s">
        <v>69</v>
      </c>
      <c r="J14" s="212" t="s">
        <v>70</v>
      </c>
      <c r="K14" s="212"/>
      <c r="L14" s="214"/>
      <c r="M14" s="215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VIP General Store</v>
      </c>
      <c r="U14" s="164">
        <f>+'1'!P35</f>
        <v>55053.757209599993</v>
      </c>
      <c r="XFD14" t="s">
        <v>75</v>
      </c>
    </row>
    <row r="15" spans="1:21 16383:16384" ht="29.25" customHeight="1" thickBot="1" x14ac:dyDescent="0.65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3"/>
      <c r="J15" s="171" t="s">
        <v>78</v>
      </c>
      <c r="K15" s="171" t="s">
        <v>79</v>
      </c>
      <c r="L15" s="174" t="s">
        <v>80</v>
      </c>
      <c r="M15" s="216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VIP General Store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+'4'!A5</f>
        <v>Customer Name : VIP General Store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+'3'!A5</f>
        <v>Customer Name : VIP General Store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VIP General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</f>
        <v>240</v>
      </c>
      <c r="I19" s="1">
        <f t="shared" si="1"/>
        <v>17433.599999999999</v>
      </c>
      <c r="J19" s="172">
        <f>+'1'!J19+'2'!J19+'4'!J19+'3'!J19+'5'!J19+'6'!J19+'7'!J19+'8'!J19+'9'!J19+'10'!J19+'11'!J19+'12'!J19+'13'!J19+'14'!J19+'15'!J19+'16'!J19+'17'!J19+'18'!J19</f>
        <v>12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2092.0319999999997</v>
      </c>
      <c r="M19" s="118">
        <f t="shared" si="2"/>
        <v>15341.567999999999</v>
      </c>
      <c r="N19" s="101">
        <f>+'1'!N19+'2'!N19+'4'!N19+'3'!N19+'5'!N19+'6'!N19+'7'!N19+'8'!N19+'9'!N19+'10'!N19</f>
        <v>2918.3846399999998</v>
      </c>
      <c r="O19" s="101">
        <f>+'1'!O19+'2'!O19+'4'!O19+'3'!O19+'5'!O19+'6'!O19+'7'!O19+'8'!O19+'9'!O19+'10'!O19</f>
        <v>91.299763200000001</v>
      </c>
      <c r="P19" s="120">
        <f t="shared" si="0"/>
        <v>18351.2524032</v>
      </c>
      <c r="T19" s="163" t="str">
        <f>+'6'!A5</f>
        <v>Customer Name : VIP General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</f>
        <v>240</v>
      </c>
      <c r="I20" s="1">
        <f t="shared" si="1"/>
        <v>17433.599999999999</v>
      </c>
      <c r="J20" s="172">
        <f>+'1'!J20+'2'!J20+'4'!J20+'3'!J20+'5'!J20+'6'!J20+'7'!J20+'8'!J20+'9'!J20+'10'!J20+'11'!J20+'12'!J20+'13'!J20+'14'!J20+'15'!J20+'16'!J20+'17'!J20+'18'!J20</f>
        <v>12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2092.0319999999997</v>
      </c>
      <c r="M20" s="118">
        <f t="shared" si="2"/>
        <v>15341.567999999999</v>
      </c>
      <c r="N20" s="101">
        <f>+'1'!N20+'2'!N20+'4'!N20+'3'!N20+'5'!N20+'6'!N20+'7'!N20+'8'!N20+'9'!N20+'10'!N20</f>
        <v>2918.3846399999998</v>
      </c>
      <c r="O20" s="101">
        <f>+'1'!O20+'2'!O20+'4'!O20+'3'!O20+'5'!O20+'6'!O20+'7'!O20+'8'!O20+'9'!O20+'10'!O20</f>
        <v>91.299763200000001</v>
      </c>
      <c r="P20" s="120">
        <f t="shared" si="0"/>
        <v>18351.2524032</v>
      </c>
      <c r="T20" s="163" t="str">
        <f>+'7'!A5</f>
        <v>Customer Name : VIP General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</f>
        <v>240</v>
      </c>
      <c r="I21" s="1">
        <f t="shared" si="1"/>
        <v>17433.599999999999</v>
      </c>
      <c r="J21" s="172">
        <f>+'1'!J21+'2'!J21+'4'!J21+'3'!J21+'5'!J21+'6'!J21+'7'!J21+'8'!J21+'9'!J21+'10'!J21+'11'!J21+'12'!J21+'13'!J21+'14'!J21+'15'!J21+'16'!J21+'17'!J21+'18'!J21</f>
        <v>12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2092.0319999999997</v>
      </c>
      <c r="M21" s="118">
        <f t="shared" si="2"/>
        <v>15341.567999999999</v>
      </c>
      <c r="N21" s="101">
        <f>+'1'!N21+'2'!N21+'4'!N21+'3'!N21+'5'!N21+'6'!N21+'7'!N21+'8'!N21+'9'!N21+'10'!N21</f>
        <v>2918.3846399999998</v>
      </c>
      <c r="O21" s="101">
        <f>+'1'!O21+'2'!O21+'4'!O21+'3'!O21+'5'!O21+'6'!O21+'7'!O21+'8'!O21+'9'!O21+'10'!O21</f>
        <v>91.299763200000001</v>
      </c>
      <c r="P21" s="120">
        <f t="shared" si="0"/>
        <v>18351.2524032</v>
      </c>
      <c r="T21" s="163" t="str">
        <f>+'8'!A5</f>
        <v>Customer Name : VIP General Store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VIP General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VIP General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VIP General Store</v>
      </c>
      <c r="U24" s="164">
        <f>+'11'!P35</f>
        <v>0</v>
      </c>
    </row>
    <row r="25" spans="1:21 16384:16384" ht="26.5" thickBot="1" x14ac:dyDescent="0.65">
      <c r="A25" s="227" t="s">
        <v>84</v>
      </c>
      <c r="B25" s="228"/>
      <c r="C25" s="229">
        <f>H25/40</f>
        <v>18</v>
      </c>
      <c r="D25" s="223"/>
      <c r="E25" s="223"/>
      <c r="F25" s="223"/>
      <c r="G25" s="176">
        <f t="shared" ref="G25:M25" si="3">SUM(G16:G24)</f>
        <v>0</v>
      </c>
      <c r="H25" s="177">
        <f t="shared" si="3"/>
        <v>720</v>
      </c>
      <c r="I25" s="178">
        <f t="shared" si="3"/>
        <v>52300.799999999996</v>
      </c>
      <c r="J25" s="177">
        <f t="shared" si="3"/>
        <v>36</v>
      </c>
      <c r="K25" s="178">
        <f t="shared" si="3"/>
        <v>0</v>
      </c>
      <c r="L25" s="179">
        <f t="shared" si="3"/>
        <v>6276.0959999999995</v>
      </c>
      <c r="M25" s="141">
        <f t="shared" si="3"/>
        <v>46024.703999999998</v>
      </c>
      <c r="N25" s="142">
        <f>SUM(N16:N24)</f>
        <v>8755.1539199999988</v>
      </c>
      <c r="O25" s="143">
        <f>SUM(O16:O24)</f>
        <v>273.89928959999997</v>
      </c>
      <c r="P25" s="144">
        <f>SUM(P16:P24)</f>
        <v>55053.7572096</v>
      </c>
      <c r="T25" s="163" t="str">
        <f>+'12'!A5</f>
        <v>Customer Name : VIP General Store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>Customer Name : VIP General Store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>Customer Name : VIP General Store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>Customer Name : VIP General Store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>Customer Name : VIP General Store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>Customer Name : VIP General Store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>Customer Name : VIP General Store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/>
      <c r="U32" s="182"/>
    </row>
    <row r="33" spans="1:21" ht="26.5" thickBot="1" x14ac:dyDescent="0.65">
      <c r="A33" s="145"/>
      <c r="B33" s="145"/>
      <c r="C33" s="145"/>
      <c r="D33" s="145"/>
      <c r="E33" s="145"/>
      <c r="F33" s="145"/>
      <c r="G33" s="146"/>
      <c r="H33" s="146"/>
      <c r="I33" s="147"/>
      <c r="K33" s="148"/>
      <c r="L33" s="148"/>
      <c r="M33" s="148"/>
      <c r="N33" s="148"/>
      <c r="O33" s="149"/>
      <c r="P33" s="148"/>
      <c r="T33" s="166" t="s">
        <v>84</v>
      </c>
      <c r="U33" s="165">
        <f>SUM(U14:U28)</f>
        <v>55053.757209599993</v>
      </c>
    </row>
    <row r="34" spans="1:21" ht="15" thickBot="1" x14ac:dyDescent="0.4">
      <c r="A34" s="69"/>
      <c r="B34" s="69"/>
      <c r="C34" s="150"/>
      <c r="D34" s="150"/>
      <c r="E34" s="150"/>
      <c r="F34" s="150"/>
      <c r="G34" s="151"/>
      <c r="H34" s="151"/>
    </row>
    <row r="35" spans="1:21" x14ac:dyDescent="0.35">
      <c r="B35" s="230" t="s">
        <v>85</v>
      </c>
      <c r="C35" s="231"/>
      <c r="D35" s="231"/>
      <c r="E35" s="231"/>
      <c r="F35" s="231"/>
      <c r="G35" s="231"/>
      <c r="H35" s="231"/>
      <c r="I35" s="231"/>
      <c r="J35" s="231"/>
      <c r="K35" s="231"/>
      <c r="L35" s="232"/>
      <c r="N35" s="239" t="s">
        <v>86</v>
      </c>
      <c r="O35" s="240"/>
      <c r="P35" s="152">
        <f>I25</f>
        <v>52300.799999999996</v>
      </c>
    </row>
    <row r="36" spans="1:21" ht="15" customHeight="1" x14ac:dyDescent="0.35">
      <c r="B36" s="233"/>
      <c r="C36" s="234"/>
      <c r="D36" s="234"/>
      <c r="E36" s="234"/>
      <c r="F36" s="234"/>
      <c r="G36" s="234"/>
      <c r="H36" s="234"/>
      <c r="I36" s="234"/>
      <c r="J36" s="234"/>
      <c r="K36" s="234"/>
      <c r="L36" s="235"/>
      <c r="N36" s="241" t="s">
        <v>87</v>
      </c>
      <c r="O36" s="242"/>
      <c r="P36" s="153">
        <f>L25</f>
        <v>6276.0959999999995</v>
      </c>
    </row>
    <row r="37" spans="1:21" ht="15" customHeight="1" x14ac:dyDescent="0.35">
      <c r="B37" s="233"/>
      <c r="C37" s="234"/>
      <c r="D37" s="234"/>
      <c r="E37" s="234"/>
      <c r="F37" s="234"/>
      <c r="G37" s="234"/>
      <c r="H37" s="234"/>
      <c r="I37" s="234"/>
      <c r="J37" s="234"/>
      <c r="K37" s="234"/>
      <c r="L37" s="235"/>
      <c r="N37" s="241" t="s">
        <v>4</v>
      </c>
      <c r="O37" s="242"/>
      <c r="P37" s="154">
        <f>K25</f>
        <v>0</v>
      </c>
    </row>
    <row r="38" spans="1:21" ht="15" customHeight="1" x14ac:dyDescent="0.35">
      <c r="B38" s="233"/>
      <c r="C38" s="234"/>
      <c r="D38" s="234"/>
      <c r="E38" s="234"/>
      <c r="F38" s="234"/>
      <c r="G38" s="234"/>
      <c r="H38" s="234"/>
      <c r="I38" s="234"/>
      <c r="J38" s="234"/>
      <c r="K38" s="234"/>
      <c r="L38" s="235"/>
      <c r="M38" s="2"/>
      <c r="N38" s="241" t="s">
        <v>88</v>
      </c>
      <c r="O38" s="242"/>
      <c r="P38" s="153">
        <f>P35-P36-P37</f>
        <v>46024.703999999998</v>
      </c>
    </row>
    <row r="39" spans="1:21" ht="15" customHeight="1" x14ac:dyDescent="0.35">
      <c r="B39" s="233"/>
      <c r="C39" s="234"/>
      <c r="D39" s="234"/>
      <c r="E39" s="234"/>
      <c r="F39" s="234"/>
      <c r="G39" s="234"/>
      <c r="H39" s="234"/>
      <c r="I39" s="234"/>
      <c r="J39" s="234"/>
      <c r="K39" s="234"/>
      <c r="L39" s="235"/>
      <c r="M39" s="2"/>
      <c r="N39" s="155" t="s">
        <v>89</v>
      </c>
      <c r="O39" s="156">
        <f>IF(B12="Registered",18%,22%)</f>
        <v>0.22</v>
      </c>
      <c r="P39" s="153">
        <f>N25</f>
        <v>8755.1539199999988</v>
      </c>
    </row>
    <row r="40" spans="1:21" ht="15" customHeight="1" x14ac:dyDescent="0.35">
      <c r="B40" s="233"/>
      <c r="C40" s="234"/>
      <c r="D40" s="234"/>
      <c r="E40" s="234"/>
      <c r="F40" s="234"/>
      <c r="G40" s="234"/>
      <c r="H40" s="234"/>
      <c r="I40" s="234"/>
      <c r="J40" s="234"/>
      <c r="K40" s="234"/>
      <c r="L40" s="235"/>
      <c r="M40" s="2"/>
      <c r="N40" s="243" t="s">
        <v>90</v>
      </c>
      <c r="O40" s="244"/>
      <c r="P40" s="153">
        <f>P38+P39</f>
        <v>54779.857919999995</v>
      </c>
    </row>
    <row r="41" spans="1:21" ht="15" customHeight="1" thickBot="1" x14ac:dyDescent="0.4">
      <c r="B41" s="236"/>
      <c r="C41" s="237"/>
      <c r="D41" s="237"/>
      <c r="E41" s="237"/>
      <c r="F41" s="237"/>
      <c r="G41" s="237"/>
      <c r="H41" s="237"/>
      <c r="I41" s="237"/>
      <c r="J41" s="237"/>
      <c r="K41" s="237"/>
      <c r="L41" s="238"/>
      <c r="M41" s="157"/>
      <c r="N41" s="158" t="s">
        <v>91</v>
      </c>
      <c r="O41" s="159">
        <f>IF(B11="Filer",0.5%,2.5%)</f>
        <v>2.5000000000000001E-2</v>
      </c>
      <c r="P41" s="153">
        <f>O41*P40</f>
        <v>1369.4964479999999</v>
      </c>
    </row>
    <row r="42" spans="1:21" ht="15.75" customHeight="1" thickBot="1" x14ac:dyDescent="0.4">
      <c r="N42" s="221" t="s">
        <v>92</v>
      </c>
      <c r="O42" s="222"/>
      <c r="P42" s="160">
        <f>P40+P41</f>
        <v>56149.354367999993</v>
      </c>
    </row>
    <row r="43" spans="1:21" ht="15" thickBot="1" x14ac:dyDescent="0.4">
      <c r="B43" s="161" t="s">
        <v>93</v>
      </c>
      <c r="C43" s="223"/>
      <c r="D43" s="223"/>
      <c r="E43" s="223"/>
      <c r="F43" s="223"/>
      <c r="G43" s="223"/>
      <c r="H43" s="223"/>
      <c r="I43" s="224"/>
      <c r="J43" s="225"/>
      <c r="K43" s="226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7" workbookViewId="0">
      <selection activeCell="R18" sqref="R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101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4">
        <v>0.12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3">(G17*D17)*F17+H17*F17</f>
        <v>0</v>
      </c>
      <c r="J17" s="117">
        <v>0</v>
      </c>
      <c r="K17" s="1">
        <f t="shared" ref="K17:K21" si="4">I17*$K$13</f>
        <v>0</v>
      </c>
      <c r="L17" s="105">
        <f t="shared" ref="L17:L21" si="5">I17*12%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3"/>
        <v>0</v>
      </c>
      <c r="J18" s="117">
        <v>0</v>
      </c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240</v>
      </c>
      <c r="I19" s="116">
        <f t="shared" si="3"/>
        <v>17433.599999999999</v>
      </c>
      <c r="J19" s="117">
        <v>12</v>
      </c>
      <c r="K19" s="1">
        <f t="shared" si="4"/>
        <v>0</v>
      </c>
      <c r="L19" s="105">
        <f t="shared" si="5"/>
        <v>2092.0319999999997</v>
      </c>
      <c r="M19" s="118">
        <f t="shared" si="6"/>
        <v>15341.567999999999</v>
      </c>
      <c r="N19" s="118">
        <f t="shared" si="0"/>
        <v>2918.3846399999998</v>
      </c>
      <c r="O19" s="119">
        <f t="shared" si="1"/>
        <v>91.299763200000001</v>
      </c>
      <c r="P19" s="120">
        <f t="shared" si="2"/>
        <v>18351.2524032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240</v>
      </c>
      <c r="I20" s="116">
        <f t="shared" si="3"/>
        <v>17433.599999999999</v>
      </c>
      <c r="J20" s="117">
        <v>12</v>
      </c>
      <c r="K20" s="1">
        <f t="shared" si="4"/>
        <v>0</v>
      </c>
      <c r="L20" s="105">
        <f t="shared" si="5"/>
        <v>2092.0319999999997</v>
      </c>
      <c r="M20" s="118">
        <f t="shared" si="6"/>
        <v>15341.567999999999</v>
      </c>
      <c r="N20" s="118">
        <f t="shared" si="0"/>
        <v>2918.3846399999998</v>
      </c>
      <c r="O20" s="119">
        <f t="shared" si="1"/>
        <v>91.299763200000001</v>
      </c>
      <c r="P20" s="120">
        <f t="shared" si="2"/>
        <v>18351.2524032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240</v>
      </c>
      <c r="I21" s="116">
        <f t="shared" si="3"/>
        <v>17433.599999999999</v>
      </c>
      <c r="J21" s="117">
        <v>12</v>
      </c>
      <c r="K21" s="1">
        <f t="shared" si="4"/>
        <v>0</v>
      </c>
      <c r="L21" s="105">
        <f t="shared" si="5"/>
        <v>2092.0319999999997</v>
      </c>
      <c r="M21" s="118">
        <f t="shared" si="6"/>
        <v>15341.567999999999</v>
      </c>
      <c r="N21" s="118">
        <f t="shared" si="0"/>
        <v>2918.3846399999998</v>
      </c>
      <c r="O21" s="119">
        <f t="shared" si="1"/>
        <v>91.299763200000001</v>
      </c>
      <c r="P21" s="120">
        <f t="shared" si="2"/>
        <v>18351.2524032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720</v>
      </c>
      <c r="I25" s="137">
        <f t="shared" si="9"/>
        <v>52300.799999999996</v>
      </c>
      <c r="J25" s="183">
        <f>SUM(J16:J21)</f>
        <v>36</v>
      </c>
      <c r="K25" s="139">
        <f t="shared" si="9"/>
        <v>0</v>
      </c>
      <c r="L25" s="140">
        <f t="shared" si="9"/>
        <v>6276.0959999999995</v>
      </c>
      <c r="M25" s="141">
        <f t="shared" si="9"/>
        <v>46024.703999999998</v>
      </c>
      <c r="N25" s="142">
        <f>SUM(N16:N24)</f>
        <v>8755.1539199999988</v>
      </c>
      <c r="O25" s="143">
        <f>SUM(O16:O24)</f>
        <v>273.89928959999997</v>
      </c>
      <c r="P25" s="144">
        <f>SUM(P16:P24)</f>
        <v>55053.7572096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52300.799999999996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6276.0959999999995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46024.703999999998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0.18</v>
      </c>
      <c r="P32" s="153">
        <f>N25</f>
        <v>8755.1539199999988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54779.857919999995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5.0000000000000001E-3</v>
      </c>
      <c r="P34" s="153">
        <f>O34*P33</f>
        <v>273.89928959999997</v>
      </c>
    </row>
    <row r="35" spans="2:16" ht="15.75" customHeight="1" thickBot="1" x14ac:dyDescent="0.4">
      <c r="N35" s="221" t="s">
        <v>92</v>
      </c>
      <c r="O35" s="222"/>
      <c r="P35" s="160">
        <f>P33+P34</f>
        <v>55053.757209599993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2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4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3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5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6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7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9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8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9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67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48</v>
      </c>
      <c r="C11" s="77" t="str">
        <f>IF($O34&gt;2.49%,"No","Yes")</f>
        <v>Yes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180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97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1" t="s">
        <v>45</v>
      </c>
      <c r="B2" s="201"/>
      <c r="C2" s="201"/>
    </row>
    <row r="3" spans="1:19 16383:16384" ht="15" customHeight="1" x14ac:dyDescent="0.35">
      <c r="A3" s="202" t="s">
        <v>46</v>
      </c>
      <c r="B3" s="202"/>
      <c r="C3" s="202"/>
      <c r="F3" s="70"/>
      <c r="G3" s="71"/>
      <c r="K3" s="203" t="s">
        <v>47</v>
      </c>
      <c r="L3" s="203"/>
      <c r="M3" s="203"/>
      <c r="N3" s="202">
        <v>10</v>
      </c>
      <c r="O3" s="202"/>
      <c r="P3" s="20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2" t="s">
        <v>94</v>
      </c>
      <c r="B4" s="202"/>
      <c r="C4" s="202"/>
      <c r="F4" s="70"/>
      <c r="G4" s="71"/>
      <c r="K4" s="203" t="s">
        <v>49</v>
      </c>
      <c r="L4" s="203"/>
      <c r="M4" s="203"/>
      <c r="N4" s="204">
        <f ca="1">TODAY()</f>
        <v>46197</v>
      </c>
      <c r="O4" s="204"/>
      <c r="P4" s="20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8" t="s">
        <v>105</v>
      </c>
      <c r="B5" s="248"/>
      <c r="C5" s="248"/>
      <c r="F5" s="70"/>
      <c r="G5" s="71"/>
      <c r="K5" s="203" t="s">
        <v>51</v>
      </c>
      <c r="L5" s="203"/>
      <c r="M5" s="203"/>
      <c r="N5" s="204">
        <f ca="1">N4-1</f>
        <v>46196</v>
      </c>
      <c r="O5" s="202"/>
      <c r="P5" s="202"/>
      <c r="R5" s="70"/>
      <c r="S5" s="71"/>
    </row>
    <row r="6" spans="1:19 16383:16384" ht="15" customHeight="1" x14ac:dyDescent="0.35">
      <c r="A6" s="203" t="s">
        <v>104</v>
      </c>
      <c r="B6" s="203"/>
      <c r="C6" s="203"/>
      <c r="F6" s="70"/>
      <c r="G6" s="74"/>
      <c r="K6" s="203" t="s">
        <v>52</v>
      </c>
      <c r="L6" s="203"/>
      <c r="M6" s="203"/>
      <c r="N6" s="205" t="s">
        <v>41</v>
      </c>
      <c r="O6" s="205"/>
      <c r="P6" s="205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3"/>
      <c r="B7" s="203"/>
      <c r="C7" s="203"/>
      <c r="F7" s="70"/>
      <c r="G7" s="74"/>
      <c r="K7" s="203"/>
      <c r="L7" s="203"/>
      <c r="M7" s="203"/>
      <c r="N7" s="205"/>
      <c r="O7" s="205"/>
      <c r="P7" s="205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7"/>
      <c r="B8" s="207"/>
      <c r="C8" s="207"/>
      <c r="F8" s="70"/>
      <c r="G8" s="74"/>
      <c r="K8" s="203"/>
      <c r="L8" s="203"/>
      <c r="M8" s="203"/>
      <c r="N8" s="205"/>
      <c r="O8" s="205"/>
      <c r="P8" s="205"/>
      <c r="R8" s="70"/>
      <c r="S8" s="74"/>
    </row>
    <row r="9" spans="1:19 16383:16384" x14ac:dyDescent="0.35">
      <c r="A9" s="207"/>
      <c r="B9" s="207"/>
      <c r="C9" s="207"/>
      <c r="F9" s="70"/>
      <c r="G9" s="74"/>
      <c r="K9" s="203"/>
      <c r="L9" s="203"/>
      <c r="M9" s="203"/>
      <c r="N9" s="205"/>
      <c r="O9" s="205"/>
      <c r="P9" s="205"/>
      <c r="R9" s="70"/>
      <c r="S9" s="74"/>
      <c r="XFD9" t="s">
        <v>55</v>
      </c>
    </row>
    <row r="10" spans="1:19 16383:16384" x14ac:dyDescent="0.35">
      <c r="A10" s="208" t="s">
        <v>95</v>
      </c>
      <c r="B10" s="75" t="s">
        <v>106</v>
      </c>
      <c r="C10" s="75"/>
      <c r="F10" s="70"/>
      <c r="G10" s="71"/>
      <c r="K10" s="203" t="s">
        <v>56</v>
      </c>
      <c r="L10" s="203"/>
      <c r="M10" s="203"/>
      <c r="N10" s="202" t="s">
        <v>57</v>
      </c>
      <c r="O10" s="202"/>
      <c r="P10" s="202"/>
      <c r="R10" s="70"/>
      <c r="S10" s="71"/>
      <c r="XFD10" t="s">
        <v>58</v>
      </c>
    </row>
    <row r="11" spans="1:19 16383:16384" x14ac:dyDescent="0.35">
      <c r="A11" s="208"/>
      <c r="B11" s="76" t="s">
        <v>50</v>
      </c>
      <c r="C11" s="77" t="str">
        <f>IF($O34&gt;2.49%,"No","Yes")</f>
        <v>No</v>
      </c>
      <c r="F11" s="70"/>
      <c r="G11" s="71"/>
      <c r="K11" s="203" t="s">
        <v>59</v>
      </c>
      <c r="L11" s="203"/>
      <c r="M11" s="203"/>
      <c r="N11" s="202" t="s">
        <v>55</v>
      </c>
      <c r="O11" s="202"/>
      <c r="P11" s="202"/>
      <c r="R11" s="70"/>
      <c r="S11" s="71"/>
    </row>
    <row r="12" spans="1:19 16383:16384" ht="14.65" customHeight="1" x14ac:dyDescent="0.35">
      <c r="A12" s="208" t="s">
        <v>60</v>
      </c>
      <c r="B12" s="76" t="s">
        <v>54</v>
      </c>
      <c r="C12" s="77" t="str">
        <f>IF($O32&gt;21.99%,"No","Yes")</f>
        <v>No</v>
      </c>
      <c r="F12" s="70"/>
      <c r="G12" s="71"/>
      <c r="K12" s="203" t="s">
        <v>61</v>
      </c>
      <c r="L12" s="203"/>
      <c r="M12" s="203"/>
      <c r="N12" s="202"/>
      <c r="O12" s="202"/>
      <c r="P12" s="202"/>
      <c r="R12" s="70"/>
      <c r="S12" s="71"/>
      <c r="XFD12" t="s">
        <v>62</v>
      </c>
    </row>
    <row r="13" spans="1:19 16383:16384" ht="15" thickBot="1" x14ac:dyDescent="0.4">
      <c r="A13" s="24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6" t="s">
        <v>64</v>
      </c>
      <c r="B14" s="215"/>
      <c r="C14" s="209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7"/>
      <c r="B15" s="216"/>
      <c r="C15" s="210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7" t="s">
        <v>84</v>
      </c>
      <c r="B25" s="228"/>
      <c r="C25" s="229"/>
      <c r="D25" s="223"/>
      <c r="E25" s="223"/>
      <c r="F25" s="254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0" t="s">
        <v>85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2"/>
      <c r="N28" s="239" t="s">
        <v>86</v>
      </c>
      <c r="O28" s="240"/>
      <c r="P28" s="152">
        <f>I25</f>
        <v>0</v>
      </c>
    </row>
    <row r="29" spans="1:19 16384:16384" ht="15" customHeight="1" x14ac:dyDescent="0.35">
      <c r="B29" s="233"/>
      <c r="C29" s="234"/>
      <c r="D29" s="234"/>
      <c r="E29" s="234"/>
      <c r="F29" s="234"/>
      <c r="G29" s="234"/>
      <c r="H29" s="234"/>
      <c r="I29" s="234"/>
      <c r="J29" s="234"/>
      <c r="K29" s="234"/>
      <c r="L29" s="235"/>
      <c r="N29" s="241" t="s">
        <v>87</v>
      </c>
      <c r="O29" s="242"/>
      <c r="P29" s="153">
        <f>L25</f>
        <v>0</v>
      </c>
    </row>
    <row r="30" spans="1:19 16384:16384" ht="15" customHeight="1" x14ac:dyDescent="0.35">
      <c r="B30" s="233"/>
      <c r="C30" s="234"/>
      <c r="D30" s="234"/>
      <c r="E30" s="234"/>
      <c r="F30" s="234"/>
      <c r="G30" s="234"/>
      <c r="H30" s="234"/>
      <c r="I30" s="234"/>
      <c r="J30" s="234"/>
      <c r="K30" s="234"/>
      <c r="L30" s="235"/>
      <c r="N30" s="241" t="s">
        <v>4</v>
      </c>
      <c r="O30" s="242"/>
      <c r="P30" s="154">
        <f>K25</f>
        <v>0</v>
      </c>
    </row>
    <row r="31" spans="1:19 16384:16384" ht="15" customHeight="1" x14ac:dyDescent="0.35">
      <c r="B31" s="233"/>
      <c r="C31" s="234"/>
      <c r="D31" s="234"/>
      <c r="E31" s="234"/>
      <c r="F31" s="234"/>
      <c r="G31" s="234"/>
      <c r="H31" s="234"/>
      <c r="I31" s="234"/>
      <c r="J31" s="234"/>
      <c r="K31" s="234"/>
      <c r="L31" s="235"/>
      <c r="M31" s="2"/>
      <c r="N31" s="241" t="s">
        <v>88</v>
      </c>
      <c r="O31" s="242"/>
      <c r="P31" s="153">
        <f>P28-P29-P30</f>
        <v>0</v>
      </c>
    </row>
    <row r="32" spans="1:19 16384:16384" ht="15" customHeight="1" x14ac:dyDescent="0.35">
      <c r="B32" s="233"/>
      <c r="C32" s="234"/>
      <c r="D32" s="234"/>
      <c r="E32" s="234"/>
      <c r="F32" s="234"/>
      <c r="G32" s="234"/>
      <c r="H32" s="234"/>
      <c r="I32" s="234"/>
      <c r="J32" s="234"/>
      <c r="K32" s="234"/>
      <c r="L32" s="235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3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"/>
      <c r="N33" s="243" t="s">
        <v>90</v>
      </c>
      <c r="O33" s="244"/>
      <c r="P33" s="153">
        <f>P31+P32</f>
        <v>0</v>
      </c>
    </row>
    <row r="34" spans="2:16" ht="15" customHeight="1" thickBot="1" x14ac:dyDescent="0.4">
      <c r="B34" s="236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1" t="s">
        <v>92</v>
      </c>
      <c r="O35" s="222"/>
      <c r="P35" s="160">
        <f>P33+P34</f>
        <v>0</v>
      </c>
    </row>
    <row r="36" spans="2:16" ht="15" thickBot="1" x14ac:dyDescent="0.4">
      <c r="B36" s="161" t="s">
        <v>93</v>
      </c>
      <c r="C36" s="223"/>
      <c r="D36" s="223"/>
      <c r="E36" s="223"/>
      <c r="F36" s="223"/>
      <c r="G36" s="223"/>
      <c r="H36" s="223"/>
      <c r="I36" s="224"/>
      <c r="J36" s="225"/>
      <c r="K36" s="226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2026-06-24T13:18:56Z</dcterms:modified>
</cp:coreProperties>
</file>