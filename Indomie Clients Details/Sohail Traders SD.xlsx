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97E8CD1-2209-4179-B49D-C94BE444BF9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20" i="16" l="1"/>
  <c r="J21" i="16"/>
  <c r="J22" i="16"/>
  <c r="J19" i="16"/>
  <c r="J18" i="15"/>
  <c r="J22" i="1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9" i="15"/>
  <c r="J20" i="15"/>
  <c r="J21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<sst xmlns="http://schemas.openxmlformats.org/spreadsheetml/2006/main" count="1580" uniqueCount="107">
  <si>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</si>
  <si>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</si>
  <si>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</si>
  <si>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</si>
  <si>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</si>
  <si>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</si>
  <si>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</si>
  <si>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</si>
  <si>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</si>
  <si>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</si>
  <si>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</si>
  <si>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</si>
  <si>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</si>
  <si>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</si>
  <si>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</si>
  <si>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</si>
  <si>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</si>
  <si>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</si>
  <si>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</si>
  <si>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</si>
  <si>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</si>
  <si>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</si>
  <si>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</si>
  <si>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</si>
  <si>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</si>
  <si>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</si>
  <si>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</si>
  <si>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</si>
  <si>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</si>
  <si>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</si>
  <si>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</si>
  <si>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</si>
  <si>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</si>
  <si>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</si>
  <si>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</si>
  <si>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</si>
  <si>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</si>
  <si>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</si>
  <si>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</si>
  <si>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</si>
  <si>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</si>
  <si>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</si>
  <si>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</si>
  <si>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</si>
  <si>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</si>
  <si>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</si>
  <si>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</si>
  <si>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</si>
  <si>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</si>
  <si>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</si>
  <si>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</si>
  <si>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</si>
  <si>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</si>
  <si>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</si>
  <si>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</si>
  <si>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</si>
  <si>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</si>
  <si>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</si>
  <si>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</si>
  <si>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</si>
  <si>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</si>
  <si>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</si>
  <si>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</si>
  <si>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</si>
  <si>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</si>
  <si>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</si>
  <si>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</si>
  <si>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</si>
  <si>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</si>
  <si>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</si>
  <si>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</si>
  <si>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</si>
  <si>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</si>
  <si>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</si>
  <si>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</si>
  <si>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</si>
  <si>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</si>
  <si>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</si>
  <si>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</si>
  <si>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</si>
  <si>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</si>
  <si>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</si>
  <si>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</si>
  <si>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</si>
  <si>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</si>
  <si>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</si>
  <si>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</si>
  <si>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</si>
  <si>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</si>
  <si>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</si>
  <si>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</si>
  <si>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</si>
  <si>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</si>
  <si>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</si>
  <si>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</si>
  <si>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</si>
  <si>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</si>
  <si>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</si>
  <si>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</si>
  <si>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</si>
  <si>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</si>
  <si>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</si>
  <si>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(Sohail Traders)</t>
  </si>
  <si>
    <t>Sohail Traders</t>
  </si>
  <si>
    <t>Customer Name : Sohail Traders (SD)</t>
  </si>
  <si>
    <t xml:space="preserve">Address: Kasur City </t>
  </si>
  <si>
    <t>35102-0713118-7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</si>
</sst>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Sohail Traders (SD)</v>
      </c>
      <c r="U14" s="163">
        <f>+'1'!P35</f>
        <v>256867.34056800001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Sohail Traders (SD)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Sohail Traders (SD)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Sohail Traders (SD)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Sohail Traders (SD)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26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5288.1920000000009</v>
      </c>
      <c r="M19" s="117">
        <f t="shared" si="2"/>
        <v>-5288.1920000000009</v>
      </c>
      <c r="N19" s="100">
        <f>+'1'!N19+'2'!N19+'4'!N19+'3'!N19+'5'!N19+'6'!N19+'7'!N19+'8'!N19+'9'!N19+'10'!N19</f>
        <v>7562.11456</v>
      </c>
      <c r="O19" s="100">
        <f>+'1'!O19+'2'!O19+'4'!O19+'3'!O19+'5'!O19+'6'!O19+'7'!O19+'8'!O19+'9'!O19+'10'!O19</f>
        <v>200.2336128</v>
      </c>
      <c r="P19" s="119">
        <f t="shared" si="0"/>
        <v>2474.1561727999992</v>
      </c>
      <c r="T19" s="162" t="str">
        <f>+'6'!A5</f>
        <v>Customer Name : Sohail Traders (SD)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46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9356.0320000000011</v>
      </c>
      <c r="M20" s="117">
        <f t="shared" si="2"/>
        <v>-9356.0320000000011</v>
      </c>
      <c r="N20" s="100">
        <f>+'1'!N20+'2'!N20+'4'!N20+'3'!N20+'5'!N20+'6'!N20+'7'!N20+'8'!N20+'9'!N20+'10'!N20</f>
        <v>13379.125760000001</v>
      </c>
      <c r="O20" s="100">
        <f>+'1'!O20+'2'!O20+'4'!O20+'3'!O20+'5'!O20+'6'!O20+'7'!O20+'8'!O20+'9'!O20+'10'!O20</f>
        <v>354.25946880000004</v>
      </c>
      <c r="P20" s="119">
        <f t="shared" si="0"/>
        <v>4377.3532287999997</v>
      </c>
      <c r="T20" s="162" t="str">
        <f>+'7'!A5</f>
        <v>Customer Name : Sohail Traders (SD)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48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9762.8160000000007</v>
      </c>
      <c r="M21" s="117">
        <f t="shared" si="2"/>
        <v>-9762.8160000000007</v>
      </c>
      <c r="N21" s="100">
        <f>+'1'!N21+'2'!N21+'4'!N21+'3'!N21+'5'!N21+'6'!N21+'7'!N21+'8'!N21+'9'!N21+'10'!N21</f>
        <v>13960.826879999999</v>
      </c>
      <c r="O21" s="100">
        <f>+'1'!O21+'2'!O21+'4'!O21+'3'!O21+'5'!O21+'6'!O21+'7'!O21+'8'!O21+'9'!O21+'10'!O21</f>
        <v>369.66205439999999</v>
      </c>
      <c r="P21" s="119">
        <f t="shared" si="0"/>
        <v>4567.6729343999978</v>
      </c>
      <c r="T21" s="162" t="str">
        <f>+'8'!A5</f>
        <v>Customer Name : Sohail Traders (SD)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80</v>
      </c>
      <c r="K22" s="171">
        <f>+'1'!K22+'2'!K22+'4'!K22+'3'!K22+'5'!K22+'6'!K22+'7'!K22+'8'!K22+'9'!K22+'10'!K22</f>
        <v>2196.8800000000006</v>
      </c>
      <c r="L22" s="174">
        <f>+'1'!L22+'2'!L22+'4'!L22+'3'!L22+'5'!L22+'6'!L22+'7'!L22+'8'!L22+'9'!L22+'10'!L22</f>
        <v>3138.4000000000005</v>
      </c>
      <c r="M22" s="117">
        <f t="shared" si="2"/>
        <v>-5335.2800000000007</v>
      </c>
      <c r="N22" s="100">
        <f>+'1'!N22+'2'!N22+'4'!N22+'3'!N22+'5'!N22+'6'!N22+'7'!N22+'8'!N22+'9'!N22+'10'!N22</f>
        <v>13325.646400000001</v>
      </c>
      <c r="O22" s="100">
        <f>+'1'!O22+'2'!O22+'4'!O22+'3'!O22+'5'!O22+'6'!O22+'7'!O22+'8'!O22+'9'!O22+'10'!O22</f>
        <v>353.79183200000006</v>
      </c>
      <c r="P22" s="119">
        <f t="shared" si="0"/>
        <v>8344.1582320000016</v>
      </c>
      <c r="T22" s="162" t="str">
        <f>+'9'!A5</f>
        <v>Customer Name : Sohail Traders (SD)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Sohail Traders (SD)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Sohail Traders (SD)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200</v>
      </c>
      <c r="K25" s="177">
        <f t="shared" si="3"/>
        <v>2196.8800000000006</v>
      </c>
      <c r="L25" s="178">
        <f t="shared" si="3"/>
        <v>27545.440000000002</v>
      </c>
      <c r="M25" s="140">
        <f t="shared" si="3"/>
        <v>-29742.32</v>
      </c>
      <c r="N25" s="141">
        <f>SUM(N16:N24)</f>
        <v>48227.713600000003</v>
      </c>
      <c r="O25" s="142">
        <f>SUM(O16:O24)</f>
        <v>1277.9469680000002</v>
      </c>
      <c r="P25" s="143">
        <f>SUM(P16:P24)</f>
        <v>19763.340568</v>
      </c>
      <c r="T25" s="162" t="str">
        <f>+'12'!A5</f>
        <v>Customer Name : Sohail Traders (SD)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Sohail Traders (SD)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Sohail Traders (SD)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Sohail Traders (SD)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Sohail Traders (SD)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Sohail Traders (SD)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Sohail Traders (SD)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256867.34056800001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0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27545.440000000002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2196.8800000000006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-29742.320000000003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48227.713600000003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18485.393599999999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462.13484</v>
      </c>
    </row>
    <row r="42" spans="1:21" ht="15.75" customHeight="1" thickBot="1" x14ac:dyDescent="0.4">
      <c r="N42" s="204" t="s">
        <v>92</v>
      </c>
      <c r="O42" s="205"/>
      <c r="P42" s="159">
        <f>P40+P41</f>
        <v>18947.528439999998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J9" sqref="J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103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02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02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13</v>
      </c>
      <c r="H19" s="114">
        <v>0</v>
      </c>
      <c r="I19" s="115">
        <f t="shared" si="3"/>
        <v>37772.800000000003</v>
      </c>
      <c r="J19" s="102">
        <f>G19*2</f>
        <v>26</v>
      </c>
      <c r="K19" s="1">
        <f t="shared" si="4"/>
        <v>0</v>
      </c>
      <c r="L19" s="104">
        <f t="shared" si="5"/>
        <v>5288.1920000000009</v>
      </c>
      <c r="M19" s="117">
        <f t="shared" si="6"/>
        <v>32484.608</v>
      </c>
      <c r="N19" s="117">
        <f t="shared" si="0"/>
        <v>7562.11456</v>
      </c>
      <c r="O19" s="118">
        <f t="shared" si="1"/>
        <v>200.2336128</v>
      </c>
      <c r="P19" s="119">
        <f t="shared" si="2"/>
        <v>40246.956172800004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23</v>
      </c>
      <c r="H20" s="114">
        <v>0</v>
      </c>
      <c r="I20" s="115">
        <f t="shared" si="3"/>
        <v>66828.800000000003</v>
      </c>
      <c r="J20" s="102">
        <f t="shared" ref="J20:J22" si="7">G20*2</f>
        <v>46</v>
      </c>
      <c r="K20" s="1">
        <f t="shared" si="4"/>
        <v>0</v>
      </c>
      <c r="L20" s="104">
        <f t="shared" si="5"/>
        <v>9356.0320000000011</v>
      </c>
      <c r="M20" s="117">
        <f t="shared" si="6"/>
        <v>57472.768000000004</v>
      </c>
      <c r="N20" s="117">
        <f t="shared" si="0"/>
        <v>13379.125760000001</v>
      </c>
      <c r="O20" s="118">
        <f t="shared" si="1"/>
        <v>354.25946880000004</v>
      </c>
      <c r="P20" s="119">
        <f t="shared" si="2"/>
        <v>71206.153228800002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24</v>
      </c>
      <c r="H21" s="114">
        <v>0</v>
      </c>
      <c r="I21" s="115">
        <f t="shared" si="3"/>
        <v>69734.399999999994</v>
      </c>
      <c r="J21" s="102">
        <f t="shared" si="7"/>
        <v>48</v>
      </c>
      <c r="K21" s="1">
        <f t="shared" si="4"/>
        <v>0</v>
      </c>
      <c r="L21" s="104">
        <f t="shared" si="5"/>
        <v>9762.8160000000007</v>
      </c>
      <c r="M21" s="117">
        <f t="shared" si="6"/>
        <v>59971.583999999995</v>
      </c>
      <c r="N21" s="117">
        <f t="shared" si="0"/>
        <v>13960.826879999999</v>
      </c>
      <c r="O21" s="118">
        <f t="shared" si="1"/>
        <v>369.66205439999999</v>
      </c>
      <c r="P21" s="119">
        <f t="shared" si="2"/>
        <v>74302.072934399999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>
        <v>40</v>
      </c>
      <c r="H22" s="114">
        <v>0</v>
      </c>
      <c r="I22" s="115">
        <f t="shared" si="3"/>
        <v>62768.000000000007</v>
      </c>
      <c r="J22" s="102">
        <f t="shared" si="7"/>
        <v>80</v>
      </c>
      <c r="K22" s="1">
        <f>I22*3.5%</f>
        <v>2196.8800000000006</v>
      </c>
      <c r="L22" s="119">
        <f>I22*5%</f>
        <v>3138.4000000000005</v>
      </c>
      <c r="M22" s="117">
        <f t="shared" si="6"/>
        <v>57432.720000000008</v>
      </c>
      <c r="N22" s="117">
        <f t="shared" si="0"/>
        <v>13325.646400000001</v>
      </c>
      <c r="O22" s="118">
        <f t="shared" si="1"/>
        <v>353.79183200000006</v>
      </c>
      <c r="P22" s="119">
        <f t="shared" si="2"/>
        <v>71112.158232000016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100</v>
      </c>
      <c r="H25" s="135">
        <f t="shared" si="10"/>
        <v>0</v>
      </c>
      <c r="I25" s="136">
        <f t="shared" si="10"/>
        <v>237104</v>
      </c>
      <c r="J25" s="182">
        <f>SUM(J16:J21)</f>
        <v>120</v>
      </c>
      <c r="K25" s="138">
        <f t="shared" si="10"/>
        <v>2196.8800000000006</v>
      </c>
      <c r="L25" s="139">
        <f t="shared" si="10"/>
        <v>27545.440000000002</v>
      </c>
      <c r="M25" s="140">
        <f t="shared" si="10"/>
        <v>207361.68</v>
      </c>
      <c r="N25" s="141">
        <f>SUM(N16:N24)</f>
        <v>48227.713600000003</v>
      </c>
      <c r="O25" s="142">
        <f>SUM(O16:O24)</f>
        <v>1277.9469680000002</v>
      </c>
      <c r="P25" s="143">
        <f>SUM(P16:P24)</f>
        <v>256867.34056800001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237104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27545.440000000002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2196.8800000000006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207361.68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48227.713600000003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255589.39360000001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1277.946968</v>
      </c>
    </row>
    <row r="35" spans="2:16" ht="15.75" customHeight="1" thickBot="1" x14ac:dyDescent="0.4">
      <c r="N35" s="204" t="s">
        <v>92</v>
      </c>
      <c r="O35" s="205"/>
      <c r="P35" s="159">
        <f>P33+P34</f>
        <v>256867.34056800001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2026-06-17T13:01:31Z</dcterms:modified>
</cp:coreProperties>
</file>