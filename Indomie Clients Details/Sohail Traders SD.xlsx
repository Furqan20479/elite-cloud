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FA8629E5-0656-4420-B10A-9BED4B73143E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3">'1'!$A$1:$Q$37</definedName>
  </definedNames>
  <calcPr calcId="191029"/>
</workbook>
</file>

<file path=xl/calcChain.xml><?xml version="1.0" encoding="utf-8"?>
<calcChain xmlns="http://schemas.openxmlformats.org/spreadsheetml/2006/main">
  <c r="H19" i="15" l="1"/>
  <c r="J20" i="16"/>
  <c r="J21" i="16"/>
  <c r="J19" i="16"/>
  <c r="J18" i="15"/>
  <c r="J22" i="15"/>
  <c r="H17" i="15"/>
  <c r="H18" i="15"/>
  <c r="H20" i="15"/>
  <c r="H21" i="15"/>
  <c r="H22" i="15"/>
  <c r="H23" i="15"/>
  <c r="H24" i="15"/>
  <c r="H16" i="15"/>
  <c r="T31" i="15"/>
  <c r="T30" i="15"/>
  <c r="T29" i="15"/>
  <c r="J25" i="16"/>
  <c r="J17" i="15"/>
  <c r="J19" i="15"/>
  <c r="J20" i="15"/>
  <c r="J21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C21" i="33"/>
  <c r="B21" i="33"/>
  <c r="F20" i="33"/>
  <c r="E20" i="33"/>
  <c r="D20" i="33"/>
  <c r="I20" i="33" s="1"/>
  <c r="L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L21" i="32" s="1"/>
  <c r="B21" i="32"/>
  <c r="C21" i="32" s="1"/>
  <c r="F20" i="32"/>
  <c r="E20" i="32"/>
  <c r="D20" i="32"/>
  <c r="I20" i="32" s="1"/>
  <c r="L20" i="32" s="1"/>
  <c r="B20" i="32"/>
  <c r="C20" i="32" s="1"/>
  <c r="F19" i="32"/>
  <c r="E19" i="32"/>
  <c r="D19" i="32"/>
  <c r="I19" i="32" s="1"/>
  <c r="L19" i="32" s="1"/>
  <c r="B19" i="32"/>
  <c r="C19" i="32" s="1"/>
  <c r="F18" i="32"/>
  <c r="E18" i="32"/>
  <c r="D18" i="32"/>
  <c r="I18" i="32" s="1"/>
  <c r="L18" i="32" s="1"/>
  <c r="B18" i="32"/>
  <c r="C18" i="32" s="1"/>
  <c r="F17" i="32"/>
  <c r="E17" i="32"/>
  <c r="D17" i="32"/>
  <c r="I17" i="32" s="1"/>
  <c r="L17" i="32" s="1"/>
  <c r="B17" i="32"/>
  <c r="C17" i="32" s="1"/>
  <c r="F16" i="32"/>
  <c r="E16" i="32"/>
  <c r="D16" i="32"/>
  <c r="I16" i="32" s="1"/>
  <c r="L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L21" i="30" s="1"/>
  <c r="B21" i="30"/>
  <c r="C21" i="30" s="1"/>
  <c r="F20" i="30"/>
  <c r="E20" i="30"/>
  <c r="D20" i="30"/>
  <c r="I20" i="30" s="1"/>
  <c r="L20" i="30" s="1"/>
  <c r="B20" i="30"/>
  <c r="C20" i="30" s="1"/>
  <c r="F19" i="30"/>
  <c r="E19" i="30"/>
  <c r="D19" i="30"/>
  <c r="I19" i="30" s="1"/>
  <c r="L19" i="30" s="1"/>
  <c r="B19" i="30"/>
  <c r="C19" i="30" s="1"/>
  <c r="F18" i="30"/>
  <c r="E18" i="30"/>
  <c r="D18" i="30"/>
  <c r="I18" i="30" s="1"/>
  <c r="L18" i="30" s="1"/>
  <c r="B18" i="30"/>
  <c r="C18" i="30" s="1"/>
  <c r="F17" i="30"/>
  <c r="E17" i="30"/>
  <c r="D17" i="30"/>
  <c r="I17" i="30" s="1"/>
  <c r="L17" i="30" s="1"/>
  <c r="B17" i="30"/>
  <c r="C17" i="30" s="1"/>
  <c r="F16" i="30"/>
  <c r="E16" i="30"/>
  <c r="D16" i="30"/>
  <c r="I16" i="30" s="1"/>
  <c r="L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L21" i="28" s="1"/>
  <c r="B21" i="28"/>
  <c r="C21" i="28" s="1"/>
  <c r="F20" i="28"/>
  <c r="E20" i="28"/>
  <c r="D20" i="28"/>
  <c r="I20" i="28" s="1"/>
  <c r="L20" i="28" s="1"/>
  <c r="B20" i="28"/>
  <c r="C20" i="28" s="1"/>
  <c r="F19" i="28"/>
  <c r="E19" i="28"/>
  <c r="D19" i="28"/>
  <c r="I19" i="28" s="1"/>
  <c r="L19" i="28" s="1"/>
  <c r="B19" i="28"/>
  <c r="C19" i="28" s="1"/>
  <c r="F18" i="28"/>
  <c r="E18" i="28"/>
  <c r="D18" i="28"/>
  <c r="I18" i="28" s="1"/>
  <c r="L18" i="28" s="1"/>
  <c r="B18" i="28"/>
  <c r="C18" i="28" s="1"/>
  <c r="F17" i="28"/>
  <c r="E17" i="28"/>
  <c r="D17" i="28"/>
  <c r="I17" i="28" s="1"/>
  <c r="L17" i="28" s="1"/>
  <c r="B17" i="28"/>
  <c r="C17" i="28" s="1"/>
  <c r="F16" i="28"/>
  <c r="E16" i="28"/>
  <c r="D16" i="28"/>
  <c r="I16" i="28" s="1"/>
  <c r="L16" i="28" s="1"/>
  <c r="C16" i="28"/>
  <c r="B16" i="28"/>
  <c r="O15" i="28"/>
  <c r="N15" i="28"/>
  <c r="N4" i="28"/>
  <c r="N5" i="28" s="1"/>
  <c r="K18" i="33" l="1"/>
  <c r="L18" i="33"/>
  <c r="I17" i="33"/>
  <c r="I21" i="33"/>
  <c r="L21" i="33" s="1"/>
  <c r="I24" i="33"/>
  <c r="I16" i="35"/>
  <c r="L16" i="35" s="1"/>
  <c r="I17" i="35"/>
  <c r="L17" i="35" s="1"/>
  <c r="I18" i="35"/>
  <c r="L18" i="35" s="1"/>
  <c r="I19" i="35"/>
  <c r="L19" i="35" s="1"/>
  <c r="I20" i="35"/>
  <c r="L20" i="35" s="1"/>
  <c r="I21" i="35"/>
  <c r="L21" i="35" s="1"/>
  <c r="I22" i="35"/>
  <c r="L22" i="35" s="1"/>
  <c r="I23" i="35"/>
  <c r="I24" i="35"/>
  <c r="I16" i="31"/>
  <c r="L16" i="31" s="1"/>
  <c r="I17" i="31"/>
  <c r="L17" i="31" s="1"/>
  <c r="I18" i="31"/>
  <c r="I19" i="31"/>
  <c r="I20" i="31"/>
  <c r="L20" i="31" s="1"/>
  <c r="I21" i="31"/>
  <c r="L21" i="31" s="1"/>
  <c r="I22" i="31"/>
  <c r="K22" i="31" s="1"/>
  <c r="I23" i="31"/>
  <c r="K23" i="31" s="1"/>
  <c r="I24" i="31"/>
  <c r="I23" i="32"/>
  <c r="I25" i="32" s="1"/>
  <c r="P28" i="32" s="1"/>
  <c r="I22" i="33"/>
  <c r="I16" i="34"/>
  <c r="L16" i="34" s="1"/>
  <c r="I17" i="34"/>
  <c r="L17" i="34" s="1"/>
  <c r="I18" i="34"/>
  <c r="L18" i="34" s="1"/>
  <c r="I19" i="34"/>
  <c r="L19" i="34" s="1"/>
  <c r="I20" i="34"/>
  <c r="I21" i="34"/>
  <c r="L21" i="34" s="1"/>
  <c r="I22" i="34"/>
  <c r="K22" i="34" s="1"/>
  <c r="I23" i="34"/>
  <c r="I24" i="34"/>
  <c r="L24" i="34" s="1"/>
  <c r="I16" i="29"/>
  <c r="L16" i="29" s="1"/>
  <c r="I17" i="29"/>
  <c r="L17" i="29" s="1"/>
  <c r="I18" i="29"/>
  <c r="L18" i="29" s="1"/>
  <c r="I19" i="29"/>
  <c r="I20" i="29"/>
  <c r="L20" i="29" s="1"/>
  <c r="I21" i="29"/>
  <c r="L21" i="29" s="1"/>
  <c r="I22" i="29"/>
  <c r="L22" i="29" s="1"/>
  <c r="I23" i="29"/>
  <c r="L23" i="29" s="1"/>
  <c r="I24" i="29"/>
  <c r="I24" i="32"/>
  <c r="K24" i="32" s="1"/>
  <c r="M24" i="32" s="1"/>
  <c r="I19" i="33"/>
  <c r="L19" i="33" s="1"/>
  <c r="I23" i="33"/>
  <c r="L23" i="33" s="1"/>
  <c r="K16" i="35"/>
  <c r="K17" i="35"/>
  <c r="M17" i="35"/>
  <c r="K19" i="35"/>
  <c r="K20" i="35"/>
  <c r="K21" i="35"/>
  <c r="K22" i="35"/>
  <c r="K23" i="35"/>
  <c r="L23" i="35"/>
  <c r="M23" i="35" s="1"/>
  <c r="K24" i="35"/>
  <c r="L24" i="35"/>
  <c r="K17" i="34"/>
  <c r="K18" i="34"/>
  <c r="K21" i="34"/>
  <c r="K23" i="34"/>
  <c r="M23" i="34" s="1"/>
  <c r="L23" i="34"/>
  <c r="K24" i="34"/>
  <c r="K21" i="33"/>
  <c r="K22" i="33"/>
  <c r="L22" i="33"/>
  <c r="K19" i="33"/>
  <c r="K23" i="33"/>
  <c r="K20" i="33"/>
  <c r="K24" i="33"/>
  <c r="L24" i="33"/>
  <c r="M18" i="33"/>
  <c r="K16" i="33"/>
  <c r="L24" i="32"/>
  <c r="K16" i="32"/>
  <c r="K17" i="32"/>
  <c r="K18" i="32"/>
  <c r="K19" i="32"/>
  <c r="K20" i="32"/>
  <c r="K21" i="32"/>
  <c r="K23" i="32"/>
  <c r="K22" i="32"/>
  <c r="L22" i="32"/>
  <c r="K17" i="31"/>
  <c r="K24" i="31"/>
  <c r="L24" i="31"/>
  <c r="M24" i="31" s="1"/>
  <c r="K16" i="31"/>
  <c r="K20" i="31"/>
  <c r="L23" i="31"/>
  <c r="K18" i="30"/>
  <c r="K20" i="30"/>
  <c r="K21" i="30"/>
  <c r="M21" i="30"/>
  <c r="K23" i="30"/>
  <c r="L23" i="30"/>
  <c r="I25" i="30"/>
  <c r="P28" i="30" s="1"/>
  <c r="K16" i="30"/>
  <c r="K17" i="30"/>
  <c r="K19" i="30"/>
  <c r="K22" i="30"/>
  <c r="L22" i="30"/>
  <c r="K24" i="30"/>
  <c r="L24" i="30"/>
  <c r="K16" i="29"/>
  <c r="K24" i="29"/>
  <c r="M24" i="29"/>
  <c r="L24" i="29"/>
  <c r="K20" i="29"/>
  <c r="K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4" i="30" l="1"/>
  <c r="M23" i="30"/>
  <c r="L22" i="34"/>
  <c r="K18" i="35"/>
  <c r="M18" i="35" s="1"/>
  <c r="N18" i="35" s="1"/>
  <c r="O18" i="35" s="1"/>
  <c r="I25" i="35"/>
  <c r="P28" i="35" s="1"/>
  <c r="K17" i="33"/>
  <c r="L17" i="33"/>
  <c r="I16" i="27"/>
  <c r="L16" i="27" s="1"/>
  <c r="I17" i="27"/>
  <c r="L17" i="27" s="1"/>
  <c r="I18" i="27"/>
  <c r="L18" i="27" s="1"/>
  <c r="I19" i="27"/>
  <c r="L19" i="27" s="1"/>
  <c r="I20" i="27"/>
  <c r="L20" i="27" s="1"/>
  <c r="I22" i="27"/>
  <c r="I23" i="27"/>
  <c r="I24" i="27"/>
  <c r="K17" i="29"/>
  <c r="M17" i="29" s="1"/>
  <c r="N17" i="29" s="1"/>
  <c r="O17" i="29" s="1"/>
  <c r="P17" i="29" s="1"/>
  <c r="K21" i="29"/>
  <c r="M24" i="33"/>
  <c r="M22" i="35"/>
  <c r="K19" i="29"/>
  <c r="M19" i="29" s="1"/>
  <c r="N19" i="29" s="1"/>
  <c r="O19" i="29" s="1"/>
  <c r="L19" i="29"/>
  <c r="M24" i="34"/>
  <c r="K20" i="34"/>
  <c r="L20" i="34"/>
  <c r="M20" i="34" s="1"/>
  <c r="N20" i="34" s="1"/>
  <c r="O20" i="34" s="1"/>
  <c r="K19" i="31"/>
  <c r="L19" i="31"/>
  <c r="K21" i="31"/>
  <c r="L23" i="32"/>
  <c r="M23" i="32" s="1"/>
  <c r="N23" i="32" s="1"/>
  <c r="O23" i="32" s="1"/>
  <c r="M24" i="35"/>
  <c r="K18" i="31"/>
  <c r="L18" i="31"/>
  <c r="M22" i="33"/>
  <c r="N22" i="33" s="1"/>
  <c r="O22" i="33" s="1"/>
  <c r="L22" i="31"/>
  <c r="M21" i="35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N23" i="33" s="1"/>
  <c r="O23" i="33" s="1"/>
  <c r="I16" i="26"/>
  <c r="I17" i="26"/>
  <c r="L17" i="26" s="1"/>
  <c r="I18" i="26"/>
  <c r="I19" i="26"/>
  <c r="L19" i="26" s="1"/>
  <c r="I20" i="26"/>
  <c r="L20" i="26" s="1"/>
  <c r="I21" i="26"/>
  <c r="L21" i="26" s="1"/>
  <c r="I22" i="26"/>
  <c r="K22" i="26" s="1"/>
  <c r="I23" i="26"/>
  <c r="L23" i="26" s="1"/>
  <c r="I24" i="26"/>
  <c r="I21" i="27"/>
  <c r="L21" i="27" s="1"/>
  <c r="M18" i="28"/>
  <c r="N18" i="28" s="1"/>
  <c r="O18" i="28" s="1"/>
  <c r="P18" i="28" s="1"/>
  <c r="M20" i="29"/>
  <c r="N20" i="29" s="1"/>
  <c r="O20" i="29" s="1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19" i="33"/>
  <c r="N19" i="33" s="1"/>
  <c r="O19" i="33" s="1"/>
  <c r="M19" i="28"/>
  <c r="N19" i="28" s="1"/>
  <c r="O19" i="28" s="1"/>
  <c r="M16" i="29"/>
  <c r="M17" i="30"/>
  <c r="M16" i="32"/>
  <c r="N16" i="32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L25" i="31"/>
  <c r="P29" i="31" s="1"/>
  <c r="K25" i="33"/>
  <c r="P30" i="33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22" i="35"/>
  <c r="O22" i="35" s="1"/>
  <c r="N21" i="35"/>
  <c r="O21" i="35" s="1"/>
  <c r="N17" i="35"/>
  <c r="O17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4" i="33"/>
  <c r="O24" i="33" s="1"/>
  <c r="N18" i="33"/>
  <c r="O18" i="33" s="1"/>
  <c r="M16" i="33"/>
  <c r="N24" i="32"/>
  <c r="O24" i="32" s="1"/>
  <c r="P24" i="32" s="1"/>
  <c r="K25" i="32"/>
  <c r="P30" i="32" s="1"/>
  <c r="N21" i="31"/>
  <c r="O21" i="31" s="1"/>
  <c r="N24" i="31"/>
  <c r="O24" i="31" s="1"/>
  <c r="P24" i="31" s="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16" i="29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17" i="28"/>
  <c r="O17" i="28" s="1"/>
  <c r="J25" i="15"/>
  <c r="K17" i="27"/>
  <c r="K20" i="27"/>
  <c r="K21" i="27"/>
  <c r="K22" i="27"/>
  <c r="L22" i="27"/>
  <c r="K23" i="27"/>
  <c r="L23" i="27"/>
  <c r="K24" i="27"/>
  <c r="L24" i="27"/>
  <c r="K19" i="27"/>
  <c r="K18" i="27"/>
  <c r="K17" i="26"/>
  <c r="K23" i="26"/>
  <c r="K20" i="26"/>
  <c r="K21" i="26"/>
  <c r="K24" i="26"/>
  <c r="L24" i="26"/>
  <c r="T23" i="15"/>
  <c r="T22" i="15"/>
  <c r="T21" i="15"/>
  <c r="T20" i="15"/>
  <c r="T19" i="15"/>
  <c r="T18" i="15"/>
  <c r="T17" i="15"/>
  <c r="T16" i="15"/>
  <c r="T15" i="15"/>
  <c r="T14" i="15"/>
  <c r="K19" i="26" l="1"/>
  <c r="L25" i="32"/>
  <c r="P29" i="32" s="1"/>
  <c r="K18" i="26"/>
  <c r="L18" i="26"/>
  <c r="L25" i="26" s="1"/>
  <c r="P29" i="26" s="1"/>
  <c r="K16" i="27"/>
  <c r="M17" i="33"/>
  <c r="N17" i="33" s="1"/>
  <c r="O17" i="33" s="1"/>
  <c r="M24" i="26"/>
  <c r="I25" i="27"/>
  <c r="P28" i="27" s="1"/>
  <c r="K25" i="35"/>
  <c r="P30" i="35" s="1"/>
  <c r="K16" i="26"/>
  <c r="L16" i="26"/>
  <c r="K25" i="34"/>
  <c r="P30" i="34" s="1"/>
  <c r="P31" i="34" s="1"/>
  <c r="L22" i="26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L16" i="25" s="1"/>
  <c r="I17" i="25"/>
  <c r="L17" i="25" s="1"/>
  <c r="I18" i="25"/>
  <c r="I19" i="25"/>
  <c r="L19" i="25" s="1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8" i="17" l="1"/>
  <c r="L18" i="17"/>
  <c r="K21" i="21"/>
  <c r="L21" i="21"/>
  <c r="K21" i="23"/>
  <c r="L21" i="23"/>
  <c r="K19" i="18"/>
  <c r="L19" i="18"/>
  <c r="K17" i="17"/>
  <c r="L17" i="17"/>
  <c r="K20" i="21"/>
  <c r="L20" i="21"/>
  <c r="K19" i="23"/>
  <c r="L19" i="23"/>
  <c r="K19" i="21"/>
  <c r="L19" i="21"/>
  <c r="K18" i="24"/>
  <c r="L18" i="24"/>
  <c r="K19" i="20"/>
  <c r="L19" i="20"/>
  <c r="K18" i="25"/>
  <c r="L18" i="25"/>
  <c r="K20" i="17"/>
  <c r="L20" i="17"/>
  <c r="K16" i="17"/>
  <c r="L16" i="17"/>
  <c r="K18" i="21"/>
  <c r="L18" i="21"/>
  <c r="K17" i="20"/>
  <c r="L17" i="20"/>
  <c r="K19" i="17"/>
  <c r="L19" i="17"/>
  <c r="K18" i="20"/>
  <c r="L18" i="20"/>
  <c r="K20" i="24"/>
  <c r="L20" i="24"/>
  <c r="K21" i="18"/>
  <c r="I25" i="25"/>
  <c r="P28" i="25" s="1"/>
  <c r="K17" i="24"/>
  <c r="K22" i="18"/>
  <c r="M22" i="18" s="1"/>
  <c r="L22" i="19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M21" i="2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L20" i="16" s="1"/>
  <c r="I21" i="16"/>
  <c r="L21" i="16" s="1"/>
  <c r="I22" i="16"/>
  <c r="L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N18" i="22"/>
  <c r="O18" i="22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18" i="16" l="1"/>
  <c r="K18" i="15" s="1"/>
  <c r="L18" i="16"/>
  <c r="K16" i="16"/>
  <c r="L16" i="16"/>
  <c r="K22" i="16"/>
  <c r="K20" i="16"/>
  <c r="K20" i="15" s="1"/>
  <c r="L20" i="15"/>
  <c r="L21" i="15"/>
  <c r="K25" i="19"/>
  <c r="P30" i="19" s="1"/>
  <c r="K22" i="15"/>
  <c r="M19" i="18"/>
  <c r="N19" i="18" s="1"/>
  <c r="O19" i="18" s="1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L25" i="21"/>
  <c r="P29" i="21" s="1"/>
  <c r="K16" i="15"/>
  <c r="M16" i="15" s="1"/>
  <c r="L22" i="15"/>
  <c r="M22" i="23"/>
  <c r="N22" i="23" s="1"/>
  <c r="O22" i="23" s="1"/>
  <c r="M22" i="20"/>
  <c r="N22" i="20" s="1"/>
  <c r="O22" i="20" s="1"/>
  <c r="M25" i="24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M21" i="15"/>
  <c r="P22" i="20"/>
  <c r="M22" i="15"/>
  <c r="N16" i="18"/>
  <c r="N16" i="15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O22" i="16" l="1"/>
  <c r="O22" i="15" s="1"/>
  <c r="P22" i="15" s="1"/>
  <c r="N18" i="15"/>
  <c r="P18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<sst xmlns="http://schemas.openxmlformats.org/spreadsheetml/2006/main" count="1580" uniqueCount="108">
  <si>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</si>
  <si>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</si>
  <si>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</si>
  <si>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</si>
  <si>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</si>
  <si>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</si>
  <si>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</si>
  <si>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</si>
  <si>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</si>
  <si>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</si>
  <si>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</si>
  <si>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</si>
  <si>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</si>
  <si>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</si>
  <si>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</si>
  <si>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</si>
  <si>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</si>
  <si>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</si>
  <si>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</si>
  <si>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</si>
  <si>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</si>
  <si>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</si>
  <si>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</si>
  <si>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</si>
  <si>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</si>
  <si>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</si>
  <si>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</si>
  <si>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</si>
  <si>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</si>
  <si>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</si>
  <si>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</si>
  <si>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</si>
  <si>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</si>
  <si>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</si>
  <si>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</si>
  <si>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</si>
  <si>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</si>
  <si>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</si>
  <si>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</si>
  <si>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</si>
  <si>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</si>
  <si>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</si>
  <si>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</si>
  <si>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</si>
  <si>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</si>
  <si>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</si>
  <si>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</si>
  <si>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</si>
  <si>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</si>
  <si>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</si>
  <si>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</si>
  <si>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</si>
  <si>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</si>
  <si>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</si>
  <si>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</si>
  <si>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</si>
  <si>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</si>
  <si>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</si>
  <si>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</si>
  <si>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</si>
  <si>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</si>
  <si>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</si>
  <si>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</si>
  <si>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</si>
  <si>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</si>
  <si>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</si>
  <si>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</si>
  <si>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</si>
  <si>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</si>
  <si>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</si>
  <si>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</si>
  <si>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</si>
  <si>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</si>
  <si>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</si>
  <si>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</si>
  <si>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</si>
  <si>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</si>
  <si>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</si>
  <si>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</si>
  <si>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</si>
  <si>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</si>
  <si>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</si>
  <si>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</si>
  <si>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</si>
  <si>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</si>
  <si>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</si>
  <si>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</si>
  <si>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</si>
  <si>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</si>
  <si>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</si>
  <si>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</si>
  <si>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</si>
  <si>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</si>
  <si>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</si>
  <si>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</si>
  <si>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</si>
  <si>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</si>
  <si>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</si>
  <si>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</si>
  <si>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</si>
  <si>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</si>
  <si>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</si>
  <si>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Shop Bill Summary (Sohail Traders)</t>
  </si>
  <si>
    <t>Sohail Traders</t>
  </si>
  <si>
    <t>Customer Name : Sohail Traders (SD)</t>
  </si>
  <si>
    <t xml:space="preserve">Address: Kasur City </t>
  </si>
  <si>
    <t>35102-0713118-7</t>
  </si>
  <si>
    <t>1013549-9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</si>
</sst>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4" sqref="B14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103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zoomScale="70" zoomScaleNormal="70" workbookViewId="0">
      <selection activeCell="A5" sqref="A5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103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102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Sohail Traders (SD)</v>
      </c>
      <c r="U14" s="163">
        <f>+'1'!P35</f>
        <v>248050.38069600001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2"/>
      <c r="J15" s="170" t="s">
        <v>78</v>
      </c>
      <c r="K15" s="170" t="s">
        <v>79</v>
      </c>
      <c r="L15" s="173" t="s">
        <v>80</v>
      </c>
      <c r="M15" s="21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Sohail Traders (SD)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0</v>
      </c>
      <c r="I16" s="1">
        <f>(G16*D16)*F16+H16*F16</f>
        <v>0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0</v>
      </c>
      <c r="M16" s="105">
        <f>I16-K16-L16</f>
        <v>0</v>
      </c>
      <c r="N16" s="100">
        <f>+'1'!N16+'2'!N16+'4'!N16+'3'!N16+'5'!N16+'6'!N16+'7'!N16+'8'!N16+'9'!N16+'10'!N16</f>
        <v>0</v>
      </c>
      <c r="O16" s="100">
        <f>+'1'!O16+'2'!O16+'4'!O16+'3'!O16+'5'!O16+'6'!O16+'7'!O16+'8'!O16+'9'!O16+'10'!O16</f>
        <v>0</v>
      </c>
      <c r="P16" s="104">
        <f t="shared" ref="P16:P24" si="0">M16+N16+O16</f>
        <v>0</v>
      </c>
      <c r="Q16" s="107"/>
      <c r="T16" s="162" t="str">
        <f>+'4'!A5</f>
        <v>Customer Name : Sohail Traders (SD)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0</v>
      </c>
      <c r="I17" s="1">
        <f t="shared" ref="I17:I23" si="1">(G17*D17)*F17+H17*F17</f>
        <v>0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0</v>
      </c>
      <c r="M17" s="117">
        <f t="shared" ref="M17:M23" si="2">I17-K17-L17</f>
        <v>0</v>
      </c>
      <c r="N17" s="100">
        <f>+'1'!N17+'2'!N17+'4'!N17+'3'!N17+'5'!N17+'6'!N17+'7'!N17+'8'!N17+'9'!N17+'10'!N17</f>
        <v>0</v>
      </c>
      <c r="O17" s="100">
        <f>+'1'!O17+'2'!O17+'4'!O17+'3'!O17+'5'!O17+'6'!O17+'7'!O17+'8'!O17+'9'!O17+'10'!O17</f>
        <v>0</v>
      </c>
      <c r="P17" s="119">
        <f t="shared" si="0"/>
        <v>0</v>
      </c>
      <c r="S17" s="64"/>
      <c r="T17" s="162" t="str">
        <f>+'3'!A5</f>
        <v>Customer Name : Sohail Traders (SD)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Sohail Traders (SD)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0</v>
      </c>
      <c r="I19" s="1">
        <f t="shared" si="1"/>
        <v>0</v>
      </c>
      <c r="J19" s="171">
        <f>+'1'!J19+'2'!J19+'4'!J19+'3'!J19+'5'!J19+'6'!J19+'7'!J19+'8'!J19+'9'!J19+'10'!J19+'11'!J19+'12'!J19+'13'!J19+'14'!J19+'15'!J19+'16'!J19+'17'!J19+'18'!J19</f>
        <v>26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6043.6480000000001</v>
      </c>
      <c r="M19" s="117">
        <f t="shared" si="2"/>
        <v>-6043.6480000000001</v>
      </c>
      <c r="N19" s="100">
        <f>+'1'!N19+'2'!N19+'4'!N19+'3'!N19+'5'!N19+'6'!N19+'7'!N19+'8'!N19+'9'!N19+'10'!N19</f>
        <v>7395.9142400000001</v>
      </c>
      <c r="O19" s="100">
        <f>+'1'!O19+'2'!O19+'4'!O19+'3'!O19+'5'!O19+'6'!O19+'7'!O19+'8'!O19+'9'!O19+'10'!O19</f>
        <v>195.62533120000001</v>
      </c>
      <c r="P19" s="119">
        <f t="shared" si="0"/>
        <v>1547.8915711999998</v>
      </c>
      <c r="T19" s="162" t="str">
        <f>+'6'!A5</f>
        <v>Customer Name : Sohail Traders (SD)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0</v>
      </c>
      <c r="I20" s="1">
        <f t="shared" si="1"/>
        <v>0</v>
      </c>
      <c r="J20" s="171">
        <f>+'1'!J20+'2'!J20+'4'!J20+'3'!J20+'5'!J20+'6'!J20+'7'!J20+'8'!J20+'9'!J20+'10'!J20+'11'!J20+'12'!J20+'13'!J20+'14'!J20+'15'!J20+'16'!J20+'17'!J20+'18'!J20</f>
        <v>46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10692.608</v>
      </c>
      <c r="M20" s="117">
        <f t="shared" si="2"/>
        <v>-10692.608</v>
      </c>
      <c r="N20" s="100">
        <f>+'1'!N20+'2'!N20+'4'!N20+'3'!N20+'5'!N20+'6'!N20+'7'!N20+'8'!N20+'9'!N20+'10'!N20</f>
        <v>13085.079040000001</v>
      </c>
      <c r="O20" s="100">
        <f>+'1'!O20+'2'!O20+'4'!O20+'3'!O20+'5'!O20+'6'!O20+'7'!O20+'8'!O20+'9'!O20+'10'!O20</f>
        <v>346.10635520000005</v>
      </c>
      <c r="P20" s="119">
        <f t="shared" si="0"/>
        <v>2738.5773952000004</v>
      </c>
      <c r="T20" s="162" t="str">
        <f>+'7'!A5</f>
        <v>Customer Name : Sohail Traders (SD)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0</v>
      </c>
      <c r="I21" s="1">
        <f t="shared" si="1"/>
        <v>0</v>
      </c>
      <c r="J21" s="171">
        <f>+'1'!J21+'2'!J21+'4'!J21+'3'!J21+'5'!J21+'6'!J21+'7'!J21+'8'!J21+'9'!J21+'10'!J21+'11'!J21+'12'!J21+'13'!J21+'14'!J21+'15'!J21+'16'!J21+'17'!J21+'18'!J21</f>
        <v>48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11157.503999999999</v>
      </c>
      <c r="M21" s="117">
        <f t="shared" si="2"/>
        <v>-11157.503999999999</v>
      </c>
      <c r="N21" s="100">
        <f>+'1'!N21+'2'!N21+'4'!N21+'3'!N21+'5'!N21+'6'!N21+'7'!N21+'8'!N21+'9'!N21+'10'!N21</f>
        <v>13653.995519999999</v>
      </c>
      <c r="O21" s="100">
        <f>+'1'!O21+'2'!O21+'4'!O21+'3'!O21+'5'!O21+'6'!O21+'7'!O21+'8'!O21+'9'!O21+'10'!O21</f>
        <v>361.15445759999994</v>
      </c>
      <c r="P21" s="119">
        <f t="shared" si="0"/>
        <v>2857.6459775999997</v>
      </c>
      <c r="T21" s="162" t="str">
        <f>+'8'!A5</f>
        <v>Customer Name : Sohail Traders (SD)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2196.8800000000006</v>
      </c>
      <c r="L22" s="174">
        <f>+'1'!L22+'2'!L22+'4'!L22+'3'!L22+'5'!L22+'6'!L22+'7'!L22+'8'!L22+'9'!L22+'10'!L22</f>
        <v>6276.8000000000011</v>
      </c>
      <c r="M22" s="117">
        <f t="shared" si="2"/>
        <v>-8473.6800000000021</v>
      </c>
      <c r="N22" s="100">
        <f>+'1'!N22+'2'!N22+'4'!N22+'3'!N22+'5'!N22+'6'!N22+'7'!N22+'8'!N22+'9'!N22+'10'!N22</f>
        <v>11944.750400000001</v>
      </c>
      <c r="O22" s="100">
        <f>+'1'!O22+'2'!O22+'4'!O22+'3'!O22+'5'!O22+'6'!O22+'7'!O22+'8'!O22+'9'!O22+'10'!O22</f>
        <v>331.19535200000007</v>
      </c>
      <c r="P22" s="119">
        <f t="shared" si="0"/>
        <v>3802.2657519999989</v>
      </c>
      <c r="T22" s="162" t="str">
        <f>+'9'!A5</f>
        <v>Customer Name : Sohail Traders (SD)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Sohail Traders (SD)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Sohail Traders (SD)</v>
      </c>
      <c r="U24" s="163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0</v>
      </c>
      <c r="D25" s="222"/>
      <c r="E25" s="222"/>
      <c r="F25" s="222"/>
      <c r="G25" s="175">
        <f t="shared" ref="G25:M25" si="3">SUM(G16:G24)</f>
        <v>0</v>
      </c>
      <c r="H25" s="176">
        <f t="shared" si="3"/>
        <v>0</v>
      </c>
      <c r="I25" s="177">
        <f t="shared" si="3"/>
        <v>0</v>
      </c>
      <c r="J25" s="176">
        <f t="shared" si="3"/>
        <v>120</v>
      </c>
      <c r="K25" s="177">
        <f t="shared" si="3"/>
        <v>2196.8800000000006</v>
      </c>
      <c r="L25" s="178">
        <f t="shared" si="3"/>
        <v>34170.560000000005</v>
      </c>
      <c r="M25" s="140">
        <f t="shared" si="3"/>
        <v>-36367.440000000002</v>
      </c>
      <c r="N25" s="141">
        <f>SUM(N16:N24)</f>
        <v>46079.739199999996</v>
      </c>
      <c r="O25" s="142">
        <f>SUM(O16:O24)</f>
        <v>1234.0814960000002</v>
      </c>
      <c r="P25" s="143">
        <f>SUM(P16:P24)</f>
        <v>10946.380695999998</v>
      </c>
      <c r="T25" s="162" t="str">
        <f>+'12'!A5</f>
        <v>Customer Name : Sohail Traders (SD)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Sohail Traders (SD)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Sohail Traders (SD)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Sohail Traders (SD)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Sohail Traders (SD)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Sohail Traders (SD)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Sohail Traders (SD)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248050.38069600001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29" t="s">
        <v>85</v>
      </c>
      <c r="C35" s="230"/>
      <c r="D35" s="230"/>
      <c r="E35" s="230"/>
      <c r="F35" s="230"/>
      <c r="G35" s="230"/>
      <c r="H35" s="230"/>
      <c r="I35" s="230"/>
      <c r="J35" s="230"/>
      <c r="K35" s="230"/>
      <c r="L35" s="231"/>
      <c r="N35" s="238" t="s">
        <v>86</v>
      </c>
      <c r="O35" s="239"/>
      <c r="P35" s="151">
        <f>I25</f>
        <v>0</v>
      </c>
    </row>
    <row r="36" spans="1:21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N36" s="240" t="s">
        <v>87</v>
      </c>
      <c r="O36" s="241"/>
      <c r="P36" s="152">
        <f>L25</f>
        <v>34170.560000000005</v>
      </c>
    </row>
    <row r="37" spans="1:21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N37" s="240" t="s">
        <v>4</v>
      </c>
      <c r="O37" s="241"/>
      <c r="P37" s="153">
        <f>K25</f>
        <v>2196.8800000000006</v>
      </c>
    </row>
    <row r="38" spans="1:21" ht="15" customHeight="1" x14ac:dyDescent="0.35">
      <c r="B38" s="232"/>
      <c r="C38" s="233"/>
      <c r="D38" s="233"/>
      <c r="E38" s="233"/>
      <c r="F38" s="233"/>
      <c r="G38" s="233"/>
      <c r="H38" s="233"/>
      <c r="I38" s="233"/>
      <c r="J38" s="233"/>
      <c r="K38" s="233"/>
      <c r="L38" s="234"/>
      <c r="M38" s="2"/>
      <c r="N38" s="240" t="s">
        <v>88</v>
      </c>
      <c r="O38" s="241"/>
      <c r="P38" s="152">
        <f>P35-P36-P37</f>
        <v>-36367.440000000002</v>
      </c>
    </row>
    <row r="39" spans="1:21" ht="15" customHeight="1" x14ac:dyDescent="0.35">
      <c r="B39" s="232"/>
      <c r="C39" s="233"/>
      <c r="D39" s="233"/>
      <c r="E39" s="233"/>
      <c r="F39" s="233"/>
      <c r="G39" s="233"/>
      <c r="H39" s="233"/>
      <c r="I39" s="233"/>
      <c r="J39" s="233"/>
      <c r="K39" s="233"/>
      <c r="L39" s="234"/>
      <c r="M39" s="2"/>
      <c r="N39" s="154" t="s">
        <v>89</v>
      </c>
      <c r="O39" s="155">
        <f>IF(B12="Registered",18%,22%)</f>
        <v>0.22</v>
      </c>
      <c r="P39" s="152">
        <f>N25</f>
        <v>46079.739199999996</v>
      </c>
    </row>
    <row r="40" spans="1:21" ht="15" customHeight="1" x14ac:dyDescent="0.35">
      <c r="B40" s="232"/>
      <c r="C40" s="233"/>
      <c r="D40" s="233"/>
      <c r="E40" s="233"/>
      <c r="F40" s="233"/>
      <c r="G40" s="233"/>
      <c r="H40" s="233"/>
      <c r="I40" s="233"/>
      <c r="J40" s="233"/>
      <c r="K40" s="233"/>
      <c r="L40" s="234"/>
      <c r="M40" s="2"/>
      <c r="N40" s="242" t="s">
        <v>90</v>
      </c>
      <c r="O40" s="243"/>
      <c r="P40" s="152">
        <f>P38+P39</f>
        <v>9712.299199999994</v>
      </c>
    </row>
    <row r="41" spans="1:21" ht="15" customHeight="1" thickBot="1" x14ac:dyDescent="0.4">
      <c r="B41" s="235"/>
      <c r="C41" s="236"/>
      <c r="D41" s="236"/>
      <c r="E41" s="236"/>
      <c r="F41" s="236"/>
      <c r="G41" s="236"/>
      <c r="H41" s="236"/>
      <c r="I41" s="236"/>
      <c r="J41" s="236"/>
      <c r="K41" s="236"/>
      <c r="L41" s="237"/>
      <c r="M41" s="156"/>
      <c r="N41" s="157" t="s">
        <v>91</v>
      </c>
      <c r="O41" s="158">
        <f>IF(B11="Filer",0.5%,2.5%)</f>
        <v>2.5000000000000001E-2</v>
      </c>
      <c r="P41" s="152">
        <f>O41*P40</f>
        <v>242.80747999999986</v>
      </c>
    </row>
    <row r="42" spans="1:21" ht="15.75" customHeight="1" thickBot="1" x14ac:dyDescent="0.4">
      <c r="N42" s="220" t="s">
        <v>92</v>
      </c>
      <c r="O42" s="221"/>
      <c r="P42" s="159">
        <f>P40+P41</f>
        <v>9955.1066799999935</v>
      </c>
    </row>
    <row r="43" spans="1:21" ht="15" thickBot="1" x14ac:dyDescent="0.4">
      <c r="B43" s="160" t="s">
        <v>93</v>
      </c>
      <c r="C43" s="222"/>
      <c r="D43" s="222"/>
      <c r="E43" s="222"/>
      <c r="F43" s="222"/>
      <c r="G43" s="222"/>
      <c r="H43" s="222"/>
      <c r="I43" s="223"/>
      <c r="J43" s="224"/>
      <c r="K43" s="225"/>
    </row>
    <row r="44" spans="1:21" ht="15.75" customHeight="1" x14ac:dyDescent="0.35"/>
  </sheetData>
  <mergeCells count="47"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4" zoomScale="55" zoomScaleNormal="55" workbookViewId="0">
      <selection activeCell="T10" sqref="T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100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107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0.16</v>
      </c>
      <c r="M15" s="251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I16*16%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 t="shared" ref="O16:O24" si="1">(N16+M16)*$O$15</f>
        <v>0</v>
      </c>
      <c r="P16" s="104">
        <f t="shared" ref="P16:P24" si="2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3">(G17*D17)*F17+H17*F17</f>
        <v>0</v>
      </c>
      <c r="J17" s="102"/>
      <c r="K17" s="1">
        <f t="shared" ref="K17:K21" si="4">I17*$K$13</f>
        <v>0</v>
      </c>
      <c r="L17" s="104">
        <f t="shared" ref="L17:L21" si="5">I17*16%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02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>
        <v>13</v>
      </c>
      <c r="H19" s="114"/>
      <c r="I19" s="115">
        <f t="shared" si="3"/>
        <v>37772.800000000003</v>
      </c>
      <c r="J19" s="102">
        <f>G19*2</f>
        <v>26</v>
      </c>
      <c r="K19" s="1">
        <f t="shared" si="4"/>
        <v>0</v>
      </c>
      <c r="L19" s="104">
        <f t="shared" si="5"/>
        <v>6043.6480000000001</v>
      </c>
      <c r="M19" s="117">
        <f t="shared" si="6"/>
        <v>31729.152000000002</v>
      </c>
      <c r="N19" s="117">
        <f t="shared" si="0"/>
        <v>7395.9142400000001</v>
      </c>
      <c r="O19" s="118">
        <f t="shared" si="1"/>
        <v>195.62533120000001</v>
      </c>
      <c r="P19" s="119">
        <f t="shared" si="2"/>
        <v>39320.691571199997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>
        <v>23</v>
      </c>
      <c r="H20" s="114"/>
      <c r="I20" s="115">
        <f t="shared" si="3"/>
        <v>66828.800000000003</v>
      </c>
      <c r="J20" s="102">
        <f t="shared" ref="J20:J21" si="7">G20*2</f>
        <v>46</v>
      </c>
      <c r="K20" s="1">
        <f t="shared" si="4"/>
        <v>0</v>
      </c>
      <c r="L20" s="104">
        <f t="shared" si="5"/>
        <v>10692.608</v>
      </c>
      <c r="M20" s="117">
        <f t="shared" si="6"/>
        <v>56136.192000000003</v>
      </c>
      <c r="N20" s="117">
        <f t="shared" si="0"/>
        <v>13085.079040000001</v>
      </c>
      <c r="O20" s="118">
        <f t="shared" si="1"/>
        <v>346.10635520000005</v>
      </c>
      <c r="P20" s="119">
        <f t="shared" si="2"/>
        <v>69567.377395200005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>
        <v>24</v>
      </c>
      <c r="H21" s="114"/>
      <c r="I21" s="115">
        <f t="shared" si="3"/>
        <v>69734.399999999994</v>
      </c>
      <c r="J21" s="102">
        <f t="shared" si="7"/>
        <v>48</v>
      </c>
      <c r="K21" s="1">
        <f t="shared" si="4"/>
        <v>0</v>
      </c>
      <c r="L21" s="104">
        <f t="shared" si="5"/>
        <v>11157.503999999999</v>
      </c>
      <c r="M21" s="117">
        <f t="shared" si="6"/>
        <v>58576.895999999993</v>
      </c>
      <c r="N21" s="117">
        <f t="shared" si="0"/>
        <v>13653.995519999999</v>
      </c>
      <c r="O21" s="118">
        <f t="shared" si="1"/>
        <v>361.15445759999994</v>
      </c>
      <c r="P21" s="119">
        <f t="shared" si="2"/>
        <v>72592.045977599992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>
        <v>40</v>
      </c>
      <c r="H22" s="114"/>
      <c r="I22" s="115">
        <f t="shared" si="3"/>
        <v>62768.000000000007</v>
      </c>
      <c r="J22" s="102"/>
      <c r="K22" s="1">
        <f>I22*3.5%</f>
        <v>2196.8800000000006</v>
      </c>
      <c r="L22" s="119">
        <f>I22*10%</f>
        <v>6276.8000000000011</v>
      </c>
      <c r="M22" s="117">
        <f t="shared" si="6"/>
        <v>54294.320000000007</v>
      </c>
      <c r="N22" s="117">
        <f t="shared" si="0"/>
        <v>11944.750400000001</v>
      </c>
      <c r="O22" s="118">
        <f t="shared" si="1"/>
        <v>331.19535200000007</v>
      </c>
      <c r="P22" s="119">
        <f t="shared" si="2"/>
        <v>66570.265752000007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10">SUM(G16:G24)</f>
        <v>100</v>
      </c>
      <c r="H25" s="135">
        <f t="shared" si="10"/>
        <v>0</v>
      </c>
      <c r="I25" s="136">
        <f t="shared" si="10"/>
        <v>237104</v>
      </c>
      <c r="J25" s="182">
        <f>SUM(J16:J21)</f>
        <v>120</v>
      </c>
      <c r="K25" s="138">
        <f t="shared" si="10"/>
        <v>2196.8800000000006</v>
      </c>
      <c r="L25" s="139">
        <f t="shared" si="10"/>
        <v>34170.560000000005</v>
      </c>
      <c r="M25" s="140">
        <f t="shared" si="10"/>
        <v>200736.56</v>
      </c>
      <c r="N25" s="141">
        <f>SUM(N16:N24)</f>
        <v>46079.739199999996</v>
      </c>
      <c r="O25" s="142">
        <f>SUM(O16:O24)</f>
        <v>1234.0814960000002</v>
      </c>
      <c r="P25" s="143">
        <f>SUM(P16:P24)</f>
        <v>248050.38069599998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237104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34170.560000000005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2196.8800000000006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200736.56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46079.739199999996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246816.29920000001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1234.081496</v>
      </c>
    </row>
    <row r="35" spans="2:16" ht="15.75" customHeight="1" thickBot="1" x14ac:dyDescent="0.4">
      <c r="N35" s="220" t="s">
        <v>92</v>
      </c>
      <c r="O35" s="221"/>
      <c r="P35" s="159">
        <f>P33+P34</f>
        <v>248050.38069600001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83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4" workbookViewId="0">
      <selection activeCell="D9" sqref="D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6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J21" sqref="J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79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46191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2026-06-19T10:33:34Z</dcterms:modified>
</cp:coreProperties>
</file>