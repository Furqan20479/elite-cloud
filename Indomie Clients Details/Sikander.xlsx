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F6448FC-C839-4D29-B525-B8B0E00B138F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<sst xmlns="http://schemas.openxmlformats.org/spreadsheetml/2006/main" count="1580" uniqueCount="108">
  <si>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</si>
  <si>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</si>
  <si>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</si>
  <si>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</si>
  <si>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</si>
  <si>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</si>
  <si>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</si>
  <si>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</si>
  <si>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</si>
  <si>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</si>
  <si>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</si>
  <si>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</si>
  <si>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</si>
  <si>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</si>
  <si>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</si>
  <si>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</si>
  <si>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</si>
  <si>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</si>
  <si>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</si>
  <si>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</si>
  <si>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</si>
  <si>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</si>
  <si>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</si>
  <si>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</si>
  <si>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</si>
  <si>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</si>
  <si>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</si>
  <si>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</si>
  <si>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</si>
  <si>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</si>
  <si>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</si>
  <si>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</si>
  <si>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</si>
  <si>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</si>
  <si>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</si>
  <si>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</si>
  <si>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</si>
  <si>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</si>
  <si>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</si>
  <si>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</si>
  <si>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</si>
  <si>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</si>
  <si>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</si>
  <si>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</si>
  <si>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</si>
  <si>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</si>
  <si>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</si>
  <si>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</si>
  <si>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</si>
  <si>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</si>
  <si>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</si>
  <si>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</si>
  <si>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</si>
  <si>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</si>
  <si>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</si>
  <si>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</si>
  <si>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</si>
  <si>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</si>
  <si>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</si>
  <si>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</si>
  <si>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</si>
  <si>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</si>
  <si>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</si>
  <si>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</si>
  <si>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</si>
  <si>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</si>
  <si>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</si>
  <si>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</si>
  <si>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</si>
  <si>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</si>
  <si>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</si>
  <si>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</si>
  <si>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</si>
  <si>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</si>
  <si>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</si>
  <si>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</si>
  <si>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</si>
  <si>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</si>
  <si>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</si>
  <si>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</si>
  <si>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</si>
  <si>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</si>
  <si>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</si>
  <si>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</si>
  <si>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</si>
  <si>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</si>
  <si>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</si>
  <si>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</si>
  <si>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</si>
  <si>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</si>
  <si>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</si>
  <si>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</si>
  <si>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</si>
  <si>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</si>
  <si>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</si>
  <si>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</si>
  <si>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</si>
  <si>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</si>
  <si>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</si>
  <si>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</si>
  <si>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</si>
  <si>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</si>
  <si>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</si>
  <si>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</si>
  <si>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(Sikander)</t>
  </si>
  <si>
    <t>Sikander</t>
  </si>
  <si>
    <t>Customer Name : Shenbaz SB</t>
  </si>
  <si>
    <t>Customer Name :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</si>
</sst>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105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3" sqref="I13"/>
      <selection pane="topRight" activeCell="I13" sqref="I13"/>
      <selection pane="bottomLeft" activeCell="I13" sqref="I13"/>
      <selection pane="bottomRight" activeCell="I13" sqref="I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104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Shenbaz SB</v>
      </c>
      <c r="U14" s="164">
        <f>+'1'!P35</f>
        <v>4579.044515999999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Shakoor</v>
      </c>
      <c r="U15" s="164">
        <f>+'2'!P35</f>
        <v>1043.1015737999999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29</v>
      </c>
      <c r="I16" s="1">
        <f>(G16*D16)*F16+H16*F16</f>
        <v>1521.4124999999999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121.71300000000001</v>
      </c>
      <c r="M16" s="106">
        <f>I16-K16-L16</f>
        <v>1399.6994999999999</v>
      </c>
      <c r="N16" s="101">
        <f>+'1'!N16+'2'!N16+'4'!N16+'3'!N16+'5'!N16+'6'!N16+'7'!N16+'8'!N16+'9'!N16+'10'!N16</f>
        <v>255.80714999999998</v>
      </c>
      <c r="O16" s="101">
        <f>+'1'!O16+'2'!O16+'4'!O16+'3'!O16+'5'!O16+'6'!O16+'7'!O16+'8'!O16+'9'!O16+'10'!O16</f>
        <v>10.632889649999999</v>
      </c>
      <c r="P16" s="105">
        <f t="shared" ref="P16:P24" si="0">M16+N16+O16</f>
        <v>1666.1395396499997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28</v>
      </c>
      <c r="I17" s="1">
        <f t="shared" ref="I17:I23" si="1">(G17*D17)*F17+H17*F17</f>
        <v>1468.95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117.51599999999999</v>
      </c>
      <c r="M17" s="118">
        <f t="shared" ref="M17:M23" si="2">I17-K17-L17</f>
        <v>1351.434</v>
      </c>
      <c r="N17" s="101">
        <f>+'1'!N17+'2'!N17+'4'!N17+'3'!N17+'5'!N17+'6'!N17+'7'!N17+'8'!N17+'9'!N17+'10'!N17</f>
        <v>247.11935999999994</v>
      </c>
      <c r="O17" s="101">
        <f>+'1'!O17+'2'!O17+'4'!O17+'3'!O17+'5'!O17+'6'!O17+'7'!O17+'8'!O17+'9'!O17+'10'!O17</f>
        <v>10.3481232</v>
      </c>
      <c r="P17" s="120">
        <f t="shared" si="0"/>
        <v>1608.9014831999998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29</v>
      </c>
      <c r="I18" s="1">
        <f t="shared" si="1"/>
        <v>1521.4124999999999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121.71300000000001</v>
      </c>
      <c r="M18" s="118">
        <f t="shared" si="2"/>
        <v>1399.6994999999999</v>
      </c>
      <c r="N18" s="101">
        <f>+'1'!N18+'2'!N18+'4'!N18+'3'!N18+'5'!N18+'6'!N18+'7'!N18+'8'!N18+'9'!N18+'10'!N18</f>
        <v>255.80714999999998</v>
      </c>
      <c r="O18" s="101">
        <f>+'1'!O18+'2'!O18+'4'!O18+'3'!O18+'5'!O18+'6'!O18+'7'!O18+'8'!O18+'9'!O18+'10'!O18</f>
        <v>10.632889649999999</v>
      </c>
      <c r="P18" s="120">
        <f t="shared" si="0"/>
        <v>1666.1395396499997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2</v>
      </c>
      <c r="I19" s="1">
        <f t="shared" si="1"/>
        <v>145.28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11.622400000000001</v>
      </c>
      <c r="M19" s="118">
        <f t="shared" si="2"/>
        <v>133.6576</v>
      </c>
      <c r="N19" s="101">
        <f>+'1'!N19+'2'!N19+'4'!N19+'3'!N19+'5'!N19+'6'!N19+'7'!N19+'8'!N19+'9'!N19+'10'!N19</f>
        <v>29.404672000000001</v>
      </c>
      <c r="O19" s="101">
        <f>+'1'!O19+'2'!O19+'4'!O19+'3'!O19+'5'!O19+'6'!O19+'7'!O19+'8'!O19+'9'!O19+'10'!O19</f>
        <v>4.0765568000000005</v>
      </c>
      <c r="P19" s="120">
        <f t="shared" si="0"/>
        <v>167.1388288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</v>
      </c>
      <c r="I20" s="1">
        <f t="shared" si="1"/>
        <v>145.28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11.622400000000001</v>
      </c>
      <c r="M20" s="118">
        <f t="shared" si="2"/>
        <v>133.6576</v>
      </c>
      <c r="N20" s="101">
        <f>+'1'!N20+'2'!N20+'4'!N20+'3'!N20+'5'!N20+'6'!N20+'7'!N20+'8'!N20+'9'!N20+'10'!N20</f>
        <v>29.404672000000001</v>
      </c>
      <c r="O20" s="101">
        <f>+'1'!O20+'2'!O20+'4'!O20+'3'!O20+'5'!O20+'6'!O20+'7'!O20+'8'!O20+'9'!O20+'10'!O20</f>
        <v>4.0765568000000005</v>
      </c>
      <c r="P20" s="120">
        <f t="shared" si="0"/>
        <v>167.1388288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2</v>
      </c>
      <c r="I21" s="1">
        <f t="shared" si="1"/>
        <v>145.28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11.622400000000001</v>
      </c>
      <c r="M21" s="118">
        <f t="shared" si="2"/>
        <v>133.6576</v>
      </c>
      <c r="N21" s="101">
        <f>+'1'!N21+'2'!N21+'4'!N21+'3'!N21+'5'!N21+'6'!N21+'7'!N21+'8'!N21+'9'!N21+'10'!N21</f>
        <v>29.404672000000001</v>
      </c>
      <c r="O21" s="101">
        <f>+'1'!O21+'2'!O21+'4'!O21+'3'!O21+'5'!O21+'6'!O21+'7'!O21+'8'!O21+'9'!O21+'10'!O21</f>
        <v>4.0765568000000005</v>
      </c>
      <c r="P21" s="120">
        <f t="shared" si="0"/>
        <v>167.1388288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4</v>
      </c>
      <c r="I22" s="1">
        <f t="shared" si="1"/>
        <v>156.92000000000002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5.4922000000000013</v>
      </c>
      <c r="L22" s="175">
        <f>+'1'!L22+'2'!L22+'4'!L22+'3'!L22+'5'!L22+'6'!L22+'7'!L22+'8'!L22+'9'!L22+'10'!L22</f>
        <v>7.846000000000001</v>
      </c>
      <c r="M22" s="118">
        <f t="shared" si="2"/>
        <v>143.58180000000002</v>
      </c>
      <c r="N22" s="101">
        <f>+'1'!N22+'2'!N22+'4'!N22+'3'!N22+'5'!N22+'6'!N22+'7'!N22+'8'!N22+'9'!N22+'10'!N22</f>
        <v>31.587996000000004</v>
      </c>
      <c r="O22" s="101">
        <f>+'1'!O22+'2'!O22+'4'!O22+'3'!O22+'5'!O22+'6'!O22+'7'!O22+'8'!O22+'9'!O22+'10'!O22</f>
        <v>4.3792449000000007</v>
      </c>
      <c r="P22" s="120">
        <f t="shared" si="0"/>
        <v>179.54904090000002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2.4</v>
      </c>
      <c r="D25" s="222"/>
      <c r="E25" s="222"/>
      <c r="F25" s="222"/>
      <c r="G25" s="176">
        <f t="shared" ref="G25:M25" si="3">SUM(G16:G24)</f>
        <v>0</v>
      </c>
      <c r="H25" s="177">
        <f t="shared" si="3"/>
        <v>96</v>
      </c>
      <c r="I25" s="178">
        <f t="shared" si="3"/>
        <v>5104.5349999999989</v>
      </c>
      <c r="J25" s="177">
        <f t="shared" si="3"/>
        <v>0</v>
      </c>
      <c r="K25" s="178">
        <f t="shared" si="3"/>
        <v>5.4922000000000013</v>
      </c>
      <c r="L25" s="179">
        <f t="shared" si="3"/>
        <v>403.65520000000009</v>
      </c>
      <c r="M25" s="141">
        <f t="shared" si="3"/>
        <v>4695.3876</v>
      </c>
      <c r="N25" s="142">
        <f>SUM(N16:N24)</f>
        <v>878.53567199999986</v>
      </c>
      <c r="O25" s="143">
        <f>SUM(O16:O24)</f>
        <v>48.222817800000001</v>
      </c>
      <c r="P25" s="144">
        <f>SUM(P16:P24)</f>
        <v>5622.1460897999996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5622.1460897999987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2">
        <f>I25</f>
        <v>5104.5349999999989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3">
        <f>L25</f>
        <v>403.65520000000009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4">
        <f>K25</f>
        <v>5.4922000000000013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3">
        <f>P35-P36-P37</f>
        <v>4695.3875999999991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5" t="s">
        <v>89</v>
      </c>
      <c r="O39" s="156">
        <f>IF(B12="Registered",18%,22%)</f>
        <v>0.22</v>
      </c>
      <c r="P39" s="153">
        <f>N25</f>
        <v>878.53567199999986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3">
        <f>P38+P39</f>
        <v>5573.9232719999991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7"/>
      <c r="N41" s="158" t="s">
        <v>91</v>
      </c>
      <c r="O41" s="159">
        <f>IF(B11="Filer",0.5%,2.5%)</f>
        <v>2.5000000000000001E-2</v>
      </c>
      <c r="P41" s="153">
        <f>O41*P40</f>
        <v>139.34808179999999</v>
      </c>
    </row>
    <row r="42" spans="1:21" ht="15.75" customHeight="1" thickBot="1" x14ac:dyDescent="0.4">
      <c r="N42" s="220" t="s">
        <v>92</v>
      </c>
      <c r="O42" s="221"/>
      <c r="P42" s="160">
        <f>P40+P41</f>
        <v>5713.2713537999989</v>
      </c>
    </row>
    <row r="43" spans="1:21" ht="15" thickBot="1" x14ac:dyDescent="0.4">
      <c r="B43" s="161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105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27</v>
      </c>
      <c r="I16" s="102">
        <f>(G16*D16)*F16+H16*F16</f>
        <v>1416.4875</v>
      </c>
      <c r="J16" s="103">
        <v>0</v>
      </c>
      <c r="K16" s="104">
        <f>I16*$K$13</f>
        <v>0</v>
      </c>
      <c r="L16" s="105">
        <f>I16*8%</f>
        <v>113.319</v>
      </c>
      <c r="M16" s="106">
        <f>I16-K16-L16</f>
        <v>1303.1685</v>
      </c>
      <c r="N16" s="106">
        <f t="shared" ref="N16:N24" si="0">(M16*$N$15)+(J16*F16)*$N$15</f>
        <v>234.57032999999998</v>
      </c>
      <c r="O16" s="107">
        <f t="shared" ref="O16:O24" si="1">(N16+M16)*$O$15</f>
        <v>7.6886941499999999</v>
      </c>
      <c r="P16" s="105">
        <f t="shared" ref="P16:P24" si="2">M16+N16+O16</f>
        <v>1545.42752415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26</v>
      </c>
      <c r="I17" s="116">
        <f t="shared" ref="I17:I23" si="3">(G17*D17)*F17+H17*F17</f>
        <v>1364.0249999999999</v>
      </c>
      <c r="J17" s="117">
        <v>0</v>
      </c>
      <c r="K17" s="1">
        <f t="shared" ref="K17:K21" si="4">I17*$K$13</f>
        <v>0</v>
      </c>
      <c r="L17" s="105">
        <f t="shared" ref="L17:L21" si="5">I17*8%</f>
        <v>109.12199999999999</v>
      </c>
      <c r="M17" s="118">
        <f t="shared" ref="M17:M23" si="6">I17-K17-L17</f>
        <v>1254.9029999999998</v>
      </c>
      <c r="N17" s="118">
        <f t="shared" si="0"/>
        <v>225.88253999999995</v>
      </c>
      <c r="O17" s="119">
        <f t="shared" si="1"/>
        <v>7.4039276999999997</v>
      </c>
      <c r="P17" s="120">
        <f t="shared" si="2"/>
        <v>1488.1894676999998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27</v>
      </c>
      <c r="I18" s="116">
        <f t="shared" si="3"/>
        <v>1416.4875</v>
      </c>
      <c r="J18" s="117">
        <v>0</v>
      </c>
      <c r="K18" s="1">
        <f t="shared" si="4"/>
        <v>0</v>
      </c>
      <c r="L18" s="105">
        <f t="shared" si="5"/>
        <v>113.319</v>
      </c>
      <c r="M18" s="118">
        <f t="shared" si="6"/>
        <v>1303.1685</v>
      </c>
      <c r="N18" s="118">
        <f t="shared" si="0"/>
        <v>234.57032999999998</v>
      </c>
      <c r="O18" s="119">
        <f t="shared" si="1"/>
        <v>7.6886941499999999</v>
      </c>
      <c r="P18" s="120">
        <f t="shared" si="2"/>
        <v>1545.42752415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3"/>
        <v>0</v>
      </c>
      <c r="J19" s="117">
        <v>0</v>
      </c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3"/>
        <v>0</v>
      </c>
      <c r="J20" s="117">
        <v>0</v>
      </c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3"/>
        <v>0</v>
      </c>
      <c r="J21" s="117">
        <v>0</v>
      </c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4197</v>
      </c>
      <c r="J25" s="183">
        <f>SUM(J16:J21)</f>
        <v>0</v>
      </c>
      <c r="K25" s="139">
        <f t="shared" si="9"/>
        <v>0</v>
      </c>
      <c r="L25" s="140">
        <f t="shared" si="9"/>
        <v>335.76</v>
      </c>
      <c r="M25" s="141">
        <f t="shared" si="9"/>
        <v>3861.24</v>
      </c>
      <c r="N25" s="142">
        <f>SUM(N16:N24)</f>
        <v>695.02319999999997</v>
      </c>
      <c r="O25" s="143">
        <f>SUM(O16:O24)</f>
        <v>22.781316</v>
      </c>
      <c r="P25" s="144">
        <f>SUM(P16:P24)</f>
        <v>4579.0445159999999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4197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335.76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3861.24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695.02319999999997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4556.2631999999994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22.781315999999997</v>
      </c>
    </row>
    <row r="35" spans="2:16" ht="15.75" customHeight="1" thickBot="1" x14ac:dyDescent="0.4">
      <c r="N35" s="220" t="s">
        <v>92</v>
      </c>
      <c r="O35" s="221"/>
      <c r="P35" s="160">
        <f>P33+P34</f>
        <v>4579.044515999999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18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105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</v>
      </c>
      <c r="I16" s="102">
        <f>(G16*D16)*F16+H16*F16</f>
        <v>104.925</v>
      </c>
      <c r="J16" s="103">
        <v>0</v>
      </c>
      <c r="K16" s="104">
        <f>I16*$K$13</f>
        <v>0</v>
      </c>
      <c r="L16" s="105">
        <f>I16*8%</f>
        <v>8.3940000000000001</v>
      </c>
      <c r="M16" s="106">
        <f>I16-K16-L16</f>
        <v>96.530999999999992</v>
      </c>
      <c r="N16" s="106">
        <f t="shared" ref="N16:N24" si="0">(M16*$N$15)+(J16*F16)*$N$15</f>
        <v>21.236819999999998</v>
      </c>
      <c r="O16" s="107">
        <f>(N16+M16)*$O$15</f>
        <v>2.9441954999999997</v>
      </c>
      <c r="P16" s="105">
        <f t="shared" ref="P16:P24" si="1">M16+N16+O16</f>
        <v>120.71201549999999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</v>
      </c>
      <c r="I17" s="116">
        <f t="shared" ref="I17:I23" si="2">(G17*D17)*F17+H17*F17</f>
        <v>104.925</v>
      </c>
      <c r="J17" s="117">
        <v>0</v>
      </c>
      <c r="K17" s="1">
        <f t="shared" ref="K17:K21" si="3">I17*$K$13</f>
        <v>0</v>
      </c>
      <c r="L17" s="105">
        <f t="shared" ref="L17:L21" si="4">I17*8%</f>
        <v>8.3940000000000001</v>
      </c>
      <c r="M17" s="118">
        <f t="shared" ref="M17:M23" si="5">I17-K17-L17</f>
        <v>96.530999999999992</v>
      </c>
      <c r="N17" s="118">
        <f t="shared" si="0"/>
        <v>21.236819999999998</v>
      </c>
      <c r="O17" s="119">
        <f t="shared" ref="O17:O24" si="6">(N17+M17)*$O$15</f>
        <v>2.9441954999999997</v>
      </c>
      <c r="P17" s="120">
        <f t="shared" si="1"/>
        <v>120.71201549999999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</v>
      </c>
      <c r="I18" s="116">
        <f t="shared" si="2"/>
        <v>104.925</v>
      </c>
      <c r="J18" s="117">
        <v>0</v>
      </c>
      <c r="K18" s="1">
        <f t="shared" si="3"/>
        <v>0</v>
      </c>
      <c r="L18" s="105">
        <f t="shared" si="4"/>
        <v>8.3940000000000001</v>
      </c>
      <c r="M18" s="118">
        <f t="shared" si="5"/>
        <v>96.530999999999992</v>
      </c>
      <c r="N18" s="118">
        <f t="shared" si="0"/>
        <v>21.236819999999998</v>
      </c>
      <c r="O18" s="119">
        <f t="shared" si="6"/>
        <v>2.9441954999999997</v>
      </c>
      <c r="P18" s="120">
        <f t="shared" si="1"/>
        <v>120.71201549999999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</v>
      </c>
      <c r="I19" s="116">
        <f t="shared" si="2"/>
        <v>145.28</v>
      </c>
      <c r="J19" s="117">
        <v>0</v>
      </c>
      <c r="K19" s="1">
        <f t="shared" si="3"/>
        <v>0</v>
      </c>
      <c r="L19" s="105">
        <f t="shared" si="4"/>
        <v>11.622400000000001</v>
      </c>
      <c r="M19" s="118">
        <f t="shared" si="5"/>
        <v>133.6576</v>
      </c>
      <c r="N19" s="118">
        <f t="shared" si="0"/>
        <v>29.404672000000001</v>
      </c>
      <c r="O19" s="119">
        <f t="shared" si="6"/>
        <v>4.0765568000000005</v>
      </c>
      <c r="P19" s="120">
        <f t="shared" si="1"/>
        <v>167.1388288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</v>
      </c>
      <c r="I20" s="116">
        <f t="shared" si="2"/>
        <v>145.28</v>
      </c>
      <c r="J20" s="117">
        <v>0</v>
      </c>
      <c r="K20" s="1">
        <f t="shared" si="3"/>
        <v>0</v>
      </c>
      <c r="L20" s="105">
        <f t="shared" si="4"/>
        <v>11.622400000000001</v>
      </c>
      <c r="M20" s="118">
        <f t="shared" si="5"/>
        <v>133.6576</v>
      </c>
      <c r="N20" s="118">
        <f t="shared" si="0"/>
        <v>29.404672000000001</v>
      </c>
      <c r="O20" s="119">
        <f t="shared" si="6"/>
        <v>4.0765568000000005</v>
      </c>
      <c r="P20" s="120">
        <f t="shared" si="1"/>
        <v>167.1388288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</v>
      </c>
      <c r="I21" s="116">
        <f t="shared" si="2"/>
        <v>145.28</v>
      </c>
      <c r="J21" s="117">
        <v>0</v>
      </c>
      <c r="K21" s="1">
        <f t="shared" si="3"/>
        <v>0</v>
      </c>
      <c r="L21" s="105">
        <f t="shared" si="4"/>
        <v>11.622400000000001</v>
      </c>
      <c r="M21" s="118">
        <f t="shared" si="5"/>
        <v>133.6576</v>
      </c>
      <c r="N21" s="118">
        <f t="shared" si="0"/>
        <v>29.404672000000001</v>
      </c>
      <c r="O21" s="119">
        <f t="shared" si="6"/>
        <v>4.0765568000000005</v>
      </c>
      <c r="P21" s="120">
        <f t="shared" si="1"/>
        <v>167.1388288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</v>
      </c>
      <c r="I22" s="116">
        <f t="shared" si="2"/>
        <v>156.92000000000002</v>
      </c>
      <c r="J22" s="117"/>
      <c r="K22" s="1">
        <f>I22*3.5%</f>
        <v>5.4922000000000013</v>
      </c>
      <c r="L22" s="120">
        <f>I22*5%</f>
        <v>7.846000000000001</v>
      </c>
      <c r="M22" s="118">
        <f t="shared" si="5"/>
        <v>143.58180000000002</v>
      </c>
      <c r="N22" s="118">
        <f t="shared" si="0"/>
        <v>31.587996000000004</v>
      </c>
      <c r="O22" s="119">
        <f t="shared" si="6"/>
        <v>4.3792449000000007</v>
      </c>
      <c r="P22" s="120">
        <f t="shared" si="1"/>
        <v>179.54904090000002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16</v>
      </c>
      <c r="I25" s="137">
        <f t="shared" si="9"/>
        <v>907.53499999999985</v>
      </c>
      <c r="J25" s="138"/>
      <c r="K25" s="139">
        <f t="shared" si="9"/>
        <v>5.4922000000000013</v>
      </c>
      <c r="L25" s="140">
        <f t="shared" si="9"/>
        <v>67.895200000000003</v>
      </c>
      <c r="M25" s="141">
        <f t="shared" si="9"/>
        <v>834.14760000000001</v>
      </c>
      <c r="N25" s="142">
        <f>SUM(N16:N24)</f>
        <v>183.512472</v>
      </c>
      <c r="O25" s="143">
        <f>SUM(O16:O24)</f>
        <v>25.441501800000001</v>
      </c>
      <c r="P25" s="144">
        <f>SUM(P16:P24)</f>
        <v>1043.1015738000001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907.53499999999985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67.895200000000003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5.4922000000000013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834.14759999999978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183.512472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1017.6600719999998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25.441501799999998</v>
      </c>
    </row>
    <row r="35" spans="2:16" ht="15.75" customHeight="1" thickBot="1" x14ac:dyDescent="0.4">
      <c r="N35" s="220" t="s">
        <v>92</v>
      </c>
      <c r="O35" s="221"/>
      <c r="P35" s="160">
        <f>P33+P34</f>
        <v>1043.1015737999999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46191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2026-06-19T10:33:30Z</dcterms:modified>
</cp:coreProperties>
</file>