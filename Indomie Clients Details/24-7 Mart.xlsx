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B11BEDB-FAD2-4347-AEDD-773BB68AD2C6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R15" i="16" s="1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<sst xmlns="http://schemas.openxmlformats.org/spreadsheetml/2006/main" count="1600" uniqueCount="108">
  <si>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</si>
  <si>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</si>
  <si>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</si>
  <si>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</si>
  <si>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</si>
  <si>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</si>
  <si>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</si>
  <si>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</si>
  <si>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</si>
  <si>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</si>
  <si>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</si>
  <si>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</si>
  <si>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</si>
  <si>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</si>
  <si>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</si>
  <si>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</si>
  <si>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</si>
  <si>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</si>
  <si>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</si>
  <si>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</si>
  <si>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</si>
  <si>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</si>
  <si>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</si>
  <si>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</si>
  <si>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</si>
  <si>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</si>
  <si>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</si>
  <si>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</si>
  <si>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</si>
  <si>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</si>
  <si>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</si>
  <si>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</si>
  <si>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</si>
  <si>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</si>
  <si>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</si>
  <si>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</si>
  <si>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</si>
  <si>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</si>
  <si>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</si>
  <si>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</si>
  <si>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</si>
  <si>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</si>
  <si>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</si>
  <si>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</si>
  <si>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</si>
  <si>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</si>
  <si>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</si>
  <si>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</si>
  <si>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</si>
  <si>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</si>
  <si>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</si>
  <si>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</si>
  <si>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</si>
  <si>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</si>
  <si>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</si>
  <si>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</si>
  <si>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</si>
  <si>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</si>
  <si>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</si>
  <si>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</si>
  <si>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</si>
  <si>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</si>
  <si>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</si>
  <si>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</si>
  <si>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</si>
  <si>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</si>
  <si>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</si>
  <si>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</si>
  <si>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</si>
  <si>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</si>
  <si>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</si>
  <si>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</si>
  <si>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</si>
  <si>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</si>
  <si>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</si>
  <si>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</si>
  <si>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</si>
  <si>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</si>
  <si>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</si>
  <si>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</si>
  <si>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</si>
  <si>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</si>
  <si>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</si>
  <si>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</si>
  <si>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</si>
  <si>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</si>
  <si>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</si>
  <si>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</si>
  <si>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</si>
  <si>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</si>
  <si>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</si>
  <si>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</si>
  <si>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</si>
  <si>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</si>
  <si>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</si>
  <si>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</si>
  <si>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</si>
  <si>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</si>
  <si>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</si>
  <si>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</si>
  <si>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</si>
  <si>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</si>
  <si>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24/7 Mart </t>
  </si>
  <si>
    <t>Shop Bill Summary (24/7 Mart)</t>
  </si>
  <si>
    <t xml:space="preserve">Customer Name : 24/7 Mart </t>
  </si>
  <si>
    <t>7591263-6</t>
  </si>
  <si>
    <t>Address: Askari 10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</si>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</sst>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0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N7" sqref="N7:P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N7" sqref="N7:P7"/>
      <selection pane="topRight" activeCell="N7" sqref="N7:P7"/>
      <selection pane="bottomLeft" activeCell="N7" sqref="N7:P7"/>
      <selection pane="bottomRight" activeCell="N7" sqref="N7:P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14626.099695150002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24/7 Mart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</v>
      </c>
      <c r="I16" s="1">
        <f>(G16*D16)*F16+H16*F16</f>
        <v>52.462499999999999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4.1970000000000001</v>
      </c>
      <c r="M16" s="106">
        <f>I16-K16-L16</f>
        <v>48.265499999999996</v>
      </c>
      <c r="N16" s="101">
        <f>+'1'!N16+'2'!N16+'4'!N16+'3'!N16+'5'!N16+'6'!N16+'7'!N16+'8'!N16+'9'!N16+'10'!N16</f>
        <v>10.618409999999999</v>
      </c>
      <c r="O16" s="101">
        <f>+'1'!O16+'2'!O16+'4'!O16+'3'!O16+'5'!O16+'6'!O16+'7'!O16+'8'!O16+'9'!O16+'10'!O16</f>
        <v>0.29441954999999997</v>
      </c>
      <c r="P16" s="105">
        <f t="shared" ref="P16:P24" si="0">M16+N16+O16</f>
        <v>59.178329549999994</v>
      </c>
      <c r="Q16" s="108"/>
      <c r="T16" s="163" t="str">
        <f>+'4'!A5</f>
        <v xml:space="preserve">Customer Name : 24/7 Mart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424.7364</v>
      </c>
      <c r="O17" s="101">
        <f>+'1'!O17+'2'!O17+'4'!O17+'3'!O17+'5'!O17+'6'!O17+'7'!O17+'8'!O17+'9'!O17+'10'!O17</f>
        <v>11.776781999999999</v>
      </c>
      <c r="P17" s="120">
        <f t="shared" si="0"/>
        <v>2367.1331819999996</v>
      </c>
      <c r="S17" s="64"/>
      <c r="T17" s="163" t="str">
        <f>+'3'!A5</f>
        <v xml:space="preserve">Customer Name : 24/7 Mart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40</v>
      </c>
      <c r="I18" s="1">
        <f t="shared" si="1"/>
        <v>2098.5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167.88</v>
      </c>
      <c r="M18" s="118">
        <f t="shared" si="2"/>
        <v>1930.62</v>
      </c>
      <c r="N18" s="101">
        <f>+'1'!N18+'2'!N18+'4'!N18+'3'!N18+'5'!N18+'6'!N18+'7'!N18+'8'!N18+'9'!N18+'10'!N18</f>
        <v>424.7364</v>
      </c>
      <c r="O18" s="101">
        <f>+'1'!O18+'2'!O18+'4'!O18+'3'!O18+'5'!O18+'6'!O18+'7'!O18+'8'!O18+'9'!O18+'10'!O18</f>
        <v>11.776781999999999</v>
      </c>
      <c r="P18" s="120">
        <f t="shared" si="0"/>
        <v>2367.1331819999996</v>
      </c>
      <c r="T18" s="163" t="str">
        <f>+'5'!A5</f>
        <v xml:space="preserve">Customer Name : 24/7 Mart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588.09343999999999</v>
      </c>
      <c r="O19" s="101">
        <f>+'1'!O19+'2'!O19+'4'!O19+'3'!O19+'5'!O19+'6'!O19+'7'!O19+'8'!O19+'9'!O19+'10'!O19</f>
        <v>16.306227200000002</v>
      </c>
      <c r="P19" s="120">
        <f t="shared" si="0"/>
        <v>3277.5516672000003</v>
      </c>
      <c r="T19" s="163" t="str">
        <f>+'6'!A5</f>
        <v xml:space="preserve">Customer Name : 24/7 Mart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588.09343999999999</v>
      </c>
      <c r="O20" s="101">
        <f>+'1'!O20+'2'!O20+'4'!O20+'3'!O20+'5'!O20+'6'!O20+'7'!O20+'8'!O20+'9'!O20+'10'!O20</f>
        <v>16.306227200000002</v>
      </c>
      <c r="P20" s="120">
        <f t="shared" si="0"/>
        <v>3277.5516672000003</v>
      </c>
      <c r="T20" s="163" t="str">
        <f>+'7'!A5</f>
        <v xml:space="preserve">Customer Name : 24/7 Mart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588.09343999999999</v>
      </c>
      <c r="O21" s="101">
        <f>+'1'!O21+'2'!O21+'4'!O21+'3'!O21+'5'!O21+'6'!O21+'7'!O21+'8'!O21+'9'!O21+'10'!O21</f>
        <v>16.306227200000002</v>
      </c>
      <c r="P21" s="120">
        <f t="shared" si="0"/>
        <v>3277.5516672000003</v>
      </c>
      <c r="T21" s="163" t="str">
        <f>+'8'!A5</f>
        <v xml:space="preserve">Customer Name : 24/7 Mart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24/7 Mart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24/7 Mart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24/7 Mart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5.0250000000000004</v>
      </c>
      <c r="D25" s="205"/>
      <c r="E25" s="205"/>
      <c r="F25" s="205"/>
      <c r="G25" s="176">
        <f t="shared" ref="G25:M25" si="3">SUM(G16:G24)</f>
        <v>0</v>
      </c>
      <c r="H25" s="177">
        <f t="shared" si="3"/>
        <v>201</v>
      </c>
      <c r="I25" s="178">
        <f t="shared" si="3"/>
        <v>12966.262500000001</v>
      </c>
      <c r="J25" s="177">
        <f t="shared" si="3"/>
        <v>0</v>
      </c>
      <c r="K25" s="178">
        <f t="shared" si="3"/>
        <v>0</v>
      </c>
      <c r="L25" s="179">
        <f t="shared" si="3"/>
        <v>1037.3009999999999</v>
      </c>
      <c r="M25" s="141">
        <f t="shared" si="3"/>
        <v>11928.961499999999</v>
      </c>
      <c r="N25" s="142">
        <f>SUM(N16:N24)</f>
        <v>2624.3715300000003</v>
      </c>
      <c r="O25" s="143">
        <f>SUM(O16:O24)</f>
        <v>72.766665150000009</v>
      </c>
      <c r="P25" s="144">
        <f>SUM(P16:P24)</f>
        <v>14626.099695150002</v>
      </c>
      <c r="T25" s="163" t="str">
        <f>+'12'!A5</f>
        <v xml:space="preserve">Customer Name : 24/7 Mart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24/7 Mart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24/7 Mart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24/7 Mart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14626.099695150002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12966.262500000001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1037.3009999999999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11928.961500000001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2624.3715300000003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14553.333030000002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363.83332575000009</v>
      </c>
    </row>
    <row r="39" spans="2:16" ht="15.75" customHeight="1" thickBot="1" x14ac:dyDescent="0.4">
      <c r="N39" s="203" t="s">
        <v>92</v>
      </c>
      <c r="O39" s="204"/>
      <c r="P39" s="160">
        <f>P37+P38</f>
        <v>14917.166355750001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C1" workbookViewId="0">
      <selection activeCell="S13" sqref="S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R14" s="253" t="s">
        <v>107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R15">
        <f>H25/40</f>
        <v>5.0250000000000004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</v>
      </c>
      <c r="I16" s="102">
        <f>(G16*D16)*F16+H16*F16</f>
        <v>52.462499999999999</v>
      </c>
      <c r="J16" s="103"/>
      <c r="K16" s="104">
        <f>I16*$K$13</f>
        <v>0</v>
      </c>
      <c r="L16" s="105">
        <f>I16*8%</f>
        <v>4.1970000000000001</v>
      </c>
      <c r="M16" s="106">
        <f>I16-K16-L16</f>
        <v>48.265499999999996</v>
      </c>
      <c r="N16" s="106">
        <f t="shared" ref="N16:N24" si="0">(M16*$N$15)+(J16*F16)*$N$15</f>
        <v>10.618409999999999</v>
      </c>
      <c r="O16" s="107">
        <f t="shared" ref="O16:O24" si="1">(N16+M16)*$O$15</f>
        <v>0.29441954999999997</v>
      </c>
      <c r="P16" s="105">
        <f t="shared" ref="P16:P24" si="2">M16+N16+O16</f>
        <v>59.178329549999994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424.7364</v>
      </c>
      <c r="O17" s="119">
        <f t="shared" si="1"/>
        <v>11.776781999999999</v>
      </c>
      <c r="P17" s="120">
        <f t="shared" si="2"/>
        <v>2367.1331819999996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/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424.7364</v>
      </c>
      <c r="O18" s="119">
        <f t="shared" si="1"/>
        <v>11.776781999999999</v>
      </c>
      <c r="P18" s="120">
        <f t="shared" si="2"/>
        <v>2367.1331819999996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588.09343999999999</v>
      </c>
      <c r="O19" s="119">
        <f t="shared" si="1"/>
        <v>16.306227200000002</v>
      </c>
      <c r="P19" s="120">
        <f t="shared" si="2"/>
        <v>3277.5516672000003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588.09343999999999</v>
      </c>
      <c r="O20" s="119">
        <f t="shared" si="1"/>
        <v>16.306227200000002</v>
      </c>
      <c r="P20" s="120">
        <f t="shared" si="2"/>
        <v>3277.5516672000003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588.09343999999999</v>
      </c>
      <c r="O21" s="119">
        <f t="shared" si="1"/>
        <v>16.306227200000002</v>
      </c>
      <c r="P21" s="120">
        <f t="shared" si="2"/>
        <v>3277.5516672000003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201</v>
      </c>
      <c r="I25" s="137">
        <f t="shared" si="9"/>
        <v>12966.262500000001</v>
      </c>
      <c r="J25" s="138"/>
      <c r="K25" s="139">
        <f t="shared" si="9"/>
        <v>0</v>
      </c>
      <c r="L25" s="140">
        <f t="shared" si="9"/>
        <v>1037.3009999999999</v>
      </c>
      <c r="M25" s="141">
        <f t="shared" si="9"/>
        <v>11928.961499999999</v>
      </c>
      <c r="N25" s="142">
        <f>SUM(N16:N24)</f>
        <v>2624.3715300000003</v>
      </c>
      <c r="O25" s="143">
        <f>SUM(O16:O24)</f>
        <v>72.766665150000009</v>
      </c>
      <c r="P25" s="144">
        <f>SUM(P16:P24)</f>
        <v>14626.099695150002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12966.262500000001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1037.3009999999999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11928.961500000001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2624.3715300000003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14553.333030000002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72.766665150000009</v>
      </c>
    </row>
    <row r="35" spans="2:16" ht="15.75" customHeight="1" thickBot="1" x14ac:dyDescent="0.4">
      <c r="N35" s="203" t="s">
        <v>92</v>
      </c>
      <c r="O35" s="204"/>
      <c r="P35" s="160">
        <f>P33+P34</f>
        <v>14626.099695150002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N7" sqref="N7:P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2026-06-15T08:55:08Z</dcterms:modified>
</cp:coreProperties>
</file>