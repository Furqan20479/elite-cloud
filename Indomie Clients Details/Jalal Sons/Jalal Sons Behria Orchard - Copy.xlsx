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9771A28-F304-45CD-85D5-2884BCC353B4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C21" i="33"/>
  <c r="B21" i="33"/>
  <c r="F20" i="33"/>
  <c r="E20" i="33"/>
  <c r="D20" i="33"/>
  <c r="I20" i="33" s="1"/>
  <c r="L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L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L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L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L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L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L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7" i="33" l="1"/>
  <c r="L17" i="33"/>
  <c r="K18" i="33"/>
  <c r="L18" i="33"/>
  <c r="M18" i="33" s="1"/>
  <c r="I16" i="31"/>
  <c r="L16" i="31" s="1"/>
  <c r="I17" i="31"/>
  <c r="L17" i="31" s="1"/>
  <c r="I18" i="31"/>
  <c r="L18" i="31" s="1"/>
  <c r="I19" i="31"/>
  <c r="I20" i="31"/>
  <c r="L20" i="31" s="1"/>
  <c r="I21" i="31"/>
  <c r="L21" i="31" s="1"/>
  <c r="I22" i="31"/>
  <c r="I23" i="31"/>
  <c r="K23" i="31" s="1"/>
  <c r="I24" i="31"/>
  <c r="I23" i="32"/>
  <c r="I22" i="33"/>
  <c r="I16" i="34"/>
  <c r="I17" i="34"/>
  <c r="L17" i="34" s="1"/>
  <c r="I18" i="34"/>
  <c r="L18" i="34" s="1"/>
  <c r="I19" i="34"/>
  <c r="L19" i="34" s="1"/>
  <c r="I20" i="34"/>
  <c r="I21" i="34"/>
  <c r="L21" i="34" s="1"/>
  <c r="I22" i="34"/>
  <c r="I23" i="34"/>
  <c r="I24" i="34"/>
  <c r="L24" i="34" s="1"/>
  <c r="M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 s="1"/>
  <c r="K18" i="35"/>
  <c r="M18" i="35" s="1"/>
  <c r="K19" i="35"/>
  <c r="K20" i="35"/>
  <c r="K21" i="35"/>
  <c r="M21" i="35" s="1"/>
  <c r="K22" i="35"/>
  <c r="M22" i="35" s="1"/>
  <c r="L22" i="35"/>
  <c r="K23" i="35"/>
  <c r="L23" i="35"/>
  <c r="M23" i="35" s="1"/>
  <c r="K24" i="35"/>
  <c r="M24" i="35" s="1"/>
  <c r="L24" i="35"/>
  <c r="K17" i="34"/>
  <c r="K18" i="34"/>
  <c r="K19" i="34"/>
  <c r="K22" i="34"/>
  <c r="L22" i="34"/>
  <c r="K23" i="34"/>
  <c r="M23" i="34"/>
  <c r="L23" i="34"/>
  <c r="K24" i="34"/>
  <c r="K21" i="33"/>
  <c r="K22" i="33"/>
  <c r="L22" i="33"/>
  <c r="K23" i="33"/>
  <c r="K20" i="33"/>
  <c r="K24" i="33"/>
  <c r="M24" i="33" s="1"/>
  <c r="L24" i="33"/>
  <c r="M17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M17" i="31"/>
  <c r="K21" i="31"/>
  <c r="K22" i="31"/>
  <c r="L22" i="31"/>
  <c r="K24" i="31"/>
  <c r="L24" i="31"/>
  <c r="M24" i="31" s="1"/>
  <c r="K16" i="31"/>
  <c r="K18" i="31"/>
  <c r="K20" i="31"/>
  <c r="L23" i="31"/>
  <c r="K18" i="30"/>
  <c r="K20" i="30"/>
  <c r="K21" i="30"/>
  <c r="M21" i="30" s="1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2" i="29"/>
  <c r="L22" i="29"/>
  <c r="K18" i="29"/>
  <c r="K23" i="29"/>
  <c r="I25" i="28"/>
  <c r="P28" i="28" s="1"/>
  <c r="K16" i="28"/>
  <c r="K17" i="28"/>
  <c r="M17" i="28" s="1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0" i="29" l="1"/>
  <c r="M20" i="29" s="1"/>
  <c r="N20" i="29" s="1"/>
  <c r="O20" i="29" s="1"/>
  <c r="K19" i="33"/>
  <c r="M22" i="33"/>
  <c r="N22" i="33" s="1"/>
  <c r="O22" i="33" s="1"/>
  <c r="K21" i="34"/>
  <c r="M21" i="34" s="1"/>
  <c r="N21" i="34" s="1"/>
  <c r="O21" i="34" s="1"/>
  <c r="K19" i="29"/>
  <c r="L19" i="29"/>
  <c r="K20" i="34"/>
  <c r="L20" i="34"/>
  <c r="L25" i="34" s="1"/>
  <c r="P29" i="34" s="1"/>
  <c r="I25" i="34"/>
  <c r="P28" i="34" s="1"/>
  <c r="L16" i="34"/>
  <c r="K19" i="31"/>
  <c r="K25" i="31" s="1"/>
  <c r="P30" i="31" s="1"/>
  <c r="L19" i="31"/>
  <c r="M19" i="31" s="1"/>
  <c r="N19" i="31" s="1"/>
  <c r="O19" i="31" s="1"/>
  <c r="M22" i="29"/>
  <c r="M22" i="31"/>
  <c r="M23" i="33"/>
  <c r="I16" i="26"/>
  <c r="L16" i="26" s="1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N21" i="29" s="1"/>
  <c r="O21" i="29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4" i="29"/>
  <c r="O24" i="29" s="1"/>
  <c r="P24" i="29" s="1"/>
  <c r="L25" i="29"/>
  <c r="P29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K16" i="27"/>
  <c r="K17" i="27"/>
  <c r="K20" i="27"/>
  <c r="K22" i="27"/>
  <c r="L22" i="27"/>
  <c r="K23" i="27"/>
  <c r="L23" i="27"/>
  <c r="K24" i="27"/>
  <c r="L24" i="27"/>
  <c r="K19" i="27"/>
  <c r="K18" i="27"/>
  <c r="K17" i="26"/>
  <c r="L22" i="26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M20" i="34" l="1"/>
  <c r="N20" i="34" s="1"/>
  <c r="O20" i="34" s="1"/>
  <c r="M19" i="29"/>
  <c r="N19" i="29" s="1"/>
  <c r="O19" i="29" s="1"/>
  <c r="K25" i="34"/>
  <c r="P30" i="34" s="1"/>
  <c r="K21" i="26"/>
  <c r="M21" i="26" s="1"/>
  <c r="N21" i="26" s="1"/>
  <c r="O21" i="26" s="1"/>
  <c r="K21" i="27"/>
  <c r="K25" i="27" s="1"/>
  <c r="P30" i="27" s="1"/>
  <c r="I25" i="27"/>
  <c r="P28" i="27" s="1"/>
  <c r="K25" i="29"/>
  <c r="P30" i="29" s="1"/>
  <c r="P31" i="29" s="1"/>
  <c r="L25" i="31"/>
  <c r="P29" i="31" s="1"/>
  <c r="P31" i="31" s="1"/>
  <c r="K18" i="26"/>
  <c r="L18" i="26"/>
  <c r="L25" i="26" s="1"/>
  <c r="P29" i="26" s="1"/>
  <c r="K16" i="26"/>
  <c r="K20" i="26"/>
  <c r="M20" i="26" s="1"/>
  <c r="N20" i="26" s="1"/>
  <c r="O20" i="26" s="1"/>
  <c r="K19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31" i="34"/>
  <c r="P18" i="31"/>
  <c r="P31" i="35"/>
  <c r="P21" i="30"/>
  <c r="M25" i="30"/>
  <c r="P3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N17" i="26"/>
  <c r="O17" i="26" s="1"/>
  <c r="P17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5" i="26" l="1"/>
  <c r="P30" i="26" s="1"/>
  <c r="P33" i="32"/>
  <c r="P34" i="32" s="1"/>
  <c r="P35" i="32" s="1"/>
  <c r="I16" i="25"/>
  <c r="L16" i="25" s="1"/>
  <c r="I17" i="25"/>
  <c r="L17" i="25" s="1"/>
  <c r="I18" i="25"/>
  <c r="L18" i="25" s="1"/>
  <c r="I19" i="25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18" i="25"/>
  <c r="K20" i="25"/>
  <c r="K16" i="25"/>
  <c r="K24" i="25"/>
  <c r="L22" i="25"/>
  <c r="L23" i="25"/>
  <c r="K23" i="25"/>
  <c r="K17" i="24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2" i="19"/>
  <c r="L22" i="19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5" l="1"/>
  <c r="K21" i="18"/>
  <c r="K18" i="19"/>
  <c r="K21" i="19"/>
  <c r="M21" i="19" s="1"/>
  <c r="K18" i="17"/>
  <c r="L18" i="17"/>
  <c r="K21" i="21"/>
  <c r="L21" i="21"/>
  <c r="K21" i="23"/>
  <c r="L21" i="23"/>
  <c r="I25" i="25"/>
  <c r="P28" i="25" s="1"/>
  <c r="L19" i="25"/>
  <c r="L25" i="25" s="1"/>
  <c r="P29" i="25" s="1"/>
  <c r="K19" i="18"/>
  <c r="L19" i="18"/>
  <c r="L25" i="18" s="1"/>
  <c r="P29" i="18" s="1"/>
  <c r="K17" i="17"/>
  <c r="L17" i="17"/>
  <c r="M17" i="17" s="1"/>
  <c r="N17" i="17" s="1"/>
  <c r="O17" i="17" s="1"/>
  <c r="K20" i="21"/>
  <c r="L20" i="21"/>
  <c r="K19" i="23"/>
  <c r="L19" i="23"/>
  <c r="M19" i="23" s="1"/>
  <c r="N19" i="23" s="1"/>
  <c r="O19" i="23" s="1"/>
  <c r="K19" i="21"/>
  <c r="L19" i="21"/>
  <c r="K18" i="24"/>
  <c r="L18" i="24"/>
  <c r="M18" i="24" s="1"/>
  <c r="N18" i="24" s="1"/>
  <c r="O18" i="24" s="1"/>
  <c r="K19" i="20"/>
  <c r="L19" i="20"/>
  <c r="K20" i="17"/>
  <c r="L20" i="17"/>
  <c r="K16" i="17"/>
  <c r="L16" i="17"/>
  <c r="K18" i="21"/>
  <c r="L18" i="21"/>
  <c r="K17" i="20"/>
  <c r="L17" i="20"/>
  <c r="K19" i="17"/>
  <c r="L19" i="17"/>
  <c r="M19" i="17" s="1"/>
  <c r="N19" i="17" s="1"/>
  <c r="O19" i="17" s="1"/>
  <c r="P19" i="17" s="1"/>
  <c r="K18" i="20"/>
  <c r="L18" i="20"/>
  <c r="K20" i="24"/>
  <c r="L20" i="24"/>
  <c r="K23" i="19"/>
  <c r="M23" i="19" s="1"/>
  <c r="N23" i="19" s="1"/>
  <c r="O23" i="19" s="1"/>
  <c r="K19" i="19"/>
  <c r="L23" i="22"/>
  <c r="L25" i="22" s="1"/>
  <c r="P29" i="22" s="1"/>
  <c r="K19" i="25"/>
  <c r="M19" i="25" s="1"/>
  <c r="N19" i="25" s="1"/>
  <c r="O1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K16" i="23"/>
  <c r="M16" i="23" s="1"/>
  <c r="N16" i="23" s="1"/>
  <c r="L24" i="24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M16" i="22"/>
  <c r="M17" i="19"/>
  <c r="N17" i="19" s="1"/>
  <c r="O17" i="19" s="1"/>
  <c r="N24" i="19"/>
  <c r="O24" i="19" s="1"/>
  <c r="L25" i="19"/>
  <c r="P29" i="19" s="1"/>
  <c r="N24" i="18"/>
  <c r="O24" i="18" s="1"/>
  <c r="N22" i="18"/>
  <c r="O22" i="18" s="1"/>
  <c r="M16" i="17"/>
  <c r="I23" i="15"/>
  <c r="M18" i="21" l="1"/>
  <c r="N18" i="21" s="1"/>
  <c r="O18" i="21" s="1"/>
  <c r="K25" i="19"/>
  <c r="P30" i="19" s="1"/>
  <c r="M19" i="20"/>
  <c r="N19" i="20" s="1"/>
  <c r="O19" i="20" s="1"/>
  <c r="M20" i="24"/>
  <c r="N20" i="24" s="1"/>
  <c r="O20" i="24" s="1"/>
  <c r="M20" i="17"/>
  <c r="N20" i="17" s="1"/>
  <c r="O20" i="17" s="1"/>
  <c r="K25" i="24"/>
  <c r="P30" i="24" s="1"/>
  <c r="M21" i="21"/>
  <c r="N21" i="21" s="1"/>
  <c r="N25" i="21" s="1"/>
  <c r="P32" i="21" s="1"/>
  <c r="K25" i="25"/>
  <c r="P30" i="25" s="1"/>
  <c r="P31" i="25" s="1"/>
  <c r="K18" i="16"/>
  <c r="K18" i="15" s="1"/>
  <c r="L18" i="16"/>
  <c r="L21" i="16"/>
  <c r="L21" i="15" s="1"/>
  <c r="K20" i="16"/>
  <c r="K20" i="15" s="1"/>
  <c r="L20" i="16"/>
  <c r="L20" i="15" s="1"/>
  <c r="K16" i="16"/>
  <c r="L16" i="16"/>
  <c r="K22" i="15"/>
  <c r="M19" i="18"/>
  <c r="N19" i="18" s="1"/>
  <c r="O19" i="18" s="1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M16" i="16"/>
  <c r="N16" i="16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4" i="17"/>
  <c r="P18" i="17"/>
  <c r="P22" i="17"/>
  <c r="P20" i="24" l="1"/>
  <c r="O21" i="21"/>
  <c r="P21" i="21" s="1"/>
  <c r="P20" i="17"/>
  <c r="N25" i="24"/>
  <c r="P32" i="24" s="1"/>
  <c r="P33" i="24" s="1"/>
  <c r="P34" i="24" s="1"/>
  <c r="P35" i="24" s="1"/>
  <c r="U22" i="15" s="1"/>
  <c r="M25" i="21"/>
  <c r="M18" i="15"/>
  <c r="M25" i="18"/>
  <c r="M21" i="15"/>
  <c r="M16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18" i="15" s="1"/>
  <c r="N22" i="15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<sst xmlns="http://schemas.openxmlformats.org/spreadsheetml/2006/main" count="1599" uniqueCount="109">
  <si>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</si>
  <si>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</si>
  <si>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</si>
  <si>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</si>
  <si>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</si>
  <si>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</si>
  <si>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</si>
  <si>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</si>
  <si>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</si>
  <si>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</si>
  <si>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</si>
  <si>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</si>
  <si>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</si>
  <si>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</si>
  <si>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</si>
  <si>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</si>
  <si>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</si>
  <si>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</si>
  <si>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</si>
  <si>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</si>
  <si>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</si>
  <si>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</si>
  <si>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</si>
  <si>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</si>
  <si>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</si>
  <si>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</si>
  <si>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</si>
  <si>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</si>
  <si>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</si>
  <si>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</si>
  <si>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</si>
  <si>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</si>
  <si>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</si>
  <si>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</si>
  <si>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</si>
  <si>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</si>
  <si>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</si>
  <si>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</si>
  <si>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</si>
  <si>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</si>
  <si>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</si>
  <si>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</si>
  <si>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</si>
  <si>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</si>
  <si>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</si>
  <si>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</si>
  <si>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</si>
  <si>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</si>
  <si>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</si>
  <si>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</si>
  <si>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</si>
  <si>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</si>
  <si>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</si>
  <si>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</si>
  <si>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</si>
  <si>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</si>
  <si>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</si>
  <si>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</si>
  <si>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</si>
  <si>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</si>
  <si>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</si>
  <si>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</si>
  <si>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</si>
  <si>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</si>
  <si>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</si>
  <si>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</si>
  <si>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</si>
  <si>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</si>
  <si>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</si>
  <si>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</si>
  <si>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</si>
  <si>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</si>
  <si>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</si>
  <si>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</si>
  <si>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</si>
  <si>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</si>
  <si>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</si>
  <si>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</si>
  <si>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</si>
  <si>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</si>
  <si>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</si>
  <si>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</si>
  <si>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</si>
  <si>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</si>
  <si>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</si>
  <si>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</si>
  <si>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</si>
  <si>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</si>
  <si>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</si>
  <si>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</si>
  <si>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</si>
  <si>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</si>
  <si>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</si>
  <si>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</si>
  <si>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</si>
  <si>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</si>
  <si>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</si>
  <si>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</si>
  <si>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</si>
  <si>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</si>
  <si>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</si>
  <si>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</si>
  <si>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(Jalal Sons)</t>
  </si>
  <si>
    <t xml:space="preserve">Customer Name : Jalal Sons </t>
  </si>
  <si>
    <t>Address: DHA phase 5</t>
  </si>
  <si>
    <t>7278831-0</t>
  </si>
  <si>
    <t>Address: Behria Orchard</t>
  </si>
  <si>
    <t>Customer Name : Jalal Sons (Bahira Orchard)</t>
  </si>
  <si>
    <t>Jalal Sons (Bahira Orchard)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</si>
</sst>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2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9" fontId="13" fillId="0" borderId="45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15" sqref="L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15" sqref="L15"/>
      <selection pane="topRight" activeCell="L15" sqref="L15"/>
      <selection pane="bottomLeft" activeCell="L15" sqref="L15"/>
      <selection pane="bottomRight" activeCell="L15" sqref="L1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1"/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</row>
    <row r="4" spans="1:29" x14ac:dyDescent="0.35">
      <c r="A4" s="183" t="s">
        <v>6</v>
      </c>
      <c r="B4" s="5" t="s">
        <v>7</v>
      </c>
      <c r="C4" s="5"/>
      <c r="D4" s="185" t="s">
        <v>8</v>
      </c>
      <c r="E4" s="187" t="s">
        <v>9</v>
      </c>
      <c r="F4" s="189" t="s">
        <v>3</v>
      </c>
      <c r="G4" s="189"/>
      <c r="H4" s="190" t="s">
        <v>10</v>
      </c>
      <c r="I4" s="190"/>
      <c r="J4" s="191" t="s">
        <v>11</v>
      </c>
      <c r="K4" s="192"/>
      <c r="L4" s="191" t="s">
        <v>12</v>
      </c>
      <c r="M4" s="192"/>
      <c r="N4" s="193" t="s">
        <v>13</v>
      </c>
      <c r="O4" s="193"/>
      <c r="P4" s="191" t="s">
        <v>4</v>
      </c>
      <c r="Q4" s="192"/>
      <c r="R4" s="191" t="s">
        <v>14</v>
      </c>
      <c r="S4" s="192"/>
      <c r="T4" s="194" t="s">
        <v>15</v>
      </c>
      <c r="U4" s="194"/>
      <c r="V4" s="195" t="s">
        <v>16</v>
      </c>
      <c r="W4" s="196"/>
      <c r="X4" s="195" t="s">
        <v>17</v>
      </c>
      <c r="Y4" s="196"/>
    </row>
    <row r="5" spans="1:29" ht="26.25" customHeight="1" thickBot="1" x14ac:dyDescent="0.4">
      <c r="A5" s="184"/>
      <c r="B5" s="7" t="s">
        <v>18</v>
      </c>
      <c r="C5" s="7" t="s">
        <v>8</v>
      </c>
      <c r="D5" s="186"/>
      <c r="E5" s="188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1" zoomScale="70" zoomScaleNormal="70" workbookViewId="0">
      <selection activeCell="S26" sqref="S26"/>
    </sheetView>
  </sheetViews>
  <sheetFormatPr defaultColWidth="29.7265625" defaultRowHeight="14.5" x14ac:dyDescent="0.35"/>
  <cols>
    <col min="1" max="1" width="9.453125" customWidth="1"/>
    <col min="2" max="2" width="23.81640625" bestFit="1" customWidth="1"/>
    <col min="3" max="3" width="11.36328125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7" t="s">
        <v>45</v>
      </c>
      <c r="B2" s="197"/>
      <c r="C2" s="197"/>
    </row>
    <row r="3" spans="1:21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46197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21 16383:16384" x14ac:dyDescent="0.35">
      <c r="A5" s="202" t="s">
        <v>108</v>
      </c>
      <c r="B5" s="202"/>
      <c r="C5" s="202"/>
      <c r="F5" s="70"/>
      <c r="G5" s="71"/>
      <c r="K5" s="199" t="s">
        <v>51</v>
      </c>
      <c r="L5" s="199"/>
      <c r="M5" s="199"/>
      <c r="N5" s="200">
        <f ca="1">N4-1</f>
        <v>46196</v>
      </c>
      <c r="O5" s="198"/>
      <c r="P5" s="198"/>
      <c r="R5" s="70"/>
      <c r="S5" s="71"/>
    </row>
    <row r="6" spans="1:21 16383:16384" x14ac:dyDescent="0.35">
      <c r="A6" s="202"/>
      <c r="B6" s="202"/>
      <c r="C6" s="202"/>
      <c r="F6" s="70"/>
      <c r="G6" s="74"/>
      <c r="K6" s="199" t="s">
        <v>52</v>
      </c>
      <c r="L6" s="199"/>
      <c r="M6" s="199"/>
      <c r="N6" s="201" t="s">
        <v>42</v>
      </c>
      <c r="O6" s="201"/>
      <c r="P6" s="20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21 16383:16384" ht="16.5" customHeight="1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21 16383:16384" x14ac:dyDescent="0.35">
      <c r="A10" s="204"/>
      <c r="B10" s="75"/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21 16383:16384" ht="15" thickBot="1" x14ac:dyDescent="0.4">
      <c r="A11" s="204"/>
      <c r="B11" s="76"/>
      <c r="C11" s="77"/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21 16383:16384" ht="14.65" customHeight="1" x14ac:dyDescent="0.35">
      <c r="A12" s="204"/>
      <c r="B12" s="76"/>
      <c r="C12" s="77"/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T12" s="213" t="s">
        <v>102</v>
      </c>
      <c r="U12" s="214"/>
      <c r="XFD12" t="s">
        <v>62</v>
      </c>
    </row>
    <row r="13" spans="1:21 16383:16384" ht="15" thickBot="1" x14ac:dyDescent="0.4">
      <c r="A13" s="241"/>
      <c r="J13" s="78"/>
      <c r="K13" s="78"/>
      <c r="L13" s="79">
        <v>0.05</v>
      </c>
      <c r="T13" s="215"/>
      <c r="U13" s="216"/>
      <c r="XFD13" t="s">
        <v>63</v>
      </c>
    </row>
    <row r="14" spans="1:21 16383:16384" ht="29.25" customHeight="1" x14ac:dyDescent="0.6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07" t="s">
        <v>68</v>
      </c>
      <c r="H14" s="208"/>
      <c r="I14" s="208" t="s">
        <v>69</v>
      </c>
      <c r="J14" s="208" t="s">
        <v>70</v>
      </c>
      <c r="K14" s="208"/>
      <c r="L14" s="210"/>
      <c r="M14" s="211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Jalal Sons (Bahira Orchard)</v>
      </c>
      <c r="U14" s="163">
        <f>+'1'!P35</f>
        <v>8786.6651519999978</v>
      </c>
      <c r="XFD14" t="s">
        <v>75</v>
      </c>
    </row>
    <row r="15" spans="1:21 16383:16384" ht="29.25" customHeight="1" thickBot="1" x14ac:dyDescent="0.65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09"/>
      <c r="J15" s="169" t="s">
        <v>78</v>
      </c>
      <c r="K15" s="169" t="s">
        <v>79</v>
      </c>
      <c r="L15" s="172" t="s">
        <v>80</v>
      </c>
      <c r="M15" s="21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Jalal Sons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8">
        <f>VLOOKUP(A16,'[1]Cust. Price List'!D6:M14,10,0)</f>
        <v>52.462499999999999</v>
      </c>
      <c r="G16" s="113"/>
      <c r="H16" s="170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0">
        <f>+'1'!J16+'2'!J16+'4'!J16+'3'!J16+'5'!J16+'6'!J16+'7'!J16+'8'!J16+'9'!J16+'10'!J16+'11'!J16+'12'!J16+'13'!J16+'14'!J16+'15'!J16+'16'!J16+'17'!J16+'18'!J16</f>
        <v>0</v>
      </c>
      <c r="K16" s="170">
        <f>+'1'!K16+'2'!K16+'4'!K16+'3'!K16+'5'!K16+'6'!K16+'7'!K16+'8'!K16+'9'!K16+'10'!K16</f>
        <v>0</v>
      </c>
      <c r="L16" s="173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 xml:space="preserve">Customer Name : Jalal Sons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0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0">
        <f>+'1'!J17+'2'!J17+'4'!J17+'3'!J17+'5'!J17+'6'!J17+'7'!J17+'8'!J17+'9'!J17+'10'!J17+'11'!J17+'12'!J17+'13'!J17+'14'!J17+'15'!J17+'16'!J17+'17'!J17+'18'!J17</f>
        <v>0</v>
      </c>
      <c r="K17" s="170">
        <f>+'1'!K17+'2'!K17+'4'!K17+'3'!K17+'5'!K17+'6'!K17+'7'!K17+'8'!K17+'9'!K17+'10'!K17</f>
        <v>0</v>
      </c>
      <c r="L17" s="173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 xml:space="preserve">Customer Name : Jalal Sons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0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Jalal Sons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0">
        <f>+'1'!H19+'2'!H19+'4'!H19+'3'!H19+'5'!H19+'6'!H19+'7'!H19+'8'!H19+'9'!H19+'10'!H19+'11'!H19+'12'!H19+'13'!H19+'14'!H19+'15'!H19+'16'!H19</f>
        <v>40</v>
      </c>
      <c r="I19" s="1">
        <f t="shared" si="1"/>
        <v>2905.6</v>
      </c>
      <c r="J19" s="170">
        <f>+'1'!J19+'2'!J19+'4'!J19+'3'!J19+'5'!J19+'6'!J19+'7'!J19+'8'!J19+'9'!J19+'10'!J19+'11'!J19+'12'!J19+'13'!J19+'14'!J19+'15'!J19+'16'!J19+'17'!J19+'18'!J19</f>
        <v>0</v>
      </c>
      <c r="K19" s="170">
        <f>+'1'!K19+'2'!K19+'4'!K19+'3'!K19+'5'!K19+'6'!K19+'7'!K19+'8'!K19+'9'!K19+'10'!K19</f>
        <v>0</v>
      </c>
      <c r="L19" s="173">
        <f>+'1'!L19+'2'!L19+'4'!L19+'3'!L19+'5'!L19+'6'!L19+'7'!L19+'8'!L19+'9'!L19+'10'!L19</f>
        <v>435.84</v>
      </c>
      <c r="M19" s="117">
        <f t="shared" si="2"/>
        <v>2469.7599999999998</v>
      </c>
      <c r="N19" s="100">
        <f>+'1'!N19+'2'!N19+'4'!N19+'3'!N19+'5'!N19+'6'!N19+'7'!N19+'8'!N19+'9'!N19+'10'!N19</f>
        <v>444.55679999999995</v>
      </c>
      <c r="O19" s="100">
        <f>+'1'!O19+'2'!O19+'4'!O19+'3'!O19+'5'!O19+'6'!O19+'7'!O19+'8'!O19+'9'!O19+'10'!O19</f>
        <v>14.571583999999998</v>
      </c>
      <c r="P19" s="119">
        <f t="shared" si="0"/>
        <v>2928.8883839999994</v>
      </c>
      <c r="T19" s="162" t="str">
        <f>+'6'!A5</f>
        <v xml:space="preserve">Customer Name : Jalal Sons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0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0">
        <f>+'1'!J20+'2'!J20+'4'!J20+'3'!J20+'5'!J20+'6'!J20+'7'!J20+'8'!J20+'9'!J20+'10'!J20+'11'!J20+'12'!J20+'13'!J20+'14'!J20+'15'!J20+'16'!J20+'17'!J20+'18'!J20</f>
        <v>0</v>
      </c>
      <c r="K20" s="170">
        <f>+'1'!K20+'2'!K20+'4'!K20+'3'!K20+'5'!K20+'6'!K20+'7'!K20+'8'!K20+'9'!K20+'10'!K20</f>
        <v>0</v>
      </c>
      <c r="L20" s="173">
        <f>+'1'!L20+'2'!L20+'4'!L20+'3'!L20+'5'!L20+'6'!L20+'7'!L20+'8'!L20+'9'!L20+'10'!L20</f>
        <v>435.84</v>
      </c>
      <c r="M20" s="117">
        <f t="shared" si="2"/>
        <v>2469.7599999999998</v>
      </c>
      <c r="N20" s="100">
        <f>+'1'!N20+'2'!N20+'4'!N20+'3'!N20+'5'!N20+'6'!N20+'7'!N20+'8'!N20+'9'!N20+'10'!N20</f>
        <v>444.55679999999995</v>
      </c>
      <c r="O20" s="100">
        <f>+'1'!O20+'2'!O20+'4'!O20+'3'!O20+'5'!O20+'6'!O20+'7'!O20+'8'!O20+'9'!O20+'10'!O20</f>
        <v>14.571583999999998</v>
      </c>
      <c r="P20" s="119">
        <f t="shared" si="0"/>
        <v>2928.8883839999994</v>
      </c>
      <c r="T20" s="162" t="str">
        <f>+'7'!A5</f>
        <v xml:space="preserve">Customer Name : Jalal Sons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0">
        <f>+'1'!H21+'2'!H21+'4'!H21+'3'!H21+'5'!H21+'6'!H21+'7'!H21+'8'!H21+'9'!H21+'10'!H21+'11'!H21+'12'!H21+'13'!H21+'14'!H21+'15'!H21+'16'!H21</f>
        <v>40</v>
      </c>
      <c r="I21" s="1">
        <f t="shared" si="1"/>
        <v>2905.6</v>
      </c>
      <c r="J21" s="170">
        <f>+'1'!J21+'2'!J21+'4'!J21+'3'!J21+'5'!J21+'6'!J21+'7'!J21+'8'!J21+'9'!J21+'10'!J21+'11'!J21+'12'!J21+'13'!J21+'14'!J21+'15'!J21+'16'!J21+'17'!J21+'18'!J21</f>
        <v>0</v>
      </c>
      <c r="K21" s="170">
        <f>+'1'!K21+'2'!K21+'4'!K21+'3'!K21+'5'!K21+'6'!K21+'7'!K21+'8'!K21+'9'!K21+'10'!K21</f>
        <v>0</v>
      </c>
      <c r="L21" s="173">
        <f>+'1'!L21+'2'!L21+'4'!L21+'3'!L21+'5'!L21+'6'!L21+'7'!L21+'8'!L21+'9'!L21+'10'!L21</f>
        <v>435.84</v>
      </c>
      <c r="M21" s="117">
        <f t="shared" si="2"/>
        <v>2469.7599999999998</v>
      </c>
      <c r="N21" s="100">
        <f>+'1'!N21+'2'!N21+'4'!N21+'3'!N21+'5'!N21+'6'!N21+'7'!N21+'8'!N21+'9'!N21+'10'!N21</f>
        <v>444.55679999999995</v>
      </c>
      <c r="O21" s="100">
        <f>+'1'!O21+'2'!O21+'4'!O21+'3'!O21+'5'!O21+'6'!O21+'7'!O21+'8'!O21+'9'!O21+'10'!O21</f>
        <v>14.571583999999998</v>
      </c>
      <c r="P21" s="119">
        <f t="shared" si="0"/>
        <v>2928.8883839999994</v>
      </c>
      <c r="T21" s="162" t="str">
        <f>+'8'!A5</f>
        <v xml:space="preserve">Customer Name : Jalal Sons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0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0">
        <f>+'1'!J22+'2'!J22+'4'!J22+'3'!J22+'5'!J22+'6'!J22+'7'!J22+'8'!J22+'9'!J22+'10'!J22+'11'!J22+'12'!J22+'13'!J22+'14'!J22+'15'!J22+'16'!J22+'17'!J22+'18'!J22</f>
        <v>0</v>
      </c>
      <c r="K22" s="170">
        <f>+'1'!K22+'2'!K22+'4'!K22+'3'!K22+'5'!K22+'6'!K22+'7'!K22+'8'!K22+'9'!K22+'10'!K22</f>
        <v>0</v>
      </c>
      <c r="L22" s="173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Jalal Sons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0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Jalal Sons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0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Jalal Sons </v>
      </c>
      <c r="U24" s="163">
        <f>+'11'!P35</f>
        <v>0</v>
      </c>
    </row>
    <row r="25" spans="1:21 16384:16384" ht="26.5" thickBot="1" x14ac:dyDescent="0.65">
      <c r="A25" s="223" t="s">
        <v>84</v>
      </c>
      <c r="B25" s="224"/>
      <c r="C25" s="225">
        <f>H25/40</f>
        <v>3</v>
      </c>
      <c r="D25" s="219"/>
      <c r="E25" s="219"/>
      <c r="F25" s="219"/>
      <c r="G25" s="174">
        <f t="shared" ref="G25:M25" si="3">SUM(G16:G24)</f>
        <v>0</v>
      </c>
      <c r="H25" s="175">
        <f t="shared" si="3"/>
        <v>120</v>
      </c>
      <c r="I25" s="176">
        <f t="shared" si="3"/>
        <v>8716.7999999999993</v>
      </c>
      <c r="J25" s="175">
        <f t="shared" si="3"/>
        <v>0</v>
      </c>
      <c r="K25" s="176">
        <f t="shared" si="3"/>
        <v>0</v>
      </c>
      <c r="L25" s="177">
        <f t="shared" si="3"/>
        <v>1307.52</v>
      </c>
      <c r="M25" s="140">
        <f t="shared" si="3"/>
        <v>7409.2799999999988</v>
      </c>
      <c r="N25" s="141">
        <f>SUM(N16:N24)</f>
        <v>1333.6704</v>
      </c>
      <c r="O25" s="142">
        <f>SUM(O16:O24)</f>
        <v>43.71475199999999</v>
      </c>
      <c r="P25" s="143">
        <f>SUM(P16:P24)</f>
        <v>8786.6651519999978</v>
      </c>
      <c r="T25" s="162" t="str">
        <f>+'12'!A5</f>
        <v xml:space="preserve">Customer Name : Jalal Sons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Jalal Sons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Jalal Sons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Jalal Sons </v>
      </c>
      <c r="U28" s="180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79"/>
      <c r="U29" s="180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8786.6651519999978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26" t="s">
        <v>85</v>
      </c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N32" s="235" t="s">
        <v>86</v>
      </c>
      <c r="O32" s="236"/>
      <c r="P32" s="151">
        <f>I25</f>
        <v>8716.7999999999993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N33" s="237" t="s">
        <v>87</v>
      </c>
      <c r="O33" s="238"/>
      <c r="P33" s="152">
        <f>L25</f>
        <v>1307.52</v>
      </c>
    </row>
    <row r="34" spans="2:16" ht="15" customHeight="1" x14ac:dyDescent="0.35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N34" s="237" t="s">
        <v>4</v>
      </c>
      <c r="O34" s="238"/>
      <c r="P34" s="153">
        <f>K25</f>
        <v>0</v>
      </c>
    </row>
    <row r="35" spans="2:16" ht="15" customHeight="1" x14ac:dyDescent="0.35">
      <c r="B35" s="229"/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M35" s="2"/>
      <c r="N35" s="237" t="s">
        <v>88</v>
      </c>
      <c r="O35" s="238"/>
      <c r="P35" s="152">
        <f>P32-P33-P34</f>
        <v>7409.2799999999988</v>
      </c>
    </row>
    <row r="36" spans="2:16" ht="15" customHeight="1" x14ac:dyDescent="0.35">
      <c r="B36" s="229"/>
      <c r="C36" s="230"/>
      <c r="D36" s="230"/>
      <c r="E36" s="230"/>
      <c r="F36" s="230"/>
      <c r="G36" s="230"/>
      <c r="H36" s="230"/>
      <c r="I36" s="230"/>
      <c r="J36" s="230"/>
      <c r="K36" s="230"/>
      <c r="L36" s="231"/>
      <c r="M36" s="2"/>
      <c r="N36" s="154" t="s">
        <v>89</v>
      </c>
      <c r="O36" s="155">
        <f>IF(B12="Registered",18%,22%)</f>
        <v>0.22</v>
      </c>
      <c r="P36" s="152">
        <f>N25</f>
        <v>1333.6704</v>
      </c>
    </row>
    <row r="37" spans="2:16" ht="15" customHeight="1" x14ac:dyDescent="0.35">
      <c r="B37" s="229"/>
      <c r="C37" s="230"/>
      <c r="D37" s="230"/>
      <c r="E37" s="230"/>
      <c r="F37" s="230"/>
      <c r="G37" s="230"/>
      <c r="H37" s="230"/>
      <c r="I37" s="230"/>
      <c r="J37" s="230"/>
      <c r="K37" s="230"/>
      <c r="L37" s="231"/>
      <c r="M37" s="2"/>
      <c r="N37" s="239" t="s">
        <v>90</v>
      </c>
      <c r="O37" s="240"/>
      <c r="P37" s="152">
        <f>P35+P36</f>
        <v>8742.9503999999979</v>
      </c>
    </row>
    <row r="38" spans="2:16" ht="15" customHeight="1" thickBot="1" x14ac:dyDescent="0.4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156"/>
      <c r="N38" s="157" t="s">
        <v>91</v>
      </c>
      <c r="O38" s="158">
        <f>IF(B11="Filer",0.5%,2.5%)</f>
        <v>2.5000000000000001E-2</v>
      </c>
      <c r="P38" s="152">
        <f>O38*P37</f>
        <v>218.57375999999996</v>
      </c>
    </row>
    <row r="39" spans="2:16" ht="15.75" customHeight="1" thickBot="1" x14ac:dyDescent="0.4">
      <c r="N39" s="217" t="s">
        <v>92</v>
      </c>
      <c r="O39" s="218"/>
      <c r="P39" s="159">
        <f>P37+P38</f>
        <v>8961.5241599999972</v>
      </c>
    </row>
    <row r="40" spans="2:16" ht="15" thickBot="1" x14ac:dyDescent="0.4">
      <c r="B40" s="160" t="s">
        <v>93</v>
      </c>
      <c r="C40" s="219"/>
      <c r="D40" s="219"/>
      <c r="E40" s="219"/>
      <c r="F40" s="219"/>
      <c r="G40" s="219"/>
      <c r="H40" s="219"/>
      <c r="I40" s="220"/>
      <c r="J40" s="221"/>
      <c r="K40" s="222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46197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107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46196</v>
      </c>
      <c r="O5" s="198"/>
      <c r="P5" s="198"/>
      <c r="R5" s="70"/>
      <c r="S5" s="71"/>
    </row>
    <row r="6" spans="1:19 16383:16384" ht="15" customHeight="1" x14ac:dyDescent="0.35">
      <c r="A6" s="199" t="s">
        <v>106</v>
      </c>
      <c r="B6" s="199"/>
      <c r="C6" s="199"/>
      <c r="F6" s="70"/>
      <c r="G6" s="74"/>
      <c r="K6" s="199" t="s">
        <v>52</v>
      </c>
      <c r="L6" s="199"/>
      <c r="M6" s="199"/>
      <c r="N6" s="201" t="s">
        <v>101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105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251">
        <v>0.15</v>
      </c>
      <c r="M15" s="248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">
        <f t="shared" ref="K17:K21" si="4">I17*$K$13</f>
        <v>0</v>
      </c>
      <c r="L17" s="104">
        <f t="shared" ref="L17:L21" si="5">I17*15%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">
        <f t="shared" si="4"/>
        <v>0</v>
      </c>
      <c r="L19" s="104">
        <f t="shared" si="5"/>
        <v>435.84</v>
      </c>
      <c r="M19" s="117">
        <f t="shared" si="6"/>
        <v>2469.7599999999998</v>
      </c>
      <c r="N19" s="117">
        <f t="shared" si="0"/>
        <v>444.55679999999995</v>
      </c>
      <c r="O19" s="118">
        <f t="shared" si="1"/>
        <v>14.571583999999998</v>
      </c>
      <c r="P19" s="119">
        <f t="shared" si="2"/>
        <v>2928.8883839999994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435.84</v>
      </c>
      <c r="M20" s="117">
        <f t="shared" si="6"/>
        <v>2469.7599999999998</v>
      </c>
      <c r="N20" s="117">
        <f t="shared" si="0"/>
        <v>444.55679999999995</v>
      </c>
      <c r="O20" s="118">
        <f t="shared" si="1"/>
        <v>14.571583999999998</v>
      </c>
      <c r="P20" s="119">
        <f t="shared" si="2"/>
        <v>2928.8883839999994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">
        <f t="shared" si="4"/>
        <v>0</v>
      </c>
      <c r="L21" s="104">
        <f t="shared" si="5"/>
        <v>435.84</v>
      </c>
      <c r="M21" s="117">
        <f t="shared" si="6"/>
        <v>2469.7599999999998</v>
      </c>
      <c r="N21" s="117">
        <f t="shared" si="0"/>
        <v>444.55679999999995</v>
      </c>
      <c r="O21" s="118">
        <f t="shared" si="1"/>
        <v>14.571583999999998</v>
      </c>
      <c r="P21" s="119">
        <f t="shared" si="2"/>
        <v>2928.8883839999994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4">
        <f t="shared" ref="G25:M25" si="9">SUM(G16:G24)</f>
        <v>0</v>
      </c>
      <c r="H25" s="135">
        <f t="shared" si="9"/>
        <v>120</v>
      </c>
      <c r="I25" s="136">
        <f t="shared" si="9"/>
        <v>8716.7999999999993</v>
      </c>
      <c r="J25" s="137"/>
      <c r="K25" s="138">
        <f t="shared" si="9"/>
        <v>0</v>
      </c>
      <c r="L25" s="139">
        <f t="shared" si="9"/>
        <v>1307.52</v>
      </c>
      <c r="M25" s="140">
        <f t="shared" si="9"/>
        <v>7409.2799999999988</v>
      </c>
      <c r="N25" s="141">
        <f>SUM(N16:N24)</f>
        <v>1333.6704</v>
      </c>
      <c r="O25" s="142">
        <f>SUM(O16:O24)</f>
        <v>43.71475199999999</v>
      </c>
      <c r="P25" s="143">
        <f>SUM(P16:P24)</f>
        <v>8786.6651519999978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1">
        <f>I25</f>
        <v>8716.7999999999993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2">
        <f>L25</f>
        <v>1307.52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3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2">
        <f>P28-P29-P30</f>
        <v>7409.2799999999988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4" t="s">
        <v>89</v>
      </c>
      <c r="O32" s="155">
        <f>IF(B12="Registered",18%,22%)</f>
        <v>0.18</v>
      </c>
      <c r="P32" s="152">
        <f>N25</f>
        <v>1333.6704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2">
        <f>P31+P32</f>
        <v>8742.9503999999979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6"/>
      <c r="N34" s="157" t="s">
        <v>91</v>
      </c>
      <c r="O34" s="158">
        <f>IF(B11="Filer",0.5%,2.5%)</f>
        <v>5.0000000000000001E-3</v>
      </c>
      <c r="P34" s="152">
        <f>O34*P33</f>
        <v>43.71475199999999</v>
      </c>
    </row>
    <row r="35" spans="2:16" ht="15.75" customHeight="1" thickBot="1" x14ac:dyDescent="0.4">
      <c r="N35" s="217" t="s">
        <v>92</v>
      </c>
      <c r="O35" s="218"/>
      <c r="P35" s="159">
        <f>P33+P34</f>
        <v>8786.6651519999978</v>
      </c>
    </row>
    <row r="36" spans="2:16" ht="15" thickBot="1" x14ac:dyDescent="0.4">
      <c r="B36" s="160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46197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103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46196</v>
      </c>
      <c r="O5" s="198"/>
      <c r="P5" s="198"/>
      <c r="R5" s="70"/>
      <c r="S5" s="71"/>
    </row>
    <row r="6" spans="1:19 16383:16384" ht="15" customHeight="1" x14ac:dyDescent="0.35">
      <c r="A6" s="199" t="s">
        <v>104</v>
      </c>
      <c r="B6" s="199"/>
      <c r="C6" s="199"/>
      <c r="F6" s="70"/>
      <c r="G6" s="74"/>
      <c r="K6" s="199" t="s">
        <v>52</v>
      </c>
      <c r="L6" s="199"/>
      <c r="M6" s="199"/>
      <c r="N6" s="201" t="s">
        <v>41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105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251">
        <v>0.15</v>
      </c>
      <c r="M15" s="248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1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2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3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2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2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7" t="s">
        <v>92</v>
      </c>
      <c r="O35" s="218"/>
      <c r="P35" s="159">
        <f>P33+P34</f>
        <v>0</v>
      </c>
    </row>
    <row r="36" spans="2:16" ht="15" thickBot="1" x14ac:dyDescent="0.4">
      <c r="B36" s="160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46197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103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46196</v>
      </c>
      <c r="O5" s="198"/>
      <c r="P5" s="198"/>
      <c r="R5" s="70"/>
      <c r="S5" s="71"/>
    </row>
    <row r="6" spans="1:19 16383:16384" ht="15" customHeight="1" x14ac:dyDescent="0.35">
      <c r="A6" s="199" t="s">
        <v>104</v>
      </c>
      <c r="B6" s="199"/>
      <c r="C6" s="199"/>
      <c r="F6" s="70"/>
      <c r="G6" s="74"/>
      <c r="K6" s="199" t="s">
        <v>52</v>
      </c>
      <c r="L6" s="199"/>
      <c r="M6" s="199"/>
      <c r="N6" s="201" t="s">
        <v>41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167" t="s">
        <v>105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48</v>
      </c>
      <c r="C11" s="77" t="str">
        <f>IF($O34&gt;2.49%,"No","Yes")</f>
        <v>Yes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251">
        <v>0.15</v>
      </c>
      <c r="M15" s="248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1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2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3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2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2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7" t="s">
        <v>92</v>
      </c>
      <c r="O35" s="218"/>
      <c r="P35" s="159">
        <f>P33+P34</f>
        <v>0</v>
      </c>
    </row>
    <row r="36" spans="2:16" ht="15" thickBot="1" x14ac:dyDescent="0.4">
      <c r="B36" s="160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46197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103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46196</v>
      </c>
      <c r="O5" s="198"/>
      <c r="P5" s="198"/>
      <c r="R5" s="70"/>
      <c r="S5" s="71"/>
    </row>
    <row r="6" spans="1:19 16383:16384" ht="15" customHeight="1" x14ac:dyDescent="0.35">
      <c r="A6" s="199" t="s">
        <v>104</v>
      </c>
      <c r="B6" s="199"/>
      <c r="C6" s="199"/>
      <c r="F6" s="70"/>
      <c r="G6" s="74"/>
      <c r="K6" s="199" t="s">
        <v>52</v>
      </c>
      <c r="L6" s="199"/>
      <c r="M6" s="199"/>
      <c r="N6" s="201" t="s">
        <v>41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105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251">
        <v>0.15</v>
      </c>
      <c r="M15" s="248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1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2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3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2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2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7" t="s">
        <v>92</v>
      </c>
      <c r="O35" s="218"/>
      <c r="P35" s="159">
        <f>P33+P34</f>
        <v>0</v>
      </c>
    </row>
    <row r="36" spans="2:16" ht="15" thickBot="1" x14ac:dyDescent="0.4">
      <c r="B36" s="160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46197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103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46196</v>
      </c>
      <c r="O5" s="198"/>
      <c r="P5" s="198"/>
      <c r="R5" s="70"/>
      <c r="S5" s="71"/>
    </row>
    <row r="6" spans="1:19 16383:16384" ht="15" customHeight="1" x14ac:dyDescent="0.35">
      <c r="A6" s="199" t="s">
        <v>104</v>
      </c>
      <c r="B6" s="199"/>
      <c r="C6" s="199"/>
      <c r="F6" s="70"/>
      <c r="G6" s="74"/>
      <c r="K6" s="199" t="s">
        <v>52</v>
      </c>
      <c r="L6" s="199"/>
      <c r="M6" s="199"/>
      <c r="N6" s="201" t="s">
        <v>41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167" t="s">
        <v>105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251">
        <v>0.15</v>
      </c>
      <c r="M15" s="248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1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2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3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2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2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7" t="s">
        <v>92</v>
      </c>
      <c r="O35" s="218"/>
      <c r="P35" s="159">
        <f>P33+P34</f>
        <v>0</v>
      </c>
    </row>
    <row r="36" spans="2:16" ht="15" thickBot="1" x14ac:dyDescent="0.4">
      <c r="B36" s="160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46197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103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46196</v>
      </c>
      <c r="O5" s="198"/>
      <c r="P5" s="198"/>
      <c r="R5" s="70"/>
      <c r="S5" s="71"/>
    </row>
    <row r="6" spans="1:19 16383:16384" ht="15" customHeight="1" x14ac:dyDescent="0.35">
      <c r="A6" s="199" t="s">
        <v>104</v>
      </c>
      <c r="B6" s="199"/>
      <c r="C6" s="199"/>
      <c r="F6" s="70"/>
      <c r="G6" s="74"/>
      <c r="K6" s="199" t="s">
        <v>52</v>
      </c>
      <c r="L6" s="199"/>
      <c r="M6" s="199"/>
      <c r="N6" s="201" t="s">
        <v>41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105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251">
        <v>0.15</v>
      </c>
      <c r="M15" s="248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1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2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3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2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2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7" t="s">
        <v>92</v>
      </c>
      <c r="O35" s="218"/>
      <c r="P35" s="159">
        <f>P33+P34</f>
        <v>0</v>
      </c>
    </row>
    <row r="36" spans="2:16" ht="15" thickBot="1" x14ac:dyDescent="0.4">
      <c r="B36" s="160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46197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103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46196</v>
      </c>
      <c r="O5" s="198"/>
      <c r="P5" s="198"/>
      <c r="R5" s="70"/>
      <c r="S5" s="71"/>
    </row>
    <row r="6" spans="1:19 16383:16384" ht="15" customHeight="1" x14ac:dyDescent="0.35">
      <c r="A6" s="199" t="s">
        <v>104</v>
      </c>
      <c r="B6" s="199"/>
      <c r="C6" s="199"/>
      <c r="F6" s="70"/>
      <c r="G6" s="74"/>
      <c r="K6" s="199" t="s">
        <v>52</v>
      </c>
      <c r="L6" s="199"/>
      <c r="M6" s="199"/>
      <c r="N6" s="201" t="s">
        <v>41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167" t="s">
        <v>105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251">
        <v>0.15</v>
      </c>
      <c r="M15" s="248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1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2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3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2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2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7" t="s">
        <v>92</v>
      </c>
      <c r="O35" s="218"/>
      <c r="P35" s="159">
        <f>P33+P34</f>
        <v>0</v>
      </c>
    </row>
    <row r="36" spans="2:16" ht="15" thickBot="1" x14ac:dyDescent="0.4">
      <c r="B36" s="160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46197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103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46196</v>
      </c>
      <c r="O5" s="198"/>
      <c r="P5" s="198"/>
      <c r="R5" s="70"/>
      <c r="S5" s="71"/>
    </row>
    <row r="6" spans="1:19 16383:16384" ht="15" customHeight="1" x14ac:dyDescent="0.35">
      <c r="A6" s="199" t="s">
        <v>104</v>
      </c>
      <c r="B6" s="199"/>
      <c r="C6" s="199"/>
      <c r="F6" s="70"/>
      <c r="G6" s="74"/>
      <c r="K6" s="199" t="s">
        <v>52</v>
      </c>
      <c r="L6" s="199"/>
      <c r="M6" s="199"/>
      <c r="N6" s="201" t="s">
        <v>41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105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251">
        <v>0.15</v>
      </c>
      <c r="M15" s="248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1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2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3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2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2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7" t="s">
        <v>92</v>
      </c>
      <c r="O35" s="218"/>
      <c r="P35" s="159">
        <f>P33+P34</f>
        <v>0</v>
      </c>
    </row>
    <row r="36" spans="2:16" ht="15" thickBot="1" x14ac:dyDescent="0.4">
      <c r="B36" s="160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46197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103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46196</v>
      </c>
      <c r="O5" s="198"/>
      <c r="P5" s="198"/>
      <c r="R5" s="70"/>
      <c r="S5" s="71"/>
    </row>
    <row r="6" spans="1:19 16383:16384" ht="15" customHeight="1" x14ac:dyDescent="0.35">
      <c r="A6" s="199" t="s">
        <v>104</v>
      </c>
      <c r="B6" s="199"/>
      <c r="C6" s="199"/>
      <c r="F6" s="70"/>
      <c r="G6" s="74"/>
      <c r="K6" s="199" t="s">
        <v>52</v>
      </c>
      <c r="L6" s="199"/>
      <c r="M6" s="199"/>
      <c r="N6" s="201" t="s">
        <v>41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166" t="s">
        <v>105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166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251">
        <v>0.15</v>
      </c>
      <c r="M15" s="248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1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2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3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2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2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7" t="s">
        <v>92</v>
      </c>
      <c r="O35" s="218"/>
      <c r="P35" s="159">
        <f>P33+P34</f>
        <v>0</v>
      </c>
    </row>
    <row r="36" spans="2:16" ht="15" thickBot="1" x14ac:dyDescent="0.4">
      <c r="B36" s="160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46197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103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46196</v>
      </c>
      <c r="O5" s="198"/>
      <c r="P5" s="198"/>
      <c r="R5" s="70"/>
      <c r="S5" s="71"/>
    </row>
    <row r="6" spans="1:19 16383:16384" ht="15" customHeight="1" x14ac:dyDescent="0.35">
      <c r="A6" s="199" t="s">
        <v>104</v>
      </c>
      <c r="B6" s="199"/>
      <c r="C6" s="199"/>
      <c r="F6" s="70"/>
      <c r="G6" s="74"/>
      <c r="K6" s="199" t="s">
        <v>52</v>
      </c>
      <c r="L6" s="199"/>
      <c r="M6" s="199"/>
      <c r="N6" s="201" t="s">
        <v>41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105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251">
        <v>0.15</v>
      </c>
      <c r="M15" s="248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1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2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3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2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2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7" t="s">
        <v>92</v>
      </c>
      <c r="O35" s="218"/>
      <c r="P35" s="159">
        <f>P33+P34</f>
        <v>0</v>
      </c>
    </row>
    <row r="36" spans="2:16" ht="15" thickBot="1" x14ac:dyDescent="0.4">
      <c r="B36" s="160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46197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103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46196</v>
      </c>
      <c r="O5" s="198"/>
      <c r="P5" s="198"/>
      <c r="R5" s="70"/>
      <c r="S5" s="71"/>
    </row>
    <row r="6" spans="1:19 16383:16384" ht="15" customHeight="1" x14ac:dyDescent="0.35">
      <c r="A6" s="199" t="s">
        <v>104</v>
      </c>
      <c r="B6" s="199"/>
      <c r="C6" s="199"/>
      <c r="F6" s="70"/>
      <c r="G6" s="74"/>
      <c r="K6" s="199" t="s">
        <v>52</v>
      </c>
      <c r="L6" s="199"/>
      <c r="M6" s="199"/>
      <c r="N6" s="201" t="s">
        <v>41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105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251">
        <v>0.15</v>
      </c>
      <c r="M15" s="248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1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2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3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2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2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7" t="s">
        <v>92</v>
      </c>
      <c r="O35" s="218"/>
      <c r="P35" s="159">
        <f>P33+P34</f>
        <v>0</v>
      </c>
    </row>
    <row r="36" spans="2:16" ht="15" thickBot="1" x14ac:dyDescent="0.4">
      <c r="B36" s="160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46197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103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46196</v>
      </c>
      <c r="O5" s="198"/>
      <c r="P5" s="198"/>
      <c r="R5" s="70"/>
      <c r="S5" s="71"/>
    </row>
    <row r="6" spans="1:19 16383:16384" ht="15" customHeight="1" x14ac:dyDescent="0.35">
      <c r="A6" s="199" t="s">
        <v>104</v>
      </c>
      <c r="B6" s="199"/>
      <c r="C6" s="199"/>
      <c r="F6" s="70"/>
      <c r="G6" s="74"/>
      <c r="K6" s="199" t="s">
        <v>52</v>
      </c>
      <c r="L6" s="199"/>
      <c r="M6" s="199"/>
      <c r="N6" s="201" t="s">
        <v>41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105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251">
        <v>0.15</v>
      </c>
      <c r="M15" s="248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1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2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3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2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2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7" t="s">
        <v>92</v>
      </c>
      <c r="O35" s="218"/>
      <c r="P35" s="159">
        <f>P33+P34</f>
        <v>0</v>
      </c>
    </row>
    <row r="36" spans="2:16" ht="15" thickBot="1" x14ac:dyDescent="0.4">
      <c r="B36" s="160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46197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103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46196</v>
      </c>
      <c r="O5" s="198"/>
      <c r="P5" s="198"/>
      <c r="R5" s="70"/>
      <c r="S5" s="71"/>
    </row>
    <row r="6" spans="1:19 16383:16384" ht="15" customHeight="1" x14ac:dyDescent="0.35">
      <c r="A6" s="199" t="s">
        <v>104</v>
      </c>
      <c r="B6" s="199"/>
      <c r="C6" s="199"/>
      <c r="F6" s="70"/>
      <c r="G6" s="74"/>
      <c r="K6" s="199" t="s">
        <v>52</v>
      </c>
      <c r="L6" s="199"/>
      <c r="M6" s="199"/>
      <c r="N6" s="201" t="s">
        <v>41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105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251">
        <v>0.15</v>
      </c>
      <c r="M15" s="248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1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2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3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2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2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7" t="s">
        <v>92</v>
      </c>
      <c r="O35" s="218"/>
      <c r="P35" s="159">
        <f>P33+P34</f>
        <v>0</v>
      </c>
    </row>
    <row r="36" spans="2:16" ht="15" thickBot="1" x14ac:dyDescent="0.4">
      <c r="B36" s="160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46197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103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46196</v>
      </c>
      <c r="O5" s="198"/>
      <c r="P5" s="198"/>
      <c r="R5" s="70"/>
      <c r="S5" s="71"/>
    </row>
    <row r="6" spans="1:19 16383:16384" ht="15" customHeight="1" x14ac:dyDescent="0.35">
      <c r="A6" s="199" t="s">
        <v>104</v>
      </c>
      <c r="B6" s="199"/>
      <c r="C6" s="199"/>
      <c r="F6" s="70"/>
      <c r="G6" s="74"/>
      <c r="K6" s="199" t="s">
        <v>52</v>
      </c>
      <c r="L6" s="199"/>
      <c r="M6" s="199"/>
      <c r="N6" s="201" t="s">
        <v>41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105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251">
        <v>0.15</v>
      </c>
      <c r="M15" s="248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1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2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3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2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2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7" t="s">
        <v>92</v>
      </c>
      <c r="O35" s="218"/>
      <c r="P35" s="159">
        <f>P33+P34</f>
        <v>0</v>
      </c>
    </row>
    <row r="36" spans="2:16" ht="15" thickBot="1" x14ac:dyDescent="0.4">
      <c r="B36" s="160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46197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103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46196</v>
      </c>
      <c r="O5" s="198"/>
      <c r="P5" s="198"/>
      <c r="R5" s="70"/>
      <c r="S5" s="71"/>
    </row>
    <row r="6" spans="1:19 16383:16384" ht="15" customHeight="1" x14ac:dyDescent="0.35">
      <c r="A6" s="199" t="s">
        <v>104</v>
      </c>
      <c r="B6" s="199"/>
      <c r="C6" s="199"/>
      <c r="F6" s="70"/>
      <c r="G6" s="74"/>
      <c r="K6" s="199" t="s">
        <v>52</v>
      </c>
      <c r="L6" s="199"/>
      <c r="M6" s="199"/>
      <c r="N6" s="201" t="s">
        <v>41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178" t="s">
        <v>105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178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251">
        <v>0.15</v>
      </c>
      <c r="M15" s="248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1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2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3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2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2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7" t="s">
        <v>92</v>
      </c>
      <c r="O35" s="218"/>
      <c r="P35" s="159">
        <f>P33+P34</f>
        <v>0</v>
      </c>
    </row>
    <row r="36" spans="2:16" ht="15" thickBot="1" x14ac:dyDescent="0.4">
      <c r="B36" s="160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46197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103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46196</v>
      </c>
      <c r="O5" s="198"/>
      <c r="P5" s="198"/>
      <c r="R5" s="70"/>
      <c r="S5" s="71"/>
    </row>
    <row r="6" spans="1:19 16383:16384" ht="15" customHeight="1" x14ac:dyDescent="0.35">
      <c r="A6" s="199" t="s">
        <v>104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105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251">
        <v>0.15</v>
      </c>
      <c r="M15" s="248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1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2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3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2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2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7" t="s">
        <v>92</v>
      </c>
      <c r="O35" s="218"/>
      <c r="P35" s="159">
        <f>P33+P34</f>
        <v>0</v>
      </c>
    </row>
    <row r="36" spans="2:16" ht="15" thickBot="1" x14ac:dyDescent="0.4">
      <c r="B36" s="160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46197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103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46196</v>
      </c>
      <c r="O5" s="198"/>
      <c r="P5" s="198"/>
      <c r="R5" s="70"/>
      <c r="S5" s="71"/>
    </row>
    <row r="6" spans="1:19 16383:16384" ht="15" customHeight="1" x14ac:dyDescent="0.35">
      <c r="A6" s="199" t="s">
        <v>104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105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251">
        <v>0.15</v>
      </c>
      <c r="M15" s="248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1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2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3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2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2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7" t="s">
        <v>92</v>
      </c>
      <c r="O35" s="218"/>
      <c r="P35" s="159">
        <f>P33+P34</f>
        <v>0</v>
      </c>
    </row>
    <row r="36" spans="2:16" ht="15" thickBot="1" x14ac:dyDescent="0.4">
      <c r="B36" s="160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46197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103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46196</v>
      </c>
      <c r="O5" s="198"/>
      <c r="P5" s="198"/>
      <c r="R5" s="70"/>
      <c r="S5" s="71"/>
    </row>
    <row r="6" spans="1:19 16383:16384" ht="15" customHeight="1" x14ac:dyDescent="0.35">
      <c r="A6" s="199" t="s">
        <v>104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105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251">
        <v>0.15</v>
      </c>
      <c r="M15" s="248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1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2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3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2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2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7" t="s">
        <v>92</v>
      </c>
      <c r="O35" s="218"/>
      <c r="P35" s="159">
        <f>P33+P34</f>
        <v>0</v>
      </c>
    </row>
    <row r="36" spans="2:16" ht="15" thickBot="1" x14ac:dyDescent="0.4">
      <c r="B36" s="160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46197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103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46196</v>
      </c>
      <c r="O5" s="198"/>
      <c r="P5" s="198"/>
      <c r="R5" s="70"/>
      <c r="S5" s="71"/>
    </row>
    <row r="6" spans="1:19 16383:16384" ht="15" customHeight="1" x14ac:dyDescent="0.35">
      <c r="A6" s="199" t="s">
        <v>104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105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251">
        <v>0.15</v>
      </c>
      <c r="M15" s="248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1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2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3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2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2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7" t="s">
        <v>92</v>
      </c>
      <c r="O35" s="218"/>
      <c r="P35" s="159">
        <f>P33+P34</f>
        <v>0</v>
      </c>
    </row>
    <row r="36" spans="2:16" ht="15" thickBot="1" x14ac:dyDescent="0.4">
      <c r="B36" s="160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7" t="s">
        <v>45</v>
      </c>
      <c r="B2" s="197"/>
      <c r="C2" s="197"/>
    </row>
    <row r="3" spans="1:19 16383:16384" ht="15" customHeight="1" x14ac:dyDescent="0.35">
      <c r="A3" s="198" t="s">
        <v>46</v>
      </c>
      <c r="B3" s="198"/>
      <c r="C3" s="198"/>
      <c r="F3" s="70"/>
      <c r="G3" s="71"/>
      <c r="K3" s="199" t="s">
        <v>47</v>
      </c>
      <c r="L3" s="199"/>
      <c r="M3" s="199"/>
      <c r="N3" s="198">
        <v>1001</v>
      </c>
      <c r="O3" s="198"/>
      <c r="P3" s="19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8" t="s">
        <v>94</v>
      </c>
      <c r="B4" s="198"/>
      <c r="C4" s="198"/>
      <c r="F4" s="70"/>
      <c r="G4" s="71"/>
      <c r="K4" s="199" t="s">
        <v>49</v>
      </c>
      <c r="L4" s="199"/>
      <c r="M4" s="199"/>
      <c r="N4" s="200">
        <f ca="1">TODAY()</f>
        <v>46197</v>
      </c>
      <c r="O4" s="200"/>
      <c r="P4" s="20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4" t="s">
        <v>103</v>
      </c>
      <c r="B5" s="244"/>
      <c r="C5" s="244"/>
      <c r="F5" s="70"/>
      <c r="G5" s="71"/>
      <c r="K5" s="199" t="s">
        <v>51</v>
      </c>
      <c r="L5" s="199"/>
      <c r="M5" s="199"/>
      <c r="N5" s="200">
        <f ca="1">N4-1</f>
        <v>46196</v>
      </c>
      <c r="O5" s="198"/>
      <c r="P5" s="198"/>
      <c r="R5" s="70"/>
      <c r="S5" s="71"/>
    </row>
    <row r="6" spans="1:19 16383:16384" ht="15" customHeight="1" x14ac:dyDescent="0.35">
      <c r="A6" s="199" t="s">
        <v>104</v>
      </c>
      <c r="B6" s="199"/>
      <c r="C6" s="199"/>
      <c r="F6" s="70"/>
      <c r="G6" s="74"/>
      <c r="K6" s="199" t="s">
        <v>52</v>
      </c>
      <c r="L6" s="199"/>
      <c r="M6" s="199"/>
      <c r="N6" s="201" t="s">
        <v>97</v>
      </c>
      <c r="O6" s="201"/>
      <c r="P6" s="20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9"/>
      <c r="B7" s="199"/>
      <c r="C7" s="199"/>
      <c r="F7" s="70"/>
      <c r="G7" s="74"/>
      <c r="K7" s="199"/>
      <c r="L7" s="199"/>
      <c r="M7" s="199"/>
      <c r="N7" s="201"/>
      <c r="O7" s="201"/>
      <c r="P7" s="20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3"/>
      <c r="B8" s="203"/>
      <c r="C8" s="203"/>
      <c r="F8" s="70"/>
      <c r="G8" s="74"/>
      <c r="K8" s="199"/>
      <c r="L8" s="199"/>
      <c r="M8" s="199"/>
      <c r="N8" s="201"/>
      <c r="O8" s="201"/>
      <c r="P8" s="201"/>
      <c r="R8" s="70"/>
      <c r="S8" s="74"/>
    </row>
    <row r="9" spans="1:19 16383:16384" x14ac:dyDescent="0.35">
      <c r="A9" s="203"/>
      <c r="B9" s="203"/>
      <c r="C9" s="203"/>
      <c r="F9" s="70"/>
      <c r="G9" s="74"/>
      <c r="K9" s="199"/>
      <c r="L9" s="199"/>
      <c r="M9" s="199"/>
      <c r="N9" s="201"/>
      <c r="O9" s="201"/>
      <c r="P9" s="201"/>
      <c r="R9" s="70"/>
      <c r="S9" s="74"/>
      <c r="XFD9" t="s">
        <v>55</v>
      </c>
    </row>
    <row r="10" spans="1:19 16383:16384" x14ac:dyDescent="0.35">
      <c r="A10" s="204" t="s">
        <v>95</v>
      </c>
      <c r="B10" s="75" t="s">
        <v>105</v>
      </c>
      <c r="C10" s="75"/>
      <c r="F10" s="70"/>
      <c r="G10" s="71"/>
      <c r="K10" s="199" t="s">
        <v>56</v>
      </c>
      <c r="L10" s="199"/>
      <c r="M10" s="199"/>
      <c r="N10" s="198" t="s">
        <v>57</v>
      </c>
      <c r="O10" s="198"/>
      <c r="P10" s="198"/>
      <c r="R10" s="70"/>
      <c r="S10" s="71"/>
      <c r="XFD10" t="s">
        <v>58</v>
      </c>
    </row>
    <row r="11" spans="1:19 16383:16384" x14ac:dyDescent="0.35">
      <c r="A11" s="204"/>
      <c r="B11" s="76" t="s">
        <v>50</v>
      </c>
      <c r="C11" s="77" t="str">
        <f>IF($O34&gt;2.49%,"No","Yes")</f>
        <v>No</v>
      </c>
      <c r="F11" s="70"/>
      <c r="G11" s="71"/>
      <c r="K11" s="199" t="s">
        <v>59</v>
      </c>
      <c r="L11" s="199"/>
      <c r="M11" s="199"/>
      <c r="N11" s="198" t="s">
        <v>55</v>
      </c>
      <c r="O11" s="198"/>
      <c r="P11" s="198"/>
      <c r="R11" s="70"/>
      <c r="S11" s="71"/>
    </row>
    <row r="12" spans="1:19 16383:16384" ht="14.65" customHeight="1" x14ac:dyDescent="0.35">
      <c r="A12" s="204" t="s">
        <v>60</v>
      </c>
      <c r="B12" s="76" t="s">
        <v>54</v>
      </c>
      <c r="C12" s="77" t="str">
        <f>IF($O32&gt;21.99%,"No","Yes")</f>
        <v>No</v>
      </c>
      <c r="F12" s="70"/>
      <c r="G12" s="71"/>
      <c r="K12" s="199" t="s">
        <v>61</v>
      </c>
      <c r="L12" s="199"/>
      <c r="M12" s="199"/>
      <c r="N12" s="198"/>
      <c r="O12" s="198"/>
      <c r="P12" s="198"/>
      <c r="R12" s="70"/>
      <c r="S12" s="71"/>
      <c r="XFD12" t="s">
        <v>62</v>
      </c>
    </row>
    <row r="13" spans="1:19 16383:16384" ht="15" thickBot="1" x14ac:dyDescent="0.4">
      <c r="A13" s="241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11"/>
      <c r="C14" s="205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12"/>
      <c r="C15" s="20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251">
        <v>0.15</v>
      </c>
      <c r="M15" s="248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3" t="s">
        <v>84</v>
      </c>
      <c r="B25" s="224"/>
      <c r="C25" s="225"/>
      <c r="D25" s="219"/>
      <c r="E25" s="219"/>
      <c r="F25" s="250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6" t="s">
        <v>85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8"/>
      <c r="N28" s="235" t="s">
        <v>86</v>
      </c>
      <c r="O28" s="236"/>
      <c r="P28" s="151">
        <f>I25</f>
        <v>0</v>
      </c>
    </row>
    <row r="29" spans="1:19 16384:16384" ht="15" customHeight="1" x14ac:dyDescent="0.35">
      <c r="B29" s="229"/>
      <c r="C29" s="230"/>
      <c r="D29" s="230"/>
      <c r="E29" s="230"/>
      <c r="F29" s="230"/>
      <c r="G29" s="230"/>
      <c r="H29" s="230"/>
      <c r="I29" s="230"/>
      <c r="J29" s="230"/>
      <c r="K29" s="230"/>
      <c r="L29" s="231"/>
      <c r="N29" s="237" t="s">
        <v>87</v>
      </c>
      <c r="O29" s="238"/>
      <c r="P29" s="152">
        <f>L25</f>
        <v>0</v>
      </c>
    </row>
    <row r="30" spans="1:19 16384:16384" ht="15" customHeight="1" x14ac:dyDescent="0.35">
      <c r="B30" s="229"/>
      <c r="C30" s="230"/>
      <c r="D30" s="230"/>
      <c r="E30" s="230"/>
      <c r="F30" s="230"/>
      <c r="G30" s="230"/>
      <c r="H30" s="230"/>
      <c r="I30" s="230"/>
      <c r="J30" s="230"/>
      <c r="K30" s="230"/>
      <c r="L30" s="231"/>
      <c r="N30" s="237" t="s">
        <v>4</v>
      </c>
      <c r="O30" s="238"/>
      <c r="P30" s="153">
        <f>K25</f>
        <v>0</v>
      </c>
    </row>
    <row r="31" spans="1:19 16384:16384" ht="15" customHeight="1" x14ac:dyDescent="0.3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1"/>
      <c r="M31" s="2"/>
      <c r="N31" s="237" t="s">
        <v>88</v>
      </c>
      <c r="O31" s="238"/>
      <c r="P31" s="152">
        <f>P28-P29-P30</f>
        <v>0</v>
      </c>
    </row>
    <row r="32" spans="1:19 16384:16384" ht="15" customHeight="1" x14ac:dyDescent="0.35">
      <c r="B32" s="229"/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9"/>
      <c r="C33" s="230"/>
      <c r="D33" s="230"/>
      <c r="E33" s="230"/>
      <c r="F33" s="230"/>
      <c r="G33" s="230"/>
      <c r="H33" s="230"/>
      <c r="I33" s="230"/>
      <c r="J33" s="230"/>
      <c r="K33" s="230"/>
      <c r="L33" s="231"/>
      <c r="M33" s="2"/>
      <c r="N33" s="239" t="s">
        <v>90</v>
      </c>
      <c r="O33" s="240"/>
      <c r="P33" s="152">
        <f>P31+P32</f>
        <v>0</v>
      </c>
    </row>
    <row r="34" spans="2:16" ht="15" customHeight="1" thickBot="1" x14ac:dyDescent="0.4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7" t="s">
        <v>92</v>
      </c>
      <c r="O35" s="218"/>
      <c r="P35" s="159">
        <f>P33+P34</f>
        <v>0</v>
      </c>
    </row>
    <row r="36" spans="2:16" ht="15" thickBot="1" x14ac:dyDescent="0.4">
      <c r="B36" s="160" t="s">
        <v>93</v>
      </c>
      <c r="C36" s="219"/>
      <c r="D36" s="219"/>
      <c r="E36" s="219"/>
      <c r="F36" s="219"/>
      <c r="G36" s="219"/>
      <c r="H36" s="219"/>
      <c r="I36" s="220"/>
      <c r="J36" s="221"/>
      <c r="K36" s="22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2026-06-24T04:35:00Z</dcterms:modified>
</cp:coreProperties>
</file>