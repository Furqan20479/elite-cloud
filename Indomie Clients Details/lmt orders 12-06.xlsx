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E8FBE9C-05D6-4AB7-BDDA-6B2DA1CABCCB}" xr6:coauthVersionLast="47" xr6:coauthVersionMax="47" xr10:uidLastSave="{00000000-0000-0000-0000-000000000000}"/>
  <bookViews>
    <workbookView xWindow="-110" yWindow="-110" windowWidth="19420" windowHeight="10420" tabRatio="949" activeTab="8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4" i="33" l="1"/>
  <c r="I17" i="35"/>
  <c r="I16" i="30"/>
  <c r="I17" i="30"/>
  <c r="K17" i="30" s="1"/>
  <c r="I18" i="30"/>
  <c r="I19" i="30"/>
  <c r="I20" i="30"/>
  <c r="I21" i="30"/>
  <c r="K21" i="30" s="1"/>
  <c r="I22" i="30"/>
  <c r="I23" i="30"/>
  <c r="I24" i="30"/>
  <c r="I16" i="32"/>
  <c r="I25" i="32" s="1"/>
  <c r="P28" i="32" s="1"/>
  <c r="I17" i="32"/>
  <c r="I18" i="32"/>
  <c r="I19" i="32"/>
  <c r="I20" i="32"/>
  <c r="K20" i="32" s="1"/>
  <c r="I21" i="32"/>
  <c r="I16" i="33"/>
  <c r="L16" i="33" s="1"/>
  <c r="I16" i="31"/>
  <c r="I17" i="31"/>
  <c r="K17" i="31" s="1"/>
  <c r="I18" i="31"/>
  <c r="I19" i="31"/>
  <c r="K19" i="31" s="1"/>
  <c r="I20" i="31"/>
  <c r="I21" i="31"/>
  <c r="K21" i="31" s="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L21" i="29" s="1"/>
  <c r="I22" i="29"/>
  <c r="I23" i="29"/>
  <c r="L23" i="29" s="1"/>
  <c r="I24" i="29"/>
  <c r="I24" i="32"/>
  <c r="L24" i="32" s="1"/>
  <c r="I19" i="33"/>
  <c r="I23" i="33"/>
  <c r="L23" i="33" s="1"/>
  <c r="L17" i="33"/>
  <c r="L18" i="33"/>
  <c r="M18" i="33" s="1"/>
  <c r="I25" i="35"/>
  <c r="P28" i="35" s="1"/>
  <c r="K16" i="35"/>
  <c r="L16" i="35"/>
  <c r="K17" i="35"/>
  <c r="M17" i="35" s="1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 s="1"/>
  <c r="K23" i="35"/>
  <c r="L23" i="35"/>
  <c r="K24" i="35"/>
  <c r="M24" i="35" s="1"/>
  <c r="L24" i="35"/>
  <c r="L16" i="34"/>
  <c r="K17" i="34"/>
  <c r="L17" i="34"/>
  <c r="K19" i="34"/>
  <c r="L19" i="34"/>
  <c r="L20" i="34"/>
  <c r="K21" i="34"/>
  <c r="L21" i="34"/>
  <c r="K22" i="34"/>
  <c r="K23" i="34"/>
  <c r="M23" i="34" s="1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L24" i="33"/>
  <c r="M17" i="33"/>
  <c r="K16" i="33"/>
  <c r="K24" i="32"/>
  <c r="L16" i="32"/>
  <c r="K17" i="32"/>
  <c r="L17" i="32"/>
  <c r="K18" i="32"/>
  <c r="L18" i="32"/>
  <c r="K19" i="32"/>
  <c r="L19" i="32"/>
  <c r="L20" i="32"/>
  <c r="K21" i="32"/>
  <c r="L21" i="32"/>
  <c r="L23" i="32"/>
  <c r="K22" i="32"/>
  <c r="L22" i="32"/>
  <c r="L17" i="31"/>
  <c r="L19" i="31"/>
  <c r="K22" i="31"/>
  <c r="L22" i="31"/>
  <c r="K24" i="31"/>
  <c r="L24" i="31"/>
  <c r="K16" i="31"/>
  <c r="L16" i="31"/>
  <c r="K18" i="31"/>
  <c r="L18" i="31"/>
  <c r="K20" i="31"/>
  <c r="L20" i="31"/>
  <c r="L23" i="31"/>
  <c r="K18" i="30"/>
  <c r="L18" i="30"/>
  <c r="K20" i="30"/>
  <c r="L20" i="30"/>
  <c r="L21" i="30"/>
  <c r="K23" i="30"/>
  <c r="L23" i="30"/>
  <c r="K16" i="30"/>
  <c r="L16" i="30"/>
  <c r="K19" i="30"/>
  <c r="L19" i="30"/>
  <c r="K22" i="30"/>
  <c r="L22" i="30"/>
  <c r="K24" i="30"/>
  <c r="M24" i="30" s="1"/>
  <c r="L24" i="30"/>
  <c r="K16" i="29"/>
  <c r="L16" i="29"/>
  <c r="K21" i="29"/>
  <c r="K24" i="29"/>
  <c r="M24" i="29" s="1"/>
  <c r="L24" i="29"/>
  <c r="K20" i="29"/>
  <c r="L20" i="29"/>
  <c r="K22" i="29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2" l="1"/>
  <c r="L17" i="30"/>
  <c r="I25" i="30"/>
  <c r="P28" i="30" s="1"/>
  <c r="M24" i="31"/>
  <c r="P24" i="31" s="1"/>
  <c r="L21" i="31"/>
  <c r="K16" i="32"/>
  <c r="M24" i="33"/>
  <c r="M23" i="35"/>
  <c r="M17" i="31"/>
  <c r="I16" i="27"/>
  <c r="I17" i="27"/>
  <c r="I18" i="27"/>
  <c r="L18" i="27" s="1"/>
  <c r="I19" i="27"/>
  <c r="I20" i="27"/>
  <c r="I22" i="27"/>
  <c r="I23" i="27"/>
  <c r="L23" i="27" s="1"/>
  <c r="I24" i="27"/>
  <c r="L17" i="29"/>
  <c r="L18" i="34"/>
  <c r="M24" i="34"/>
  <c r="P24" i="34" s="1"/>
  <c r="I25" i="34"/>
  <c r="P28" i="34" s="1"/>
  <c r="M21" i="30"/>
  <c r="M24" i="32"/>
  <c r="M22" i="29"/>
  <c r="N22" i="29" s="1"/>
  <c r="O22" i="29" s="1"/>
  <c r="M23" i="30"/>
  <c r="M22" i="31"/>
  <c r="M21" i="35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L25" i="34"/>
  <c r="P29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K17" i="27"/>
  <c r="L17" i="27"/>
  <c r="K20" i="27"/>
  <c r="L20" i="27"/>
  <c r="K21" i="27"/>
  <c r="L21" i="27"/>
  <c r="K22" i="27"/>
  <c r="L22" i="27"/>
  <c r="K24" i="27"/>
  <c r="L24" i="27"/>
  <c r="K19" i="27"/>
  <c r="L19" i="27"/>
  <c r="K18" i="27"/>
  <c r="K17" i="26"/>
  <c r="L17" i="26"/>
  <c r="K19" i="26"/>
  <c r="L22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7" l="1"/>
  <c r="P28" i="27" s="1"/>
  <c r="K23" i="27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L18" i="22" s="1"/>
  <c r="I19" i="22"/>
  <c r="L19" i="22" s="1"/>
  <c r="I20" i="22"/>
  <c r="I21" i="22"/>
  <c r="I22" i="22"/>
  <c r="I16" i="25"/>
  <c r="L16" i="25" s="1"/>
  <c r="I17" i="25"/>
  <c r="I18" i="25"/>
  <c r="I19" i="25"/>
  <c r="I20" i="25"/>
  <c r="K20" i="25" s="1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16" i="25"/>
  <c r="K24" i="25"/>
  <c r="L22" i="25"/>
  <c r="L17" i="25"/>
  <c r="K17" i="25"/>
  <c r="L23" i="25"/>
  <c r="K23" i="25"/>
  <c r="K17" i="24"/>
  <c r="K21" i="24"/>
  <c r="L23" i="24"/>
  <c r="K23" i="24"/>
  <c r="K17" i="23"/>
  <c r="K16" i="22"/>
  <c r="L16" i="22"/>
  <c r="K18" i="22"/>
  <c r="K20" i="22"/>
  <c r="L20" i="22"/>
  <c r="K22" i="22"/>
  <c r="L22" i="22"/>
  <c r="L17" i="22"/>
  <c r="K17" i="22"/>
  <c r="L21" i="22"/>
  <c r="K21" i="22"/>
  <c r="L24" i="20"/>
  <c r="L20" i="19"/>
  <c r="K18" i="19"/>
  <c r="K22" i="19"/>
  <c r="L22" i="19"/>
  <c r="L21" i="19"/>
  <c r="K21" i="19"/>
  <c r="L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9" l="1"/>
  <c r="L20" i="25"/>
  <c r="I25" i="25"/>
  <c r="P28" i="25" s="1"/>
  <c r="K23" i="20"/>
  <c r="K19" i="22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I23" i="15"/>
  <c r="M19" i="25" l="1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4" i="16"/>
  <c r="N24" i="16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8"/>
  <c r="O16" i="17"/>
  <c r="O25" i="17" s="1"/>
  <c r="N25" i="17"/>
  <c r="P32" i="17" s="1"/>
  <c r="O16" i="16"/>
  <c r="N22" i="15" l="1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<sst xmlns="http://schemas.openxmlformats.org/spreadsheetml/2006/main" count="1585" uniqueCount="125">
  <si>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</si>
  <si>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</si>
  <si>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</si>
  <si>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</si>
  <si>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</si>
  <si>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</si>
  <si>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</si>
  <si>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</si>
  <si>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</si>
  <si>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</si>
  <si>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</si>
  <si>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</si>
  <si>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</si>
  <si>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</si>
  <si>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</si>
  <si>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</si>
  <si>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</si>
  <si>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</si>
  <si>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</si>
  <si>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</si>
  <si>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</si>
  <si>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</si>
  <si>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</si>
  <si>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</si>
  <si>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</si>
  <si>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</si>
  <si>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</si>
  <si>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</si>
  <si>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</si>
  <si>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</si>
  <si>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</si>
  <si>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</si>
  <si>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</si>
  <si>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</si>
  <si>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</si>
  <si>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</si>
  <si>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</si>
  <si>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</si>
  <si>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</si>
  <si>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</si>
  <si>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</si>
  <si>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</si>
  <si>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</si>
  <si>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</si>
  <si>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</si>
  <si>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</si>
  <si>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</si>
  <si>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</si>
  <si>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</si>
  <si>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</si>
  <si>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</si>
  <si>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</si>
  <si>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</si>
  <si>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</si>
  <si>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</si>
  <si>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</si>
  <si>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</si>
  <si>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</si>
  <si>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</si>
  <si>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</si>
  <si>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</si>
  <si>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</si>
  <si>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</si>
  <si>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</si>
  <si>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</si>
  <si>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</si>
  <si>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</si>
  <si>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</si>
  <si>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</si>
  <si>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</si>
  <si>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</si>
  <si>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</si>
  <si>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</si>
  <si>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</si>
  <si>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</si>
  <si>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</si>
  <si>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</si>
  <si>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</si>
  <si>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</si>
  <si>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</si>
  <si>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</si>
  <si>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</si>
  <si>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</si>
  <si>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</si>
  <si>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</si>
  <si>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</si>
  <si>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</si>
  <si>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</si>
  <si>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</si>
  <si>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</si>
  <si>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</si>
  <si>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</si>
  <si>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</si>
  <si>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</si>
  <si>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</si>
  <si>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</si>
  <si>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</si>
  <si>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</si>
  <si>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</si>
  <si>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</si>
  <si>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</si>
  <si>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</si>
  <si>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</si>
  <si>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</si>
  <si>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</si>
  <si>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</si>
  <si>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</si>
  <si>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</si>
  <si>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</si>
  <si>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</si>
  <si>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</si>
  <si>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Customer Name : Rehman Garden (Risen)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</si>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</sst>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3" fillId="0" borderId="36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3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00" t="s">
        <v>45</v>
      </c>
      <c r="B2" s="200"/>
      <c r="C2" s="200"/>
    </row>
    <row r="3" spans="1:22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05" t="s">
        <v>104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22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2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2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2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2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38" t="s">
        <v>116</v>
      </c>
      <c r="U12" s="240"/>
      <c r="V12" s="238" t="s">
        <v>115</v>
      </c>
      <c r="XFD12" t="s">
        <v>62</v>
      </c>
    </row>
    <row r="13" spans="1:22 16383:16384" ht="15" thickBot="1" x14ac:dyDescent="0.4">
      <c r="A13" s="208"/>
      <c r="J13" s="78"/>
      <c r="K13" s="78"/>
      <c r="L13" s="79">
        <v>0.05</v>
      </c>
      <c r="T13" s="239"/>
      <c r="U13" s="241"/>
      <c r="V13" s="239"/>
      <c r="XFD13" t="s">
        <v>63</v>
      </c>
    </row>
    <row r="14" spans="1:22 16383:16384" ht="29.25" customHeight="1" x14ac:dyDescent="0.6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15" t="s">
        <v>68</v>
      </c>
      <c r="H14" s="216"/>
      <c r="I14" s="216" t="s">
        <v>69</v>
      </c>
      <c r="J14" s="216" t="s">
        <v>70</v>
      </c>
      <c r="K14" s="216"/>
      <c r="L14" s="218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16934.054547600001</v>
      </c>
      <c r="V14" s="183">
        <v>6</v>
      </c>
      <c r="XFD14" t="s">
        <v>75</v>
      </c>
    </row>
    <row r="15" spans="1:22 16383:16384" ht="29.25" customHeight="1" thickBot="1" x14ac:dyDescent="0.65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7"/>
      <c r="J15" s="171" t="s">
        <v>78</v>
      </c>
      <c r="K15" s="171" t="s">
        <v>79</v>
      </c>
      <c r="L15" s="174" t="s">
        <v>80</v>
      </c>
      <c r="M15" s="21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8561.880000000001</v>
      </c>
      <c r="M16" s="106">
        <f>I16-K16-L16</f>
        <v>98461.62</v>
      </c>
      <c r="N16" s="101">
        <f>+'1'!N16+'2'!N16+'4'!N16+'3'!N16+'5'!N16+'6'!N16+'7'!N16+'8'!N16+'9'!N16+'10'!N16</f>
        <v>18031.9908</v>
      </c>
      <c r="O16" s="101">
        <f>+'1'!O16+'2'!O16+'4'!O16+'3'!O16+'5'!O16+'6'!O16+'7'!O16+'8'!O16+'9'!O16+'10'!O16</f>
        <v>723.7894379999999</v>
      </c>
      <c r="P16" s="105">
        <f t="shared" ref="P16:P24" si="0">M16+N16+O16</f>
        <v>117217.400238</v>
      </c>
      <c r="Q16" s="108"/>
      <c r="T16" s="163" t="str">
        <f>+'4'!A5</f>
        <v>Customer Name : Rehman Garden (Risen)</v>
      </c>
      <c r="U16" s="164">
        <f>+'4'!P35</f>
        <v>33613.565050000005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17291.64</v>
      </c>
      <c r="M17" s="118">
        <f t="shared" ref="M17:M23" si="2">I17-K17-L17</f>
        <v>198853.86</v>
      </c>
      <c r="N17" s="101">
        <f>+'1'!N17+'2'!N17+'4'!N17+'3'!N17+'5'!N17+'6'!N17+'7'!N17+'8'!N17+'9'!N17+'10'!N17</f>
        <v>36025.369200000001</v>
      </c>
      <c r="O17" s="101">
        <f>+'1'!O17+'2'!O17+'4'!O17+'3'!O17+'5'!O17+'6'!O17+'7'!O17+'8'!O17+'9'!O17+'10'!O17</f>
        <v>1268.610402</v>
      </c>
      <c r="P17" s="120">
        <f t="shared" si="0"/>
        <v>236147.83960199999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3360</v>
      </c>
      <c r="I18" s="1">
        <f t="shared" si="1"/>
        <v>176274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14101.92</v>
      </c>
      <c r="M18" s="118">
        <f t="shared" si="2"/>
        <v>162172.07999999999</v>
      </c>
      <c r="N18" s="101">
        <f>+'1'!N18+'2'!N18+'4'!N18+'3'!N18+'5'!N18+'6'!N18+'7'!N18+'8'!N18+'9'!N18+'10'!N18</f>
        <v>29654.323200000006</v>
      </c>
      <c r="O18" s="101">
        <f>+'1'!O18+'2'!O18+'4'!O18+'3'!O18+'5'!O18+'6'!O18+'7'!O18+'8'!O18+'9'!O18+'10'!O18</f>
        <v>1194.6676560000001</v>
      </c>
      <c r="P18" s="120">
        <f t="shared" si="0"/>
        <v>193021.07085600001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11854.848</v>
      </c>
      <c r="M19" s="118">
        <f t="shared" si="2"/>
        <v>136330.75200000001</v>
      </c>
      <c r="N19" s="101">
        <f>+'1'!N19+'2'!N19+'4'!N19+'3'!N19+'5'!N19+'6'!N19+'7'!N19+'8'!N19+'9'!N19+'10'!N19</f>
        <v>24967.239679999999</v>
      </c>
      <c r="O19" s="101">
        <f>+'1'!O19+'2'!O19+'4'!O19+'3'!O19+'5'!O19+'6'!O19+'7'!O19+'8'!O19+'9'!O19+'10'!O19</f>
        <v>1002.1646848</v>
      </c>
      <c r="P19" s="120">
        <f t="shared" si="0"/>
        <v>162300.1563648</v>
      </c>
      <c r="T19" s="163" t="str">
        <f>+'6'!A5</f>
        <v xml:space="preserve">Customer Name : Al fatah </v>
      </c>
      <c r="U19" s="164">
        <f>+'6'!P35</f>
        <v>470230.88594399998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37424.127999999997</v>
      </c>
      <c r="M20" s="118">
        <f t="shared" si="2"/>
        <v>430377.47199999995</v>
      </c>
      <c r="N20" s="101">
        <f>+'1'!N20+'2'!N20+'4'!N20+'3'!N20+'5'!N20+'6'!N20+'7'!N20+'8'!N20+'9'!N20+'10'!N20</f>
        <v>77788.723199999979</v>
      </c>
      <c r="O20" s="101">
        <f>+'1'!O20+'2'!O20+'4'!O20+'3'!O20+'5'!O20+'6'!O20+'7'!O20+'8'!O20+'9'!O20+'10'!O20</f>
        <v>2671.2807935999999</v>
      </c>
      <c r="P20" s="120">
        <f t="shared" si="0"/>
        <v>510837.47599359998</v>
      </c>
      <c r="T20" s="163" t="str">
        <f>+'7'!A5</f>
        <v xml:space="preserve">Customer Name : Jalal Sons </v>
      </c>
      <c r="U20" s="164">
        <f>+'7'!P35</f>
        <v>12442.570038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19060.736000000001</v>
      </c>
      <c r="M21" s="118">
        <f t="shared" si="2"/>
        <v>219198.46400000001</v>
      </c>
      <c r="N21" s="101">
        <f>+'1'!N21+'2'!N21+'4'!N21+'3'!N21+'5'!N21+'6'!N21+'7'!N21+'8'!N21+'9'!N21+'10'!N21</f>
        <v>40097.279999999999</v>
      </c>
      <c r="O21" s="101">
        <f>+'1'!O21+'2'!O21+'4'!O21+'3'!O21+'5'!O21+'6'!O21+'7'!O21+'8'!O21+'9'!O21+'10'!O21</f>
        <v>1622.6032639999999</v>
      </c>
      <c r="P21" s="120">
        <f t="shared" si="0"/>
        <v>260918.34726400001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19" t="s">
        <v>84</v>
      </c>
      <c r="B25" s="220"/>
      <c r="C25" s="221">
        <f>H25/40</f>
        <v>533</v>
      </c>
      <c r="D25" s="222"/>
      <c r="E25" s="222"/>
      <c r="F25" s="222"/>
      <c r="G25" s="176">
        <f t="shared" ref="G25:M25" si="3">SUM(G16:G24)</f>
        <v>0</v>
      </c>
      <c r="H25" s="177">
        <f t="shared" si="3"/>
        <v>21320</v>
      </c>
      <c r="I25" s="178">
        <f t="shared" si="3"/>
        <v>1355258.5999999999</v>
      </c>
      <c r="J25" s="177">
        <f t="shared" si="3"/>
        <v>0</v>
      </c>
      <c r="K25" s="178">
        <f t="shared" si="3"/>
        <v>54.922000000000011</v>
      </c>
      <c r="L25" s="179">
        <f t="shared" si="3"/>
        <v>108373.61200000001</v>
      </c>
      <c r="M25" s="141">
        <f t="shared" si="3"/>
        <v>1246830.0659999999</v>
      </c>
      <c r="N25" s="142">
        <f>SUM(N16:N24)</f>
        <v>226880.80603999997</v>
      </c>
      <c r="O25" s="143">
        <f>SUM(O16:O24)</f>
        <v>8526.9086874000004</v>
      </c>
      <c r="P25" s="144">
        <f>SUM(P16:P24)</f>
        <v>1482237.7807274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1482237.7807274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23" t="s">
        <v>85</v>
      </c>
      <c r="C32" s="224"/>
      <c r="D32" s="224"/>
      <c r="E32" s="224"/>
      <c r="F32" s="224"/>
      <c r="G32" s="224"/>
      <c r="H32" s="224"/>
      <c r="I32" s="224"/>
      <c r="J32" s="224"/>
      <c r="K32" s="224"/>
      <c r="L32" s="225"/>
      <c r="N32" s="232" t="s">
        <v>86</v>
      </c>
      <c r="O32" s="233"/>
      <c r="P32" s="152">
        <f>I25</f>
        <v>1355258.5999999999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N33" s="234" t="s">
        <v>87</v>
      </c>
      <c r="O33" s="235"/>
      <c r="P33" s="153">
        <f>L25</f>
        <v>108373.61200000001</v>
      </c>
    </row>
    <row r="34" spans="2:16" ht="15" customHeight="1" x14ac:dyDescent="0.35">
      <c r="B34" s="226"/>
      <c r="C34" s="227"/>
      <c r="D34" s="227"/>
      <c r="E34" s="227"/>
      <c r="F34" s="227"/>
      <c r="G34" s="227"/>
      <c r="H34" s="227"/>
      <c r="I34" s="227"/>
      <c r="J34" s="227"/>
      <c r="K34" s="227"/>
      <c r="L34" s="228"/>
      <c r="N34" s="234" t="s">
        <v>4</v>
      </c>
      <c r="O34" s="235"/>
      <c r="P34" s="154">
        <f>K25</f>
        <v>54.922000000000011</v>
      </c>
    </row>
    <row r="35" spans="2:16" ht="15" customHeight="1" x14ac:dyDescent="0.35">
      <c r="B35" s="226"/>
      <c r="C35" s="227"/>
      <c r="D35" s="227"/>
      <c r="E35" s="227"/>
      <c r="F35" s="227"/>
      <c r="G35" s="227"/>
      <c r="H35" s="227"/>
      <c r="I35" s="227"/>
      <c r="J35" s="227"/>
      <c r="K35" s="227"/>
      <c r="L35" s="228"/>
      <c r="M35" s="2"/>
      <c r="N35" s="234" t="s">
        <v>88</v>
      </c>
      <c r="O35" s="235"/>
      <c r="P35" s="153">
        <f>P32-P33-P34</f>
        <v>1246830.0659999999</v>
      </c>
    </row>
    <row r="36" spans="2:16" ht="15" customHeight="1" x14ac:dyDescent="0.35">
      <c r="B36" s="226"/>
      <c r="C36" s="227"/>
      <c r="D36" s="227"/>
      <c r="E36" s="227"/>
      <c r="F36" s="227"/>
      <c r="G36" s="227"/>
      <c r="H36" s="227"/>
      <c r="I36" s="227"/>
      <c r="J36" s="227"/>
      <c r="K36" s="227"/>
      <c r="L36" s="228"/>
      <c r="M36" s="2"/>
      <c r="N36" s="155" t="s">
        <v>89</v>
      </c>
      <c r="O36" s="156">
        <f>IF(B12="Registered",18%,22%)</f>
        <v>0.22</v>
      </c>
      <c r="P36" s="153">
        <f>N25</f>
        <v>226880.80603999997</v>
      </c>
    </row>
    <row r="37" spans="2:16" ht="15" customHeight="1" x14ac:dyDescent="0.35">
      <c r="B37" s="226"/>
      <c r="C37" s="227"/>
      <c r="D37" s="227"/>
      <c r="E37" s="227"/>
      <c r="F37" s="227"/>
      <c r="G37" s="227"/>
      <c r="H37" s="227"/>
      <c r="I37" s="227"/>
      <c r="J37" s="227"/>
      <c r="K37" s="227"/>
      <c r="L37" s="228"/>
      <c r="M37" s="2"/>
      <c r="N37" s="236" t="s">
        <v>90</v>
      </c>
      <c r="O37" s="237"/>
      <c r="P37" s="153">
        <f>P35+P36</f>
        <v>1473710.8720399998</v>
      </c>
    </row>
    <row r="38" spans="2:16" ht="15" customHeight="1" thickBot="1" x14ac:dyDescent="0.4">
      <c r="B38" s="229"/>
      <c r="C38" s="230"/>
      <c r="D38" s="230"/>
      <c r="E38" s="230"/>
      <c r="F38" s="230"/>
      <c r="G38" s="230"/>
      <c r="H38" s="230"/>
      <c r="I38" s="230"/>
      <c r="J38" s="230"/>
      <c r="K38" s="230"/>
      <c r="L38" s="231"/>
      <c r="M38" s="157"/>
      <c r="N38" s="158" t="s">
        <v>91</v>
      </c>
      <c r="O38" s="159">
        <f>IF(B11="Filer",0.5%,2.5%)</f>
        <v>2.5000000000000001E-2</v>
      </c>
      <c r="P38" s="153">
        <f>O38*P37</f>
        <v>36842.771800999995</v>
      </c>
    </row>
    <row r="39" spans="2:16" ht="15.75" customHeight="1" thickBot="1" x14ac:dyDescent="0.4">
      <c r="N39" s="242" t="s">
        <v>92</v>
      </c>
      <c r="O39" s="243"/>
      <c r="P39" s="160">
        <f>P37+P38</f>
        <v>1510553.6438409998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44"/>
      <c r="J40" s="245"/>
      <c r="K40" s="246"/>
    </row>
    <row r="41" spans="2:16" ht="15.75" customHeight="1" x14ac:dyDescent="0.35"/>
  </sheetData>
  <mergeCells count="48">
    <mergeCell ref="V12:V13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114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 t="shared" ref="O16:O24" si="1">(N16+M16)*$O$15</f>
        <v>11.776781999999999</v>
      </c>
      <c r="P16" s="105">
        <f t="shared" ref="P16:P24" si="2">M16+N16+O16</f>
        <v>2367.1331819999996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424.7364</v>
      </c>
      <c r="O17" s="119">
        <f t="shared" si="1"/>
        <v>11.776781999999999</v>
      </c>
      <c r="P17" s="120">
        <f t="shared" si="2"/>
        <v>2367.1331819999996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/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424.7364</v>
      </c>
      <c r="O18" s="119">
        <f t="shared" si="1"/>
        <v>11.776781999999999</v>
      </c>
      <c r="P18" s="120">
        <f t="shared" si="2"/>
        <v>2367.1331819999996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588.09343999999999</v>
      </c>
      <c r="O19" s="119">
        <f t="shared" si="1"/>
        <v>16.306227200000002</v>
      </c>
      <c r="P19" s="120">
        <f t="shared" si="2"/>
        <v>3277.5516672000003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588.09343999999999</v>
      </c>
      <c r="O20" s="119">
        <f t="shared" si="1"/>
        <v>16.306227200000002</v>
      </c>
      <c r="P20" s="120">
        <f t="shared" si="2"/>
        <v>3277.5516672000003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588.09343999999999</v>
      </c>
      <c r="O21" s="119">
        <f t="shared" si="1"/>
        <v>16.306227200000002</v>
      </c>
      <c r="P21" s="120">
        <f t="shared" si="2"/>
        <v>3277.5516672000003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3038.4895200000001</v>
      </c>
      <c r="O25" s="143">
        <f>SUM(O16:O24)</f>
        <v>84.249027600000005</v>
      </c>
      <c r="P25" s="144">
        <f>SUM(P16:P24)</f>
        <v>16934.054547600001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15012.300000000001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1200.9839999999999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13811.316000000001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3038.4895200000001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16849.805520000002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5.0000000000000001E-3</v>
      </c>
      <c r="P34" s="153">
        <f>O34*P33</f>
        <v>84.249027600000005</v>
      </c>
    </row>
    <row r="35" spans="2:16" ht="15.75" customHeight="1" thickBot="1" x14ac:dyDescent="0.4">
      <c r="N35" s="242" t="s">
        <v>92</v>
      </c>
      <c r="O35" s="243"/>
      <c r="P35" s="160">
        <f>P33+P34</f>
        <v>16934.054547600001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108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117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836007.5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66880.600000000006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769126.9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907569.74200000009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42" t="s">
        <v>92</v>
      </c>
      <c r="O35" s="243"/>
      <c r="P35" s="160">
        <f>P33+P34</f>
        <v>912107.59071000014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J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109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110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123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56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21630.600000000002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1730.4479999999999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19900.152000000002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23482.179360000002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42" t="s">
        <v>92</v>
      </c>
      <c r="O35" s="243"/>
      <c r="P35" s="160">
        <f>P33+P34</f>
        <v>23599.590256800002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Q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112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849.47280000000001</v>
      </c>
      <c r="O16" s="107">
        <f>(N16+M16)*$O$15</f>
        <v>117.76781999999999</v>
      </c>
      <c r="P16" s="105">
        <f t="shared" ref="P16:P24" si="1">M16+N16+O16</f>
        <v>4828.4806199999994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849.47280000000001</v>
      </c>
      <c r="O17" s="119">
        <f t="shared" ref="O17:O24" si="6">(N17+M17)*$O$15</f>
        <v>117.76781999999999</v>
      </c>
      <c r="P17" s="120">
        <f t="shared" si="1"/>
        <v>4828.4806199999994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1274.2092</v>
      </c>
      <c r="O18" s="119">
        <f t="shared" si="6"/>
        <v>176.65173000000001</v>
      </c>
      <c r="P18" s="120">
        <f t="shared" si="1"/>
        <v>7242.7209299999995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1176.18688</v>
      </c>
      <c r="O19" s="119">
        <f t="shared" si="6"/>
        <v>163.06227200000001</v>
      </c>
      <c r="P19" s="120">
        <f t="shared" si="1"/>
        <v>6685.5531520000004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5913.6220000000003</v>
      </c>
      <c r="O25" s="143">
        <f>SUM(O16:O24)</f>
        <v>819.84305000000006</v>
      </c>
      <c r="P25" s="144">
        <f>SUM(P16:P24)</f>
        <v>33613.565050000005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29217.5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2337.4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26880.1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5913.6220000000003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32793.722000000002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819.84305000000006</v>
      </c>
    </row>
    <row r="35" spans="2:16" ht="15.75" customHeight="1" thickBot="1" x14ac:dyDescent="0.4">
      <c r="N35" s="242" t="s">
        <v>92</v>
      </c>
      <c r="O35" s="243"/>
      <c r="P35" s="160">
        <f>P33+P34</f>
        <v>33613.565050000005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F27" sqref="F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113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112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11577.400000000001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879.11599999999999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54.922000000000011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10643.362000000001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12984.90164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42" t="s">
        <v>92</v>
      </c>
      <c r="O35" s="243"/>
      <c r="P35" s="160">
        <f>P33+P34</f>
        <v>13309.524181000001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workbookViewId="0">
      <selection activeCell="D7" sqref="D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119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t="s">
        <v>120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I16*8%</f>
        <v>2518.2000000000003</v>
      </c>
      <c r="M16" s="106">
        <f>I16-K16-L16</f>
        <v>28959.3</v>
      </c>
      <c r="N16" s="106">
        <f t="shared" ref="N16:N24" si="0">(M16*$N$15)+(J16*F16)*$N$15</f>
        <v>5212.674</v>
      </c>
      <c r="O16" s="107">
        <f>(N16+M16)*$O$15</f>
        <v>170.85987</v>
      </c>
      <c r="P16" s="105">
        <f t="shared" ref="P16:P24" si="1">M16+N16+O16</f>
        <v>34342.833870000002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I17*8%</f>
        <v>2518.2000000000003</v>
      </c>
      <c r="M17" s="118">
        <f t="shared" ref="M17:M23" si="5">I17-K17-L17</f>
        <v>28959.3</v>
      </c>
      <c r="N17" s="118">
        <f t="shared" si="0"/>
        <v>5212.674</v>
      </c>
      <c r="O17" s="119">
        <f t="shared" ref="O17:O24" si="6">(N17+M17)*$O$15</f>
        <v>170.85987</v>
      </c>
      <c r="P17" s="120">
        <f t="shared" si="1"/>
        <v>34342.833870000002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5036.4000000000005</v>
      </c>
      <c r="M18" s="118">
        <f t="shared" si="5"/>
        <v>57918.6</v>
      </c>
      <c r="N18" s="118">
        <f t="shared" si="0"/>
        <v>10425.348</v>
      </c>
      <c r="O18" s="119">
        <f t="shared" si="6"/>
        <v>341.71974</v>
      </c>
      <c r="P18" s="120">
        <f t="shared" si="1"/>
        <v>68685.667740000004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10460.16</v>
      </c>
      <c r="M19" s="118">
        <f t="shared" si="5"/>
        <v>120291.84</v>
      </c>
      <c r="N19" s="118">
        <f t="shared" si="0"/>
        <v>21652.531199999998</v>
      </c>
      <c r="O19" s="119">
        <f t="shared" si="6"/>
        <v>709.721856</v>
      </c>
      <c r="P19" s="120">
        <f t="shared" si="1"/>
        <v>142654.09305599998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6973.4400000000005</v>
      </c>
      <c r="M20" s="118">
        <f t="shared" si="5"/>
        <v>80194.559999999998</v>
      </c>
      <c r="N20" s="118">
        <f t="shared" si="0"/>
        <v>14435.020799999998</v>
      </c>
      <c r="O20" s="119">
        <f t="shared" si="6"/>
        <v>473.14790399999998</v>
      </c>
      <c r="P20" s="120">
        <f t="shared" si="1"/>
        <v>95102.728703999994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6973.4400000000005</v>
      </c>
      <c r="M21" s="118">
        <f t="shared" si="5"/>
        <v>80194.559999999998</v>
      </c>
      <c r="N21" s="118">
        <f t="shared" si="0"/>
        <v>14435.020799999998</v>
      </c>
      <c r="O21" s="119">
        <f t="shared" si="6"/>
        <v>473.14790399999998</v>
      </c>
      <c r="P21" s="120">
        <f t="shared" si="1"/>
        <v>95102.728703999994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34479.840000000004</v>
      </c>
      <c r="M25" s="141">
        <f t="shared" si="9"/>
        <v>396518.16</v>
      </c>
      <c r="N25" s="142">
        <f>SUM(N16:N24)</f>
        <v>71373.268799999991</v>
      </c>
      <c r="O25" s="143">
        <f>SUM(O16:O24)</f>
        <v>2339.457144</v>
      </c>
      <c r="P25" s="144">
        <f>SUM(P16:P24)</f>
        <v>470230.88594399998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430998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34479.840000000004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396518.16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0.18</v>
      </c>
      <c r="P32" s="153">
        <f>N25</f>
        <v>71373.268799999991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467891.42879999999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5.0000000000000001E-3</v>
      </c>
      <c r="P34" s="153">
        <f>O34*P33</f>
        <v>2339.457144</v>
      </c>
    </row>
    <row r="35" spans="2:16" ht="15.75" customHeight="1" thickBot="1" x14ac:dyDescent="0.4">
      <c r="N35" s="242" t="s">
        <v>92</v>
      </c>
      <c r="O35" s="243"/>
      <c r="P35" s="160">
        <f>P33+P34</f>
        <v>470230.88594399998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4" workbookViewId="0">
      <selection sqref="A1:P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121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122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865.22399999999993</v>
      </c>
      <c r="M25" s="141">
        <f t="shared" si="9"/>
        <v>9950.0760000000009</v>
      </c>
      <c r="N25" s="142">
        <f>SUM(N16:N24)</f>
        <v>2189.0167200000001</v>
      </c>
      <c r="O25" s="143">
        <f>SUM(O16:O24)</f>
        <v>303.47731799999997</v>
      </c>
      <c r="P25" s="144">
        <f>SUM(P16:P24)</f>
        <v>12442.570038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10815.300000000001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865.22399999999993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9950.0760000000009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2189.0167200000001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12139.092720000001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303.47731800000003</v>
      </c>
    </row>
    <row r="35" spans="2:16" ht="15.75" customHeight="1" thickBot="1" x14ac:dyDescent="0.4">
      <c r="N35" s="242" t="s">
        <v>92</v>
      </c>
      <c r="O35" s="243"/>
      <c r="P35" s="160">
        <f>P33+P34</f>
        <v>12442.570038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46185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46184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0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09" t="s">
        <v>64</v>
      </c>
      <c r="B14" s="210"/>
      <c r="C14" s="213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1"/>
      <c r="B15" s="212"/>
      <c r="C15" s="214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3" t="s">
        <v>85</v>
      </c>
      <c r="C28" s="224"/>
      <c r="D28" s="224"/>
      <c r="E28" s="224"/>
      <c r="F28" s="224"/>
      <c r="G28" s="224"/>
      <c r="H28" s="224"/>
      <c r="I28" s="224"/>
      <c r="J28" s="224"/>
      <c r="K28" s="224"/>
      <c r="L28" s="225"/>
      <c r="N28" s="232" t="s">
        <v>86</v>
      </c>
      <c r="O28" s="233"/>
      <c r="P28" s="152">
        <f>I25</f>
        <v>0</v>
      </c>
    </row>
    <row r="29" spans="1:19 16384:16384" ht="15" customHeight="1" x14ac:dyDescent="0.35">
      <c r="B29" s="226"/>
      <c r="C29" s="227"/>
      <c r="D29" s="227"/>
      <c r="E29" s="227"/>
      <c r="F29" s="227"/>
      <c r="G29" s="227"/>
      <c r="H29" s="227"/>
      <c r="I29" s="227"/>
      <c r="J29" s="227"/>
      <c r="K29" s="227"/>
      <c r="L29" s="228"/>
      <c r="N29" s="234" t="s">
        <v>87</v>
      </c>
      <c r="O29" s="235"/>
      <c r="P29" s="153">
        <f>L25</f>
        <v>0</v>
      </c>
    </row>
    <row r="30" spans="1:19 16384:16384" ht="15" customHeight="1" x14ac:dyDescent="0.35">
      <c r="B30" s="226"/>
      <c r="C30" s="227"/>
      <c r="D30" s="227"/>
      <c r="E30" s="227"/>
      <c r="F30" s="227"/>
      <c r="G30" s="227"/>
      <c r="H30" s="227"/>
      <c r="I30" s="227"/>
      <c r="J30" s="227"/>
      <c r="K30" s="227"/>
      <c r="L30" s="228"/>
      <c r="N30" s="234" t="s">
        <v>4</v>
      </c>
      <c r="O30" s="235"/>
      <c r="P30" s="154">
        <f>K25</f>
        <v>0</v>
      </c>
    </row>
    <row r="31" spans="1:19 16384:16384" ht="15" customHeight="1" x14ac:dyDescent="0.35">
      <c r="B31" s="226"/>
      <c r="C31" s="227"/>
      <c r="D31" s="227"/>
      <c r="E31" s="227"/>
      <c r="F31" s="227"/>
      <c r="G31" s="227"/>
      <c r="H31" s="227"/>
      <c r="I31" s="227"/>
      <c r="J31" s="227"/>
      <c r="K31" s="227"/>
      <c r="L31" s="228"/>
      <c r="M31" s="2"/>
      <c r="N31" s="234" t="s">
        <v>88</v>
      </c>
      <c r="O31" s="235"/>
      <c r="P31" s="153">
        <f>P28-P29-P30</f>
        <v>0</v>
      </c>
    </row>
    <row r="32" spans="1:19 16384:16384" ht="15" customHeight="1" x14ac:dyDescent="0.35">
      <c r="B32" s="226"/>
      <c r="C32" s="227"/>
      <c r="D32" s="227"/>
      <c r="E32" s="227"/>
      <c r="F32" s="227"/>
      <c r="G32" s="227"/>
      <c r="H32" s="227"/>
      <c r="I32" s="227"/>
      <c r="J32" s="227"/>
      <c r="K32" s="227"/>
      <c r="L32" s="22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6"/>
      <c r="C33" s="227"/>
      <c r="D33" s="227"/>
      <c r="E33" s="227"/>
      <c r="F33" s="227"/>
      <c r="G33" s="227"/>
      <c r="H33" s="227"/>
      <c r="I33" s="227"/>
      <c r="J33" s="227"/>
      <c r="K33" s="227"/>
      <c r="L33" s="228"/>
      <c r="M33" s="2"/>
      <c r="N33" s="236" t="s">
        <v>90</v>
      </c>
      <c r="O33" s="237"/>
      <c r="P33" s="153">
        <f>P31+P32</f>
        <v>0</v>
      </c>
    </row>
    <row r="34" spans="2:16" ht="15" customHeight="1" thickBot="1" x14ac:dyDescent="0.4">
      <c r="B34" s="229"/>
      <c r="C34" s="230"/>
      <c r="D34" s="230"/>
      <c r="E34" s="230"/>
      <c r="F34" s="230"/>
      <c r="G34" s="230"/>
      <c r="H34" s="230"/>
      <c r="I34" s="230"/>
      <c r="J34" s="230"/>
      <c r="K34" s="230"/>
      <c r="L34" s="23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2" t="s">
        <v>92</v>
      </c>
      <c r="O35" s="243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44"/>
      <c r="J36" s="245"/>
      <c r="K36" s="24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2026-06-12T12:13:43Z</dcterms:modified>
</cp:coreProperties>
</file>