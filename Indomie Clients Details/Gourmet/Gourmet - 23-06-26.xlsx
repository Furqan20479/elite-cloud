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01669F0-BDC8-4A05-AE29-20AA7BB0E3F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M21" i="26" s="1"/>
  <c r="N21" i="26" s="1"/>
  <c r="O21" i="26" s="1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1" i="31" l="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18" i="26" l="1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K20" i="17"/>
  <c r="L20" i="17"/>
  <c r="K16" i="17"/>
  <c r="M16" i="17" s="1"/>
  <c r="L16" i="17"/>
  <c r="K19" i="17"/>
  <c r="L19" i="17"/>
  <c r="K17" i="17"/>
  <c r="L17" i="17"/>
  <c r="K18" i="17"/>
  <c r="L18" i="17"/>
  <c r="K19" i="18"/>
  <c r="L19" i="18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M21" i="19"/>
  <c r="L25" i="19"/>
  <c r="P29" i="19" s="1"/>
  <c r="N24" i="18"/>
  <c r="O24" i="18" s="1"/>
  <c r="N22" i="18"/>
  <c r="O22" i="18" s="1"/>
  <c r="I23" i="15"/>
  <c r="M20" i="21" l="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4" i="17"/>
  <c r="P18" i="17"/>
  <c r="P22" i="17"/>
  <c r="P21" i="23" l="1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P25" i="24" l="1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<sst xmlns="http://schemas.openxmlformats.org/spreadsheetml/2006/main" count="2007" uniqueCount="109">
  <si>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</si>
  <si>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</si>
  <si>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</si>
  <si>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</si>
  <si>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</si>
  <si>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</si>
  <si>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</si>
  <si>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</si>
  <si>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</si>
  <si>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</si>
  <si>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</si>
  <si>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</si>
  <si>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</si>
  <si>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</si>
  <si>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</si>
  <si>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</si>
  <si>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</si>
  <si>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</si>
  <si>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</si>
  <si>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</si>
  <si>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</si>
  <si>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</si>
  <si>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</si>
  <si>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</si>
  <si>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</si>
  <si>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</si>
  <si>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</si>
  <si>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</si>
  <si>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</si>
  <si>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</si>
  <si>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</si>
  <si>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</si>
  <si>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</si>
  <si>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</si>
  <si>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</si>
  <si>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</si>
  <si>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</si>
  <si>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</si>
  <si>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</si>
  <si>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</si>
  <si>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</si>
  <si>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</si>
  <si>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</si>
  <si>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</si>
  <si>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</si>
  <si>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</si>
  <si>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</si>
  <si>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</si>
  <si>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</si>
  <si>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</si>
  <si>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</si>
  <si>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</si>
  <si>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</si>
  <si>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</si>
  <si>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</si>
  <si>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</si>
  <si>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</si>
  <si>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</si>
  <si>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</si>
  <si>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</si>
  <si>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</si>
  <si>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</si>
  <si>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</si>
  <si>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</si>
  <si>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</si>
  <si>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</si>
  <si>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</si>
  <si>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</si>
  <si>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</si>
  <si>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</si>
  <si>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</si>
  <si>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</si>
  <si>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</si>
  <si>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</si>
  <si>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</si>
  <si>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</si>
  <si>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</si>
  <si>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</si>
  <si>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</si>
  <si>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</si>
  <si>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</si>
  <si>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</si>
  <si>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</si>
  <si>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</si>
  <si>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</si>
  <si>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</si>
  <si>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</si>
  <si>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</si>
  <si>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</si>
  <si>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</si>
  <si>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</si>
  <si>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</si>
  <si>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</si>
  <si>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</si>
  <si>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</si>
  <si>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</si>
  <si>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</si>
  <si>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</si>
  <si>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</si>
  <si>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</si>
  <si>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</si>
  <si>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</si>
  <si>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</si>
  <si>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</si>
  <si>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</si>
  <si>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>mm</t>
  </si>
  <si>
    <t xml:space="preserve">Address: </t>
  </si>
  <si>
    <t>Address: DHA Rahbar</t>
  </si>
  <si>
    <t>Address: Behria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</si>
</sst>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10" sqref="G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topLeftCell="A15" zoomScale="70" zoomScaleNormal="70" workbookViewId="0">
      <selection activeCell="S20" sqref="S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Food</v>
      </c>
      <c r="U14" s="163">
        <f>+'1'!P35</f>
        <v>29197.061974800003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</v>
      </c>
      <c r="U15" s="163">
        <f>+'2'!P35</f>
        <v>29197.061974800003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160</v>
      </c>
      <c r="I16" s="1">
        <f>(G16*D16)*F16+H16*F16</f>
        <v>8394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1510.9199999999998</v>
      </c>
      <c r="M16" s="105">
        <f>I16-K16-L16</f>
        <v>6883.08</v>
      </c>
      <c r="N16" s="100">
        <f>+'1'!N16+'2'!N16+'4'!N16+'3'!N16+'5'!N16+'6'!N16+'7'!N16+'8'!N16+'9'!N16+'10'!N16</f>
        <v>1238.9543999999999</v>
      </c>
      <c r="O16" s="100">
        <f>+'1'!O16+'2'!O16+'4'!O16+'3'!O16+'5'!O16+'6'!O16+'7'!O16+'8'!O16+'9'!O16+'10'!O16</f>
        <v>40.610171999999999</v>
      </c>
      <c r="P16" s="104">
        <f t="shared" ref="P16:P24" si="0">M16+N16+O16</f>
        <v>8162.6445719999992</v>
      </c>
      <c r="Q16" s="107"/>
      <c r="T16" s="162" t="str">
        <f>+'4'!A5</f>
        <v>Customer Name : Gourmet Food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160</v>
      </c>
      <c r="I17" s="1">
        <f t="shared" ref="I17:I23" si="1">(G17*D17)*F17+H17*F17</f>
        <v>8394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1510.9199999999998</v>
      </c>
      <c r="M17" s="117">
        <f t="shared" ref="M17:M23" si="2">I17-K17-L17</f>
        <v>6883.08</v>
      </c>
      <c r="N17" s="100">
        <f>+'1'!N17+'2'!N17+'4'!N17+'3'!N17+'5'!N17+'6'!N17+'7'!N17+'8'!N17+'9'!N17+'10'!N17</f>
        <v>1238.9543999999999</v>
      </c>
      <c r="O17" s="100">
        <f>+'1'!O17+'2'!O17+'4'!O17+'3'!O17+'5'!O17+'6'!O17+'7'!O17+'8'!O17+'9'!O17+'10'!O17</f>
        <v>40.610171999999999</v>
      </c>
      <c r="P17" s="119">
        <f t="shared" si="0"/>
        <v>8162.6445719999992</v>
      </c>
      <c r="S17" s="64"/>
      <c r="T17" s="162" t="str">
        <f>+'3'!A5</f>
        <v>Customer Name : Gourmet Food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160</v>
      </c>
      <c r="I18" s="1">
        <f t="shared" si="1"/>
        <v>8394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1510.9199999999998</v>
      </c>
      <c r="M18" s="117">
        <f t="shared" si="2"/>
        <v>6883.08</v>
      </c>
      <c r="N18" s="100">
        <f>+'1'!N18+'2'!N18+'4'!N18+'3'!N18+'5'!N18+'6'!N18+'7'!N18+'8'!N18+'9'!N18+'10'!N18</f>
        <v>1238.9543999999999</v>
      </c>
      <c r="O18" s="100">
        <f>+'1'!O18+'2'!O18+'4'!O18+'3'!O18+'5'!O18+'6'!O18+'7'!O18+'8'!O18+'9'!O18+'10'!O18</f>
        <v>40.610171999999999</v>
      </c>
      <c r="P18" s="119">
        <f t="shared" si="0"/>
        <v>8162.6445719999992</v>
      </c>
      <c r="T18" s="162" t="str">
        <f>+'5'!A5</f>
        <v>Customer Name : Gourmet Food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160</v>
      </c>
      <c r="I19" s="1">
        <f t="shared" si="1"/>
        <v>11622.4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2092.0319999999997</v>
      </c>
      <c r="M19" s="117">
        <f t="shared" si="2"/>
        <v>9530.3680000000004</v>
      </c>
      <c r="N19" s="100">
        <f>+'1'!N19+'2'!N19+'4'!N19+'3'!N19+'5'!N19+'6'!N19+'7'!N19+'8'!N19+'9'!N19+'10'!N19</f>
        <v>1715.46624</v>
      </c>
      <c r="O19" s="100">
        <f>+'1'!O19+'2'!O19+'4'!O19+'3'!O19+'5'!O19+'6'!O19+'7'!O19+'8'!O19+'9'!O19+'10'!O19</f>
        <v>56.229171200000003</v>
      </c>
      <c r="P19" s="119">
        <f t="shared" si="0"/>
        <v>11302.063411200001</v>
      </c>
      <c r="T19" s="162" t="str">
        <f>+'6'!A5</f>
        <v>Customer Name : Gourmet Food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160</v>
      </c>
      <c r="I20" s="1">
        <f t="shared" si="1"/>
        <v>11622.4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2092.0319999999997</v>
      </c>
      <c r="M20" s="117">
        <f t="shared" si="2"/>
        <v>9530.3680000000004</v>
      </c>
      <c r="N20" s="100">
        <f>+'1'!N20+'2'!N20+'4'!N20+'3'!N20+'5'!N20+'6'!N20+'7'!N20+'8'!N20+'9'!N20+'10'!N20</f>
        <v>1715.46624</v>
      </c>
      <c r="O20" s="100">
        <f>+'1'!O20+'2'!O20+'4'!O20+'3'!O20+'5'!O20+'6'!O20+'7'!O20+'8'!O20+'9'!O20+'10'!O20</f>
        <v>56.229171200000003</v>
      </c>
      <c r="P20" s="119">
        <f t="shared" si="0"/>
        <v>11302.063411200001</v>
      </c>
      <c r="T20" s="162" t="str">
        <f>+'7'!A5</f>
        <v>Customer Name : Gourmet Food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160</v>
      </c>
      <c r="I21" s="1">
        <f t="shared" si="1"/>
        <v>11622.4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2092.0319999999997</v>
      </c>
      <c r="M21" s="117">
        <f t="shared" si="2"/>
        <v>9530.3680000000004</v>
      </c>
      <c r="N21" s="100">
        <f>+'1'!N21+'2'!N21+'4'!N21+'3'!N21+'5'!N21+'6'!N21+'7'!N21+'8'!N21+'9'!N21+'10'!N21</f>
        <v>1715.46624</v>
      </c>
      <c r="O21" s="100">
        <f>+'1'!O21+'2'!O21+'4'!O21+'3'!O21+'5'!O21+'6'!O21+'7'!O21+'8'!O21+'9'!O21+'10'!O21</f>
        <v>56.229171200000003</v>
      </c>
      <c r="P21" s="119">
        <f t="shared" si="0"/>
        <v>11302.063411200001</v>
      </c>
      <c r="T21" s="162" t="str">
        <f>+'8'!A5</f>
        <v>Customer Name : Gourmet Food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</v>
      </c>
      <c r="U24" s="163">
        <f>+'11'!P35</f>
        <v>0</v>
      </c>
    </row>
    <row r="25" spans="1:21 16384:16384" ht="26.5" thickBot="1" x14ac:dyDescent="0.65">
      <c r="A25" s="320" t="s">
        <v>84</v>
      </c>
      <c r="B25" s="321"/>
      <c r="C25" s="322">
        <f>H25/40</f>
        <v>24</v>
      </c>
      <c r="D25" s="316"/>
      <c r="E25" s="316"/>
      <c r="F25" s="316"/>
      <c r="G25" s="175">
        <f t="shared" ref="G25:M25" si="3">SUM(G16:G24)</f>
        <v>0</v>
      </c>
      <c r="H25" s="176">
        <f t="shared" si="3"/>
        <v>960</v>
      </c>
      <c r="I25" s="177">
        <f t="shared" si="3"/>
        <v>60049.200000000004</v>
      </c>
      <c r="J25" s="176">
        <f t="shared" si="3"/>
        <v>0</v>
      </c>
      <c r="K25" s="177">
        <f t="shared" si="3"/>
        <v>0</v>
      </c>
      <c r="L25" s="178">
        <f t="shared" si="3"/>
        <v>10808.855999999998</v>
      </c>
      <c r="M25" s="140">
        <f t="shared" si="3"/>
        <v>49240.344000000005</v>
      </c>
      <c r="N25" s="141">
        <f>SUM(N16:N24)</f>
        <v>8863.261919999999</v>
      </c>
      <c r="O25" s="142">
        <f>SUM(O16:O24)</f>
        <v>290.51802959999998</v>
      </c>
      <c r="P25" s="143">
        <f>SUM(P16:P24)</f>
        <v>58394.123949599991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105</v>
      </c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105</v>
      </c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105</v>
      </c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105</v>
      </c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105</v>
      </c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105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58394.123949600005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60049.200000000004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10808.855999999998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49240.344000000005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8863.261919999999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58103.605920000002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1452.5901480000002</v>
      </c>
    </row>
    <row r="51" spans="2:16" ht="15.75" customHeight="1" thickBot="1" x14ac:dyDescent="0.4">
      <c r="N51" s="314" t="s">
        <v>92</v>
      </c>
      <c r="O51" s="315"/>
      <c r="P51" s="159">
        <f>P49+P50</f>
        <v>59556.196068000005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 t="shared" ref="O16:O24" si="1">(N16+M16)*$O$15</f>
        <v>20.305085999999999</v>
      </c>
      <c r="P16" s="104">
        <f t="shared" ref="P16:P24" si="2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">
        <f t="shared" ref="K17:K21" si="4">I17*$K$13</f>
        <v>0</v>
      </c>
      <c r="L17" s="104">
        <f t="shared" ref="L17:L21" si="5">I17*18%</f>
        <v>755.45999999999992</v>
      </c>
      <c r="M17" s="117">
        <f t="shared" ref="M17:M23" si="6">I17-K17-L17</f>
        <v>3441.54</v>
      </c>
      <c r="N17" s="117">
        <f t="shared" si="0"/>
        <v>619.47719999999993</v>
      </c>
      <c r="O17" s="118">
        <f t="shared" si="1"/>
        <v>20.305085999999999</v>
      </c>
      <c r="P17" s="119">
        <f t="shared" si="2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3"/>
        <v>4197</v>
      </c>
      <c r="J18" s="116"/>
      <c r="K18" s="1">
        <f t="shared" si="4"/>
        <v>0</v>
      </c>
      <c r="L18" s="104">
        <f t="shared" si="5"/>
        <v>755.45999999999992</v>
      </c>
      <c r="M18" s="117">
        <f t="shared" si="6"/>
        <v>3441.54</v>
      </c>
      <c r="N18" s="117">
        <f t="shared" si="0"/>
        <v>619.47719999999993</v>
      </c>
      <c r="O18" s="118">
        <f t="shared" si="1"/>
        <v>20.305085999999999</v>
      </c>
      <c r="P18" s="119">
        <f t="shared" si="2"/>
        <v>4081.3222859999996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">
        <f t="shared" si="4"/>
        <v>0</v>
      </c>
      <c r="L19" s="104">
        <f t="shared" si="5"/>
        <v>1046.0159999999998</v>
      </c>
      <c r="M19" s="117">
        <f t="shared" si="6"/>
        <v>4765.1840000000002</v>
      </c>
      <c r="N19" s="117">
        <f t="shared" si="0"/>
        <v>857.73311999999999</v>
      </c>
      <c r="O19" s="118">
        <f t="shared" si="1"/>
        <v>28.114585600000002</v>
      </c>
      <c r="P19" s="119">
        <f t="shared" si="2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">
        <f t="shared" si="4"/>
        <v>0</v>
      </c>
      <c r="L20" s="104">
        <f t="shared" si="5"/>
        <v>1046.0159999999998</v>
      </c>
      <c r="M20" s="117">
        <f t="shared" si="6"/>
        <v>4765.1840000000002</v>
      </c>
      <c r="N20" s="117">
        <f t="shared" si="0"/>
        <v>857.73311999999999</v>
      </c>
      <c r="O20" s="118">
        <f t="shared" si="1"/>
        <v>28.114585600000002</v>
      </c>
      <c r="P20" s="119">
        <f t="shared" si="2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">
        <f t="shared" si="4"/>
        <v>0</v>
      </c>
      <c r="L21" s="104">
        <f t="shared" si="5"/>
        <v>1046.0159999999998</v>
      </c>
      <c r="M21" s="117">
        <f t="shared" si="6"/>
        <v>4765.1840000000002</v>
      </c>
      <c r="N21" s="117">
        <f t="shared" si="0"/>
        <v>857.73311999999999</v>
      </c>
      <c r="O21" s="118">
        <f t="shared" si="1"/>
        <v>28.114585600000002</v>
      </c>
      <c r="P21" s="119">
        <f t="shared" si="2"/>
        <v>5651.0317056000004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30024.600000000002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5404.427999999999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24620.172000000002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29051.802960000001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314" t="s">
        <v>92</v>
      </c>
      <c r="O35" s="315"/>
      <c r="P35" s="159">
        <f>P33+P34</f>
        <v>29197.061974800003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30024.600000000002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5404.427999999999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24620.172000000002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29051.802960000001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314" t="s">
        <v>92</v>
      </c>
      <c r="O35" s="315"/>
      <c r="P35" s="159">
        <f>P33+P34</f>
        <v>29197.061974800003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21" zoomScale="106" zoomScaleNormal="10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46196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101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46195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106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0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0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0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0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A7" sqref="A7:C7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</row>
    <row r="6" spans="1:17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G5" sqref="G5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46196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46195</v>
      </c>
      <c r="O5" s="295"/>
      <c r="P5" s="295"/>
    </row>
    <row r="6" spans="1:17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activeCell="B10" sqref="B10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106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2026-06-23T05:25:08Z</dcterms:modified>
</cp:coreProperties>
</file>