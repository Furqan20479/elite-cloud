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83B6EE6-17A9-4B39-8BE4-9BF7647B891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42" i="15" l="1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M21" i="26" s="1"/>
  <c r="N21" i="26" s="1"/>
  <c r="O21" i="26" s="1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1" i="31" l="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P17" i="17" l="1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4" l="1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<sst xmlns="http://schemas.openxmlformats.org/spreadsheetml/2006/main" count="2007" uniqueCount="127">
  <si>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</si>
  <si>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</si>
  <si>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</si>
  <si>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</si>
  <si>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</si>
  <si>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</si>
  <si>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</si>
  <si>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</si>
  <si>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</si>
  <si>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</si>
  <si>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</si>
  <si>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</si>
  <si>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</si>
  <si>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</si>
  <si>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</si>
  <si>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</si>
  <si>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</si>
  <si>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</si>
  <si>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</si>
  <si>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</si>
  <si>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</si>
  <si>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</si>
  <si>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</si>
  <si>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</si>
  <si>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</si>
  <si>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</si>
  <si>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</si>
  <si>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</si>
  <si>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</si>
  <si>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</si>
  <si>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</si>
  <si>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</si>
  <si>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</si>
  <si>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</si>
  <si>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</si>
  <si>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</si>
  <si>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</si>
  <si>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</si>
  <si>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</si>
  <si>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</si>
  <si>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</si>
  <si>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</si>
  <si>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</si>
  <si>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</si>
  <si>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</si>
  <si>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</si>
  <si>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</si>
  <si>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</si>
  <si>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</si>
  <si>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</si>
  <si>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</si>
  <si>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</si>
  <si>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</si>
  <si>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</si>
  <si>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</si>
  <si>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</si>
  <si>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</si>
  <si>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</si>
  <si>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</si>
  <si>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</si>
  <si>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</si>
  <si>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</si>
  <si>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</si>
  <si>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</si>
  <si>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</si>
  <si>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</si>
  <si>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</si>
  <si>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</si>
  <si>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</si>
  <si>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</si>
  <si>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</si>
  <si>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</si>
  <si>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</si>
  <si>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</si>
  <si>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</si>
  <si>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</si>
  <si>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</si>
  <si>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</si>
  <si>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</si>
  <si>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</si>
  <si>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</si>
  <si>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</si>
  <si>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</si>
  <si>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</si>
  <si>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</si>
  <si>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</si>
  <si>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</si>
  <si>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</si>
  <si>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</si>
  <si>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</si>
  <si>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</si>
  <si>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</si>
  <si>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</si>
  <si>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</si>
  <si>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</si>
  <si>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</si>
  <si>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</si>
  <si>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</si>
  <si>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</si>
  <si>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</si>
  <si>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</si>
  <si>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</si>
  <si>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</si>
  <si>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</si>
  <si>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</si>
  <si>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</si>
  <si>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</si>
  <si>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>Customer Name : Gourmet Food Badami Bagh</t>
  </si>
  <si>
    <t>Address: Badami Bagh</t>
  </si>
  <si>
    <t>Customer Name : Gourmet Food Begum Kot</t>
  </si>
  <si>
    <t>Address: Begam Kot</t>
  </si>
  <si>
    <t xml:space="preserve">Customer Name : Gourmet Food Bilal Ganj </t>
  </si>
  <si>
    <t>Address: Bilal Ganj Lahore</t>
  </si>
  <si>
    <t>Customer Name : Gourmet Food Imamia Colony</t>
  </si>
  <si>
    <t>Address: Imamia Colony</t>
  </si>
  <si>
    <t>Customer Name : Gourmet Food Islam Pura</t>
  </si>
  <si>
    <t>Address: Islam Pura</t>
  </si>
  <si>
    <t>Customer Name : Gourmet Food Kareem Park</t>
  </si>
  <si>
    <t>Address: Kareem Park</t>
  </si>
  <si>
    <t>Customer Name : Gourmet Food Kot Abdul malik</t>
  </si>
  <si>
    <t>Address: Kot Abdul Malik</t>
  </si>
  <si>
    <t>Customer Name : Gourmet Food Krishan Nager</t>
  </si>
  <si>
    <t>Address: Krishan Nager</t>
  </si>
  <si>
    <t>Customer Name : Gourmet Food Lakshman</t>
  </si>
  <si>
    <t>Address: Lakshman Singh Lahore</t>
  </si>
  <si>
    <t>Customer Name : Gourmet Food Shadra</t>
  </si>
  <si>
    <t>Address: Shadra Town LHR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</si>
</sst>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10" sqref="G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zoomScale="70" zoomScaleNormal="70" workbookViewId="0">
      <selection activeCell="T4" sqref="T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 Badami Bagh</v>
      </c>
      <c r="U14" s="163">
        <f>+'1'!P35</f>
        <v>14598.530987400001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Begum Kot</v>
      </c>
      <c r="U15" s="163">
        <f>+'2'!P35</f>
        <v>29197.061974800003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480</v>
      </c>
      <c r="I16" s="1">
        <f>(G16*D16)*F16+H16*F16</f>
        <v>25182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4532.7599999999993</v>
      </c>
      <c r="M16" s="105">
        <f>I16-K16-L16</f>
        <v>20649.240000000002</v>
      </c>
      <c r="N16" s="100">
        <f>+'1'!N16+'2'!N16+'4'!N16+'3'!N16+'5'!N16+'6'!N16+'7'!N16+'8'!N16+'9'!N16+'10'!N16</f>
        <v>3716.8632000000007</v>
      </c>
      <c r="O16" s="100">
        <f>+'1'!O16+'2'!O16+'4'!O16+'3'!O16+'5'!O16+'6'!O16+'7'!O16+'8'!O16+'9'!O16+'10'!O16</f>
        <v>121.83051599999996</v>
      </c>
      <c r="P16" s="104">
        <f t="shared" ref="P16:P24" si="0">M16+N16+O16</f>
        <v>24487.933716</v>
      </c>
      <c r="Q16" s="107"/>
      <c r="T16" s="162" t="str">
        <f>+'4'!A5</f>
        <v>Customer Name : Gourmet Food Imamia Colony</v>
      </c>
      <c r="U16" s="163">
        <f>+'4'!P35</f>
        <v>14598.530987400001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480</v>
      </c>
      <c r="I17" s="1">
        <f t="shared" ref="I17:I23" si="1">(G17*D17)*F17+H17*F17</f>
        <v>25182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4532.7599999999993</v>
      </c>
      <c r="M17" s="117">
        <f t="shared" ref="M17:M23" si="2">I17-K17-L17</f>
        <v>20649.240000000002</v>
      </c>
      <c r="N17" s="100">
        <f>+'1'!N17+'2'!N17+'4'!N17+'3'!N17+'5'!N17+'6'!N17+'7'!N17+'8'!N17+'9'!N17+'10'!N17</f>
        <v>3716.8632000000007</v>
      </c>
      <c r="O17" s="100">
        <f>+'1'!O17+'2'!O17+'4'!O17+'3'!O17+'5'!O17+'6'!O17+'7'!O17+'8'!O17+'9'!O17+'10'!O17</f>
        <v>121.83051599999996</v>
      </c>
      <c r="P17" s="119">
        <f t="shared" si="0"/>
        <v>24487.933716</v>
      </c>
      <c r="S17" s="64"/>
      <c r="T17" s="162" t="str">
        <f>+'3'!A5</f>
        <v xml:space="preserve">Customer Name : Gourmet Food Bilal Ganj </v>
      </c>
      <c r="U17" s="163">
        <f>+'3'!P35</f>
        <v>29197.061974800003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480</v>
      </c>
      <c r="I18" s="1">
        <f t="shared" si="1"/>
        <v>25182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4532.7599999999993</v>
      </c>
      <c r="M18" s="117">
        <f t="shared" si="2"/>
        <v>20649.240000000002</v>
      </c>
      <c r="N18" s="100">
        <f>+'1'!N18+'2'!N18+'4'!N18+'3'!N18+'5'!N18+'6'!N18+'7'!N18+'8'!N18+'9'!N18+'10'!N18</f>
        <v>3716.8632000000007</v>
      </c>
      <c r="O18" s="100">
        <f>+'1'!O18+'2'!O18+'4'!O18+'3'!O18+'5'!O18+'6'!O18+'7'!O18+'8'!O18+'9'!O18+'10'!O18</f>
        <v>121.83051599999996</v>
      </c>
      <c r="P18" s="119">
        <f t="shared" si="0"/>
        <v>24487.933716</v>
      </c>
      <c r="T18" s="162" t="str">
        <f>+'5'!A5</f>
        <v>Customer Name : Gourmet Food Islam Pura</v>
      </c>
      <c r="U18" s="163">
        <f>+'5'!P35</f>
        <v>14598.530987400001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480</v>
      </c>
      <c r="I19" s="1">
        <f t="shared" si="1"/>
        <v>34867.199999999997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6276.0959999999986</v>
      </c>
      <c r="M19" s="117">
        <f t="shared" si="2"/>
        <v>28591.103999999999</v>
      </c>
      <c r="N19" s="100">
        <f>+'1'!N19+'2'!N19+'4'!N19+'3'!N19+'5'!N19+'6'!N19+'7'!N19+'8'!N19+'9'!N19+'10'!N19</f>
        <v>5146.398720000001</v>
      </c>
      <c r="O19" s="100">
        <f>+'1'!O19+'2'!O19+'4'!O19+'3'!O19+'5'!O19+'6'!O19+'7'!O19+'8'!O19+'9'!O19+'10'!O19</f>
        <v>168.68751360000002</v>
      </c>
      <c r="P19" s="119">
        <f t="shared" si="0"/>
        <v>33906.190233600006</v>
      </c>
      <c r="T19" s="162" t="str">
        <f>+'6'!A5</f>
        <v>Customer Name : Gourmet Food Kareem Park</v>
      </c>
      <c r="U19" s="163">
        <f>+'6'!P35</f>
        <v>14598.530987400001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480</v>
      </c>
      <c r="I20" s="1">
        <f t="shared" si="1"/>
        <v>34867.199999999997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6276.0959999999986</v>
      </c>
      <c r="M20" s="117">
        <f t="shared" si="2"/>
        <v>28591.103999999999</v>
      </c>
      <c r="N20" s="100">
        <f>+'1'!N20+'2'!N20+'4'!N20+'3'!N20+'5'!N20+'6'!N20+'7'!N20+'8'!N20+'9'!N20+'10'!N20</f>
        <v>5146.398720000001</v>
      </c>
      <c r="O20" s="100">
        <f>+'1'!O20+'2'!O20+'4'!O20+'3'!O20+'5'!O20+'6'!O20+'7'!O20+'8'!O20+'9'!O20+'10'!O20</f>
        <v>168.68751360000002</v>
      </c>
      <c r="P20" s="119">
        <f t="shared" si="0"/>
        <v>33906.190233600006</v>
      </c>
      <c r="T20" s="162" t="str">
        <f>+'7'!A5</f>
        <v>Customer Name : Gourmet Food Kot Abdul malik</v>
      </c>
      <c r="U20" s="163">
        <f>+'7'!P35</f>
        <v>14598.530987400001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480</v>
      </c>
      <c r="I21" s="1">
        <f t="shared" si="1"/>
        <v>34867.199999999997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6276.0959999999986</v>
      </c>
      <c r="M21" s="117">
        <f t="shared" si="2"/>
        <v>28591.103999999999</v>
      </c>
      <c r="N21" s="100">
        <f>+'1'!N21+'2'!N21+'4'!N21+'3'!N21+'5'!N21+'6'!N21+'7'!N21+'8'!N21+'9'!N21+'10'!N21</f>
        <v>5146.398720000001</v>
      </c>
      <c r="O21" s="100">
        <f>+'1'!O21+'2'!O21+'4'!O21+'3'!O21+'5'!O21+'6'!O21+'7'!O21+'8'!O21+'9'!O21+'10'!O21</f>
        <v>168.68751360000002</v>
      </c>
      <c r="P21" s="119">
        <f t="shared" si="0"/>
        <v>33906.190233600006</v>
      </c>
      <c r="T21" s="162" t="str">
        <f>+'8'!A5</f>
        <v>Customer Name : Gourmet Food Krishan Nager</v>
      </c>
      <c r="U21" s="163">
        <f>+'8'!P35</f>
        <v>14598.530987400001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Lakshman</v>
      </c>
      <c r="U22" s="163">
        <f>+'9'!P35</f>
        <v>14598.530987400001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Shadra</v>
      </c>
      <c r="U23" s="163">
        <f>+'10'!P35</f>
        <v>14598.530987400001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04" t="s">
        <v>84</v>
      </c>
      <c r="B25" s="305"/>
      <c r="C25" s="306">
        <f>H25/40</f>
        <v>72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2880</v>
      </c>
      <c r="I25" s="177">
        <f t="shared" si="3"/>
        <v>180147.59999999998</v>
      </c>
      <c r="J25" s="176">
        <f t="shared" si="3"/>
        <v>0</v>
      </c>
      <c r="K25" s="177">
        <f t="shared" si="3"/>
        <v>0</v>
      </c>
      <c r="L25" s="178">
        <f t="shared" si="3"/>
        <v>32426.567999999992</v>
      </c>
      <c r="M25" s="140">
        <f t="shared" si="3"/>
        <v>147721.03199999998</v>
      </c>
      <c r="N25" s="141">
        <f>SUM(N16:N24)</f>
        <v>26589.785760000006</v>
      </c>
      <c r="O25" s="142">
        <f>SUM(O16:O24)</f>
        <v>871.55408879999982</v>
      </c>
      <c r="P25" s="143">
        <f>SUM(P16:P24)</f>
        <v>175182.37184880002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hidden="1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hidden="1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hidden="1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hidden="1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hidden="1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hidden="1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hidden="1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hidden="1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hidden="1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hidden="1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hidden="1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hidden="1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175182.37184880004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180147.59999999998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32426.567999999992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147721.03199999998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26589.785760000006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174310.81775999998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4357.7704439999998</v>
      </c>
    </row>
    <row r="51" spans="2:16" ht="15.75" customHeight="1" thickBot="1" x14ac:dyDescent="0.4">
      <c r="N51" s="298" t="s">
        <v>92</v>
      </c>
      <c r="O51" s="299"/>
      <c r="P51" s="159">
        <f>P49+P50</f>
        <v>178668.58820399997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3"/>
        <v>2098.5</v>
      </c>
      <c r="J18" s="116"/>
      <c r="K18" s="1">
        <f t="shared" si="4"/>
        <v>0</v>
      </c>
      <c r="L18" s="104">
        <f t="shared" si="5"/>
        <v>377.72999999999996</v>
      </c>
      <c r="M18" s="117">
        <f t="shared" si="6"/>
        <v>1720.77</v>
      </c>
      <c r="N18" s="117">
        <f t="shared" si="0"/>
        <v>309.73859999999996</v>
      </c>
      <c r="O18" s="118">
        <f t="shared" si="1"/>
        <v>10.152543</v>
      </c>
      <c r="P18" s="119">
        <f t="shared" si="2"/>
        <v>2040.6611429999998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59">
        <f>P33+P34</f>
        <v>29197.061974800003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59">
        <f>P33+P34</f>
        <v>29197.061974800003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46196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101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46195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106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0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0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0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0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7" sqref="A7:C7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</row>
    <row r="6" spans="1:17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46195</v>
      </c>
      <c r="O5" s="325"/>
      <c r="P5" s="325"/>
    </row>
    <row r="6" spans="1:17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A7" sqref="A7:C7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106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2026-06-23T04:44:43Z</dcterms:modified>
</cp:coreProperties>
</file>