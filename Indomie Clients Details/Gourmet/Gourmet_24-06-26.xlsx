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701F328-2B80-4701-8950-32735A200E5C}" xr6:coauthVersionLast="47" xr6:coauthVersionMax="47" xr10:uidLastSave="{00000000-0000-0000-0000-000000000000}"/>
  <bookViews>
    <workbookView xWindow="-110" yWindow="-110" windowWidth="19420" windowHeight="10420" tabRatio="94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31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K17" i="20"/>
  <c r="L17" i="20"/>
  <c r="M17" i="20" s="1"/>
  <c r="N17" i="20" s="1"/>
  <c r="O17" i="20" s="1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8" i="20" l="1"/>
  <c r="N18" i="20" s="1"/>
  <c r="O18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8" i="20" l="1"/>
  <c r="M25" i="20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<sst xmlns="http://schemas.openxmlformats.org/spreadsheetml/2006/main" count="2008" uniqueCount="132">
  <si>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</si>
  <si>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</si>
  <si>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</si>
  <si>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</si>
  <si>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</si>
  <si>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</si>
  <si>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</si>
  <si>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</si>
  <si>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</si>
  <si>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</si>
  <si>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</si>
  <si>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</si>
  <si>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</si>
  <si>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</si>
  <si>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</si>
  <si>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</si>
  <si>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</si>
  <si>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</si>
  <si>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</si>
  <si>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</si>
  <si>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</si>
  <si>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</si>
  <si>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</si>
  <si>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</si>
  <si>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</si>
  <si>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</si>
  <si>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</si>
  <si>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</si>
  <si>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</si>
  <si>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</si>
  <si>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</si>
  <si>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</si>
  <si>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</si>
  <si>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</si>
  <si>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</si>
  <si>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</si>
  <si>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</si>
  <si>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</si>
  <si>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</si>
  <si>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</si>
  <si>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</si>
  <si>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</si>
  <si>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</si>
  <si>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</si>
  <si>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</si>
  <si>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</si>
  <si>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</si>
  <si>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</si>
  <si>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</si>
  <si>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</si>
  <si>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</si>
  <si>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</si>
  <si>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</si>
  <si>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</si>
  <si>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</si>
  <si>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</si>
  <si>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</si>
  <si>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</si>
  <si>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</si>
  <si>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</si>
  <si>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</si>
  <si>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</si>
  <si>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</si>
  <si>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</si>
  <si>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</si>
  <si>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</si>
  <si>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</si>
  <si>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</si>
  <si>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</si>
  <si>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</si>
  <si>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</si>
  <si>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</si>
  <si>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</si>
  <si>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</si>
  <si>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</si>
  <si>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</si>
  <si>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</si>
  <si>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</si>
  <si>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</si>
  <si>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</si>
  <si>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</si>
  <si>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</si>
  <si>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</si>
  <si>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</si>
  <si>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</si>
  <si>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</si>
  <si>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</si>
  <si>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</si>
  <si>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</si>
  <si>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</si>
  <si>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</si>
  <si>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</si>
  <si>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</si>
  <si>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</si>
  <si>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</si>
  <si>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</si>
  <si>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</si>
  <si>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</si>
  <si>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</si>
  <si>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</si>
  <si>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</si>
  <si>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</si>
  <si>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</si>
  <si>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</si>
  <si>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</si>
  <si>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</si>
  <si>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</si>
  <si>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>Customer Name : Gourmet Food Lider Pind LHR</t>
  </si>
  <si>
    <t>Address: Bhadiyan RoadLider Pind LHR</t>
  </si>
  <si>
    <t xml:space="preserve"> </t>
  </si>
  <si>
    <t>Address: Bankers Co-operative Housing Society Lhr</t>
  </si>
  <si>
    <t>Customer Name : Gourmet Food Bankers Co operative</t>
  </si>
  <si>
    <t>Customer Name : Gourmet Food BHATTHA CHOWK LHR</t>
  </si>
  <si>
    <t>Address: BHATTHA CHOWK LHR</t>
  </si>
  <si>
    <t>Customer Name : Gourmet Food CANTT GIRJA CHOWK LHR</t>
  </si>
  <si>
    <t>Address: CANTT GIRJA CHOWK LHR</t>
  </si>
  <si>
    <t>Customer Name : Gourmet Food DHA FF BLOCK LHR</t>
  </si>
  <si>
    <t>Address: DHA FF BLOCK LHR</t>
  </si>
  <si>
    <t>Customer Name : Gourmet Food DHA H BLOCK LHR</t>
  </si>
  <si>
    <t>Address: DHA H BLOCK LHR</t>
  </si>
  <si>
    <t>Customer Name : Gourmet Food DHA K BLOCK LHR</t>
  </si>
  <si>
    <t>Address: DHA K BLOCK LHR</t>
  </si>
  <si>
    <t>Customer Name : Gourmet Food DHA XX-3 BLOCK LHR</t>
  </si>
  <si>
    <t>Address: DHA XX-3 BLOCK LHR</t>
  </si>
  <si>
    <t>Customer Name : Gourmet Food DHA Z BLOCK LHR</t>
  </si>
  <si>
    <t>Address: DHA Z BLOCK LHR</t>
  </si>
  <si>
    <t>Customer Name : Gourmet Food NADRA ABAD LHR</t>
  </si>
  <si>
    <t>Address: NADRA ABAD LHR</t>
  </si>
  <si>
    <t>Customer Name : Gourmet Food NISHAT COLONY LHR</t>
  </si>
  <si>
    <t>Address: NISHAT COLONY LHR</t>
  </si>
  <si>
    <t>Customer Name : Gourmet Food PUNJAB SOCIETY GHAZI ROAD LHR</t>
  </si>
  <si>
    <t>Address: PUNJAB SOCIETY GHAZI ROAD 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</si>
</sst>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tabSelected="1" workbookViewId="0">
      <selection activeCell="A7" sqref="A7:C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7" sqref="A7:C7"/>
      <selection pane="topRight" activeCell="A7" sqref="A7:C7"/>
      <selection pane="bottomLeft" activeCell="A7" sqref="A7:C7"/>
      <selection pane="bottomRight" activeCell="A7" sqref="A7:C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13"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 Lider Pind LHR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Bankers Co operative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640</v>
      </c>
      <c r="I16" s="1">
        <f>(G16*D16)*F16+H16*F16</f>
        <v>33576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4910.4899999999989</v>
      </c>
      <c r="M16" s="105">
        <f>I16-K16-L16</f>
        <v>28665.510000000002</v>
      </c>
      <c r="N16" s="100">
        <f>+'1'!N16+'2'!N16+'4'!N16+'3'!N16+'5'!N16+'6'!N16+'7'!N16+'8'!N16+'9'!N16+'10'!N16</f>
        <v>4026.6018000000004</v>
      </c>
      <c r="O16" s="100">
        <f>+'1'!O16+'2'!O16+'4'!O16+'3'!O16+'5'!O16+'6'!O16+'7'!O16+'8'!O16+'9'!O16+'10'!O16</f>
        <v>131.98305899999997</v>
      </c>
      <c r="P16" s="104">
        <f t="shared" ref="P16:P24" si="0">M16+N16+O16</f>
        <v>32824.094859000004</v>
      </c>
      <c r="Q16" s="107"/>
      <c r="T16" s="162" t="str">
        <f>+'4'!A5</f>
        <v>Customer Name : Gourmet Food CANTT GIRJA CHOWK LHR</v>
      </c>
      <c r="U16" s="163">
        <f>+'4'!P35</f>
        <v>25115.739688800008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640</v>
      </c>
      <c r="I17" s="1">
        <f t="shared" ref="I17:I23" si="1">(G17*D17)*F17+H17*F17</f>
        <v>33576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4910.4899999999989</v>
      </c>
      <c r="M17" s="117">
        <f t="shared" ref="M17:M23" si="2">I17-K17-L17</f>
        <v>28665.510000000002</v>
      </c>
      <c r="N17" s="100">
        <f>+'1'!N17+'2'!N17+'4'!N17+'3'!N17+'5'!N17+'6'!N17+'7'!N17+'8'!N17+'9'!N17+'10'!N17</f>
        <v>4026.6018000000004</v>
      </c>
      <c r="O17" s="100">
        <f>+'1'!O17+'2'!O17+'4'!O17+'3'!O17+'5'!O17+'6'!O17+'7'!O17+'8'!O17+'9'!O17+'10'!O17</f>
        <v>131.98305899999997</v>
      </c>
      <c r="P17" s="119">
        <f t="shared" si="0"/>
        <v>32824.094859000004</v>
      </c>
      <c r="S17" s="64"/>
      <c r="T17" s="162" t="str">
        <f>+'3'!A5</f>
        <v>Customer Name : Gourmet Food BHATTHA CHOWK LHR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DHA FF BLOCK LHR</v>
      </c>
      <c r="U18" s="163">
        <f>+'5'!P35</f>
        <v>25115.739688800008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640</v>
      </c>
      <c r="I19" s="1">
        <f t="shared" si="1"/>
        <v>46489.599999999999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6799.1039999999985</v>
      </c>
      <c r="M19" s="117">
        <f t="shared" si="2"/>
        <v>39690.495999999999</v>
      </c>
      <c r="N19" s="100">
        <f>+'1'!N19+'2'!N19+'4'!N19+'3'!N19+'5'!N19+'6'!N19+'7'!N19+'8'!N19+'9'!N19+'10'!N19</f>
        <v>5575.2652800000014</v>
      </c>
      <c r="O19" s="100">
        <f>+'1'!O19+'2'!O19+'4'!O19+'3'!O19+'5'!O19+'6'!O19+'7'!O19+'8'!O19+'9'!O19+'10'!O19</f>
        <v>182.74480640000002</v>
      </c>
      <c r="P19" s="119">
        <f t="shared" si="0"/>
        <v>45448.506086399997</v>
      </c>
      <c r="T19" s="162" t="str">
        <f>+'6'!A5</f>
        <v>Customer Name : Gourmet Food DHA H BLOCK LHR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640</v>
      </c>
      <c r="I20" s="1">
        <f t="shared" si="1"/>
        <v>46489.599999999999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6799.1039999999985</v>
      </c>
      <c r="M20" s="117">
        <f t="shared" si="2"/>
        <v>39690.495999999999</v>
      </c>
      <c r="N20" s="100">
        <f>+'1'!N20+'2'!N20+'4'!N20+'3'!N20+'5'!N20+'6'!N20+'7'!N20+'8'!N20+'9'!N20+'10'!N20</f>
        <v>5575.2652800000014</v>
      </c>
      <c r="O20" s="100">
        <f>+'1'!O20+'2'!O20+'4'!O20+'3'!O20+'5'!O20+'6'!O20+'7'!O20+'8'!O20+'9'!O20+'10'!O20</f>
        <v>182.74480640000002</v>
      </c>
      <c r="P20" s="119">
        <f t="shared" si="0"/>
        <v>45448.506086399997</v>
      </c>
      <c r="T20" s="162" t="str">
        <f>+'7'!A5</f>
        <v>Customer Name : Gourmet Food DHA K BLOCK LHR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640</v>
      </c>
      <c r="I21" s="1">
        <f t="shared" si="1"/>
        <v>46489.599999999999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6799.1039999999985</v>
      </c>
      <c r="M21" s="117">
        <f t="shared" si="2"/>
        <v>39690.495999999999</v>
      </c>
      <c r="N21" s="100">
        <f>+'1'!N21+'2'!N21+'4'!N21+'3'!N21+'5'!N21+'6'!N21+'7'!N21+'8'!N21+'9'!N21+'10'!N21</f>
        <v>5575.2652800000014</v>
      </c>
      <c r="O21" s="100">
        <f>+'1'!O21+'2'!O21+'4'!O21+'3'!O21+'5'!O21+'6'!O21+'7'!O21+'8'!O21+'9'!O21+'10'!O21</f>
        <v>182.74480640000002</v>
      </c>
      <c r="P21" s="119">
        <f t="shared" si="0"/>
        <v>45448.506086399997</v>
      </c>
      <c r="T21" s="162" t="str">
        <f>+'8'!A5</f>
        <v>Customer Name : Gourmet Food DHA XX-3 BLOCK LHR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DHA Z BLOCK LHR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NADRA ABAD LHR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NISHAT COLONY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80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3200</v>
      </c>
      <c r="I25" s="177">
        <f t="shared" si="3"/>
        <v>206620.80000000002</v>
      </c>
      <c r="J25" s="176">
        <f t="shared" si="3"/>
        <v>0</v>
      </c>
      <c r="K25" s="177">
        <f t="shared" si="3"/>
        <v>0</v>
      </c>
      <c r="L25" s="178">
        <f t="shared" si="3"/>
        <v>30218.291999999994</v>
      </c>
      <c r="M25" s="140">
        <f t="shared" si="3"/>
        <v>176402.50799999997</v>
      </c>
      <c r="N25" s="141">
        <f>SUM(N16:N24)</f>
        <v>24778.999440000007</v>
      </c>
      <c r="O25" s="142">
        <f>SUM(O16:O24)</f>
        <v>812.20053719999999</v>
      </c>
      <c r="P25" s="143">
        <f>SUM(P16:P24)</f>
        <v>201993.70797719999</v>
      </c>
      <c r="T25" s="162" t="str">
        <f>+'12'!A5</f>
        <v>Customer Name : Gourmet Food PUNJAB SOCIETY GHAZI ROAD LHR</v>
      </c>
      <c r="U25" s="163">
        <f>+'12'!P35</f>
        <v>25115.739688800008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200925.91751040006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206620.80000000002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30218.291999999994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176402.50800000003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24778.999440000007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201181.50744000004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5029.5376860000015</v>
      </c>
    </row>
    <row r="51" spans="2:16" ht="15.75" customHeight="1" thickBot="1" x14ac:dyDescent="0.4">
      <c r="N51" s="314" t="s">
        <v>92</v>
      </c>
      <c r="O51" s="315"/>
      <c r="P51" s="159">
        <f>P49+P50</f>
        <v>206211.04512600004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 t="s">
        <v>109</v>
      </c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114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115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117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119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121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123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124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125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127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129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0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46197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46196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106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46197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46196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A7" sqref="A7:C7"/>
    </sheetView>
  </sheetViews>
  <sheetFormatPr defaultRowHeight="14.5" x14ac:dyDescent="0.35"/>
  <sheetData>
    <row r="5" spans="1:8" x14ac:dyDescent="0.35">
      <c r="A5" t="s">
        <v>101</v>
      </c>
    </row>
    <row r="6" spans="1:8" x14ac:dyDescent="0.35">
      <c r="A6" t="s">
        <v>106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2026-06-24T12:42:22Z</dcterms:modified>
</cp:coreProperties>
</file>