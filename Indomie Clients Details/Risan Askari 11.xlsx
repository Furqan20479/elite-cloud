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365C241-06A4-4338-AD5A-5FF69ADC0B30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<sst xmlns="http://schemas.openxmlformats.org/spreadsheetml/2006/main" count="1599" uniqueCount="108">
  <si>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</si>
  <si>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</si>
  <si>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</si>
  <si>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</si>
  <si>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</si>
  <si>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</si>
  <si>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</si>
  <si>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</si>
  <si>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</si>
  <si>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</si>
  <si>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</si>
  <si>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</si>
  <si>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</si>
  <si>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</si>
  <si>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</si>
  <si>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</si>
  <si>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</si>
  <si>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</si>
  <si>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</si>
  <si>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</si>
  <si>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</si>
  <si>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</si>
  <si>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</si>
  <si>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</si>
  <si>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</si>
  <si>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</si>
  <si>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</si>
  <si>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</si>
  <si>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</si>
  <si>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</si>
  <si>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</si>
  <si>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</si>
  <si>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</si>
  <si>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</si>
  <si>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</si>
  <si>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</si>
  <si>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</si>
  <si>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</si>
  <si>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</si>
  <si>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</si>
  <si>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</si>
  <si>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</si>
  <si>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</si>
  <si>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</si>
  <si>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</si>
  <si>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</si>
  <si>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</si>
  <si>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</si>
  <si>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</si>
  <si>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</si>
  <si>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</si>
  <si>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</si>
  <si>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</si>
  <si>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</si>
  <si>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</si>
  <si>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</si>
  <si>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</si>
  <si>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</si>
  <si>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</si>
  <si>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</si>
  <si>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</si>
  <si>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</si>
  <si>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</si>
  <si>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</si>
  <si>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</si>
  <si>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</si>
  <si>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</si>
  <si>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</si>
  <si>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</si>
  <si>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</si>
  <si>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</si>
  <si>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</si>
  <si>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</si>
  <si>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</si>
  <si>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</si>
  <si>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</si>
  <si>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</si>
  <si>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</si>
  <si>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</si>
  <si>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</si>
  <si>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</si>
  <si>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</si>
  <si>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</si>
  <si>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</si>
  <si>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</si>
  <si>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</si>
  <si>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</si>
  <si>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</si>
  <si>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</si>
  <si>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</si>
  <si>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</si>
  <si>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</si>
  <si>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</si>
  <si>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</si>
  <si>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</si>
  <si>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</si>
  <si>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</si>
  <si>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</si>
  <si>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</si>
  <si>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</si>
  <si>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</si>
  <si>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</si>
  <si>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</si>
  <si>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</si>
  <si>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Customer Name : MB Traders (Risen)</t>
  </si>
  <si>
    <t>Address: Askari 11</t>
  </si>
  <si>
    <t>5526536-5</t>
  </si>
  <si>
    <t>327787616388-9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</si>
</sst>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7" sqref="J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7" sqref="J7"/>
      <selection pane="topRight" activeCell="J7" sqref="J7"/>
      <selection pane="bottomLeft" activeCell="J7" sqref="J7"/>
      <selection pane="bottomRight" activeCell="J7" sqref="J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5" zoomScale="70" zoomScaleNormal="70" workbookViewId="0">
      <selection activeCell="J7" sqref="J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MB Traders (Risen)</v>
      </c>
      <c r="U14" s="163">
        <f>+'1'!P35</f>
        <v>17605.627225199998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MB Traders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MB Traders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1804.71</v>
      </c>
      <c r="N17" s="100">
        <f>+'1'!N17+'2'!N17+'4'!N17+'3'!N17+'5'!N17+'6'!N17+'7'!N17+'8'!N17+'9'!N17+'10'!N17</f>
        <v>343.73430000000002</v>
      </c>
      <c r="O17" s="100">
        <f>+'1'!O17+'2'!O17+'4'!O17+'3'!O17+'5'!O17+'6'!O17+'7'!O17+'8'!O17+'9'!O17+'10'!O17</f>
        <v>10.742221500000001</v>
      </c>
      <c r="P17" s="119">
        <f t="shared" si="0"/>
        <v>2159.1865215000003</v>
      </c>
      <c r="S17" s="64"/>
      <c r="T17" s="162" t="str">
        <f>+'3'!A5</f>
        <v>Customer Name : MB Traders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4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587.58000000000004</v>
      </c>
      <c r="M18" s="117">
        <f t="shared" si="2"/>
        <v>3609.42</v>
      </c>
      <c r="N18" s="100">
        <f>+'1'!N18+'2'!N18+'4'!N18+'3'!N18+'5'!N18+'6'!N18+'7'!N18+'8'!N18+'9'!N18+'10'!N18</f>
        <v>687.46860000000004</v>
      </c>
      <c r="O18" s="100">
        <f>+'1'!O18+'2'!O18+'4'!O18+'3'!O18+'5'!O18+'6'!O18+'7'!O18+'8'!O18+'9'!O18+'10'!O18</f>
        <v>21.484443000000002</v>
      </c>
      <c r="P18" s="119">
        <f t="shared" si="0"/>
        <v>4318.3730430000005</v>
      </c>
      <c r="T18" s="162" t="str">
        <f>+'5'!A5</f>
        <v>Customer Name : MB Traders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MB Traders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MB Traders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MB Traders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MB Traders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MB Traders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MB Traders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</v>
      </c>
      <c r="D25" s="205"/>
      <c r="E25" s="205"/>
      <c r="F25" s="205"/>
      <c r="G25" s="175">
        <f t="shared" ref="G25:M25" si="3">SUM(G16:G24)</f>
        <v>0</v>
      </c>
      <c r="H25" s="176">
        <f t="shared" si="3"/>
        <v>280</v>
      </c>
      <c r="I25" s="177">
        <f t="shared" si="3"/>
        <v>17110.8</v>
      </c>
      <c r="J25" s="176">
        <f t="shared" si="3"/>
        <v>14</v>
      </c>
      <c r="K25" s="177">
        <f t="shared" si="3"/>
        <v>0</v>
      </c>
      <c r="L25" s="178">
        <f t="shared" si="3"/>
        <v>2395.5120000000002</v>
      </c>
      <c r="M25" s="140">
        <f t="shared" si="3"/>
        <v>14715.287999999999</v>
      </c>
      <c r="N25" s="141">
        <f>SUM(N16:N24)</f>
        <v>2802.7490399999997</v>
      </c>
      <c r="O25" s="142">
        <f>SUM(O16:O24)</f>
        <v>87.590185200000008</v>
      </c>
      <c r="P25" s="143">
        <f>SUM(P16:P24)</f>
        <v>17605.627225199998</v>
      </c>
      <c r="T25" s="162" t="str">
        <f>+'12'!A5</f>
        <v>Customer Name : MB Traders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MB Traders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MB Traders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MB Traders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17605.627225199998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17110.8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2395.5120000000002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14715.287999999999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2802.7490399999997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17518.037039999999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437.95092599999998</v>
      </c>
    </row>
    <row r="39" spans="2:16" ht="15.75" customHeight="1" thickBot="1" x14ac:dyDescent="0.4">
      <c r="N39" s="203" t="s">
        <v>92</v>
      </c>
      <c r="O39" s="204"/>
      <c r="P39" s="159">
        <f>P37+P38</f>
        <v>17955.987966000001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>
        <v>2</v>
      </c>
      <c r="K17" s="1">
        <f t="shared" ref="K17:K21" si="4">I17*$K$13</f>
        <v>0</v>
      </c>
      <c r="L17" s="104">
        <f t="shared" ref="L17:L21" si="5">I17*14%</f>
        <v>293.79000000000002</v>
      </c>
      <c r="M17" s="117">
        <f t="shared" ref="M17:M23" si="6">I17-K17-L17</f>
        <v>1804.71</v>
      </c>
      <c r="N17" s="117">
        <f t="shared" si="0"/>
        <v>343.73430000000002</v>
      </c>
      <c r="O17" s="118">
        <f t="shared" si="1"/>
        <v>10.742221500000001</v>
      </c>
      <c r="P17" s="119">
        <f t="shared" si="2"/>
        <v>2159.1865215000003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>
        <v>4</v>
      </c>
      <c r="K18" s="1">
        <f t="shared" si="4"/>
        <v>0</v>
      </c>
      <c r="L18" s="104">
        <f t="shared" si="5"/>
        <v>587.58000000000004</v>
      </c>
      <c r="M18" s="117">
        <f t="shared" si="6"/>
        <v>3609.42</v>
      </c>
      <c r="N18" s="117">
        <f t="shared" si="0"/>
        <v>687.46860000000004</v>
      </c>
      <c r="O18" s="118">
        <f t="shared" si="1"/>
        <v>21.484443000000002</v>
      </c>
      <c r="P18" s="119">
        <f t="shared" si="2"/>
        <v>4318.3730430000005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280</v>
      </c>
      <c r="I25" s="136">
        <f t="shared" si="9"/>
        <v>17110.8</v>
      </c>
      <c r="J25" s="137"/>
      <c r="K25" s="138">
        <f t="shared" si="9"/>
        <v>0</v>
      </c>
      <c r="L25" s="139">
        <f t="shared" si="9"/>
        <v>2395.5120000000002</v>
      </c>
      <c r="M25" s="140">
        <f t="shared" si="9"/>
        <v>14715.287999999999</v>
      </c>
      <c r="N25" s="141">
        <f>SUM(N16:N24)</f>
        <v>2802.7490399999997</v>
      </c>
      <c r="O25" s="142">
        <f>SUM(O16:O24)</f>
        <v>87.590185200000008</v>
      </c>
      <c r="P25" s="143">
        <f>SUM(P16:P24)</f>
        <v>17605.627225199998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17110.8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2395.5120000000002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14715.287999999999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2802.7490399999997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17518.037039999999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87.590185199999993</v>
      </c>
    </row>
    <row r="35" spans="2:16" ht="15.75" customHeight="1" thickBot="1" x14ac:dyDescent="0.4">
      <c r="N35" s="203" t="s">
        <v>92</v>
      </c>
      <c r="O35" s="204"/>
      <c r="P35" s="159">
        <f>P33+P34</f>
        <v>17605.627225199998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2026-06-16T06:40:01Z</dcterms:modified>
</cp:coreProperties>
</file>