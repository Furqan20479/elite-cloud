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2ED77F0-70D5-45A2-ABAA-91EF65430C4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<sst xmlns="http://schemas.openxmlformats.org/spreadsheetml/2006/main" count="1579" uniqueCount="107">
  <si>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</si>
  <si>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</si>
  <si>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</si>
  <si>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</si>
  <si>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</si>
  <si>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</si>
  <si>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</si>
  <si>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</si>
  <si>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</si>
  <si>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</si>
  <si>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</si>
  <si>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</si>
  <si>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</si>
  <si>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</si>
  <si>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</si>
  <si>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</si>
  <si>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</si>
  <si>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</si>
  <si>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</si>
  <si>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</si>
  <si>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</si>
  <si>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</si>
  <si>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</si>
  <si>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</si>
  <si>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</si>
  <si>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</si>
  <si>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</si>
  <si>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</si>
  <si>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</si>
  <si>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</si>
  <si>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</si>
  <si>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</si>
  <si>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</si>
  <si>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</si>
  <si>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</si>
  <si>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</si>
  <si>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</si>
  <si>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</si>
  <si>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</si>
  <si>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</si>
  <si>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</si>
  <si>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</si>
  <si>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</si>
  <si>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</si>
  <si>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</si>
  <si>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</si>
  <si>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</si>
  <si>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</si>
  <si>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</si>
  <si>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</si>
  <si>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</si>
  <si>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</si>
  <si>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</si>
  <si>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</si>
  <si>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</si>
  <si>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</si>
  <si>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</si>
  <si>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</si>
  <si>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</si>
  <si>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</si>
  <si>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</si>
  <si>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</si>
  <si>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</si>
  <si>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</si>
  <si>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</si>
  <si>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</si>
  <si>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</si>
  <si>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</si>
  <si>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</si>
  <si>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</si>
  <si>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</si>
  <si>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</si>
  <si>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</si>
  <si>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</si>
  <si>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</si>
  <si>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</si>
  <si>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</si>
  <si>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</si>
  <si>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</si>
  <si>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</si>
  <si>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</si>
  <si>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</si>
  <si>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</si>
  <si>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</si>
  <si>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</si>
  <si>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</si>
  <si>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</si>
  <si>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</si>
  <si>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</si>
  <si>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</si>
  <si>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</si>
  <si>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</si>
  <si>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</si>
  <si>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</si>
  <si>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</si>
  <si>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</si>
  <si>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</si>
  <si>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</si>
  <si>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</si>
  <si>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</si>
  <si>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</si>
  <si>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</si>
  <si>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</si>
  <si>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</si>
  <si>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Address: Singh pura</t>
  </si>
  <si>
    <t>G727712-0</t>
  </si>
  <si>
    <t>Customer Name : Crown Super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</si>
</sst>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Crown Super Market</v>
      </c>
      <c r="U14" s="163">
        <f>+'1'!P35</f>
        <v>32395.582612800001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Crown Super Market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503.64</v>
      </c>
      <c r="M16" s="105">
        <f>I16-K16-L16</f>
        <v>3693.36</v>
      </c>
      <c r="N16" s="100">
        <f>+'1'!N16+'2'!N16+'4'!N16+'3'!N16+'5'!N16+'6'!N16+'7'!N16+'8'!N16+'9'!N16+'10'!N16</f>
        <v>812.53920000000005</v>
      </c>
      <c r="O16" s="100">
        <f>+'1'!O16+'2'!O16+'4'!O16+'3'!O16+'5'!O16+'6'!O16+'7'!O16+'8'!O16+'9'!O16+'10'!O16</f>
        <v>22.529495999999998</v>
      </c>
      <c r="P16" s="104">
        <f t="shared" ref="P16:P24" si="0">M16+N16+O16</f>
        <v>4528.4286959999999</v>
      </c>
      <c r="Q16" s="107"/>
      <c r="T16" s="162" t="str">
        <f>+'4'!A5</f>
        <v>Customer Name : Crown Super Market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503.64</v>
      </c>
      <c r="M17" s="117">
        <f t="shared" ref="M17:M23" si="2">I17-K17-L17</f>
        <v>3693.36</v>
      </c>
      <c r="N17" s="100">
        <f>+'1'!N17+'2'!N17+'4'!N17+'3'!N17+'5'!N17+'6'!N17+'7'!N17+'8'!N17+'9'!N17+'10'!N17</f>
        <v>812.53920000000005</v>
      </c>
      <c r="O17" s="100">
        <f>+'1'!O17+'2'!O17+'4'!O17+'3'!O17+'5'!O17+'6'!O17+'7'!O17+'8'!O17+'9'!O17+'10'!O17</f>
        <v>22.529495999999998</v>
      </c>
      <c r="P17" s="119">
        <f t="shared" si="0"/>
        <v>4528.4286959999999</v>
      </c>
      <c r="S17" s="64"/>
      <c r="T17" s="162" t="str">
        <f>+'3'!A5</f>
        <v>Customer Name : Crown Super Market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503.64</v>
      </c>
      <c r="M18" s="117">
        <f t="shared" si="2"/>
        <v>3693.36</v>
      </c>
      <c r="N18" s="100">
        <f>+'1'!N18+'2'!N18+'4'!N18+'3'!N18+'5'!N18+'6'!N18+'7'!N18+'8'!N18+'9'!N18+'10'!N18</f>
        <v>812.53920000000005</v>
      </c>
      <c r="O18" s="100">
        <f>+'1'!O18+'2'!O18+'4'!O18+'3'!O18+'5'!O18+'6'!O18+'7'!O18+'8'!O18+'9'!O18+'10'!O18</f>
        <v>22.529495999999998</v>
      </c>
      <c r="P18" s="119">
        <f t="shared" si="0"/>
        <v>4528.4286959999999</v>
      </c>
      <c r="T18" s="162" t="str">
        <f>+'5'!A5</f>
        <v>Customer Name : Crown Super Market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697.34399999999994</v>
      </c>
      <c r="M19" s="117">
        <f t="shared" si="2"/>
        <v>5113.8559999999998</v>
      </c>
      <c r="N19" s="100">
        <f>+'1'!N19+'2'!N19+'4'!N19+'3'!N19+'5'!N19+'6'!N19+'7'!N19+'8'!N19+'9'!N19+'10'!N19</f>
        <v>1125.0483199999999</v>
      </c>
      <c r="O19" s="100">
        <f>+'1'!O19+'2'!O19+'4'!O19+'3'!O19+'5'!O19+'6'!O19+'7'!O19+'8'!O19+'9'!O19+'10'!O19</f>
        <v>31.194521599999998</v>
      </c>
      <c r="P19" s="119">
        <f t="shared" si="0"/>
        <v>6270.0988416</v>
      </c>
      <c r="T19" s="162" t="str">
        <f>+'6'!A5</f>
        <v>Customer Name : Crown Super Market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697.34399999999994</v>
      </c>
      <c r="M20" s="117">
        <f t="shared" si="2"/>
        <v>5113.8559999999998</v>
      </c>
      <c r="N20" s="100">
        <f>+'1'!N20+'2'!N20+'4'!N20+'3'!N20+'5'!N20+'6'!N20+'7'!N20+'8'!N20+'9'!N20+'10'!N20</f>
        <v>1125.0483199999999</v>
      </c>
      <c r="O20" s="100">
        <f>+'1'!O20+'2'!O20+'4'!O20+'3'!O20+'5'!O20+'6'!O20+'7'!O20+'8'!O20+'9'!O20+'10'!O20</f>
        <v>31.194521599999998</v>
      </c>
      <c r="P20" s="119">
        <f t="shared" si="0"/>
        <v>6270.0988416</v>
      </c>
      <c r="T20" s="162" t="str">
        <f>+'7'!A5</f>
        <v>Customer Name : Crown Super Market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697.34399999999994</v>
      </c>
      <c r="M21" s="117">
        <f t="shared" si="2"/>
        <v>5113.8559999999998</v>
      </c>
      <c r="N21" s="100">
        <f>+'1'!N21+'2'!N21+'4'!N21+'3'!N21+'5'!N21+'6'!N21+'7'!N21+'8'!N21+'9'!N21+'10'!N21</f>
        <v>1125.0483199999999</v>
      </c>
      <c r="O21" s="100">
        <f>+'1'!O21+'2'!O21+'4'!O21+'3'!O21+'5'!O21+'6'!O21+'7'!O21+'8'!O21+'9'!O21+'10'!O21</f>
        <v>31.194521599999998</v>
      </c>
      <c r="P21" s="119">
        <f t="shared" si="0"/>
        <v>6270.0988416</v>
      </c>
      <c r="T21" s="162" t="str">
        <f>+'8'!A5</f>
        <v>Customer Name : Crown Super Market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Crown Super Market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Crown Super Market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Crown Super Market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12</v>
      </c>
      <c r="D25" s="221"/>
      <c r="E25" s="221"/>
      <c r="F25" s="221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0</v>
      </c>
      <c r="K25" s="177">
        <f t="shared" si="3"/>
        <v>0</v>
      </c>
      <c r="L25" s="178">
        <f t="shared" si="3"/>
        <v>3602.9520000000002</v>
      </c>
      <c r="M25" s="140">
        <f t="shared" si="3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  <c r="T25" s="162" t="str">
        <f>+'12'!A5</f>
        <v>Customer Name : Crown Super Market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Crown Super Market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Crown Super Market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Crown Super Market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32395.582612800001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30024.600000000002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3602.9520000000002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26421.648000000001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5812.7625599999992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32234.41056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805.86026400000003</v>
      </c>
    </row>
    <row r="39" spans="2:16" ht="15.75" customHeight="1" thickBot="1" x14ac:dyDescent="0.4">
      <c r="N39" s="219" t="s">
        <v>92</v>
      </c>
      <c r="O39" s="220"/>
      <c r="P39" s="159">
        <f>P37+P38</f>
        <v>33040.270823999999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D10" sqref="D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I16*12%</f>
        <v>503.64</v>
      </c>
      <c r="M16" s="105">
        <f>I16-K16-L16</f>
        <v>3693.36</v>
      </c>
      <c r="N16" s="105">
        <f t="shared" ref="N16:N24" si="0">(M16*$N$15)+(J16*F16)*$N$15</f>
        <v>812.53920000000005</v>
      </c>
      <c r="O16" s="106">
        <f t="shared" ref="O16:O24" si="1">(N16+M16)*$O$15</f>
        <v>22.529495999999998</v>
      </c>
      <c r="P16" s="104">
        <f t="shared" ref="P16:P24" si="2">M16+N16+O16</f>
        <v>4528.4286959999999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">
        <f t="shared" ref="K17:K21" si="4">I17*$K$13</f>
        <v>0</v>
      </c>
      <c r="L17" s="104">
        <f t="shared" ref="L17:L21" si="5">I17*12%</f>
        <v>503.64</v>
      </c>
      <c r="M17" s="117">
        <f t="shared" ref="M17:M23" si="6">I17-K17-L17</f>
        <v>3693.36</v>
      </c>
      <c r="N17" s="117">
        <f t="shared" si="0"/>
        <v>812.53920000000005</v>
      </c>
      <c r="O17" s="118">
        <f t="shared" si="1"/>
        <v>22.529495999999998</v>
      </c>
      <c r="P17" s="119">
        <f t="shared" si="2"/>
        <v>4528.4286959999999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/>
      <c r="K18" s="1">
        <f t="shared" si="4"/>
        <v>0</v>
      </c>
      <c r="L18" s="104">
        <f t="shared" si="5"/>
        <v>503.64</v>
      </c>
      <c r="M18" s="117">
        <f t="shared" si="6"/>
        <v>3693.36</v>
      </c>
      <c r="N18" s="117">
        <f t="shared" si="0"/>
        <v>812.53920000000005</v>
      </c>
      <c r="O18" s="118">
        <f t="shared" si="1"/>
        <v>22.529495999999998</v>
      </c>
      <c r="P18" s="119">
        <f t="shared" si="2"/>
        <v>4528.4286959999999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697.34399999999994</v>
      </c>
      <c r="M19" s="117">
        <f t="shared" si="6"/>
        <v>5113.8559999999998</v>
      </c>
      <c r="N19" s="117">
        <f t="shared" si="0"/>
        <v>1125.0483199999999</v>
      </c>
      <c r="O19" s="118">
        <f t="shared" si="1"/>
        <v>31.194521599999998</v>
      </c>
      <c r="P19" s="119">
        <f t="shared" si="2"/>
        <v>6270.0988416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">
        <f t="shared" si="4"/>
        <v>0</v>
      </c>
      <c r="L20" s="104">
        <f t="shared" si="5"/>
        <v>697.34399999999994</v>
      </c>
      <c r="M20" s="117">
        <f t="shared" si="6"/>
        <v>5113.8559999999998</v>
      </c>
      <c r="N20" s="117">
        <f t="shared" si="0"/>
        <v>1125.0483199999999</v>
      </c>
      <c r="O20" s="118">
        <f t="shared" si="1"/>
        <v>31.194521599999998</v>
      </c>
      <c r="P20" s="119">
        <f t="shared" si="2"/>
        <v>6270.0988416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697.34399999999994</v>
      </c>
      <c r="M21" s="117">
        <f t="shared" si="6"/>
        <v>5113.8559999999998</v>
      </c>
      <c r="N21" s="117">
        <f t="shared" si="0"/>
        <v>1125.0483199999999</v>
      </c>
      <c r="O21" s="118">
        <f t="shared" si="1"/>
        <v>31.194521599999998</v>
      </c>
      <c r="P21" s="119">
        <f t="shared" si="2"/>
        <v>6270.0988416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3602.9520000000002</v>
      </c>
      <c r="M25" s="140">
        <f t="shared" si="9"/>
        <v>26421.648000000001</v>
      </c>
      <c r="N25" s="141">
        <f>SUM(N16:N24)</f>
        <v>5812.7625599999992</v>
      </c>
      <c r="O25" s="142">
        <f>SUM(O16:O24)</f>
        <v>161.17205279999999</v>
      </c>
      <c r="P25" s="143">
        <f>SUM(P16:P24)</f>
        <v>32395.582612800001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30024.600000000002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3602.9520000000002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26421.648000000001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5812.7625599999992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32234.41056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161.17205280000002</v>
      </c>
    </row>
    <row r="35" spans="2:16" ht="15.75" customHeight="1" thickBot="1" x14ac:dyDescent="0.4">
      <c r="N35" s="219" t="s">
        <v>92</v>
      </c>
      <c r="O35" s="220"/>
      <c r="P35" s="159">
        <f>P33+P34</f>
        <v>32395.582612800001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G10" sqref="G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104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2026-06-17T06:36:00Z</dcterms:modified>
</cp:coreProperties>
</file>