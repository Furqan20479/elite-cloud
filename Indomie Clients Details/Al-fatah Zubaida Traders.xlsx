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C01787C-38E5-46ED-BE28-0AE5E225E098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0" i="15" s="1"/>
  <c r="L21" i="16"/>
  <c r="L21" i="15" s="1"/>
  <c r="K16" i="16"/>
  <c r="L16" i="16"/>
  <c r="K18" i="16"/>
  <c r="L18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M18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P33" i="23" l="1"/>
  <c r="P34" i="23" s="1"/>
  <c r="P35" i="23" s="1"/>
  <c r="U21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<sst xmlns="http://schemas.openxmlformats.org/spreadsheetml/2006/main" count="1579" uniqueCount="107">
  <si>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</si>
  <si>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</si>
  <si>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</si>
  <si>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</si>
  <si>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</si>
  <si>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</si>
  <si>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</si>
  <si>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</si>
  <si>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</si>
  <si>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</si>
  <si>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</si>
  <si>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</si>
  <si>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</si>
  <si>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</si>
  <si>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</si>
  <si>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</si>
  <si>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</si>
  <si>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</si>
  <si>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</si>
  <si>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</si>
  <si>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</si>
  <si>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</si>
  <si>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</si>
  <si>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</si>
  <si>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</si>
  <si>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</si>
  <si>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</si>
  <si>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</si>
  <si>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</si>
  <si>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</si>
  <si>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</si>
  <si>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</si>
  <si>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</si>
  <si>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</si>
  <si>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</si>
  <si>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</si>
  <si>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</si>
  <si>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</si>
  <si>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</si>
  <si>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</si>
  <si>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</si>
  <si>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</si>
  <si>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</si>
  <si>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</si>
  <si>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</si>
  <si>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</si>
  <si>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</si>
  <si>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</si>
  <si>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</si>
  <si>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</si>
  <si>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</si>
  <si>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</si>
  <si>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</si>
  <si>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</si>
  <si>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</si>
  <si>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</si>
  <si>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</si>
  <si>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</si>
  <si>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</si>
  <si>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</si>
  <si>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</si>
  <si>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</si>
  <si>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</si>
  <si>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</si>
  <si>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</si>
  <si>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</si>
  <si>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</si>
  <si>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</si>
  <si>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</si>
  <si>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</si>
  <si>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</si>
  <si>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</si>
  <si>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</si>
  <si>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</si>
  <si>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</si>
  <si>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</si>
  <si>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</si>
  <si>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</si>
  <si>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</si>
  <si>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</si>
  <si>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</si>
  <si>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</si>
  <si>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</si>
  <si>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</si>
  <si>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</si>
  <si>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</si>
  <si>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</si>
  <si>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</si>
  <si>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</si>
  <si>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</si>
  <si>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</si>
  <si>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</si>
  <si>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</si>
  <si>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</si>
  <si>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</si>
  <si>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</si>
  <si>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</si>
  <si>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</si>
  <si>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</si>
  <si>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</si>
  <si>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</si>
  <si>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</si>
  <si>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</si>
  <si>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</si>
  <si>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4269497-3</t>
  </si>
  <si>
    <t>Customer Name : Zubaida Associate</t>
  </si>
  <si>
    <t>Address: Attari Darbar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</si>
</sst>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1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Zubaida Associate</v>
      </c>
      <c r="U14" s="163">
        <f>+'1'!P35</f>
        <v>711089.45287200005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Zubaida Associate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800</v>
      </c>
      <c r="I16" s="1">
        <f>(G16*D16)*F16+H16*F16</f>
        <v>41970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7554.5999999999995</v>
      </c>
      <c r="M16" s="105">
        <f>I16-K16-L16</f>
        <v>34415.4</v>
      </c>
      <c r="N16" s="100">
        <f>+'1'!N16+'2'!N16+'4'!N16+'3'!N16+'5'!N16+'6'!N16+'7'!N16+'8'!N16+'9'!N16+'10'!N16</f>
        <v>6194.7719999999999</v>
      </c>
      <c r="O16" s="100">
        <f>+'1'!O16+'2'!O16+'4'!O16+'3'!O16+'5'!O16+'6'!O16+'7'!O16+'8'!O16+'9'!O16+'10'!O16</f>
        <v>203.05086</v>
      </c>
      <c r="P16" s="104">
        <f t="shared" ref="P16:P24" si="0">M16+N16+O16</f>
        <v>40813.222860000002</v>
      </c>
      <c r="Q16" s="107"/>
      <c r="T16" s="162" t="str">
        <f>+'4'!A5</f>
        <v>Customer Name : Zubaida Associate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1200</v>
      </c>
      <c r="I17" s="1">
        <f t="shared" ref="I17:I23" si="1">(G17*D17)*F17+H17*F17</f>
        <v>62955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11331.9</v>
      </c>
      <c r="M17" s="117">
        <f t="shared" ref="M17:M23" si="2">I17-K17-L17</f>
        <v>51623.1</v>
      </c>
      <c r="N17" s="100">
        <f>+'1'!N17+'2'!N17+'4'!N17+'3'!N17+'5'!N17+'6'!N17+'7'!N17+'8'!N17+'9'!N17+'10'!N17</f>
        <v>9292.1579999999994</v>
      </c>
      <c r="O17" s="100">
        <f>+'1'!O17+'2'!O17+'4'!O17+'3'!O17+'5'!O17+'6'!O17+'7'!O17+'8'!O17+'9'!O17+'10'!O17</f>
        <v>304.57629000000003</v>
      </c>
      <c r="P17" s="119">
        <f t="shared" si="0"/>
        <v>61219.834289999999</v>
      </c>
      <c r="S17" s="64"/>
      <c r="T17" s="162" t="str">
        <f>+'3'!A5</f>
        <v>Customer Name : Zubaida Associate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2800</v>
      </c>
      <c r="I18" s="1">
        <f t="shared" si="1"/>
        <v>146895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26441.1</v>
      </c>
      <c r="M18" s="117">
        <f t="shared" si="2"/>
        <v>120453.9</v>
      </c>
      <c r="N18" s="100">
        <f>+'1'!N18+'2'!N18+'4'!N18+'3'!N18+'5'!N18+'6'!N18+'7'!N18+'8'!N18+'9'!N18+'10'!N18</f>
        <v>21681.701999999997</v>
      </c>
      <c r="O18" s="100">
        <f>+'1'!O18+'2'!O18+'4'!O18+'3'!O18+'5'!O18+'6'!O18+'7'!O18+'8'!O18+'9'!O18+'10'!O18</f>
        <v>710.67800999999997</v>
      </c>
      <c r="P18" s="119">
        <f t="shared" si="0"/>
        <v>142846.28000999999</v>
      </c>
      <c r="T18" s="162" t="str">
        <f>+'5'!A5</f>
        <v>Customer Name : Zubaida Associate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1800</v>
      </c>
      <c r="I19" s="1">
        <f t="shared" si="1"/>
        <v>130752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23535.360000000001</v>
      </c>
      <c r="M19" s="117">
        <f t="shared" si="2"/>
        <v>107216.64</v>
      </c>
      <c r="N19" s="100">
        <f>+'1'!N19+'2'!N19+'4'!N19+'3'!N19+'5'!N19+'6'!N19+'7'!N19+'8'!N19+'9'!N19+'10'!N19</f>
        <v>19298.995199999998</v>
      </c>
      <c r="O19" s="100">
        <f>+'1'!O19+'2'!O19+'4'!O19+'3'!O19+'5'!O19+'6'!O19+'7'!O19+'8'!O19+'9'!O19+'10'!O19</f>
        <v>632.57817599999998</v>
      </c>
      <c r="P19" s="119">
        <f t="shared" si="0"/>
        <v>127148.21337599999</v>
      </c>
      <c r="T19" s="162" t="str">
        <f>+'6'!A5</f>
        <v>Customer Name : Zubaida Associate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1200</v>
      </c>
      <c r="I20" s="1">
        <f t="shared" si="1"/>
        <v>87168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15690.24</v>
      </c>
      <c r="M20" s="117">
        <f t="shared" si="2"/>
        <v>71477.759999999995</v>
      </c>
      <c r="N20" s="100">
        <f>+'1'!N20+'2'!N20+'4'!N20+'3'!N20+'5'!N20+'6'!N20+'7'!N20+'8'!N20+'9'!N20+'10'!N20</f>
        <v>12865.996799999999</v>
      </c>
      <c r="O20" s="100">
        <f>+'1'!O20+'2'!O20+'4'!O20+'3'!O20+'5'!O20+'6'!O20+'7'!O20+'8'!O20+'9'!O20+'10'!O20</f>
        <v>421.71878399999997</v>
      </c>
      <c r="P20" s="119">
        <f t="shared" si="0"/>
        <v>84765.475583999985</v>
      </c>
      <c r="T20" s="162" t="str">
        <f>+'7'!A5</f>
        <v>Customer Name : Zubaida Associate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3600</v>
      </c>
      <c r="I21" s="1">
        <f t="shared" si="1"/>
        <v>261504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47070.720000000001</v>
      </c>
      <c r="M21" s="117">
        <f t="shared" si="2"/>
        <v>214433.28</v>
      </c>
      <c r="N21" s="100">
        <f>+'1'!N21+'2'!N21+'4'!N21+'3'!N21+'5'!N21+'6'!N21+'7'!N21+'8'!N21+'9'!N21+'10'!N21</f>
        <v>38597.990399999995</v>
      </c>
      <c r="O21" s="100">
        <f>+'1'!O21+'2'!O21+'4'!O21+'3'!O21+'5'!O21+'6'!O21+'7'!O21+'8'!O21+'9'!O21+'10'!O21</f>
        <v>1265.156352</v>
      </c>
      <c r="P21" s="119">
        <f t="shared" si="0"/>
        <v>254296.42675199997</v>
      </c>
      <c r="T21" s="162" t="str">
        <f>+'8'!A5</f>
        <v>Customer Name : Zubaida Associate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Zubaida Associate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Zubaida Associate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Zubaida Associate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285</v>
      </c>
      <c r="D25" s="221"/>
      <c r="E25" s="221"/>
      <c r="F25" s="221"/>
      <c r="G25" s="175">
        <f t="shared" ref="G25:M25" si="3">SUM(G16:G24)</f>
        <v>0</v>
      </c>
      <c r="H25" s="176">
        <f t="shared" si="3"/>
        <v>11400</v>
      </c>
      <c r="I25" s="177">
        <f t="shared" si="3"/>
        <v>731244</v>
      </c>
      <c r="J25" s="176">
        <f t="shared" si="3"/>
        <v>0</v>
      </c>
      <c r="K25" s="177">
        <f t="shared" si="3"/>
        <v>0</v>
      </c>
      <c r="L25" s="178">
        <f t="shared" si="3"/>
        <v>131623.91999999998</v>
      </c>
      <c r="M25" s="140">
        <f t="shared" si="3"/>
        <v>599620.07999999996</v>
      </c>
      <c r="N25" s="141">
        <f>SUM(N16:N24)</f>
        <v>107931.61439999999</v>
      </c>
      <c r="O25" s="142">
        <f>SUM(O16:O24)</f>
        <v>3537.758472</v>
      </c>
      <c r="P25" s="143">
        <f>SUM(P16:P24)</f>
        <v>711089.45287199994</v>
      </c>
      <c r="T25" s="162" t="str">
        <f>+'12'!A5</f>
        <v>Customer Name : Zubaida Associate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Zubaida Associate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Zubaida Associate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Zubaida Associate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Zubaida Associate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Zubaida Associate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Zubaida Associate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711089.45287200005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8" t="s">
        <v>85</v>
      </c>
      <c r="C35" s="229"/>
      <c r="D35" s="229"/>
      <c r="E35" s="229"/>
      <c r="F35" s="229"/>
      <c r="G35" s="229"/>
      <c r="H35" s="229"/>
      <c r="I35" s="229"/>
      <c r="J35" s="229"/>
      <c r="K35" s="229"/>
      <c r="L35" s="230"/>
      <c r="N35" s="237" t="s">
        <v>86</v>
      </c>
      <c r="O35" s="238"/>
      <c r="P35" s="151">
        <f>I25</f>
        <v>731244</v>
      </c>
    </row>
    <row r="36" spans="1:21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N36" s="239" t="s">
        <v>87</v>
      </c>
      <c r="O36" s="240"/>
      <c r="P36" s="152">
        <f>L25</f>
        <v>131623.91999999998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4</v>
      </c>
      <c r="O37" s="240"/>
      <c r="P37" s="153">
        <f>K25</f>
        <v>0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M38" s="2"/>
      <c r="N38" s="239" t="s">
        <v>88</v>
      </c>
      <c r="O38" s="240"/>
      <c r="P38" s="152">
        <f>P35-P36-P37</f>
        <v>599620.08000000007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154" t="s">
        <v>89</v>
      </c>
      <c r="O39" s="155">
        <f>IF(B12="Registered",18%,22%)</f>
        <v>0.22</v>
      </c>
      <c r="P39" s="152">
        <f>N25</f>
        <v>107931.61439999999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241" t="s">
        <v>90</v>
      </c>
      <c r="O40" s="242"/>
      <c r="P40" s="152">
        <f>P38+P39</f>
        <v>707551.69440000004</v>
      </c>
    </row>
    <row r="41" spans="1:21" ht="15" customHeight="1" thickBot="1" x14ac:dyDescent="0.4">
      <c r="B41" s="234"/>
      <c r="C41" s="235"/>
      <c r="D41" s="235"/>
      <c r="E41" s="235"/>
      <c r="F41" s="235"/>
      <c r="G41" s="235"/>
      <c r="H41" s="235"/>
      <c r="I41" s="235"/>
      <c r="J41" s="235"/>
      <c r="K41" s="235"/>
      <c r="L41" s="236"/>
      <c r="M41" s="156"/>
      <c r="N41" s="157" t="s">
        <v>91</v>
      </c>
      <c r="O41" s="158">
        <f>IF(B11="Filer",0.5%,2.5%)</f>
        <v>2.5000000000000001E-2</v>
      </c>
      <c r="P41" s="152">
        <f>O41*P40</f>
        <v>17688.792360000003</v>
      </c>
    </row>
    <row r="42" spans="1:21" ht="15.75" customHeight="1" thickBot="1" x14ac:dyDescent="0.4">
      <c r="N42" s="219" t="s">
        <v>92</v>
      </c>
      <c r="O42" s="220"/>
      <c r="P42" s="159">
        <f>P40+P41</f>
        <v>725240.48676</v>
      </c>
    </row>
    <row r="43" spans="1:21" ht="15" thickBot="1" x14ac:dyDescent="0.4">
      <c r="B43" s="160" t="s">
        <v>93</v>
      </c>
      <c r="C43" s="221"/>
      <c r="D43" s="221"/>
      <c r="E43" s="221"/>
      <c r="F43" s="221"/>
      <c r="G43" s="221"/>
      <c r="H43" s="221"/>
      <c r="I43" s="222"/>
      <c r="J43" s="223"/>
      <c r="K43" s="224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9.36328125" bestFit="1" customWidth="1"/>
    <col min="13" max="13" width="6.81640625" bestFit="1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800</v>
      </c>
      <c r="I16" s="101">
        <f>(G16*D16)*F16+H16*F16</f>
        <v>41970</v>
      </c>
      <c r="J16" s="102">
        <v>0</v>
      </c>
      <c r="K16" s="103">
        <f>I16*$K$13</f>
        <v>0</v>
      </c>
      <c r="L16" s="104">
        <f>I16*18%</f>
        <v>7554.5999999999995</v>
      </c>
      <c r="M16" s="105">
        <f>I16-K16-L16</f>
        <v>34415.4</v>
      </c>
      <c r="N16" s="105">
        <f t="shared" ref="N16:N24" si="0">(M16*$N$15)+(J16*F16)*$N$15</f>
        <v>6194.7719999999999</v>
      </c>
      <c r="O16" s="106">
        <f t="shared" ref="O16:O24" si="1">(N16+M16)*$O$15</f>
        <v>203.05086</v>
      </c>
      <c r="P16" s="104">
        <f t="shared" ref="P16:P24" si="2">M16+N16+O16</f>
        <v>40813.222860000002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1200</v>
      </c>
      <c r="I17" s="115">
        <f t="shared" ref="I17:I23" si="3">(G17*D17)*F17+H17*F17</f>
        <v>62955</v>
      </c>
      <c r="J17" s="116">
        <v>0</v>
      </c>
      <c r="K17" s="1">
        <f t="shared" ref="K17:K21" si="4">I17*$K$13</f>
        <v>0</v>
      </c>
      <c r="L17" s="104">
        <f t="shared" ref="L17:L21" si="5">I17*18%</f>
        <v>11331.9</v>
      </c>
      <c r="M17" s="117">
        <f t="shared" ref="M17:M23" si="6">I17-K17-L17</f>
        <v>51623.1</v>
      </c>
      <c r="N17" s="117">
        <f t="shared" si="0"/>
        <v>9292.1579999999994</v>
      </c>
      <c r="O17" s="118">
        <f t="shared" si="1"/>
        <v>304.57629000000003</v>
      </c>
      <c r="P17" s="119">
        <f t="shared" si="2"/>
        <v>61219.834289999999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2800</v>
      </c>
      <c r="I18" s="115">
        <f t="shared" si="3"/>
        <v>146895</v>
      </c>
      <c r="J18" s="116">
        <v>0</v>
      </c>
      <c r="K18" s="1">
        <f t="shared" si="4"/>
        <v>0</v>
      </c>
      <c r="L18" s="104">
        <f t="shared" si="5"/>
        <v>26441.1</v>
      </c>
      <c r="M18" s="117">
        <f t="shared" si="6"/>
        <v>120453.9</v>
      </c>
      <c r="N18" s="117">
        <f t="shared" si="0"/>
        <v>21681.701999999997</v>
      </c>
      <c r="O18" s="118">
        <f t="shared" si="1"/>
        <v>710.67800999999997</v>
      </c>
      <c r="P18" s="119">
        <f t="shared" si="2"/>
        <v>142846.28000999999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1800</v>
      </c>
      <c r="I19" s="115">
        <f t="shared" si="3"/>
        <v>130752</v>
      </c>
      <c r="J19" s="116">
        <v>0</v>
      </c>
      <c r="K19" s="1">
        <f t="shared" si="4"/>
        <v>0</v>
      </c>
      <c r="L19" s="104">
        <f t="shared" si="5"/>
        <v>23535.360000000001</v>
      </c>
      <c r="M19" s="117">
        <f t="shared" si="6"/>
        <v>107216.64</v>
      </c>
      <c r="N19" s="117">
        <f t="shared" si="0"/>
        <v>19298.995199999998</v>
      </c>
      <c r="O19" s="118">
        <f t="shared" si="1"/>
        <v>632.57817599999998</v>
      </c>
      <c r="P19" s="119">
        <f t="shared" si="2"/>
        <v>127148.21337599999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1200</v>
      </c>
      <c r="I20" s="115">
        <f t="shared" si="3"/>
        <v>87168</v>
      </c>
      <c r="J20" s="116">
        <v>0</v>
      </c>
      <c r="K20" s="1">
        <f t="shared" si="4"/>
        <v>0</v>
      </c>
      <c r="L20" s="104">
        <f t="shared" si="5"/>
        <v>15690.24</v>
      </c>
      <c r="M20" s="117">
        <f t="shared" si="6"/>
        <v>71477.759999999995</v>
      </c>
      <c r="N20" s="117">
        <f t="shared" si="0"/>
        <v>12865.996799999999</v>
      </c>
      <c r="O20" s="118">
        <f t="shared" si="1"/>
        <v>421.71878399999997</v>
      </c>
      <c r="P20" s="119">
        <f t="shared" si="2"/>
        <v>84765.475583999985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3600</v>
      </c>
      <c r="I21" s="115">
        <f t="shared" si="3"/>
        <v>261504</v>
      </c>
      <c r="J21" s="116">
        <v>0</v>
      </c>
      <c r="K21" s="1">
        <f t="shared" si="4"/>
        <v>0</v>
      </c>
      <c r="L21" s="104">
        <f t="shared" si="5"/>
        <v>47070.720000000001</v>
      </c>
      <c r="M21" s="117">
        <f t="shared" si="6"/>
        <v>214433.28</v>
      </c>
      <c r="N21" s="117">
        <f t="shared" si="0"/>
        <v>38597.990399999995</v>
      </c>
      <c r="O21" s="118">
        <f t="shared" si="1"/>
        <v>1265.156352</v>
      </c>
      <c r="P21" s="119">
        <f t="shared" si="2"/>
        <v>254296.42675199997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11400</v>
      </c>
      <c r="I25" s="136">
        <f t="shared" si="9"/>
        <v>731244</v>
      </c>
      <c r="J25" s="182">
        <f>SUM(J16:J21)</f>
        <v>0</v>
      </c>
      <c r="K25" s="138">
        <f t="shared" si="9"/>
        <v>0</v>
      </c>
      <c r="L25" s="139">
        <f t="shared" si="9"/>
        <v>131623.91999999998</v>
      </c>
      <c r="M25" s="140">
        <f t="shared" si="9"/>
        <v>599620.07999999996</v>
      </c>
      <c r="N25" s="141">
        <f>SUM(N16:N24)</f>
        <v>107931.61439999999</v>
      </c>
      <c r="O25" s="142">
        <f>SUM(O16:O24)</f>
        <v>3537.758472</v>
      </c>
      <c r="P25" s="143">
        <f>SUM(P16:P24)</f>
        <v>711089.45287199994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731244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131623.91999999998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599620.08000000007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107931.61439999999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707551.69440000004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3537.7584720000004</v>
      </c>
    </row>
    <row r="35" spans="2:16" ht="15.75" customHeight="1" thickBot="1" x14ac:dyDescent="0.4">
      <c r="N35" s="219" t="s">
        <v>92</v>
      </c>
      <c r="O35" s="220"/>
      <c r="P35" s="159">
        <f>P33+P34</f>
        <v>711089.45287200005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0.18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2026-06-19T04:37:46Z</dcterms:modified>
</cp:coreProperties>
</file>