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2963C19-A5A9-4403-8EFE-27F26092C1A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2" i="30"/>
  <c r="L22" i="30"/>
  <c r="K24" i="30"/>
  <c r="L24" i="30"/>
  <c r="K24" i="29"/>
  <c r="K22" i="29"/>
  <c r="L22" i="29"/>
  <c r="K22" i="28"/>
  <c r="L22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N24" i="36" l="1"/>
  <c r="O24" i="36" s="1"/>
  <c r="O17" i="36"/>
  <c r="P17" i="36"/>
  <c r="O24" i="41"/>
  <c r="P24" i="41" s="1"/>
  <c r="O21" i="41"/>
  <c r="P21" i="41" s="1"/>
  <c r="M24" i="29"/>
  <c r="K17" i="30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M21" i="30"/>
  <c r="N21" i="30" s="1"/>
  <c r="O21" i="30" s="1"/>
  <c r="K18" i="30"/>
  <c r="L18" i="30"/>
  <c r="K20" i="30"/>
  <c r="L20" i="30"/>
  <c r="L25" i="30" s="1"/>
  <c r="P29" i="30" s="1"/>
  <c r="K21" i="28"/>
  <c r="K19" i="29"/>
  <c r="L19" i="29"/>
  <c r="K16" i="29"/>
  <c r="M16" i="29" s="1"/>
  <c r="N16" i="29" s="1"/>
  <c r="K18" i="29"/>
  <c r="L18" i="29"/>
  <c r="K17" i="29"/>
  <c r="L17" i="29"/>
  <c r="M17" i="29" s="1"/>
  <c r="N17" i="29" s="1"/>
  <c r="O17" i="29" s="1"/>
  <c r="P17" i="29" s="1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7" i="30"/>
  <c r="N17" i="30" s="1"/>
  <c r="O17" i="30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M24" i="26" l="1"/>
  <c r="P24" i="36"/>
  <c r="K25" i="31"/>
  <c r="P30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P31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1" i="31"/>
  <c r="P31" i="31"/>
  <c r="P20" i="31"/>
  <c r="P18" i="31"/>
  <c r="P31" i="35"/>
  <c r="P21" i="30"/>
  <c r="M25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M25" i="31"/>
  <c r="N16" i="31"/>
  <c r="O16" i="30"/>
  <c r="O25" i="30" s="1"/>
  <c r="P23" i="30"/>
  <c r="P17" i="30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7" l="1"/>
  <c r="P30" i="27" s="1"/>
  <c r="P20" i="30"/>
  <c r="N25" i="30"/>
  <c r="P32" i="30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P31" i="26" s="1"/>
  <c r="L25" i="26"/>
  <c r="P29" i="26" s="1"/>
  <c r="P31" i="29"/>
  <c r="M16" i="26"/>
  <c r="M25" i="26" s="1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0"/>
  <c r="P34" i="30" s="1"/>
  <c r="P35" i="30" s="1"/>
  <c r="U28" i="15" s="1"/>
  <c r="P16" i="32"/>
  <c r="P25" i="32" s="1"/>
  <c r="P16" i="30"/>
  <c r="P25" i="30" s="1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33" i="29" l="1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K20" i="17"/>
  <c r="L20" i="17"/>
  <c r="K16" i="17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M20" i="21" s="1"/>
  <c r="N20" i="21" s="1"/>
  <c r="O20" i="21" s="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18" i="24" l="1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N25" i="21" s="1"/>
  <c r="P32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M25" i="21" l="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P33" i="23" l="1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<sst xmlns="http://schemas.openxmlformats.org/spreadsheetml/2006/main" count="2006" uniqueCount="132">
  <si>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</si>
  <si>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</si>
  <si>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</si>
  <si>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</si>
  <si>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</si>
  <si>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</si>
  <si>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</si>
  <si>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</si>
  <si>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</si>
  <si>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</si>
  <si>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</si>
  <si>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</si>
  <si>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</si>
  <si>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</si>
  <si>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</si>
  <si>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</si>
  <si>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</si>
  <si>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</si>
  <si>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</si>
  <si>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</si>
  <si>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</si>
  <si>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</si>
  <si>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</si>
  <si>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</si>
  <si>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</si>
  <si>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</si>
  <si>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</si>
  <si>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</si>
  <si>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</si>
  <si>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</si>
  <si>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</si>
  <si>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</si>
  <si>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</si>
  <si>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</si>
  <si>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</si>
  <si>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</si>
  <si>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</si>
  <si>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</si>
  <si>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</si>
  <si>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</si>
  <si>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</si>
  <si>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</si>
  <si>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</si>
  <si>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</si>
  <si>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</si>
  <si>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</si>
  <si>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</si>
  <si>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</si>
  <si>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</si>
  <si>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</si>
  <si>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</si>
  <si>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</si>
  <si>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</si>
  <si>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</si>
  <si>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</si>
  <si>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</si>
  <si>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</si>
  <si>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</si>
  <si>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</si>
  <si>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</si>
  <si>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</si>
  <si>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</si>
  <si>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</si>
  <si>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</si>
  <si>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</si>
  <si>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</si>
  <si>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</si>
  <si>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</si>
  <si>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</si>
  <si>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</si>
  <si>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</si>
  <si>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</si>
  <si>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</si>
  <si>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</si>
  <si>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</si>
  <si>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</si>
  <si>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</si>
  <si>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</si>
  <si>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</si>
  <si>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</si>
  <si>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</si>
  <si>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</si>
  <si>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</si>
  <si>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</si>
  <si>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</si>
  <si>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</si>
  <si>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</si>
  <si>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</si>
  <si>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</si>
  <si>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</si>
  <si>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</si>
  <si>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</si>
  <si>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</si>
  <si>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</si>
  <si>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</si>
  <si>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</si>
  <si>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</si>
  <si>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</si>
  <si>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</si>
  <si>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</si>
  <si>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</si>
  <si>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</si>
  <si>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</si>
  <si>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</si>
  <si>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</si>
  <si>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Jhora Pull </t>
  </si>
  <si>
    <t>Address: Cant Girja Road</t>
  </si>
  <si>
    <t xml:space="preserve">Address: Railway Palaza </t>
  </si>
  <si>
    <t xml:space="preserve">Address: Tajh Bagh </t>
  </si>
  <si>
    <t>Address: Tajh pura</t>
  </si>
  <si>
    <t>Address: kot Khawaja saeed</t>
  </si>
  <si>
    <t xml:space="preserve">Address: Dharam Pura </t>
  </si>
  <si>
    <t>Address: Baghbanpura</t>
  </si>
  <si>
    <t>Address: Sultan Pura</t>
  </si>
  <si>
    <t>Address: ShadiPura</t>
  </si>
  <si>
    <t>Address: Manawan GT Road</t>
  </si>
  <si>
    <t>Address: Shaheed</t>
  </si>
  <si>
    <t>mm</t>
  </si>
  <si>
    <t xml:space="preserve">Address: Ghalib Market </t>
  </si>
  <si>
    <t>Address: Shama Cenema</t>
  </si>
  <si>
    <t xml:space="preserve">Address: Shadman </t>
  </si>
  <si>
    <t>Address: Temple Road</t>
  </si>
  <si>
    <t>Address: Nisbat Road</t>
  </si>
  <si>
    <t>Address: Davis Road</t>
  </si>
  <si>
    <t>Address: Nilam Cenema</t>
  </si>
  <si>
    <t>Address: Lal Pull</t>
  </si>
  <si>
    <t xml:space="preserve">Address: Zarar Shaheed Road </t>
  </si>
  <si>
    <t xml:space="preserve">Address: Sadar Kachari </t>
  </si>
  <si>
    <t xml:space="preserve">Address: Dhahrampura </t>
  </si>
  <si>
    <t xml:space="preserve">Address: ShadBagh </t>
  </si>
  <si>
    <t>Address: About Road</t>
  </si>
  <si>
    <t xml:space="preserve">Address: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</si>
</sst>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S30" sqref="S3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S30" sqref="S30"/>
      <selection pane="topRight" activeCell="S30" sqref="S30"/>
      <selection pane="bottomLeft" activeCell="S30" sqref="S30"/>
      <selection pane="bottomRight" activeCell="S30" sqref="S3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A10" zoomScale="70" zoomScaleNormal="70" workbookViewId="0">
      <selection activeCell="S20" sqref="S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</v>
      </c>
      <c r="U14" s="163">
        <f>+'1'!P35</f>
        <v>14598.530987400001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</v>
      </c>
      <c r="U15" s="163">
        <f>+'2'!P35</f>
        <v>14598.530987400001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600</v>
      </c>
      <c r="I16" s="1">
        <f>(G16*D16)*F16+H16*F16</f>
        <v>31477.5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3777.2999999999997</v>
      </c>
      <c r="M16" s="105">
        <f>I16-K16-L16</f>
        <v>27700.2</v>
      </c>
      <c r="N16" s="100">
        <f>+'1'!N16+'2'!N16+'4'!N16+'3'!N16+'5'!N16+'6'!N16+'7'!N16+'8'!N16+'9'!N16+'10'!N16</f>
        <v>3097.386</v>
      </c>
      <c r="O16" s="100">
        <f>+'1'!O16+'2'!O16+'4'!O16+'3'!O16+'5'!O16+'6'!O16+'7'!O16+'8'!O16+'9'!O16+'10'!O16</f>
        <v>101.52542999999999</v>
      </c>
      <c r="P16" s="104">
        <f t="shared" ref="P16:P24" si="0">M16+N16+O16</f>
        <v>30899.111430000001</v>
      </c>
      <c r="Q16" s="107"/>
      <c r="T16" s="162" t="str">
        <f>+'4'!A5</f>
        <v>Customer Name : Gourmet Food</v>
      </c>
      <c r="U16" s="163">
        <f>+'4'!P35</f>
        <v>14598.530987400001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600</v>
      </c>
      <c r="I17" s="1">
        <f t="shared" ref="I17:I23" si="1">(G17*D17)*F17+H17*F17</f>
        <v>31477.5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3777.2999999999997</v>
      </c>
      <c r="M17" s="117">
        <f t="shared" ref="M17:M23" si="2">I17-K17-L17</f>
        <v>27700.2</v>
      </c>
      <c r="N17" s="100">
        <f>+'1'!N17+'2'!N17+'4'!N17+'3'!N17+'5'!N17+'6'!N17+'7'!N17+'8'!N17+'9'!N17+'10'!N17</f>
        <v>3097.386</v>
      </c>
      <c r="O17" s="100">
        <f>+'1'!O17+'2'!O17+'4'!O17+'3'!O17+'5'!O17+'6'!O17+'7'!O17+'8'!O17+'9'!O17+'10'!O17</f>
        <v>101.52542999999999</v>
      </c>
      <c r="P17" s="119">
        <f t="shared" si="0"/>
        <v>30899.111430000001</v>
      </c>
      <c r="S17" s="64"/>
      <c r="T17" s="162" t="str">
        <f>+'3'!A5</f>
        <v>Customer Name : Gourmet Food</v>
      </c>
      <c r="U17" s="163">
        <f>+'3'!P35</f>
        <v>14598.530987400001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600</v>
      </c>
      <c r="I18" s="1">
        <f t="shared" si="1"/>
        <v>31477.5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3777.2999999999997</v>
      </c>
      <c r="M18" s="117">
        <f t="shared" si="2"/>
        <v>27700.2</v>
      </c>
      <c r="N18" s="100">
        <f>+'1'!N18+'2'!N18+'4'!N18+'3'!N18+'5'!N18+'6'!N18+'7'!N18+'8'!N18+'9'!N18+'10'!N18</f>
        <v>3097.386</v>
      </c>
      <c r="O18" s="100">
        <f>+'1'!O18+'2'!O18+'4'!O18+'3'!O18+'5'!O18+'6'!O18+'7'!O18+'8'!O18+'9'!O18+'10'!O18</f>
        <v>101.52542999999999</v>
      </c>
      <c r="P18" s="119">
        <f t="shared" si="0"/>
        <v>30899.111430000001</v>
      </c>
      <c r="T18" s="162" t="str">
        <f>+'5'!A5</f>
        <v>Customer Name : Gourmet Food</v>
      </c>
      <c r="U18" s="163">
        <f>+'5'!P35</f>
        <v>14598.530987400001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600</v>
      </c>
      <c r="I19" s="1">
        <f t="shared" si="1"/>
        <v>43584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5230.079999999999</v>
      </c>
      <c r="M19" s="117">
        <f t="shared" si="2"/>
        <v>38353.919999999998</v>
      </c>
      <c r="N19" s="100">
        <f>+'1'!N19+'2'!N19+'4'!N19+'3'!N19+'5'!N19+'6'!N19+'7'!N19+'8'!N19+'9'!N19+'10'!N19</f>
        <v>4288.6656000000003</v>
      </c>
      <c r="O19" s="100">
        <f>+'1'!O19+'2'!O19+'4'!O19+'3'!O19+'5'!O19+'6'!O19+'7'!O19+'8'!O19+'9'!O19+'10'!O19</f>
        <v>140.57292800000002</v>
      </c>
      <c r="P19" s="119">
        <f t="shared" si="0"/>
        <v>42783.158528</v>
      </c>
      <c r="T19" s="162" t="str">
        <f>+'6'!A5</f>
        <v>Customer Name : Gourmet Food</v>
      </c>
      <c r="U19" s="163">
        <f>+'6'!P35</f>
        <v>14598.530987400001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600</v>
      </c>
      <c r="I20" s="1">
        <f t="shared" si="1"/>
        <v>43584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5230.079999999999</v>
      </c>
      <c r="M20" s="117">
        <f t="shared" si="2"/>
        <v>38353.919999999998</v>
      </c>
      <c r="N20" s="100">
        <f>+'1'!N20+'2'!N20+'4'!N20+'3'!N20+'5'!N20+'6'!N20+'7'!N20+'8'!N20+'9'!N20+'10'!N20</f>
        <v>4288.6656000000003</v>
      </c>
      <c r="O20" s="100">
        <f>+'1'!O20+'2'!O20+'4'!O20+'3'!O20+'5'!O20+'6'!O20+'7'!O20+'8'!O20+'9'!O20+'10'!O20</f>
        <v>140.57292800000002</v>
      </c>
      <c r="P20" s="119">
        <f t="shared" si="0"/>
        <v>42783.158528</v>
      </c>
      <c r="T20" s="162" t="str">
        <f>+'7'!A5</f>
        <v>Customer Name : Gourmet Food</v>
      </c>
      <c r="U20" s="163">
        <f>+'7'!P35</f>
        <v>14598.530987400001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600</v>
      </c>
      <c r="I21" s="1">
        <f t="shared" si="1"/>
        <v>43584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5230.079999999999</v>
      </c>
      <c r="M21" s="117">
        <f t="shared" si="2"/>
        <v>38353.919999999998</v>
      </c>
      <c r="N21" s="100">
        <f>+'1'!N21+'2'!N21+'4'!N21+'3'!N21+'5'!N21+'6'!N21+'7'!N21+'8'!N21+'9'!N21+'10'!N21</f>
        <v>4288.6656000000003</v>
      </c>
      <c r="O21" s="100">
        <f>+'1'!O21+'2'!O21+'4'!O21+'3'!O21+'5'!O21+'6'!O21+'7'!O21+'8'!O21+'9'!O21+'10'!O21</f>
        <v>140.57292800000002</v>
      </c>
      <c r="P21" s="119">
        <f t="shared" si="0"/>
        <v>42783.158528</v>
      </c>
      <c r="T21" s="162" t="str">
        <f>+'8'!A5</f>
        <v>Customer Name : Gourmet Food</v>
      </c>
      <c r="U21" s="163">
        <f>+'8'!P35</f>
        <v>14598.530987400001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14598.530987400001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14598.530987400001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14598.530987400001</v>
      </c>
    </row>
    <row r="25" spans="1:21 16384:16384" ht="26.5" thickBot="1" x14ac:dyDescent="0.65">
      <c r="A25" s="304" t="s">
        <v>84</v>
      </c>
      <c r="B25" s="305"/>
      <c r="C25" s="306">
        <f>H25/40</f>
        <v>90</v>
      </c>
      <c r="D25" s="300"/>
      <c r="E25" s="300"/>
      <c r="F25" s="300"/>
      <c r="G25" s="175">
        <f t="shared" ref="G25:M25" si="3">SUM(G16:G24)</f>
        <v>0</v>
      </c>
      <c r="H25" s="176">
        <f t="shared" si="3"/>
        <v>3600</v>
      </c>
      <c r="I25" s="177">
        <f t="shared" si="3"/>
        <v>225184.5</v>
      </c>
      <c r="J25" s="176">
        <f t="shared" si="3"/>
        <v>0</v>
      </c>
      <c r="K25" s="177">
        <f t="shared" si="3"/>
        <v>0</v>
      </c>
      <c r="L25" s="178">
        <f t="shared" si="3"/>
        <v>27022.139999999996</v>
      </c>
      <c r="M25" s="140">
        <f t="shared" si="3"/>
        <v>198162.36</v>
      </c>
      <c r="N25" s="141">
        <f>SUM(N16:N24)</f>
        <v>22158.1548</v>
      </c>
      <c r="O25" s="142">
        <f>SUM(O16:O24)</f>
        <v>726.29507400000011</v>
      </c>
      <c r="P25" s="143">
        <f>SUM(P16:P24)</f>
        <v>221046.809874</v>
      </c>
      <c r="T25" s="162" t="str">
        <f>+'12'!A5</f>
        <v>Customer Name : Gourmet Food</v>
      </c>
      <c r="U25" s="163">
        <f>+'12'!P35</f>
        <v>14598.530987400001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14598.530987400001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14598.530987400001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14598.530987400001</v>
      </c>
    </row>
    <row r="29" spans="1:21 16384:16384" ht="26" hidden="1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hidden="1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hidden="1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117</v>
      </c>
      <c r="T31" s="162" t="str">
        <f>+'18'!A5</f>
        <v>Customer Name : Gourmet Food</v>
      </c>
      <c r="U31" s="181">
        <f>+'18'!P35</f>
        <v>0</v>
      </c>
    </row>
    <row r="32" spans="1:21 16384:16384" ht="26" hidden="1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hidden="1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hidden="1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hidden="1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117</v>
      </c>
      <c r="T35" s="162" t="str">
        <f>+'22'!A5</f>
        <v>Customer Name : Gourmet Food</v>
      </c>
      <c r="U35" s="181">
        <f>+'22'!P35</f>
        <v>0</v>
      </c>
    </row>
    <row r="36" spans="1:21" ht="26" hidden="1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hidden="1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117</v>
      </c>
      <c r="T37" s="162" t="str">
        <f>+'24'!A5</f>
        <v>Customer Name : Gourmet Food</v>
      </c>
      <c r="U37" s="181">
        <f>+'24'!P35</f>
        <v>0</v>
      </c>
    </row>
    <row r="38" spans="1:21" ht="26" hidden="1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117</v>
      </c>
      <c r="T38" s="162" t="str">
        <f>+'25'!A5</f>
        <v>Customer Name : Gourmet Food</v>
      </c>
      <c r="U38" s="181">
        <f>+'25'!P35</f>
        <v>0</v>
      </c>
    </row>
    <row r="39" spans="1:21" ht="26" hidden="1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117</v>
      </c>
      <c r="T39" s="162" t="str">
        <f>+'26'!A5</f>
        <v>Customer Name : Gourmet Food</v>
      </c>
      <c r="U39" s="181">
        <f>+'26'!P35</f>
        <v>0</v>
      </c>
    </row>
    <row r="40" spans="1:21" ht="26" hidden="1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117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SUM(U14:U28)</f>
        <v>218977.9648110001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225184.5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27022.139999999996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198162.36000000002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22158.1548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220320.5148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5508.0128700000005</v>
      </c>
    </row>
    <row r="51" spans="2:16" ht="15.75" customHeight="1" thickBot="1" x14ac:dyDescent="0.4">
      <c r="N51" s="298" t="s">
        <v>92</v>
      </c>
      <c r="O51" s="299"/>
      <c r="P51" s="159">
        <f>P49+P50</f>
        <v>225828.52767000001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3"/>
        <v>2098.5</v>
      </c>
      <c r="J18" s="116"/>
      <c r="K18" s="1">
        <f t="shared" si="4"/>
        <v>0</v>
      </c>
      <c r="L18" s="104">
        <f t="shared" si="5"/>
        <v>377.72999999999996</v>
      </c>
      <c r="M18" s="117">
        <f t="shared" si="6"/>
        <v>1720.77</v>
      </c>
      <c r="N18" s="117">
        <f t="shared" si="0"/>
        <v>309.73859999999996</v>
      </c>
      <c r="O18" s="118">
        <f t="shared" si="1"/>
        <v>10.152543</v>
      </c>
      <c r="P18" s="119">
        <f t="shared" si="2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119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K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113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zoomScale="106" zoomScaleNormal="10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127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46192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101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46191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128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/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/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40</v>
      </c>
      <c r="I18" s="228">
        <f t="shared" si="2"/>
        <v>2098.5</v>
      </c>
      <c r="J18" s="229"/>
      <c r="K18" s="230">
        <f t="shared" si="3"/>
        <v>0</v>
      </c>
      <c r="L18" s="219">
        <f t="shared" si="4"/>
        <v>377.72999999999996</v>
      </c>
      <c r="M18" s="231">
        <f t="shared" si="5"/>
        <v>1720.77</v>
      </c>
      <c r="N18" s="231">
        <f t="shared" si="0"/>
        <v>309.73859999999996</v>
      </c>
      <c r="O18" s="232">
        <f t="shared" si="6"/>
        <v>10.152543</v>
      </c>
      <c r="P18" s="233">
        <f t="shared" si="1"/>
        <v>2040.6611429999998</v>
      </c>
      <c r="Q18" s="182"/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/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/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/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/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240</v>
      </c>
      <c r="I25" s="251">
        <f t="shared" si="9"/>
        <v>15012.300000000001</v>
      </c>
      <c r="J25" s="252"/>
      <c r="K25" s="253">
        <f t="shared" si="9"/>
        <v>0</v>
      </c>
      <c r="L25" s="254">
        <f t="shared" si="9"/>
        <v>2702.2139999999995</v>
      </c>
      <c r="M25" s="255">
        <f t="shared" si="9"/>
        <v>12310.086000000001</v>
      </c>
      <c r="N25" s="256">
        <f>SUM(N16:N24)</f>
        <v>2215.8154799999998</v>
      </c>
      <c r="O25" s="257">
        <f>SUM(O16:O24)</f>
        <v>72.629507399999994</v>
      </c>
      <c r="P25" s="258">
        <f>SUM(P16:P24)</f>
        <v>14598.530987399998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15012.300000000001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2702.2139999999995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12310.086000000001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2215.8154799999998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14525.90148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72.629507400000008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14598.530987400001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129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130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15012.300000000001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2702.2139999999995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12310.086000000001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14525.90148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298" t="s">
        <v>92</v>
      </c>
      <c r="O35" s="299"/>
      <c r="P35" s="159">
        <f>P33+P34</f>
        <v>14598.530987400001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131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107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  <c r="S5" s="71"/>
    </row>
    <row r="6" spans="1:19 16383:16384" ht="15" customHeight="1" x14ac:dyDescent="0.35">
      <c r="A6" s="324" t="s">
        <v>109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6" sqref="A6:C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111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  <c r="R5" s="70"/>
    </row>
    <row r="6" spans="1:18" x14ac:dyDescent="0.35">
      <c r="A6" s="324" t="s">
        <v>113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</row>
    <row r="6" spans="1:17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46192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46191</v>
      </c>
      <c r="O5" s="325"/>
      <c r="P5" s="325"/>
    </row>
    <row r="6" spans="1:17" x14ac:dyDescent="0.35">
      <c r="A6" s="324" t="s">
        <v>115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6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6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6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6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H22"/>
  <sheetViews>
    <sheetView workbookViewId="0">
      <selection activeCell="A6" sqref="A6:C6"/>
    </sheetView>
  </sheetViews>
  <sheetFormatPr defaultRowHeight="14.5" x14ac:dyDescent="0.35"/>
  <sheetData>
    <row r="5" spans="1:8" x14ac:dyDescent="0.35">
      <c r="A5" t="s">
        <v>101</v>
      </c>
    </row>
    <row r="16" spans="1:8" x14ac:dyDescent="0.35">
      <c r="H16">
        <v>0</v>
      </c>
    </row>
    <row r="17" spans="8:8" x14ac:dyDescent="0.35">
      <c r="H17">
        <v>0</v>
      </c>
    </row>
    <row r="18" spans="8:8" x14ac:dyDescent="0.35">
      <c r="H18">
        <v>0</v>
      </c>
    </row>
    <row r="19" spans="8:8" x14ac:dyDescent="0.35">
      <c r="H19">
        <v>0</v>
      </c>
    </row>
    <row r="20" spans="8:8" x14ac:dyDescent="0.35">
      <c r="H20">
        <v>0</v>
      </c>
    </row>
    <row r="21" spans="8:8" x14ac:dyDescent="0.35">
      <c r="H21">
        <v>0</v>
      </c>
    </row>
    <row r="22" spans="8:8" x14ac:dyDescent="0.35"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2026-06-19T04:30:45Z</dcterms:modified>
</cp:coreProperties>
</file>