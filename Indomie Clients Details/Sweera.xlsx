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AA5465E9-B640-4D6E-950A-0E0C4E9D45AD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17" i="15" l="1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L18" i="31" s="1"/>
  <c r="I19" i="31"/>
  <c r="K19" i="31" s="1"/>
  <c r="I20" i="31"/>
  <c r="L20" i="31" s="1"/>
  <c r="I21" i="31"/>
  <c r="I22" i="31"/>
  <c r="K22" i="31" s="1"/>
  <c r="I23" i="31"/>
  <c r="K23" i="31" s="1"/>
  <c r="I24" i="31"/>
  <c r="I23" i="32"/>
  <c r="I22" i="33"/>
  <c r="K22" i="33" s="1"/>
  <c r="I16" i="34"/>
  <c r="L16" i="34" s="1"/>
  <c r="I17" i="34"/>
  <c r="I18" i="34"/>
  <c r="I19" i="34"/>
  <c r="K19" i="34" s="1"/>
  <c r="I20" i="34"/>
  <c r="K20" i="34" s="1"/>
  <c r="I21" i="34"/>
  <c r="L21" i="34" s="1"/>
  <c r="I22" i="34"/>
  <c r="K22" i="34" s="1"/>
  <c r="I23" i="34"/>
  <c r="I24" i="34"/>
  <c r="L24" i="34" s="1"/>
  <c r="M24" i="34" s="1"/>
  <c r="I16" i="29"/>
  <c r="I17" i="29"/>
  <c r="I18" i="29"/>
  <c r="K18" i="29" s="1"/>
  <c r="I19" i="29"/>
  <c r="K19" i="29" s="1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L18" i="33"/>
  <c r="I25" i="35"/>
  <c r="P28" i="35" s="1"/>
  <c r="K16" i="35"/>
  <c r="L16" i="35"/>
  <c r="K17" i="35"/>
  <c r="L17" i="35"/>
  <c r="M17" i="35" s="1"/>
  <c r="K18" i="35"/>
  <c r="L18" i="35"/>
  <c r="M18" i="35" s="1"/>
  <c r="K19" i="35"/>
  <c r="L19" i="35"/>
  <c r="K20" i="35"/>
  <c r="L20" i="35"/>
  <c r="K21" i="35"/>
  <c r="L21" i="35"/>
  <c r="K22" i="35"/>
  <c r="L22" i="35"/>
  <c r="M22" i="35"/>
  <c r="K23" i="35"/>
  <c r="L23" i="35"/>
  <c r="M23" i="35" s="1"/>
  <c r="K24" i="35"/>
  <c r="M24" i="35" s="1"/>
  <c r="L24" i="35"/>
  <c r="K17" i="34"/>
  <c r="L17" i="34"/>
  <c r="K18" i="34"/>
  <c r="L18" i="34"/>
  <c r="K21" i="34"/>
  <c r="L22" i="34"/>
  <c r="K23" i="34"/>
  <c r="M23" i="34"/>
  <c r="L23" i="34"/>
  <c r="K24" i="34"/>
  <c r="K21" i="33"/>
  <c r="L21" i="33"/>
  <c r="L22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K21" i="31"/>
  <c r="L21" i="31"/>
  <c r="L22" i="31"/>
  <c r="K24" i="31"/>
  <c r="L24" i="31"/>
  <c r="M24" i="31" s="1"/>
  <c r="K16" i="31"/>
  <c r="L16" i="31"/>
  <c r="K18" i="31"/>
  <c r="K20" i="31"/>
  <c r="L23" i="31"/>
  <c r="K18" i="30"/>
  <c r="L18" i="30"/>
  <c r="K20" i="30"/>
  <c r="L20" i="30"/>
  <c r="K21" i="30"/>
  <c r="L21" i="30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L22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3" l="1"/>
  <c r="M21" i="30"/>
  <c r="N21" i="30" s="1"/>
  <c r="O21" i="30" s="1"/>
  <c r="K19" i="33"/>
  <c r="I25" i="34"/>
  <c r="P28" i="34" s="1"/>
  <c r="L19" i="31"/>
  <c r="L20" i="34"/>
  <c r="L18" i="29"/>
  <c r="M18" i="29" s="1"/>
  <c r="N18" i="29" s="1"/>
  <c r="O18" i="29" s="1"/>
  <c r="M17" i="31"/>
  <c r="L19" i="34"/>
  <c r="M22" i="29"/>
  <c r="M22" i="31"/>
  <c r="N22" i="31" s="1"/>
  <c r="O22" i="31" s="1"/>
  <c r="P22" i="31" s="1"/>
  <c r="M21" i="35"/>
  <c r="M23" i="33"/>
  <c r="I16" i="26"/>
  <c r="K16" i="26" s="1"/>
  <c r="I17" i="26"/>
  <c r="L17" i="26" s="1"/>
  <c r="I18" i="26"/>
  <c r="K18" i="26" s="1"/>
  <c r="I19" i="26"/>
  <c r="I20" i="26"/>
  <c r="I21" i="26"/>
  <c r="L21" i="26" s="1"/>
  <c r="I22" i="26"/>
  <c r="K22" i="26" s="1"/>
  <c r="I23" i="26"/>
  <c r="I24" i="26"/>
  <c r="I21" i="27"/>
  <c r="I25" i="27" s="1"/>
  <c r="P28" i="27" s="1"/>
  <c r="M18" i="28"/>
  <c r="N18" i="28" s="1"/>
  <c r="O18" i="28" s="1"/>
  <c r="P18" i="28" s="1"/>
  <c r="M20" i="29"/>
  <c r="N20" i="29" s="1"/>
  <c r="O20" i="29" s="1"/>
  <c r="M23" i="3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N16" i="29" s="1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N21" i="28" s="1"/>
  <c r="O21" i="28" s="1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N23" i="34"/>
  <c r="O23" i="34" s="1"/>
  <c r="P23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K25" i="31"/>
  <c r="P30" i="31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17" i="28"/>
  <c r="O17" i="28" s="1"/>
  <c r="J25" i="15"/>
  <c r="K16" i="27"/>
  <c r="L16" i="27"/>
  <c r="K17" i="27"/>
  <c r="L17" i="27"/>
  <c r="K20" i="27"/>
  <c r="L20" i="27"/>
  <c r="K22" i="27"/>
  <c r="L22" i="27"/>
  <c r="K23" i="27"/>
  <c r="L23" i="27"/>
  <c r="K24" i="27"/>
  <c r="L24" i="27"/>
  <c r="K19" i="27"/>
  <c r="L19" i="27"/>
  <c r="K18" i="27"/>
  <c r="L18" i="27"/>
  <c r="K19" i="26"/>
  <c r="L19" i="26"/>
  <c r="L22" i="26"/>
  <c r="K23" i="26"/>
  <c r="L23" i="26"/>
  <c r="L18" i="26"/>
  <c r="K20" i="26"/>
  <c r="L20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K21" i="27" l="1"/>
  <c r="K17" i="26"/>
  <c r="L16" i="26"/>
  <c r="K21" i="26"/>
  <c r="L25" i="29"/>
  <c r="P29" i="29" s="1"/>
  <c r="P31" i="29" s="1"/>
  <c r="L21" i="27"/>
  <c r="M21" i="27" s="1"/>
  <c r="N21" i="27" s="1"/>
  <c r="K25" i="34"/>
  <c r="P30" i="34" s="1"/>
  <c r="P31" i="34" s="1"/>
  <c r="I25" i="26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18" i="31"/>
  <c r="P31" i="35"/>
  <c r="P21" i="30"/>
  <c r="M25" i="30"/>
  <c r="P31" i="30"/>
  <c r="P2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I16" i="25"/>
  <c r="I17" i="25"/>
  <c r="I18" i="25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I25" i="25" l="1"/>
  <c r="P28" i="25" s="1"/>
  <c r="K18" i="19"/>
  <c r="K17" i="23"/>
  <c r="L18" i="17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19" i="25"/>
  <c r="L25" i="25" s="1"/>
  <c r="P29" i="25" s="1"/>
  <c r="K21" i="25"/>
  <c r="K25" i="25" s="1"/>
  <c r="P30" i="25" s="1"/>
  <c r="K16" i="24"/>
  <c r="M16" i="24" s="1"/>
  <c r="N16" i="24" s="1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M20" i="24" s="1"/>
  <c r="N20" i="24" s="1"/>
  <c r="O20" i="24" s="1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M17" i="19" s="1"/>
  <c r="N17" i="19" s="1"/>
  <c r="O17" i="19" s="1"/>
  <c r="L16" i="17"/>
  <c r="M16" i="17" s="1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M16" i="25"/>
  <c r="N23" i="25"/>
  <c r="O23" i="25" s="1"/>
  <c r="P23" i="25" s="1"/>
  <c r="N23" i="24"/>
  <c r="O23" i="24" s="1"/>
  <c r="N24" i="24"/>
  <c r="O24" i="24" s="1"/>
  <c r="M16" i="22"/>
  <c r="M21" i="21"/>
  <c r="N21" i="21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I23" i="15"/>
  <c r="K25" i="24" l="1"/>
  <c r="P30" i="24" s="1"/>
  <c r="K25" i="19"/>
  <c r="P30" i="19" s="1"/>
  <c r="K22" i="15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0" l="1"/>
  <c r="M25" i="20"/>
  <c r="P19" i="18"/>
  <c r="M25" i="18"/>
  <c r="M18" i="15"/>
  <c r="P31" i="24"/>
  <c r="P33" i="24" s="1"/>
  <c r="P34" i="24" s="1"/>
  <c r="P35" i="24" s="1"/>
  <c r="U22" i="15" s="1"/>
  <c r="N16" i="18"/>
  <c r="N16" i="15" s="1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N18" i="15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P33" i="20" l="1"/>
  <c r="P34" i="20" s="1"/>
  <c r="P35" i="20" s="1"/>
  <c r="U18" i="15" s="1"/>
  <c r="N22" i="15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<sst xmlns="http://schemas.openxmlformats.org/spreadsheetml/2006/main" count="1599" uniqueCount="107">
  <si>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</si>
  <si>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</si>
  <si>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</si>
  <si>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</si>
  <si>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</si>
  <si>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</si>
  <si>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</si>
  <si>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</si>
  <si>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</si>
  <si>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</si>
  <si>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</si>
  <si>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</si>
  <si>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</si>
  <si>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</si>
  <si>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</si>
  <si>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</si>
  <si>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</si>
  <si>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</si>
  <si>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</si>
  <si>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</si>
  <si>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</si>
  <si>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</si>
  <si>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</si>
  <si>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</si>
  <si>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</si>
  <si>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</si>
  <si>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</si>
  <si>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</si>
  <si>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</si>
  <si>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</si>
  <si>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</si>
  <si>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</si>
  <si>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</si>
  <si>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</si>
  <si>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</si>
  <si>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</si>
  <si>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</si>
  <si>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</si>
  <si>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</si>
  <si>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</si>
  <si>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</si>
  <si>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</si>
  <si>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</si>
  <si>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</si>
  <si>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</si>
  <si>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</si>
  <si>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</si>
  <si>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</si>
  <si>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</si>
  <si>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</si>
  <si>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</si>
  <si>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</si>
  <si>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</si>
  <si>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</si>
  <si>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</si>
  <si>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</si>
  <si>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</si>
  <si>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</si>
  <si>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</si>
  <si>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</si>
  <si>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</si>
  <si>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</si>
  <si>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</si>
  <si>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</si>
  <si>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</si>
  <si>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</si>
  <si>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</si>
  <si>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</si>
  <si>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</si>
  <si>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</si>
  <si>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</si>
  <si>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</si>
  <si>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</si>
  <si>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</si>
  <si>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</si>
  <si>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</si>
  <si>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</si>
  <si>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</si>
  <si>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</si>
  <si>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</si>
  <si>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</si>
  <si>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</si>
  <si>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</si>
  <si>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</si>
  <si>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</si>
  <si>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</si>
  <si>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</si>
  <si>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</si>
  <si>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</si>
  <si>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</si>
  <si>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</si>
  <si>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</si>
  <si>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</si>
  <si>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</si>
  <si>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</si>
  <si>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</si>
  <si>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</si>
  <si>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</si>
  <si>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</si>
  <si>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</si>
  <si>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</si>
  <si>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</si>
  <si>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Swera</t>
  </si>
  <si>
    <t>Shop Bill Summary (Swera)</t>
  </si>
  <si>
    <t>Customer Name : Swera</t>
  </si>
  <si>
    <t>Address: Shadman</t>
  </si>
  <si>
    <t xml:space="preserve">1265416-7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</si>
</sst>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F10" sqref="F10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zoomScale="70" zoomScaleNormal="70" workbookViewId="0">
      <selection activeCell="F10" sqref="F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102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103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Swera</v>
      </c>
      <c r="U14" s="164">
        <f>+'1'!P35</f>
        <v>36163.1524212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9"/>
      <c r="J15" s="171" t="s">
        <v>78</v>
      </c>
      <c r="K15" s="171" t="s">
        <v>79</v>
      </c>
      <c r="L15" s="174" t="s">
        <v>80</v>
      </c>
      <c r="M15" s="23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Swera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80</v>
      </c>
      <c r="I16" s="1">
        <f>(G16*D16)*F16+H16*F16</f>
        <v>4197</v>
      </c>
      <c r="J16" s="172">
        <f>+'1'!J16+'2'!J16+'4'!J16+'3'!J16+'5'!J16+'6'!J16+'7'!J16+'8'!J16+'9'!J16+'10'!J16+'11'!J16+'12'!J16+'13'!J16+'14'!J16+'15'!J16+'16'!J16+'17'!J16+'18'!J16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335.76</v>
      </c>
      <c r="M16" s="106">
        <f>I16-K16-L16</f>
        <v>3861.24</v>
      </c>
      <c r="N16" s="101">
        <f>+'1'!N16+'2'!N16+'4'!N16+'3'!N16+'5'!N16+'6'!N16+'7'!N16+'8'!N16+'9'!N16+'10'!N16</f>
        <v>695.02319999999997</v>
      </c>
      <c r="O16" s="101">
        <f>+'1'!O16+'2'!O16+'4'!O16+'3'!O16+'5'!O16+'6'!O16+'7'!O16+'8'!O16+'9'!O16+'10'!O16</f>
        <v>22.781315999999997</v>
      </c>
      <c r="P16" s="105">
        <f t="shared" ref="P16:P24" si="0">M16+N16+O16</f>
        <v>4579.044515999999</v>
      </c>
      <c r="Q16" s="108"/>
      <c r="T16" s="163" t="str">
        <f>+'4'!A5</f>
        <v>Customer Name : Swera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80</v>
      </c>
      <c r="I17" s="1">
        <f t="shared" ref="I17:I23" si="1">(G17*D17)*F17+H17*F17</f>
        <v>4197</v>
      </c>
      <c r="J17" s="172">
        <f>+'1'!J17+'2'!J17+'4'!J17+'3'!J17+'5'!J17+'6'!J17+'7'!J17+'8'!J17+'9'!J17+'10'!J17+'11'!J17+'12'!J17+'13'!J17+'14'!J17+'15'!J17+'16'!J17+'17'!J17+'18'!J17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335.76</v>
      </c>
      <c r="M17" s="118">
        <f t="shared" ref="M17:M23" si="2">I17-K17-L17</f>
        <v>3861.24</v>
      </c>
      <c r="N17" s="101">
        <f>+'1'!N17+'2'!N17+'4'!N17+'3'!N17+'5'!N17+'6'!N17+'7'!N17+'8'!N17+'9'!N17+'10'!N17</f>
        <v>695.02319999999997</v>
      </c>
      <c r="O17" s="101">
        <f>+'1'!O17+'2'!O17+'4'!O17+'3'!O17+'5'!O17+'6'!O17+'7'!O17+'8'!O17+'9'!O17+'10'!O17</f>
        <v>22.781315999999997</v>
      </c>
      <c r="P17" s="120">
        <f t="shared" si="0"/>
        <v>4579.044515999999</v>
      </c>
      <c r="S17" s="64"/>
      <c r="T17" s="163" t="str">
        <f>+'3'!A5</f>
        <v>Customer Name : Swera</v>
      </c>
      <c r="U17" s="164">
        <f>+'3'!P35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80</v>
      </c>
      <c r="I18" s="1">
        <f t="shared" si="1"/>
        <v>4197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335.76</v>
      </c>
      <c r="M18" s="118">
        <f t="shared" si="2"/>
        <v>3861.24</v>
      </c>
      <c r="N18" s="101">
        <f>+'1'!N18+'2'!N18+'4'!N18+'3'!N18+'5'!N18+'6'!N18+'7'!N18+'8'!N18+'9'!N18+'10'!N18</f>
        <v>695.02319999999997</v>
      </c>
      <c r="O18" s="101">
        <f>+'1'!O18+'2'!O18+'4'!O18+'3'!O18+'5'!O18+'6'!O18+'7'!O18+'8'!O18+'9'!O18+'10'!O18</f>
        <v>22.781315999999997</v>
      </c>
      <c r="P18" s="120">
        <f t="shared" si="0"/>
        <v>4579.044515999999</v>
      </c>
      <c r="T18" s="163" t="str">
        <f>+'5'!A5</f>
        <v>Customer Name : Swera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80</v>
      </c>
      <c r="I19" s="1">
        <f t="shared" si="1"/>
        <v>5811.2</v>
      </c>
      <c r="J19" s="172">
        <f>+'1'!J19+'2'!J19+'4'!J19+'3'!J19+'5'!J19+'6'!J19+'7'!J19+'8'!J19+'9'!J19+'10'!J19+'11'!J19+'12'!J19+'13'!J19+'14'!J19+'15'!J19+'16'!J19+'17'!J19+'18'!J19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464.89600000000002</v>
      </c>
      <c r="M19" s="118">
        <f t="shared" si="2"/>
        <v>5346.3040000000001</v>
      </c>
      <c r="N19" s="101">
        <f>+'1'!N19+'2'!N19+'4'!N19+'3'!N19+'5'!N19+'6'!N19+'7'!N19+'8'!N19+'9'!N19+'10'!N19</f>
        <v>962.33471999999995</v>
      </c>
      <c r="O19" s="101">
        <f>+'1'!O19+'2'!O19+'4'!O19+'3'!O19+'5'!O19+'6'!O19+'7'!O19+'8'!O19+'9'!O19+'10'!O19</f>
        <v>31.543193599999999</v>
      </c>
      <c r="P19" s="120">
        <f t="shared" si="0"/>
        <v>6340.1819136000004</v>
      </c>
      <c r="T19" s="163" t="str">
        <f>+'6'!A5</f>
        <v>Customer Name : Swera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80</v>
      </c>
      <c r="I20" s="1">
        <f t="shared" si="1"/>
        <v>5811.2</v>
      </c>
      <c r="J20" s="172">
        <f>+'1'!J20+'2'!J20+'4'!J20+'3'!J20+'5'!J20+'6'!J20+'7'!J20+'8'!J20+'9'!J20+'10'!J20+'11'!J20+'12'!J20+'13'!J20+'14'!J20+'15'!J20+'16'!J20+'17'!J20+'18'!J20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464.89600000000002</v>
      </c>
      <c r="M20" s="118">
        <f t="shared" si="2"/>
        <v>5346.3040000000001</v>
      </c>
      <c r="N20" s="101">
        <f>+'1'!N20+'2'!N20+'4'!N20+'3'!N20+'5'!N20+'6'!N20+'7'!N20+'8'!N20+'9'!N20+'10'!N20</f>
        <v>962.33471999999995</v>
      </c>
      <c r="O20" s="101">
        <f>+'1'!O20+'2'!O20+'4'!O20+'3'!O20+'5'!O20+'6'!O20+'7'!O20+'8'!O20+'9'!O20+'10'!O20</f>
        <v>31.543193599999999</v>
      </c>
      <c r="P20" s="120">
        <f t="shared" si="0"/>
        <v>6340.1819136000004</v>
      </c>
      <c r="T20" s="163" t="str">
        <f>+'7'!A5</f>
        <v>Customer Name : Swera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80</v>
      </c>
      <c r="I21" s="1">
        <f t="shared" si="1"/>
        <v>5811.2</v>
      </c>
      <c r="J21" s="172">
        <f>+'1'!J21+'2'!J21+'4'!J21+'3'!J21+'5'!J21+'6'!J21+'7'!J21+'8'!J21+'9'!J21+'10'!J21+'11'!J21+'12'!J21+'13'!J21+'14'!J21+'15'!J21+'16'!J21+'17'!J21+'18'!J21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464.89600000000002</v>
      </c>
      <c r="M21" s="118">
        <f t="shared" si="2"/>
        <v>5346.3040000000001</v>
      </c>
      <c r="N21" s="101">
        <f>+'1'!N21+'2'!N21+'4'!N21+'3'!N21+'5'!N21+'6'!N21+'7'!N21+'8'!N21+'9'!N21+'10'!N21</f>
        <v>962.33471999999995</v>
      </c>
      <c r="O21" s="101">
        <f>+'1'!O21+'2'!O21+'4'!O21+'3'!O21+'5'!O21+'6'!O21+'7'!O21+'8'!O21+'9'!O21+'10'!O21</f>
        <v>31.543193599999999</v>
      </c>
      <c r="P21" s="120">
        <f t="shared" si="0"/>
        <v>6340.1819136000004</v>
      </c>
      <c r="T21" s="163" t="str">
        <f>+'8'!A5</f>
        <v>Customer Name : Swera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80</v>
      </c>
      <c r="I22" s="1">
        <f t="shared" si="1"/>
        <v>3138.4000000000005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109.84400000000002</v>
      </c>
      <c r="L22" s="175">
        <f>+'1'!L22+'2'!L22+'4'!L22+'3'!L22+'5'!L22+'6'!L22+'7'!L22+'8'!L22+'9'!L22+'10'!L22</f>
        <v>156.92000000000004</v>
      </c>
      <c r="M22" s="118">
        <f t="shared" si="2"/>
        <v>2871.6360000000004</v>
      </c>
      <c r="N22" s="101">
        <f>+'1'!N22+'2'!N22+'4'!N22+'3'!N22+'5'!N22+'6'!N22+'7'!N22+'8'!N22+'9'!N22+'10'!N22</f>
        <v>516.89448000000004</v>
      </c>
      <c r="O22" s="101">
        <f>+'1'!O22+'2'!O22+'4'!O22+'3'!O22+'5'!O22+'6'!O22+'7'!O22+'8'!O22+'9'!O22+'10'!O22</f>
        <v>16.942652400000004</v>
      </c>
      <c r="P22" s="120">
        <f t="shared" si="0"/>
        <v>3405.4731324000004</v>
      </c>
      <c r="T22" s="163" t="str">
        <f>+'9'!A5</f>
        <v>Customer Name : Swera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Swera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>Customer Name : Swera</v>
      </c>
      <c r="U24" s="164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14</v>
      </c>
      <c r="D25" s="205"/>
      <c r="E25" s="205"/>
      <c r="F25" s="205"/>
      <c r="G25" s="176">
        <f t="shared" ref="G25:M25" si="3">SUM(G16:G24)</f>
        <v>0</v>
      </c>
      <c r="H25" s="177">
        <f t="shared" si="3"/>
        <v>560</v>
      </c>
      <c r="I25" s="178">
        <f t="shared" si="3"/>
        <v>33163</v>
      </c>
      <c r="J25" s="177">
        <f t="shared" si="3"/>
        <v>0</v>
      </c>
      <c r="K25" s="178">
        <f t="shared" si="3"/>
        <v>109.84400000000002</v>
      </c>
      <c r="L25" s="179">
        <f t="shared" si="3"/>
        <v>2558.8879999999999</v>
      </c>
      <c r="M25" s="141">
        <f t="shared" si="3"/>
        <v>30494.267999999996</v>
      </c>
      <c r="N25" s="142">
        <f>SUM(N16:N24)</f>
        <v>5488.9682399999992</v>
      </c>
      <c r="O25" s="143">
        <f>SUM(O16:O24)</f>
        <v>179.91618119999998</v>
      </c>
      <c r="P25" s="144">
        <f>SUM(P16:P24)</f>
        <v>36163.1524212</v>
      </c>
      <c r="T25" s="163" t="str">
        <f>+'12'!A5</f>
        <v>Customer Name : Swera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>Customer Name : Swera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>Customer Name : Swera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>Customer Name : Swera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36163.1524212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2">
        <f>I25</f>
        <v>33163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3">
        <f>L25</f>
        <v>2558.8879999999999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4">
        <f>K25</f>
        <v>109.84400000000002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3">
        <f>P32-P33-P34</f>
        <v>30494.268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5" t="s">
        <v>89</v>
      </c>
      <c r="O36" s="156">
        <f>IF(B12="Registered",18%,22%)</f>
        <v>0.22</v>
      </c>
      <c r="P36" s="153">
        <f>N25</f>
        <v>5488.9682399999992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3">
        <f>P35+P36</f>
        <v>35983.236239999998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7"/>
      <c r="N38" s="158" t="s">
        <v>91</v>
      </c>
      <c r="O38" s="159">
        <f>IF(B11="Filer",0.5%,2.5%)</f>
        <v>2.5000000000000001E-2</v>
      </c>
      <c r="P38" s="153">
        <f>O38*P37</f>
        <v>899.58090600000003</v>
      </c>
    </row>
    <row r="39" spans="2:16" ht="15.75" customHeight="1" thickBot="1" x14ac:dyDescent="0.4">
      <c r="N39" s="203" t="s">
        <v>92</v>
      </c>
      <c r="O39" s="204"/>
      <c r="P39" s="160">
        <f>P37+P38</f>
        <v>36882.817146000001</v>
      </c>
    </row>
    <row r="40" spans="2:16" ht="15" thickBot="1" x14ac:dyDescent="0.4">
      <c r="B40" s="161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F9" sqref="F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101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3520268948847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80</v>
      </c>
      <c r="I16" s="102">
        <f>(G16*D16)*F16+H16*F16</f>
        <v>4197</v>
      </c>
      <c r="J16" s="103"/>
      <c r="K16" s="104">
        <f>I16*$K$13</f>
        <v>0</v>
      </c>
      <c r="L16" s="105">
        <f>I16*8%</f>
        <v>335.76</v>
      </c>
      <c r="M16" s="106">
        <f>I16-K16-L16</f>
        <v>3861.24</v>
      </c>
      <c r="N16" s="106">
        <f t="shared" ref="N16:N24" si="0">(M16*$N$15)+(J16*F16)*$N$15</f>
        <v>695.02319999999997</v>
      </c>
      <c r="O16" s="107">
        <f t="shared" ref="O16:O24" si="1">(N16+M16)*$O$15</f>
        <v>22.781315999999997</v>
      </c>
      <c r="P16" s="105">
        <f t="shared" ref="P16:P24" si="2">M16+N16+O16</f>
        <v>4579.044515999999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80</v>
      </c>
      <c r="I17" s="116">
        <f t="shared" ref="I17:I23" si="3">(G17*D17)*F17+H17*F17</f>
        <v>4197</v>
      </c>
      <c r="J17" s="117"/>
      <c r="K17" s="1">
        <f t="shared" ref="K17:K21" si="4">I17*$K$13</f>
        <v>0</v>
      </c>
      <c r="L17" s="105">
        <f t="shared" ref="L17:L21" si="5">I17*8%</f>
        <v>335.76</v>
      </c>
      <c r="M17" s="118">
        <f t="shared" ref="M17:M23" si="6">I17-K17-L17</f>
        <v>3861.24</v>
      </c>
      <c r="N17" s="118">
        <f t="shared" si="0"/>
        <v>695.02319999999997</v>
      </c>
      <c r="O17" s="119">
        <f t="shared" si="1"/>
        <v>22.781315999999997</v>
      </c>
      <c r="P17" s="120">
        <f t="shared" si="2"/>
        <v>4579.044515999999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80</v>
      </c>
      <c r="I18" s="116">
        <f t="shared" si="3"/>
        <v>4197</v>
      </c>
      <c r="J18" s="117"/>
      <c r="K18" s="1">
        <f t="shared" si="4"/>
        <v>0</v>
      </c>
      <c r="L18" s="105">
        <f t="shared" si="5"/>
        <v>335.76</v>
      </c>
      <c r="M18" s="118">
        <f t="shared" si="6"/>
        <v>3861.24</v>
      </c>
      <c r="N18" s="118">
        <f t="shared" si="0"/>
        <v>695.02319999999997</v>
      </c>
      <c r="O18" s="119">
        <f t="shared" si="1"/>
        <v>22.781315999999997</v>
      </c>
      <c r="P18" s="120">
        <f t="shared" si="2"/>
        <v>4579.044515999999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80</v>
      </c>
      <c r="I19" s="116">
        <f t="shared" si="3"/>
        <v>5811.2</v>
      </c>
      <c r="J19" s="117"/>
      <c r="K19" s="1">
        <f t="shared" si="4"/>
        <v>0</v>
      </c>
      <c r="L19" s="105">
        <f t="shared" si="5"/>
        <v>464.89600000000002</v>
      </c>
      <c r="M19" s="118">
        <f t="shared" si="6"/>
        <v>5346.3040000000001</v>
      </c>
      <c r="N19" s="118">
        <f t="shared" si="0"/>
        <v>962.33471999999995</v>
      </c>
      <c r="O19" s="119">
        <f t="shared" si="1"/>
        <v>31.543193599999999</v>
      </c>
      <c r="P19" s="120">
        <f t="shared" si="2"/>
        <v>6340.1819136000004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80</v>
      </c>
      <c r="I20" s="116">
        <f t="shared" si="3"/>
        <v>5811.2</v>
      </c>
      <c r="J20" s="117"/>
      <c r="K20" s="1">
        <f t="shared" si="4"/>
        <v>0</v>
      </c>
      <c r="L20" s="105">
        <f t="shared" si="5"/>
        <v>464.89600000000002</v>
      </c>
      <c r="M20" s="118">
        <f t="shared" si="6"/>
        <v>5346.3040000000001</v>
      </c>
      <c r="N20" s="118">
        <f t="shared" si="0"/>
        <v>962.33471999999995</v>
      </c>
      <c r="O20" s="119">
        <f t="shared" si="1"/>
        <v>31.543193599999999</v>
      </c>
      <c r="P20" s="120">
        <f t="shared" si="2"/>
        <v>6340.1819136000004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3"/>
        <v>5811.2</v>
      </c>
      <c r="J21" s="117"/>
      <c r="K21" s="1">
        <f t="shared" si="4"/>
        <v>0</v>
      </c>
      <c r="L21" s="105">
        <f t="shared" si="5"/>
        <v>464.89600000000002</v>
      </c>
      <c r="M21" s="118">
        <f t="shared" si="6"/>
        <v>5346.3040000000001</v>
      </c>
      <c r="N21" s="118">
        <f t="shared" si="0"/>
        <v>962.33471999999995</v>
      </c>
      <c r="O21" s="119">
        <f t="shared" si="1"/>
        <v>31.543193599999999</v>
      </c>
      <c r="P21" s="120">
        <f t="shared" si="2"/>
        <v>6340.1819136000004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3"/>
        <v>3138.4000000000005</v>
      </c>
      <c r="J22" s="117"/>
      <c r="K22" s="1">
        <f>I22*3.5%</f>
        <v>109.84400000000002</v>
      </c>
      <c r="L22" s="120">
        <f>I22*5%</f>
        <v>156.92000000000004</v>
      </c>
      <c r="M22" s="118">
        <f t="shared" si="6"/>
        <v>2871.6360000000004</v>
      </c>
      <c r="N22" s="118">
        <f t="shared" si="0"/>
        <v>516.89448000000004</v>
      </c>
      <c r="O22" s="119">
        <f t="shared" si="1"/>
        <v>16.942652400000004</v>
      </c>
      <c r="P22" s="120">
        <f t="shared" si="2"/>
        <v>3405.4731324000004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560</v>
      </c>
      <c r="I25" s="137">
        <f t="shared" si="9"/>
        <v>33163</v>
      </c>
      <c r="J25" s="138"/>
      <c r="K25" s="139">
        <f t="shared" si="9"/>
        <v>109.84400000000002</v>
      </c>
      <c r="L25" s="140">
        <f t="shared" si="9"/>
        <v>2558.8879999999999</v>
      </c>
      <c r="M25" s="141">
        <f t="shared" si="9"/>
        <v>30494.267999999996</v>
      </c>
      <c r="N25" s="142">
        <f>SUM(N16:N24)</f>
        <v>5488.9682399999992</v>
      </c>
      <c r="O25" s="143">
        <f>SUM(O16:O24)</f>
        <v>179.91618119999998</v>
      </c>
      <c r="P25" s="144">
        <f>SUM(P16:P24)</f>
        <v>36163.1524212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33163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2558.8879999999999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109.84400000000002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30494.268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5488.9682399999992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35983.236239999998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179.91618119999998</v>
      </c>
    </row>
    <row r="35" spans="2:16" ht="15.75" customHeight="1" thickBot="1" x14ac:dyDescent="0.4">
      <c r="N35" s="203" t="s">
        <v>92</v>
      </c>
      <c r="O35" s="204"/>
      <c r="P35" s="160">
        <f>P33+P34</f>
        <v>36163.1524212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N4" sqref="N4:P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3520268948847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N4" sqref="N4:P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3520268948847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N4" sqref="N4:P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3520268948847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N4" sqref="N4:P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3520268948847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N4" sqref="N4:P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3520268948847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N4" sqref="N4:P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3520268948847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N4" sqref="N4:P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3520268948847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N4" sqref="N4:P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3520268948847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N4" sqref="N4:P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3520268948847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N4" sqref="N4:P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3520268948847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N4" sqref="N4:P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3520268948847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N4" sqref="N4:P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3520268948847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N4" sqref="N4:P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3520268948847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N4" sqref="N4:P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3520268948847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N4" sqref="N4:P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3520268948847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N4" sqref="N4:P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3520268948847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N4" sqref="N4:P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3520268948847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N4" sqref="N4:P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3520268948847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N4" sqref="N4:P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3520268948847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2026-06-15T10:42:50Z</dcterms:modified>
</cp:coreProperties>
</file>