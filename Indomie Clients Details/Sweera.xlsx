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C34FBE8E-DEE9-4440-9D30-70EC47E07CCC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L18" i="31" s="1"/>
  <c r="I19" i="31"/>
  <c r="K19" i="31" s="1"/>
  <c r="I20" i="31"/>
  <c r="L20" i="31" s="1"/>
  <c r="I21" i="31"/>
  <c r="I22" i="31"/>
  <c r="K22" i="31" s="1"/>
  <c r="I23" i="31"/>
  <c r="K23" i="31" s="1"/>
  <c r="I24" i="31"/>
  <c r="I23" i="32"/>
  <c r="I22" i="33"/>
  <c r="K22" i="33" s="1"/>
  <c r="I16" i="34"/>
  <c r="L16" i="34" s="1"/>
  <c r="I17" i="34"/>
  <c r="I18" i="34"/>
  <c r="I19" i="34"/>
  <c r="K19" i="34" s="1"/>
  <c r="I20" i="34"/>
  <c r="K20" i="34" s="1"/>
  <c r="I21" i="34"/>
  <c r="L21" i="34" s="1"/>
  <c r="I22" i="34"/>
  <c r="K22" i="34" s="1"/>
  <c r="I23" i="34"/>
  <c r="I24" i="34"/>
  <c r="L24" i="34" s="1"/>
  <c r="M24" i="34" s="1"/>
  <c r="I16" i="29"/>
  <c r="I17" i="29"/>
  <c r="I18" i="29"/>
  <c r="K18" i="29" s="1"/>
  <c r="I19" i="29"/>
  <c r="K19" i="29" s="1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L18" i="33"/>
  <c r="I25" i="35"/>
  <c r="P28" i="35" s="1"/>
  <c r="K16" i="35"/>
  <c r="L16" i="35"/>
  <c r="K17" i="35"/>
  <c r="L17" i="35"/>
  <c r="M17" i="35" s="1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M23" i="35" s="1"/>
  <c r="K24" i="35"/>
  <c r="M24" i="35" s="1"/>
  <c r="L24" i="35"/>
  <c r="K17" i="34"/>
  <c r="L17" i="34"/>
  <c r="K18" i="34"/>
  <c r="L18" i="34"/>
  <c r="K21" i="34"/>
  <c r="L22" i="34"/>
  <c r="K23" i="34"/>
  <c r="M23" i="34"/>
  <c r="L23" i="34"/>
  <c r="K24" i="34"/>
  <c r="K21" i="33"/>
  <c r="L21" i="33"/>
  <c r="L22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K21" i="31"/>
  <c r="L21" i="31"/>
  <c r="L22" i="31"/>
  <c r="K24" i="31"/>
  <c r="L24" i="31"/>
  <c r="M24" i="31" s="1"/>
  <c r="K16" i="31"/>
  <c r="L16" i="31"/>
  <c r="K18" i="31"/>
  <c r="K20" i="31"/>
  <c r="L23" i="31"/>
  <c r="K18" i="30"/>
  <c r="L18" i="30"/>
  <c r="K20" i="30"/>
  <c r="L20" i="30"/>
  <c r="K21" i="30"/>
  <c r="L21" i="30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L22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M21" i="30"/>
  <c r="N21" i="30" s="1"/>
  <c r="O21" i="30" s="1"/>
  <c r="K19" i="33"/>
  <c r="I25" i="34"/>
  <c r="P28" i="34" s="1"/>
  <c r="L19" i="31"/>
  <c r="L20" i="34"/>
  <c r="L18" i="29"/>
  <c r="M18" i="29" s="1"/>
  <c r="N18" i="29" s="1"/>
  <c r="O18" i="29" s="1"/>
  <c r="M17" i="31"/>
  <c r="L19" i="34"/>
  <c r="M22" i="29"/>
  <c r="M22" i="31"/>
  <c r="N22" i="31" s="1"/>
  <c r="O22" i="31" s="1"/>
  <c r="P22" i="31" s="1"/>
  <c r="M21" i="35"/>
  <c r="M23" i="33"/>
  <c r="I16" i="26"/>
  <c r="K16" i="26" s="1"/>
  <c r="I17" i="26"/>
  <c r="L17" i="26" s="1"/>
  <c r="I18" i="26"/>
  <c r="K18" i="26" s="1"/>
  <c r="I19" i="26"/>
  <c r="I20" i="26"/>
  <c r="I21" i="26"/>
  <c r="L21" i="26" s="1"/>
  <c r="I22" i="26"/>
  <c r="K22" i="26" s="1"/>
  <c r="I23" i="26"/>
  <c r="I24" i="26"/>
  <c r="I21" i="27"/>
  <c r="I25" i="27" s="1"/>
  <c r="P28" i="27" s="1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N16" i="29" s="1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17" i="28"/>
  <c r="O17" i="28" s="1"/>
  <c r="J25" i="15"/>
  <c r="K16" i="27"/>
  <c r="L16" i="27"/>
  <c r="K17" i="27"/>
  <c r="L17" i="27"/>
  <c r="K20" i="27"/>
  <c r="L20" i="27"/>
  <c r="K22" i="27"/>
  <c r="L22" i="27"/>
  <c r="K23" i="27"/>
  <c r="L23" i="27"/>
  <c r="K24" i="27"/>
  <c r="L24" i="27"/>
  <c r="K19" i="27"/>
  <c r="L19" i="27"/>
  <c r="K18" i="27"/>
  <c r="L18" i="27"/>
  <c r="K19" i="26"/>
  <c r="L19" i="26"/>
  <c r="L22" i="26"/>
  <c r="K23" i="26"/>
  <c r="L23" i="26"/>
  <c r="L18" i="26"/>
  <c r="K20" i="26"/>
  <c r="L20" i="26"/>
  <c r="K24" i="26"/>
  <c r="L24" i="26"/>
  <c r="M24" i="26" s="1"/>
  <c r="T23" i="15"/>
  <c r="T22" i="15"/>
  <c r="T21" i="15"/>
  <c r="T20" i="15"/>
  <c r="T19" i="15"/>
  <c r="T18" i="15"/>
  <c r="T17" i="15"/>
  <c r="T16" i="15"/>
  <c r="T15" i="15"/>
  <c r="T14" i="15"/>
  <c r="K21" i="27" l="1"/>
  <c r="K17" i="26"/>
  <c r="L16" i="26"/>
  <c r="K21" i="26"/>
  <c r="L25" i="29"/>
  <c r="P29" i="29" s="1"/>
  <c r="P31" i="29" s="1"/>
  <c r="L21" i="27"/>
  <c r="M21" i="27" s="1"/>
  <c r="N21" i="27" s="1"/>
  <c r="K25" i="34"/>
  <c r="P30" i="34" s="1"/>
  <c r="P31" i="34" s="1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I25" i="25" l="1"/>
  <c r="P28" i="25" s="1"/>
  <c r="K18" i="19"/>
  <c r="K17" i="23"/>
  <c r="L18" i="17"/>
  <c r="M18" i="17" s="1"/>
  <c r="N18" i="17" s="1"/>
  <c r="O18" i="17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25" i="25" s="1"/>
  <c r="P30" i="25" s="1"/>
  <c r="K16" i="24"/>
  <c r="M16" i="24" s="1"/>
  <c r="N16" i="24" s="1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M20" i="24" s="1"/>
  <c r="N20" i="24" s="1"/>
  <c r="O20" i="24" s="1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M17" i="19" s="1"/>
  <c r="N17" i="19" s="1"/>
  <c r="O17" i="19" s="1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M16" i="25"/>
  <c r="N23" i="25"/>
  <c r="O23" i="25" s="1"/>
  <c r="P23" i="25" s="1"/>
  <c r="N23" i="24"/>
  <c r="O23" i="24" s="1"/>
  <c r="N24" i="24"/>
  <c r="O24" i="24" s="1"/>
  <c r="M16" i="22"/>
  <c r="M21" i="21"/>
  <c r="N21" i="21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I23" i="15"/>
  <c r="K25" i="24" l="1"/>
  <c r="P30" i="24" s="1"/>
  <c r="K25" i="19"/>
  <c r="P30" i="19" s="1"/>
  <c r="K22" i="15"/>
  <c r="M19" i="18"/>
  <c r="N19" i="18" s="1"/>
  <c r="O19" i="18" s="1"/>
  <c r="K18" i="15"/>
  <c r="L25" i="24"/>
  <c r="P29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5" i="20"/>
  <c r="P19" i="18"/>
  <c r="M25" i="18"/>
  <c r="M18" i="15"/>
  <c r="P31" i="24"/>
  <c r="P33" i="24" s="1"/>
  <c r="P34" i="24" s="1"/>
  <c r="P35" i="24" s="1"/>
  <c r="U22" i="15" s="1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P33" i="20" l="1"/>
  <c r="P34" i="20" s="1"/>
  <c r="P35" i="20" s="1"/>
  <c r="U18" i="15" s="1"/>
  <c r="N22" i="15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<sst xmlns="http://schemas.openxmlformats.org/spreadsheetml/2006/main" count="1579" uniqueCount="109">
  <si>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</si>
  <si>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</si>
  <si>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</si>
  <si>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</si>
  <si>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</si>
  <si>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</si>
  <si>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</si>
  <si>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</si>
  <si>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</si>
  <si>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</si>
  <si>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</si>
  <si>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</si>
  <si>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</si>
  <si>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</si>
  <si>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</si>
  <si>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</si>
  <si>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</si>
  <si>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</si>
  <si>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</si>
  <si>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</si>
  <si>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</si>
  <si>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</si>
  <si>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</si>
  <si>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</si>
  <si>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</si>
  <si>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</si>
  <si>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</si>
  <si>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</si>
  <si>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</si>
  <si>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</si>
  <si>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</si>
  <si>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</si>
  <si>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</si>
  <si>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</si>
  <si>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</si>
  <si>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</si>
  <si>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</si>
  <si>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</si>
  <si>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</si>
  <si>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</si>
  <si>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</si>
  <si>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</si>
  <si>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</si>
  <si>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</si>
  <si>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</si>
  <si>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</si>
  <si>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</si>
  <si>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</si>
  <si>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</si>
  <si>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</si>
  <si>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</si>
  <si>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</si>
  <si>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</si>
  <si>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</si>
  <si>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</si>
  <si>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</si>
  <si>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</si>
  <si>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</si>
  <si>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</si>
  <si>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</si>
  <si>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</si>
  <si>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</si>
  <si>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</si>
  <si>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</si>
  <si>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</si>
  <si>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</si>
  <si>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</si>
  <si>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</si>
  <si>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</si>
  <si>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</si>
  <si>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</si>
  <si>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</si>
  <si>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</si>
  <si>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</si>
  <si>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</si>
  <si>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</si>
  <si>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</si>
  <si>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</si>
  <si>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</si>
  <si>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</si>
  <si>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</si>
  <si>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</si>
  <si>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</si>
  <si>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</si>
  <si>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</si>
  <si>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</si>
  <si>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</si>
  <si>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</si>
  <si>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</si>
  <si>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</si>
  <si>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</si>
  <si>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</si>
  <si>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</si>
  <si>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</si>
  <si>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</si>
  <si>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</si>
  <si>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</si>
  <si>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</si>
  <si>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</si>
  <si>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</si>
  <si>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</si>
  <si>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</si>
  <si>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Swera</t>
  </si>
  <si>
    <t>Shop Bill Summary (Swera)</t>
  </si>
  <si>
    <t>Customer Name : Swera</t>
  </si>
  <si>
    <t>Address: Shadman</t>
  </si>
  <si>
    <t xml:space="preserve">1265416-7 </t>
  </si>
  <si>
    <t>Address:GT Road</t>
  </si>
  <si>
    <t>Address: GT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</si>
</sst>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16" sqref="L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16" sqref="L16"/>
      <selection pane="topRight" activeCell="L16" sqref="L16"/>
      <selection pane="bottomLeft" activeCell="L16" sqref="L16"/>
      <selection pane="bottomRight" activeCell="L16" sqref="L1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zoomScale="70" zoomScaleNormal="70" workbookViewId="0">
      <selection activeCell="S14" sqref="S1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102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103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Swera</v>
      </c>
      <c r="U14" s="163">
        <f>+'1'!P35</f>
        <v>36163.1524212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11"/>
      <c r="J15" s="170" t="s">
        <v>78</v>
      </c>
      <c r="K15" s="170" t="s">
        <v>79</v>
      </c>
      <c r="L15" s="173" t="s">
        <v>80</v>
      </c>
      <c r="M15" s="214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Swera</v>
      </c>
      <c r="U15" s="163">
        <f>+'2'!P35</f>
        <v>49136.518933200001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</f>
        <v>160</v>
      </c>
      <c r="I16" s="1">
        <f>(G16*D16)*F16+H16*F16</f>
        <v>8394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671.52</v>
      </c>
      <c r="M16" s="105">
        <f>I16-K16-L16</f>
        <v>7722.48</v>
      </c>
      <c r="N16" s="100">
        <f>+'1'!N16+'2'!N16+'4'!N16+'3'!N16+'5'!N16+'6'!N16+'7'!N16+'8'!N16+'9'!N16+'10'!N16</f>
        <v>1390.0463999999999</v>
      </c>
      <c r="O16" s="100">
        <f>+'1'!O16+'2'!O16+'4'!O16+'3'!O16+'5'!O16+'6'!O16+'7'!O16+'8'!O16+'9'!O16+'10'!O16</f>
        <v>45.562631999999994</v>
      </c>
      <c r="P16" s="104">
        <f t="shared" ref="P16:P24" si="0">M16+N16+O16</f>
        <v>9158.089031999998</v>
      </c>
      <c r="Q16" s="107"/>
      <c r="T16" s="162" t="str">
        <f>+'4'!A5</f>
        <v>Customer Name : Swera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</f>
        <v>160</v>
      </c>
      <c r="I17" s="1">
        <f t="shared" ref="I17:I23" si="1">(G17*D17)*F17+H17*F17</f>
        <v>8394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671.52</v>
      </c>
      <c r="M17" s="117">
        <f t="shared" ref="M17:M23" si="2">I17-K17-L17</f>
        <v>7722.48</v>
      </c>
      <c r="N17" s="100">
        <f>+'1'!N17+'2'!N17+'4'!N17+'3'!N17+'5'!N17+'6'!N17+'7'!N17+'8'!N17+'9'!N17+'10'!N17</f>
        <v>1390.0463999999999</v>
      </c>
      <c r="O17" s="100">
        <f>+'1'!O17+'2'!O17+'4'!O17+'3'!O17+'5'!O17+'6'!O17+'7'!O17+'8'!O17+'9'!O17+'10'!O17</f>
        <v>45.562631999999994</v>
      </c>
      <c r="P17" s="119">
        <f t="shared" si="0"/>
        <v>9158.089031999998</v>
      </c>
      <c r="S17" s="64"/>
      <c r="T17" s="162" t="str">
        <f>+'3'!A5</f>
        <v>Customer Name : Swera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</f>
        <v>280</v>
      </c>
      <c r="I18" s="1">
        <f t="shared" si="1"/>
        <v>14689.5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1175.1599999999999</v>
      </c>
      <c r="M18" s="117">
        <f t="shared" si="2"/>
        <v>13514.34</v>
      </c>
      <c r="N18" s="100">
        <f>+'1'!N18+'2'!N18+'4'!N18+'3'!N18+'5'!N18+'6'!N18+'7'!N18+'8'!N18+'9'!N18+'10'!N18</f>
        <v>2432.5812000000001</v>
      </c>
      <c r="O18" s="100">
        <f>+'1'!O18+'2'!O18+'4'!O18+'3'!O18+'5'!O18+'6'!O18+'7'!O18+'8'!O18+'9'!O18+'10'!O18</f>
        <v>79.734605999999985</v>
      </c>
      <c r="P18" s="119">
        <f t="shared" si="0"/>
        <v>16026.655806000001</v>
      </c>
      <c r="T18" s="162" t="str">
        <f>+'5'!A5</f>
        <v>Customer Name : Swera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</f>
        <v>160</v>
      </c>
      <c r="I19" s="1">
        <f t="shared" si="1"/>
        <v>11622.4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929.79200000000003</v>
      </c>
      <c r="M19" s="117">
        <f t="shared" si="2"/>
        <v>10692.608</v>
      </c>
      <c r="N19" s="100">
        <f>+'1'!N19+'2'!N19+'4'!N19+'3'!N19+'5'!N19+'6'!N19+'7'!N19+'8'!N19+'9'!N19+'10'!N19</f>
        <v>1924.6694399999999</v>
      </c>
      <c r="O19" s="100">
        <f>+'1'!O19+'2'!O19+'4'!O19+'3'!O19+'5'!O19+'6'!O19+'7'!O19+'8'!O19+'9'!O19+'10'!O19</f>
        <v>63.086387199999997</v>
      </c>
      <c r="P19" s="119">
        <f t="shared" si="0"/>
        <v>12680.363827200001</v>
      </c>
      <c r="T19" s="162" t="str">
        <f>+'6'!A5</f>
        <v>Customer Name : Swera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</f>
        <v>160</v>
      </c>
      <c r="I20" s="1">
        <f t="shared" si="1"/>
        <v>11622.4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929.79200000000003</v>
      </c>
      <c r="M20" s="117">
        <f t="shared" si="2"/>
        <v>10692.608</v>
      </c>
      <c r="N20" s="100">
        <f>+'1'!N20+'2'!N20+'4'!N20+'3'!N20+'5'!N20+'6'!N20+'7'!N20+'8'!N20+'9'!N20+'10'!N20</f>
        <v>1924.6694399999999</v>
      </c>
      <c r="O20" s="100">
        <f>+'1'!O20+'2'!O20+'4'!O20+'3'!O20+'5'!O20+'6'!O20+'7'!O20+'8'!O20+'9'!O20+'10'!O20</f>
        <v>63.086387199999997</v>
      </c>
      <c r="P20" s="119">
        <f t="shared" si="0"/>
        <v>12680.363827200001</v>
      </c>
      <c r="T20" s="162" t="str">
        <f>+'7'!A5</f>
        <v>Customer Name : Swera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</f>
        <v>280</v>
      </c>
      <c r="I21" s="1">
        <f t="shared" si="1"/>
        <v>20339.2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1627.136</v>
      </c>
      <c r="M21" s="117">
        <f t="shared" si="2"/>
        <v>18712.064000000002</v>
      </c>
      <c r="N21" s="100">
        <f>+'1'!N21+'2'!N21+'4'!N21+'3'!N21+'5'!N21+'6'!N21+'7'!N21+'8'!N21+'9'!N21+'10'!N21</f>
        <v>3368.1715199999999</v>
      </c>
      <c r="O21" s="100">
        <f>+'1'!O21+'2'!O21+'4'!O21+'3'!O21+'5'!O21+'6'!O21+'7'!O21+'8'!O21+'9'!O21+'10'!O21</f>
        <v>110.4011776</v>
      </c>
      <c r="P21" s="119">
        <f t="shared" si="0"/>
        <v>22190.636697600003</v>
      </c>
      <c r="T21" s="162" t="str">
        <f>+'8'!A5</f>
        <v>Customer Name : Swera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</f>
        <v>80</v>
      </c>
      <c r="I22" s="1">
        <f t="shared" si="1"/>
        <v>3138.4000000000005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109.84400000000002</v>
      </c>
      <c r="L22" s="174">
        <f>+'1'!L22+'2'!L22+'4'!L22+'3'!L22+'5'!L22+'6'!L22+'7'!L22+'8'!L22+'9'!L22+'10'!L22</f>
        <v>156.92000000000004</v>
      </c>
      <c r="M22" s="117">
        <f t="shared" si="2"/>
        <v>2871.6360000000004</v>
      </c>
      <c r="N22" s="100">
        <f>+'1'!N22+'2'!N22+'4'!N22+'3'!N22+'5'!N22+'6'!N22+'7'!N22+'8'!N22+'9'!N22+'10'!N22</f>
        <v>516.89448000000004</v>
      </c>
      <c r="O22" s="100">
        <f>+'1'!O22+'2'!O22+'4'!O22+'3'!O22+'5'!O22+'6'!O22+'7'!O22+'8'!O22+'9'!O22+'10'!O22</f>
        <v>16.942652400000004</v>
      </c>
      <c r="P22" s="119">
        <f t="shared" si="0"/>
        <v>3405.4731324000004</v>
      </c>
      <c r="T22" s="162" t="str">
        <f>+'9'!A5</f>
        <v>Customer Name : Swera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Swera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Swera</v>
      </c>
      <c r="U24" s="163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32</v>
      </c>
      <c r="D25" s="221"/>
      <c r="E25" s="221"/>
      <c r="F25" s="221"/>
      <c r="G25" s="175">
        <f t="shared" ref="G25:M25" si="3">SUM(G16:G24)</f>
        <v>0</v>
      </c>
      <c r="H25" s="176">
        <f t="shared" si="3"/>
        <v>1280</v>
      </c>
      <c r="I25" s="177">
        <f t="shared" si="3"/>
        <v>78199.899999999994</v>
      </c>
      <c r="J25" s="176">
        <f t="shared" si="3"/>
        <v>0</v>
      </c>
      <c r="K25" s="177">
        <f t="shared" si="3"/>
        <v>109.84400000000002</v>
      </c>
      <c r="L25" s="178">
        <f t="shared" si="3"/>
        <v>6161.84</v>
      </c>
      <c r="M25" s="140">
        <f t="shared" si="3"/>
        <v>71928.216</v>
      </c>
      <c r="N25" s="141">
        <f>SUM(N16:N24)</f>
        <v>12947.078880000001</v>
      </c>
      <c r="O25" s="142">
        <f>SUM(O16:O24)</f>
        <v>424.37647439999995</v>
      </c>
      <c r="P25" s="143">
        <f>SUM(P16:P24)</f>
        <v>85299.671354400009</v>
      </c>
      <c r="T25" s="162" t="str">
        <f>+'12'!A5</f>
        <v>Customer Name : Swera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Swera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Swera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Swera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/>
      <c r="U29" s="181"/>
    </row>
    <row r="30" spans="1:21 16384:16384" ht="26.5" thickBot="1" x14ac:dyDescent="0.65">
      <c r="A30" s="144"/>
      <c r="B30" s="144"/>
      <c r="C30" s="144"/>
      <c r="D30" s="144"/>
      <c r="E30" s="144"/>
      <c r="F30" s="144"/>
      <c r="G30" s="145"/>
      <c r="H30" s="145"/>
      <c r="I30" s="146"/>
      <c r="K30" s="147"/>
      <c r="L30" s="147"/>
      <c r="M30" s="147"/>
      <c r="N30" s="147"/>
      <c r="O30" s="148"/>
      <c r="P30" s="147"/>
      <c r="T30" s="165" t="s">
        <v>84</v>
      </c>
      <c r="U30" s="164">
        <f>SUM(U14:U28)</f>
        <v>85299.671354399994</v>
      </c>
    </row>
    <row r="31" spans="1:21 16384:16384" ht="15" thickBot="1" x14ac:dyDescent="0.4">
      <c r="A31" s="69"/>
      <c r="B31" s="69"/>
      <c r="C31" s="149"/>
      <c r="D31" s="149"/>
      <c r="E31" s="149"/>
      <c r="F31" s="149"/>
      <c r="G31" s="150"/>
      <c r="H31" s="150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1">
        <f>I25</f>
        <v>78199.899999999994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2">
        <f>L25</f>
        <v>6161.84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3">
        <f>K25</f>
        <v>109.84400000000002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2">
        <f>P32-P33-P34</f>
        <v>71928.216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4" t="s">
        <v>89</v>
      </c>
      <c r="O36" s="155">
        <f>IF(B12="Registered",18%,22%)</f>
        <v>0.22</v>
      </c>
      <c r="P36" s="152">
        <f>N25</f>
        <v>12947.078880000001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2">
        <f>P35+P36</f>
        <v>84875.294880000001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6"/>
      <c r="N38" s="157" t="s">
        <v>91</v>
      </c>
      <c r="O38" s="158">
        <f>IF(B11="Filer",0.5%,2.5%)</f>
        <v>2.5000000000000001E-2</v>
      </c>
      <c r="P38" s="152">
        <f>O38*P37</f>
        <v>2121.882372</v>
      </c>
    </row>
    <row r="39" spans="2:16" ht="15.75" customHeight="1" thickBot="1" x14ac:dyDescent="0.4">
      <c r="N39" s="219" t="s">
        <v>92</v>
      </c>
      <c r="O39" s="220"/>
      <c r="P39" s="159">
        <f>P37+P38</f>
        <v>86997.177251999994</v>
      </c>
    </row>
    <row r="40" spans="2:16" ht="15" thickBot="1" x14ac:dyDescent="0.4">
      <c r="B40" s="160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I16*8%</f>
        <v>335.76</v>
      </c>
      <c r="M16" s="105">
        <f>I16-K16-L16</f>
        <v>3861.24</v>
      </c>
      <c r="N16" s="105">
        <f t="shared" ref="N16:N24" si="0">(M16*$N$15)+(J16*F16)*$N$15</f>
        <v>695.02319999999997</v>
      </c>
      <c r="O16" s="106">
        <f t="shared" ref="O16:O24" si="1">(N16+M16)*$O$15</f>
        <v>22.781315999999997</v>
      </c>
      <c r="P16" s="104">
        <f t="shared" ref="P16:P24" si="2">M16+N16+O16</f>
        <v>4579.044515999999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I17*8%</f>
        <v>335.76</v>
      </c>
      <c r="M17" s="117">
        <f t="shared" ref="M17:M23" si="6">I17-K17-L17</f>
        <v>3861.24</v>
      </c>
      <c r="N17" s="117">
        <f t="shared" si="0"/>
        <v>695.02319999999997</v>
      </c>
      <c r="O17" s="118">
        <f t="shared" si="1"/>
        <v>22.781315999999997</v>
      </c>
      <c r="P17" s="119">
        <f t="shared" si="2"/>
        <v>4579.044515999999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80</v>
      </c>
      <c r="I18" s="115">
        <f t="shared" si="3"/>
        <v>4197</v>
      </c>
      <c r="J18" s="116"/>
      <c r="K18" s="1">
        <f t="shared" si="4"/>
        <v>0</v>
      </c>
      <c r="L18" s="104">
        <f t="shared" si="5"/>
        <v>335.76</v>
      </c>
      <c r="M18" s="117">
        <f t="shared" si="6"/>
        <v>3861.24</v>
      </c>
      <c r="N18" s="117">
        <f t="shared" si="0"/>
        <v>695.02319999999997</v>
      </c>
      <c r="O18" s="118">
        <f t="shared" si="1"/>
        <v>22.781315999999997</v>
      </c>
      <c r="P18" s="119">
        <f t="shared" si="2"/>
        <v>4579.044515999999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464.89600000000002</v>
      </c>
      <c r="M19" s="117">
        <f t="shared" si="6"/>
        <v>5346.3040000000001</v>
      </c>
      <c r="N19" s="117">
        <f t="shared" si="0"/>
        <v>962.33471999999995</v>
      </c>
      <c r="O19" s="118">
        <f t="shared" si="1"/>
        <v>31.543193599999999</v>
      </c>
      <c r="P19" s="119">
        <f t="shared" si="2"/>
        <v>6340.1819136000004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464.89600000000002</v>
      </c>
      <c r="M20" s="117">
        <f t="shared" si="6"/>
        <v>5346.3040000000001</v>
      </c>
      <c r="N20" s="117">
        <f t="shared" si="0"/>
        <v>962.33471999999995</v>
      </c>
      <c r="O20" s="118">
        <f t="shared" si="1"/>
        <v>31.543193599999999</v>
      </c>
      <c r="P20" s="119">
        <f t="shared" si="2"/>
        <v>6340.1819136000004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464.89600000000002</v>
      </c>
      <c r="M21" s="117">
        <f t="shared" si="6"/>
        <v>5346.3040000000001</v>
      </c>
      <c r="N21" s="117">
        <f t="shared" si="0"/>
        <v>962.33471999999995</v>
      </c>
      <c r="O21" s="118">
        <f t="shared" si="1"/>
        <v>31.543193599999999</v>
      </c>
      <c r="P21" s="119">
        <f t="shared" si="2"/>
        <v>6340.1819136000004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80</v>
      </c>
      <c r="I22" s="115">
        <f t="shared" si="3"/>
        <v>3138.4000000000005</v>
      </c>
      <c r="J22" s="116"/>
      <c r="K22" s="1">
        <f>I22*3.5%</f>
        <v>109.84400000000002</v>
      </c>
      <c r="L22" s="119">
        <f>I22*5%</f>
        <v>156.92000000000004</v>
      </c>
      <c r="M22" s="117">
        <f t="shared" si="6"/>
        <v>2871.6360000000004</v>
      </c>
      <c r="N22" s="117">
        <f t="shared" si="0"/>
        <v>516.89448000000004</v>
      </c>
      <c r="O22" s="118">
        <f t="shared" si="1"/>
        <v>16.942652400000004</v>
      </c>
      <c r="P22" s="119">
        <f t="shared" si="2"/>
        <v>3405.4731324000004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560</v>
      </c>
      <c r="I25" s="136">
        <f t="shared" si="9"/>
        <v>33163</v>
      </c>
      <c r="J25" s="137"/>
      <c r="K25" s="138">
        <f t="shared" si="9"/>
        <v>109.84400000000002</v>
      </c>
      <c r="L25" s="139">
        <f t="shared" si="9"/>
        <v>2558.8879999999999</v>
      </c>
      <c r="M25" s="140">
        <f t="shared" si="9"/>
        <v>30494.267999999996</v>
      </c>
      <c r="N25" s="141">
        <f>SUM(N16:N24)</f>
        <v>5488.9682399999992</v>
      </c>
      <c r="O25" s="142">
        <f>SUM(O16:O24)</f>
        <v>179.91618119999998</v>
      </c>
      <c r="P25" s="143">
        <f>SUM(P16:P24)</f>
        <v>36163.1524212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33163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2558.8879999999999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109.84400000000002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30494.268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5488.9682399999992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35983.236239999998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179.91618119999998</v>
      </c>
    </row>
    <row r="35" spans="2:16" ht="15.75" customHeight="1" thickBot="1" x14ac:dyDescent="0.4">
      <c r="N35" s="219" t="s">
        <v>92</v>
      </c>
      <c r="O35" s="220"/>
      <c r="P35" s="159">
        <f>P33+P34</f>
        <v>36163.1524212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topLeftCell="A10" workbookViewId="0">
      <selection activeCell="G26" sqref="G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108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7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I16*8%</f>
        <v>335.76</v>
      </c>
      <c r="M16" s="105">
        <f>I16-K16-L16</f>
        <v>3861.24</v>
      </c>
      <c r="N16" s="105">
        <f t="shared" ref="N16:N24" si="0">(M16*$N$15)+(J16*F16)*$N$15</f>
        <v>695.02319999999997</v>
      </c>
      <c r="O16" s="106">
        <f>(N16+M16)*$O$15</f>
        <v>22.781315999999997</v>
      </c>
      <c r="P16" s="104">
        <f t="shared" ref="P16:P24" si="1">M16+N16+O16</f>
        <v>4579.044515999999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I17*8%</f>
        <v>335.76</v>
      </c>
      <c r="M17" s="117">
        <f t="shared" ref="M17:M23" si="5">I17-K17-L17</f>
        <v>3861.24</v>
      </c>
      <c r="N17" s="117">
        <f t="shared" si="0"/>
        <v>695.02319999999997</v>
      </c>
      <c r="O17" s="118">
        <f t="shared" ref="O17:O24" si="6">(N17+M17)*$O$15</f>
        <v>22.781315999999997</v>
      </c>
      <c r="P17" s="119">
        <f t="shared" si="1"/>
        <v>4579.044515999999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200</v>
      </c>
      <c r="I18" s="115">
        <f t="shared" si="2"/>
        <v>10492.5</v>
      </c>
      <c r="J18" s="116"/>
      <c r="K18" s="1">
        <f t="shared" si="3"/>
        <v>0</v>
      </c>
      <c r="L18" s="104">
        <f t="shared" si="4"/>
        <v>839.4</v>
      </c>
      <c r="M18" s="117">
        <f t="shared" si="5"/>
        <v>9653.1</v>
      </c>
      <c r="N18" s="117">
        <f t="shared" si="0"/>
        <v>1737.558</v>
      </c>
      <c r="O18" s="118">
        <f t="shared" si="6"/>
        <v>56.953289999999996</v>
      </c>
      <c r="P18" s="119">
        <f t="shared" si="1"/>
        <v>11447.611289999999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464.89600000000002</v>
      </c>
      <c r="M19" s="117">
        <f t="shared" si="5"/>
        <v>5346.3040000000001</v>
      </c>
      <c r="N19" s="117">
        <f t="shared" si="0"/>
        <v>962.33471999999995</v>
      </c>
      <c r="O19" s="118">
        <f t="shared" si="6"/>
        <v>31.543193599999999</v>
      </c>
      <c r="P19" s="119">
        <f t="shared" si="1"/>
        <v>6340.1819136000004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464.89600000000002</v>
      </c>
      <c r="M20" s="117">
        <f t="shared" si="5"/>
        <v>5346.3040000000001</v>
      </c>
      <c r="N20" s="117">
        <f t="shared" si="0"/>
        <v>962.33471999999995</v>
      </c>
      <c r="O20" s="118">
        <f t="shared" si="6"/>
        <v>31.543193599999999</v>
      </c>
      <c r="P20" s="119">
        <f t="shared" si="1"/>
        <v>6340.1819136000004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200</v>
      </c>
      <c r="I21" s="115">
        <f t="shared" si="2"/>
        <v>14528</v>
      </c>
      <c r="J21" s="116"/>
      <c r="K21" s="1">
        <f t="shared" si="3"/>
        <v>0</v>
      </c>
      <c r="L21" s="104">
        <f t="shared" si="4"/>
        <v>1162.24</v>
      </c>
      <c r="M21" s="117">
        <f t="shared" si="5"/>
        <v>13365.76</v>
      </c>
      <c r="N21" s="117">
        <f t="shared" si="0"/>
        <v>2405.8368</v>
      </c>
      <c r="O21" s="118">
        <f t="shared" si="6"/>
        <v>78.857984000000002</v>
      </c>
      <c r="P21" s="119">
        <f t="shared" si="1"/>
        <v>15850.454784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720</v>
      </c>
      <c r="I25" s="136">
        <f t="shared" si="9"/>
        <v>45036.9</v>
      </c>
      <c r="J25" s="137"/>
      <c r="K25" s="138">
        <f t="shared" si="9"/>
        <v>0</v>
      </c>
      <c r="L25" s="139">
        <f t="shared" si="9"/>
        <v>3602.9520000000002</v>
      </c>
      <c r="M25" s="140">
        <f t="shared" si="9"/>
        <v>41433.948000000004</v>
      </c>
      <c r="N25" s="141">
        <f>SUM(N16:N24)</f>
        <v>7458.1106399999999</v>
      </c>
      <c r="O25" s="142">
        <f>SUM(O16:O24)</f>
        <v>244.46029319999997</v>
      </c>
      <c r="P25" s="143">
        <f>SUM(P16:P24)</f>
        <v>49136.518933200001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45036.9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3602.9520000000002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41433.948000000004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7458.1106399999999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48892.058640000003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244.46029320000002</v>
      </c>
    </row>
    <row r="35" spans="2:16" ht="15.75" customHeight="1" thickBot="1" x14ac:dyDescent="0.4">
      <c r="N35" s="219" t="s">
        <v>92</v>
      </c>
      <c r="O35" s="220"/>
      <c r="P35" s="159">
        <f>P33+P34</f>
        <v>49136.518933200001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8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6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79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J20" sqref="J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46189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46188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3520268948847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182">
        <v>0.08</v>
      </c>
      <c r="M15" s="250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1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2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3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2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2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19" t="s">
        <v>92</v>
      </c>
      <c r="O35" s="220"/>
      <c r="P35" s="159">
        <f>P33+P34</f>
        <v>0</v>
      </c>
    </row>
    <row r="36" spans="2:16" ht="15" thickBot="1" x14ac:dyDescent="0.4">
      <c r="B36" s="160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2026-06-16T07:30:25Z</dcterms:modified>
</cp:coreProperties>
</file>