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A3843406-AABE-478A-AD2A-7AE39B8A721D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4" sheetId="29" r:id="rId16"/>
    <sheet name="13" sheetId="28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I17" i="17" l="1"/>
  <c r="L17" i="17" s="1"/>
  <c r="L18" i="17"/>
  <c r="L19" i="17"/>
  <c r="L20" i="17"/>
  <c r="L21" i="17"/>
  <c r="L16" i="17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L18" i="33"/>
  <c r="I18" i="33"/>
  <c r="K18" i="33" s="1"/>
  <c r="F18" i="33"/>
  <c r="E18" i="33"/>
  <c r="D18" i="33"/>
  <c r="C18" i="33"/>
  <c r="B18" i="33"/>
  <c r="L17" i="33"/>
  <c r="I17" i="33"/>
  <c r="K17" i="33" s="1"/>
  <c r="F17" i="33"/>
  <c r="E17" i="33"/>
  <c r="D17" i="33"/>
  <c r="C17" i="33"/>
  <c r="B17" i="33"/>
  <c r="L16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C11" i="28" s="1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N4" i="28"/>
  <c r="N5" i="28" s="1"/>
  <c r="I25" i="35" l="1"/>
  <c r="P28" i="35" s="1"/>
  <c r="K16" i="35"/>
  <c r="L16" i="35"/>
  <c r="K17" i="35"/>
  <c r="M17" i="35"/>
  <c r="L17" i="35"/>
  <c r="K18" i="35"/>
  <c r="L18" i="35"/>
  <c r="M18" i="35" s="1"/>
  <c r="K19" i="35"/>
  <c r="L19" i="35"/>
  <c r="M19" i="35"/>
  <c r="K20" i="35"/>
  <c r="M20" i="35" s="1"/>
  <c r="L20" i="35"/>
  <c r="K21" i="35"/>
  <c r="M21" i="35"/>
  <c r="L21" i="35"/>
  <c r="K22" i="35"/>
  <c r="L22" i="35"/>
  <c r="M22" i="35"/>
  <c r="K23" i="35"/>
  <c r="L23" i="35"/>
  <c r="M23" i="35"/>
  <c r="K24" i="35"/>
  <c r="M24" i="35" s="1"/>
  <c r="L24" i="35"/>
  <c r="I25" i="34"/>
  <c r="P28" i="34" s="1"/>
  <c r="K16" i="34"/>
  <c r="L16" i="34"/>
  <c r="M16" i="34"/>
  <c r="K17" i="34"/>
  <c r="M17" i="34" s="1"/>
  <c r="L17" i="34"/>
  <c r="K18" i="34"/>
  <c r="M18" i="34" s="1"/>
  <c r="L18" i="34"/>
  <c r="K19" i="34"/>
  <c r="M19" i="34"/>
  <c r="L19" i="34"/>
  <c r="K20" i="34"/>
  <c r="L20" i="34"/>
  <c r="M20" i="34" s="1"/>
  <c r="K21" i="34"/>
  <c r="L21" i="34"/>
  <c r="M21" i="34"/>
  <c r="K22" i="34"/>
  <c r="M22" i="34" s="1"/>
  <c r="L22" i="34"/>
  <c r="K23" i="34"/>
  <c r="M23" i="34"/>
  <c r="L23" i="34"/>
  <c r="K24" i="34"/>
  <c r="L24" i="34"/>
  <c r="M24" i="34" s="1"/>
  <c r="K21" i="33"/>
  <c r="L21" i="33"/>
  <c r="M21" i="33"/>
  <c r="K22" i="33"/>
  <c r="L22" i="33"/>
  <c r="M22" i="33"/>
  <c r="K19" i="33"/>
  <c r="M19" i="33" s="1"/>
  <c r="L19" i="33"/>
  <c r="L25" i="33" s="1"/>
  <c r="P29" i="33" s="1"/>
  <c r="P31" i="33" s="1"/>
  <c r="K23" i="33"/>
  <c r="M23" i="33" s="1"/>
  <c r="L23" i="33"/>
  <c r="K20" i="33"/>
  <c r="L20" i="33"/>
  <c r="M20" i="33" s="1"/>
  <c r="K24" i="33"/>
  <c r="L24" i="33"/>
  <c r="M24" i="33"/>
  <c r="M17" i="33"/>
  <c r="M18" i="33"/>
  <c r="K16" i="33"/>
  <c r="K25" i="33" s="1"/>
  <c r="P30" i="33" s="1"/>
  <c r="K24" i="32"/>
  <c r="M24" i="32" s="1"/>
  <c r="L24" i="32"/>
  <c r="I25" i="32"/>
  <c r="P28" i="32" s="1"/>
  <c r="K16" i="32"/>
  <c r="M16" i="32" s="1"/>
  <c r="L16" i="32"/>
  <c r="K17" i="32"/>
  <c r="M17" i="32" s="1"/>
  <c r="L17" i="32"/>
  <c r="K18" i="32"/>
  <c r="L18" i="32"/>
  <c r="M18" i="32" s="1"/>
  <c r="K19" i="32"/>
  <c r="M19" i="32" s="1"/>
  <c r="L19" i="32"/>
  <c r="K20" i="32"/>
  <c r="M20" i="32" s="1"/>
  <c r="L20" i="32"/>
  <c r="K21" i="32"/>
  <c r="M21" i="32" s="1"/>
  <c r="L21" i="32"/>
  <c r="K23" i="32"/>
  <c r="L23" i="32"/>
  <c r="M23" i="32" s="1"/>
  <c r="K22" i="32"/>
  <c r="L22" i="32"/>
  <c r="M22" i="32"/>
  <c r="K17" i="31"/>
  <c r="L17" i="31"/>
  <c r="M17" i="31"/>
  <c r="K19" i="31"/>
  <c r="L19" i="31"/>
  <c r="M19" i="31"/>
  <c r="K21" i="31"/>
  <c r="M21" i="31" s="1"/>
  <c r="L21" i="31"/>
  <c r="K22" i="31"/>
  <c r="M22" i="31"/>
  <c r="L22" i="31"/>
  <c r="K24" i="31"/>
  <c r="L24" i="31"/>
  <c r="M24" i="31" s="1"/>
  <c r="I25" i="31"/>
  <c r="P28" i="31" s="1"/>
  <c r="K16" i="31"/>
  <c r="L16" i="31"/>
  <c r="L25" i="31" s="1"/>
  <c r="P29" i="31" s="1"/>
  <c r="K18" i="31"/>
  <c r="L18" i="31"/>
  <c r="M18" i="31" s="1"/>
  <c r="K20" i="31"/>
  <c r="M20" i="31" s="1"/>
  <c r="L20" i="31"/>
  <c r="K23" i="31"/>
  <c r="M23" i="31"/>
  <c r="L23" i="31"/>
  <c r="K18" i="30"/>
  <c r="M18" i="30" s="1"/>
  <c r="L18" i="30"/>
  <c r="K20" i="30"/>
  <c r="M20" i="30" s="1"/>
  <c r="L20" i="30"/>
  <c r="K21" i="30"/>
  <c r="L21" i="30"/>
  <c r="M21" i="30" s="1"/>
  <c r="K23" i="30"/>
  <c r="L23" i="30"/>
  <c r="M23" i="30"/>
  <c r="I25" i="30"/>
  <c r="P28" i="30" s="1"/>
  <c r="K16" i="30"/>
  <c r="M16" i="30" s="1"/>
  <c r="L16" i="30"/>
  <c r="L25" i="30" s="1"/>
  <c r="P29" i="30" s="1"/>
  <c r="K17" i="30"/>
  <c r="M17" i="30" s="1"/>
  <c r="L17" i="30"/>
  <c r="K19" i="30"/>
  <c r="M19" i="30" s="1"/>
  <c r="L19" i="30"/>
  <c r="K22" i="30"/>
  <c r="M22" i="30"/>
  <c r="L22" i="30"/>
  <c r="K24" i="30"/>
  <c r="L24" i="30"/>
  <c r="M24" i="30"/>
  <c r="I25" i="29"/>
  <c r="P28" i="29" s="1"/>
  <c r="K16" i="29"/>
  <c r="L16" i="29"/>
  <c r="M16" i="29" s="1"/>
  <c r="K19" i="29"/>
  <c r="L19" i="29"/>
  <c r="M19" i="29" s="1"/>
  <c r="K21" i="29"/>
  <c r="M21" i="29" s="1"/>
  <c r="L21" i="29"/>
  <c r="K24" i="29"/>
  <c r="M24" i="29"/>
  <c r="L24" i="29"/>
  <c r="K17" i="29"/>
  <c r="M17" i="29" s="1"/>
  <c r="L17" i="29"/>
  <c r="K20" i="29"/>
  <c r="L20" i="29"/>
  <c r="M20" i="29" s="1"/>
  <c r="K22" i="29"/>
  <c r="M22" i="29" s="1"/>
  <c r="L22" i="29"/>
  <c r="K18" i="29"/>
  <c r="M18" i="29" s="1"/>
  <c r="L18" i="29"/>
  <c r="K23" i="29"/>
  <c r="M23" i="29" s="1"/>
  <c r="L23" i="29"/>
  <c r="I25" i="28"/>
  <c r="P28" i="28" s="1"/>
  <c r="K16" i="28"/>
  <c r="L16" i="28"/>
  <c r="K17" i="28"/>
  <c r="M17" i="28"/>
  <c r="L17" i="28"/>
  <c r="K18" i="28"/>
  <c r="L18" i="28"/>
  <c r="M18" i="28"/>
  <c r="K19" i="28"/>
  <c r="M19" i="28"/>
  <c r="L19" i="28"/>
  <c r="K20" i="28"/>
  <c r="M20" i="28" s="1"/>
  <c r="L20" i="28"/>
  <c r="K21" i="28"/>
  <c r="M21" i="28"/>
  <c r="L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N20" i="35" l="1"/>
  <c r="O20" i="35" s="1"/>
  <c r="P20" i="35" s="1"/>
  <c r="N24" i="35"/>
  <c r="O24" i="35" s="1"/>
  <c r="P24" i="35" s="1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P31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 s="1"/>
  <c r="N19" i="34"/>
  <c r="O19" i="34" s="1"/>
  <c r="M25" i="34"/>
  <c r="N16" i="34"/>
  <c r="P31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P17" i="32"/>
  <c r="N23" i="32"/>
  <c r="O23" i="32" s="1"/>
  <c r="P23" i="32"/>
  <c r="N18" i="32"/>
  <c r="O18" i="32" s="1"/>
  <c r="N24" i="32"/>
  <c r="O24" i="32" s="1"/>
  <c r="P24" i="32" s="1"/>
  <c r="N20" i="32"/>
  <c r="O20" i="32" s="1"/>
  <c r="M25" i="32"/>
  <c r="N16" i="32"/>
  <c r="L25" i="32"/>
  <c r="P29" i="32" s="1"/>
  <c r="P31" i="32" s="1"/>
  <c r="N22" i="32"/>
  <c r="O22" i="32" s="1"/>
  <c r="P22" i="32" s="1"/>
  <c r="K25" i="32"/>
  <c r="P30" i="32" s="1"/>
  <c r="N21" i="31"/>
  <c r="O21" i="31" s="1"/>
  <c r="P21" i="31"/>
  <c r="N18" i="31"/>
  <c r="O18" i="31" s="1"/>
  <c r="P18" i="31"/>
  <c r="N20" i="31"/>
  <c r="O20" i="31" s="1"/>
  <c r="P20" i="31"/>
  <c r="N24" i="31"/>
  <c r="O24" i="31" s="1"/>
  <c r="P24" i="31"/>
  <c r="N23" i="31"/>
  <c r="O23" i="31" s="1"/>
  <c r="P23" i="31"/>
  <c r="N17" i="31"/>
  <c r="O17" i="31" s="1"/>
  <c r="P17" i="31"/>
  <c r="M16" i="31"/>
  <c r="N19" i="31"/>
  <c r="O19" i="31" s="1"/>
  <c r="K25" i="31"/>
  <c r="P30" i="31" s="1"/>
  <c r="P31" i="31" s="1"/>
  <c r="N22" i="31"/>
  <c r="O22" i="31" s="1"/>
  <c r="P22" i="31" s="1"/>
  <c r="N19" i="30"/>
  <c r="O19" i="30" s="1"/>
  <c r="P19" i="30" s="1"/>
  <c r="M25" i="30"/>
  <c r="N16" i="30"/>
  <c r="N20" i="30"/>
  <c r="O20" i="30" s="1"/>
  <c r="P21" i="30"/>
  <c r="N21" i="30"/>
  <c r="O21" i="30" s="1"/>
  <c r="N17" i="30"/>
  <c r="O17" i="30" s="1"/>
  <c r="N18" i="30"/>
  <c r="O18" i="30" s="1"/>
  <c r="P18" i="30" s="1"/>
  <c r="K25" i="30"/>
  <c r="P30" i="30" s="1"/>
  <c r="P31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P21" i="29"/>
  <c r="N23" i="29"/>
  <c r="O23" i="29" s="1"/>
  <c r="N17" i="29"/>
  <c r="O17" i="29" s="1"/>
  <c r="P17" i="29" s="1"/>
  <c r="M25" i="29"/>
  <c r="N16" i="29"/>
  <c r="N20" i="29"/>
  <c r="O20" i="29" s="1"/>
  <c r="N18" i="29"/>
  <c r="O18" i="29" s="1"/>
  <c r="P18" i="29"/>
  <c r="N19" i="29"/>
  <c r="O19" i="29" s="1"/>
  <c r="N24" i="29"/>
  <c r="O24" i="29" s="1"/>
  <c r="P24" i="29"/>
  <c r="L25" i="29"/>
  <c r="P29" i="29" s="1"/>
  <c r="P31" i="29" s="1"/>
  <c r="K25" i="29"/>
  <c r="P30" i="29" s="1"/>
  <c r="N24" i="28"/>
  <c r="O24" i="28" s="1"/>
  <c r="P24" i="28" s="1"/>
  <c r="N20" i="28"/>
  <c r="O20" i="28" s="1"/>
  <c r="P20" i="28"/>
  <c r="N22" i="28"/>
  <c r="O22" i="28" s="1"/>
  <c r="P22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8" i="28"/>
  <c r="O18" i="28" s="1"/>
  <c r="P18" i="28" s="1"/>
  <c r="N17" i="28"/>
  <c r="O17" i="28" s="1"/>
  <c r="P31" i="28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5" i="35" l="1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16" i="32" l="1"/>
  <c r="P25" i="32" s="1"/>
  <c r="P16" i="30"/>
  <c r="N25" i="35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I18" i="17"/>
  <c r="I19" i="17"/>
  <c r="I20" i="17"/>
  <c r="I21" i="17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L21" i="21"/>
  <c r="K24" i="20"/>
  <c r="L24" i="20"/>
  <c r="L21" i="20"/>
  <c r="K21" i="20"/>
  <c r="K23" i="20"/>
  <c r="K20" i="19"/>
  <c r="L20" i="19"/>
  <c r="K18" i="19"/>
  <c r="K24" i="19"/>
  <c r="L24" i="19"/>
  <c r="K22" i="19"/>
  <c r="L22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H25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R15" i="17" l="1"/>
  <c r="R16" i="17"/>
  <c r="L24" i="17"/>
  <c r="K18" i="17"/>
  <c r="K17" i="17"/>
  <c r="M17" i="17"/>
  <c r="N17" i="17" s="1"/>
  <c r="O17" i="17" s="1"/>
  <c r="K20" i="17"/>
  <c r="M20" i="17"/>
  <c r="N20" i="17" s="1"/>
  <c r="O20" i="17" s="1"/>
  <c r="K16" i="17"/>
  <c r="K19" i="17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5" i="31"/>
  <c r="P34" i="31"/>
  <c r="O25" i="28"/>
  <c r="P16" i="28"/>
  <c r="P25" i="28" s="1"/>
  <c r="P34" i="28"/>
  <c r="P35" i="28" s="1"/>
  <c r="L20" i="24"/>
  <c r="K19" i="24"/>
  <c r="L24" i="21"/>
  <c r="L17" i="20"/>
  <c r="K17" i="19"/>
  <c r="K20" i="18"/>
  <c r="M20" i="18" s="1"/>
  <c r="L19" i="20"/>
  <c r="K16" i="23"/>
  <c r="L24" i="24"/>
  <c r="L25" i="24" s="1"/>
  <c r="P29" i="24" s="1"/>
  <c r="L18" i="24"/>
  <c r="L22" i="2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M20" i="24"/>
  <c r="M21" i="24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24" i="24"/>
  <c r="O24" i="24" s="1"/>
  <c r="N17" i="24"/>
  <c r="O17" i="24" s="1"/>
  <c r="N18" i="24"/>
  <c r="O18" i="24" s="1"/>
  <c r="N16" i="24"/>
  <c r="K25" i="24"/>
  <c r="P30" i="24" s="1"/>
  <c r="N21" i="24"/>
  <c r="O21" i="24" s="1"/>
  <c r="N16" i="23"/>
  <c r="N24" i="22"/>
  <c r="O24" i="22" s="1"/>
  <c r="P24" i="22" s="1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N20" i="18"/>
  <c r="O20" i="18" s="1"/>
  <c r="I23" i="15"/>
  <c r="K18" i="15" l="1"/>
  <c r="R17" i="17"/>
  <c r="M19" i="17"/>
  <c r="N19" i="17" s="1"/>
  <c r="O19" i="17" s="1"/>
  <c r="P19" i="17" s="1"/>
  <c r="M16" i="17"/>
  <c r="N16" i="17" s="1"/>
  <c r="M18" i="17"/>
  <c r="N18" i="17" s="1"/>
  <c r="O18" i="17" s="1"/>
  <c r="P18" i="17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K24" i="16"/>
  <c r="K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P31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28" i="15" s="1"/>
  <c r="M24" i="16"/>
  <c r="N24" i="16" s="1"/>
  <c r="K23" i="16"/>
  <c r="K19" i="16"/>
  <c r="K19" i="15" s="1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P20" i="17"/>
  <c r="P24" i="17"/>
  <c r="P22" i="17"/>
  <c r="M22" i="16"/>
  <c r="N22" i="16" s="1"/>
  <c r="P29" i="17" l="1"/>
  <c r="P31" i="17" s="1"/>
  <c r="M24" i="15"/>
  <c r="M20" i="16"/>
  <c r="N20" i="16" s="1"/>
  <c r="M16" i="15"/>
  <c r="M17" i="15"/>
  <c r="L25" i="16"/>
  <c r="P29" i="16" s="1"/>
  <c r="M18" i="16"/>
  <c r="N18" i="16" s="1"/>
  <c r="O18" i="16" s="1"/>
  <c r="O18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N22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P31" i="16" l="1"/>
  <c r="N18" i="15"/>
  <c r="P18" i="15" s="1"/>
  <c r="P33" i="17"/>
  <c r="P34" i="17" s="1"/>
  <c r="P35" i="17" s="1"/>
  <c r="U15" i="15" s="1"/>
  <c r="P24" i="16"/>
  <c r="N17" i="15"/>
  <c r="P17" i="15" s="1"/>
  <c r="P20" i="16"/>
  <c r="P17" i="16"/>
  <c r="N21" i="15"/>
  <c r="P21" i="15" s="1"/>
  <c r="P18" i="16"/>
  <c r="P21" i="16"/>
  <c r="P22" i="16"/>
  <c r="P24" i="15"/>
  <c r="P20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N25" i="15" l="1"/>
  <c r="P32" i="15" s="1"/>
  <c r="P33" i="15" s="1"/>
  <c r="P34" i="15" s="1"/>
  <c r="P35" i="15" s="1"/>
  <c r="P23" i="15"/>
  <c r="O25" i="16"/>
  <c r="P23" i="16"/>
  <c r="P19" i="16"/>
  <c r="O19" i="15"/>
  <c r="O25" i="15" s="1"/>
  <c r="U26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<sst xmlns="http://schemas.openxmlformats.org/spreadsheetml/2006/main" count="1581" uniqueCount="107">
  <si>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</si>
  <si>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</si>
  <si>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</si>
  <si>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</si>
  <si>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</si>
  <si>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</si>
  <si>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</si>
  <si>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</si>
  <si>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</si>
  <si>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</si>
  <si>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</si>
  <si>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</si>
  <si>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</si>
  <si>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</si>
  <si>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</si>
  <si>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</si>
  <si>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</si>
  <si>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</si>
  <si>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</si>
  <si>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</si>
  <si>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</si>
  <si>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</si>
  <si>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</si>
  <si>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</si>
  <si>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</si>
  <si>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</si>
  <si>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</si>
  <si>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</si>
  <si>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</si>
  <si>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</si>
  <si>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</si>
  <si>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</si>
  <si>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</si>
  <si>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</si>
  <si>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</si>
  <si>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</si>
  <si>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</si>
  <si>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</si>
  <si>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</si>
  <si>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</si>
  <si>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</si>
  <si>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</si>
  <si>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</si>
  <si>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</si>
  <si>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</si>
  <si>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</si>
  <si>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</si>
  <si>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</si>
  <si>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</si>
  <si>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</si>
  <si>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</si>
  <si>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</si>
  <si>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</si>
  <si>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</si>
  <si>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</si>
  <si>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</si>
  <si>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</si>
  <si>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</si>
  <si>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</si>
  <si>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</si>
  <si>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</si>
  <si>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</si>
  <si>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</si>
  <si>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</si>
  <si>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</si>
  <si>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</si>
  <si>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</si>
  <si>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</si>
  <si>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</si>
  <si>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</si>
  <si>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</si>
  <si>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</si>
  <si>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</si>
  <si>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</si>
  <si>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</si>
  <si>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</si>
  <si>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</si>
  <si>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</si>
  <si>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</si>
  <si>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</si>
  <si>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</si>
  <si>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</si>
  <si>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</si>
  <si>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</si>
  <si>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</si>
  <si>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</si>
  <si>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</si>
  <si>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</si>
  <si>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</si>
  <si>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</si>
  <si>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</si>
  <si>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</si>
  <si>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</si>
  <si>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</si>
  <si>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</si>
  <si>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</si>
  <si>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</si>
  <si>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</si>
  <si>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</si>
  <si>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Shop Bill Summary (Mobeen Ahmad)</t>
  </si>
  <si>
    <t>Mobeen Ahmad</t>
  </si>
  <si>
    <t>Rana Bilal Tso</t>
  </si>
  <si>
    <t>Shakoor</t>
  </si>
  <si>
    <t>vacant</t>
  </si>
  <si>
    <t>150979-9</t>
  </si>
  <si>
    <t xml:space="preserve">Address: Multan Road Near Ever New </t>
  </si>
  <si>
    <t>Customer Name : Clinix Central Warehouse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</si>
</sst>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2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G11" sqref="G11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100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101</v>
      </c>
    </row>
    <row r="13" spans="1:2" x14ac:dyDescent="0.35">
      <c r="A13">
        <v>8</v>
      </c>
      <c r="B13" t="s">
        <v>102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G11" sqref="G11"/>
      <selection pane="topRight" activeCell="G11" sqref="G11"/>
      <selection pane="bottomLeft" activeCell="G11" sqref="G11"/>
      <selection pane="bottomRight" activeCell="G11" sqref="G11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2"/>
      <c r="B3" s="182"/>
      <c r="C3" s="182"/>
      <c r="D3" s="182"/>
      <c r="E3" s="182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</row>
    <row r="4" spans="1:29" x14ac:dyDescent="0.35">
      <c r="A4" s="184" t="s">
        <v>6</v>
      </c>
      <c r="B4" s="5" t="s">
        <v>7</v>
      </c>
      <c r="C4" s="5"/>
      <c r="D4" s="186" t="s">
        <v>8</v>
      </c>
      <c r="E4" s="188" t="s">
        <v>9</v>
      </c>
      <c r="F4" s="190" t="s">
        <v>3</v>
      </c>
      <c r="G4" s="190"/>
      <c r="H4" s="191" t="s">
        <v>10</v>
      </c>
      <c r="I4" s="191"/>
      <c r="J4" s="192" t="s">
        <v>11</v>
      </c>
      <c r="K4" s="193"/>
      <c r="L4" s="192" t="s">
        <v>12</v>
      </c>
      <c r="M4" s="193"/>
      <c r="N4" s="194" t="s">
        <v>13</v>
      </c>
      <c r="O4" s="194"/>
      <c r="P4" s="192" t="s">
        <v>4</v>
      </c>
      <c r="Q4" s="193"/>
      <c r="R4" s="192" t="s">
        <v>14</v>
      </c>
      <c r="S4" s="193"/>
      <c r="T4" s="195" t="s">
        <v>15</v>
      </c>
      <c r="U4" s="195"/>
      <c r="V4" s="196" t="s">
        <v>16</v>
      </c>
      <c r="W4" s="197"/>
      <c r="X4" s="196" t="s">
        <v>17</v>
      </c>
      <c r="Y4" s="197"/>
    </row>
    <row r="5" spans="1:29" ht="26.25" customHeight="1" thickBot="1" x14ac:dyDescent="0.4">
      <c r="A5" s="185"/>
      <c r="B5" s="7" t="s">
        <v>18</v>
      </c>
      <c r="C5" s="7" t="s">
        <v>8</v>
      </c>
      <c r="D5" s="187"/>
      <c r="E5" s="18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zoomScale="70" zoomScaleNormal="70" workbookViewId="0">
      <selection activeCell="G11" sqref="G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244" t="s">
        <v>45</v>
      </c>
      <c r="B2" s="244"/>
      <c r="C2" s="244"/>
    </row>
    <row r="3" spans="1:21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3" t="s">
        <v>103</v>
      </c>
      <c r="B5" s="243"/>
      <c r="C5" s="243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21 16383:16384" ht="15" customHeight="1" x14ac:dyDescent="0.35">
      <c r="A6" s="243"/>
      <c r="B6" s="243"/>
      <c r="C6" s="243"/>
      <c r="F6" s="70"/>
      <c r="G6" s="74"/>
      <c r="K6" s="228" t="s">
        <v>52</v>
      </c>
      <c r="L6" s="228"/>
      <c r="M6" s="228"/>
      <c r="N6" s="241" t="s">
        <v>42</v>
      </c>
      <c r="O6" s="241"/>
      <c r="P6" s="241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21 16383:16384" hidden="1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21 16383:16384" x14ac:dyDescent="0.35">
      <c r="A10" s="226"/>
      <c r="B10" s="75"/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21 16383:16384" ht="15" thickBot="1" x14ac:dyDescent="0.4">
      <c r="A11" s="226"/>
      <c r="B11" s="76"/>
      <c r="C11" s="77"/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21 16383:16384" ht="14.65" customHeight="1" x14ac:dyDescent="0.35">
      <c r="A12" s="226"/>
      <c r="B12" s="76"/>
      <c r="C12" s="77"/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T12" s="198" t="s">
        <v>99</v>
      </c>
      <c r="U12" s="199"/>
      <c r="XFD12" t="s">
        <v>62</v>
      </c>
    </row>
    <row r="13" spans="1:21 16383:16384" ht="15" thickBot="1" x14ac:dyDescent="0.4">
      <c r="A13" s="227"/>
      <c r="J13" s="78"/>
      <c r="K13" s="78"/>
      <c r="L13" s="79">
        <v>0.05</v>
      </c>
      <c r="T13" s="200"/>
      <c r="U13" s="201"/>
      <c r="XFD13" t="s">
        <v>63</v>
      </c>
    </row>
    <row r="14" spans="1:21 16383:16384" ht="29.25" customHeight="1" x14ac:dyDescent="0.6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36" t="s">
        <v>68</v>
      </c>
      <c r="H14" s="237"/>
      <c r="I14" s="237" t="s">
        <v>69</v>
      </c>
      <c r="J14" s="237" t="s">
        <v>70</v>
      </c>
      <c r="K14" s="237"/>
      <c r="L14" s="239"/>
      <c r="M14" s="231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Clinix Central Warehouse</v>
      </c>
      <c r="U14" s="164">
        <f>+'1'!P35</f>
        <v>126803.8564776</v>
      </c>
      <c r="XFD14" t="s">
        <v>75</v>
      </c>
    </row>
    <row r="15" spans="1:21 16383:16384" ht="29.25" customHeight="1" thickBot="1" x14ac:dyDescent="0.65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8"/>
      <c r="J15" s="171" t="s">
        <v>78</v>
      </c>
      <c r="K15" s="171" t="s">
        <v>79</v>
      </c>
      <c r="L15" s="174" t="s">
        <v>80</v>
      </c>
      <c r="M15" s="23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Clinix Central Warehouse</v>
      </c>
      <c r="U15" s="164">
        <f>+'2'!P35</f>
        <v>4420.1892975300007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</f>
        <v>240</v>
      </c>
      <c r="I16" s="1">
        <f>(G16*D16)*F16+H16*F16</f>
        <v>12591</v>
      </c>
      <c r="J16" s="172">
        <f>+'1'!J16+'2'!J16+'4'!J16+'3'!J16+'5'!J16+'6'!J16+'7'!J16+'8'!J16+'9'!J16+'10'!J16+'11'!J16+'12'!J16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1007.28</v>
      </c>
      <c r="M16" s="106">
        <f>I16-K16-L16</f>
        <v>11583.72</v>
      </c>
      <c r="N16" s="101">
        <f>+'1'!N16+'2'!N16+'4'!N16+'3'!N16+'5'!N16+'6'!N16+'7'!N16+'8'!N16+'9'!N16+'10'!N16</f>
        <v>2085.0695999999998</v>
      </c>
      <c r="O16" s="101">
        <f>+'1'!O16+'2'!O16+'4'!O16+'3'!O16+'5'!O16+'6'!O16+'7'!O16+'8'!O16+'9'!O16+'10'!O16</f>
        <v>68.343947999999997</v>
      </c>
      <c r="P16" s="105">
        <f t="shared" ref="P16:P24" si="0">M16+N16+O16</f>
        <v>13737.133548</v>
      </c>
      <c r="Q16" s="108"/>
      <c r="T16" s="163" t="str">
        <f>+'4'!A5</f>
        <v>Customer Name : Clinix Central Warehouse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</f>
        <v>280</v>
      </c>
      <c r="I17" s="1">
        <f t="shared" ref="I17:I23" si="1">(G17*D17)*F17+H17*F17</f>
        <v>14689.5</v>
      </c>
      <c r="J17" s="172">
        <f>+'1'!J17+'2'!J17+'4'!J17+'3'!J17+'5'!J17+'6'!J17+'7'!J17+'8'!J17+'9'!J17+'10'!J17+'11'!J17+'12'!J17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1343.04</v>
      </c>
      <c r="M17" s="118">
        <f t="shared" ref="M17:M23" si="2">I17-K17-L17</f>
        <v>13346.46</v>
      </c>
      <c r="N17" s="101">
        <f>+'1'!N17+'2'!N17+'4'!N17+'3'!N17+'5'!N17+'6'!N17+'7'!N17+'8'!N17+'9'!N17+'10'!N17</f>
        <v>2402.3627999999999</v>
      </c>
      <c r="O17" s="101">
        <f>+'1'!O17+'2'!O17+'4'!O17+'3'!O17+'5'!O17+'6'!O17+'7'!O17+'8'!O17+'9'!O17+'10'!O17</f>
        <v>78.744113999999996</v>
      </c>
      <c r="P17" s="120">
        <f t="shared" si="0"/>
        <v>15827.566913999997</v>
      </c>
      <c r="S17" s="64"/>
      <c r="T17" s="163" t="str">
        <f>+'3'!A5</f>
        <v>Customer Name : Clinix Central Warehouse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</f>
        <v>252</v>
      </c>
      <c r="I18" s="1">
        <f t="shared" si="1"/>
        <v>13220.55</v>
      </c>
      <c r="J18" s="172">
        <f>+'1'!J18+'2'!J18+'4'!J18+'3'!J18+'5'!J18+'6'!J18+'7'!J18+'8'!J18+'9'!J18+'10'!J18+'11'!J18+'12'!J18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1108.008</v>
      </c>
      <c r="M18" s="118">
        <f t="shared" si="2"/>
        <v>12112.541999999999</v>
      </c>
      <c r="N18" s="101">
        <f>+'1'!N18+'2'!N18+'4'!N18+'3'!N18+'5'!N18+'6'!N18+'7'!N18+'8'!N18+'9'!N18+'10'!N18</f>
        <v>2180.25756</v>
      </c>
      <c r="O18" s="101">
        <f>+'1'!O18+'2'!O18+'4'!O18+'3'!O18+'5'!O18+'6'!O18+'7'!O18+'8'!O18+'9'!O18+'10'!O18</f>
        <v>71.463997800000001</v>
      </c>
      <c r="P18" s="120">
        <f t="shared" si="0"/>
        <v>14364.263557799999</v>
      </c>
      <c r="T18" s="163" t="str">
        <f>+'5'!A5</f>
        <v>Customer Name : Clinix Central Warehouse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</f>
        <v>254</v>
      </c>
      <c r="I19" s="1">
        <f t="shared" si="1"/>
        <v>18450.560000000001</v>
      </c>
      <c r="J19" s="172">
        <f>+'1'!J19+'2'!J19+'4'!J19+'3'!J19+'5'!J19+'6'!J19+'7'!J19+'8'!J19+'9'!J19+'10'!J19+'11'!J19+'12'!J19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1557.4015999999999</v>
      </c>
      <c r="M19" s="118">
        <f t="shared" si="2"/>
        <v>16893.1584</v>
      </c>
      <c r="N19" s="101">
        <f>+'1'!N19+'2'!N19+'4'!N19+'3'!N19+'5'!N19+'6'!N19+'7'!N19+'8'!N19+'9'!N19+'10'!N19</f>
        <v>3040.7685119999996</v>
      </c>
      <c r="O19" s="101">
        <f>+'1'!O19+'2'!O19+'4'!O19+'3'!O19+'5'!O19+'6'!O19+'7'!O19+'8'!O19+'9'!O19+'10'!O19</f>
        <v>99.669634559999992</v>
      </c>
      <c r="P19" s="120">
        <f t="shared" si="0"/>
        <v>20033.596546559998</v>
      </c>
      <c r="T19" s="163" t="str">
        <f>+'6'!A5</f>
        <v>Customer Name : Clinix Central Warehouse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</f>
        <v>240</v>
      </c>
      <c r="I20" s="1">
        <f t="shared" si="1"/>
        <v>17433.599999999999</v>
      </c>
      <c r="J20" s="172">
        <f>+'1'!J20+'2'!J20+'4'!J20+'3'!J20+'5'!J20+'6'!J20+'7'!J20+'8'!J20+'9'!J20+'10'!J20+'11'!J20+'12'!J20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1394.6879999999999</v>
      </c>
      <c r="M20" s="118">
        <f t="shared" si="2"/>
        <v>16038.911999999998</v>
      </c>
      <c r="N20" s="101">
        <f>+'1'!N20+'2'!N20+'4'!N20+'3'!N20+'5'!N20+'6'!N20+'7'!N20+'8'!N20+'9'!N20+'10'!N20</f>
        <v>2887.0041599999995</v>
      </c>
      <c r="O20" s="101">
        <f>+'1'!O20+'2'!O20+'4'!O20+'3'!O20+'5'!O20+'6'!O20+'7'!O20+'8'!O20+'9'!O20+'10'!O20</f>
        <v>94.629580799999985</v>
      </c>
      <c r="P20" s="120">
        <f t="shared" si="0"/>
        <v>19020.545740799997</v>
      </c>
      <c r="T20" s="163" t="str">
        <f>+'7'!A5</f>
        <v>Customer Name : Clinix Central Warehouse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</f>
        <v>606</v>
      </c>
      <c r="I21" s="1">
        <f t="shared" si="1"/>
        <v>44019.840000000004</v>
      </c>
      <c r="J21" s="172">
        <f>+'1'!J21+'2'!J21+'4'!J21+'3'!J21+'5'!J21+'6'!J21+'7'!J21+'8'!J21+'9'!J21+'10'!J21+'11'!J21+'12'!J21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3556.4544000000001</v>
      </c>
      <c r="M21" s="118">
        <f t="shared" si="2"/>
        <v>40463.385600000001</v>
      </c>
      <c r="N21" s="101">
        <f>+'1'!N21+'2'!N21+'4'!N21+'3'!N21+'5'!N21+'6'!N21+'7'!N21+'8'!N21+'9'!N21+'10'!N21</f>
        <v>7283.4094079999995</v>
      </c>
      <c r="O21" s="101">
        <f>+'1'!O21+'2'!O21+'4'!O21+'3'!O21+'5'!O21+'6'!O21+'7'!O21+'8'!O21+'9'!O21+'10'!O21</f>
        <v>238.73397503999999</v>
      </c>
      <c r="P21" s="120">
        <f t="shared" si="0"/>
        <v>47985.52898304</v>
      </c>
      <c r="T21" s="163" t="str">
        <f>+'8'!A5</f>
        <v>Customer Name : Clinix Central Warehouse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</f>
        <v>6</v>
      </c>
      <c r="I22" s="1">
        <f t="shared" si="1"/>
        <v>235.38000000000002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8.2383000000000024</v>
      </c>
      <c r="L22" s="175">
        <f>+'1'!L22+'2'!L22+'4'!L22+'3'!L22+'5'!L22+'6'!L22+'7'!L22+'8'!L22+'9'!L22+'10'!L22</f>
        <v>11.769000000000002</v>
      </c>
      <c r="M22" s="118">
        <f t="shared" si="2"/>
        <v>215.37270000000001</v>
      </c>
      <c r="N22" s="101">
        <f>+'1'!N22+'2'!N22+'4'!N22+'3'!N22+'5'!N22+'6'!N22+'7'!N22+'8'!N22+'9'!N22+'10'!N22</f>
        <v>38.767085999999999</v>
      </c>
      <c r="O22" s="101">
        <f>+'1'!O22+'2'!O22+'4'!O22+'3'!O22+'5'!O22+'6'!O22+'7'!O22+'8'!O22+'9'!O22+'10'!O22</f>
        <v>1.27069893</v>
      </c>
      <c r="P22" s="120">
        <f t="shared" si="0"/>
        <v>255.41048493000002</v>
      </c>
      <c r="T22" s="163" t="str">
        <f>+'9'!A5</f>
        <v>Customer Name : Clinix Central Warehouse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Clinix Central Warehouse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Clinix Central Warehouse</v>
      </c>
      <c r="U24" s="164">
        <f>+'11'!P35</f>
        <v>0</v>
      </c>
    </row>
    <row r="25" spans="1:21 16384:16384" ht="26.5" thickBot="1" x14ac:dyDescent="0.65">
      <c r="A25" s="208" t="s">
        <v>84</v>
      </c>
      <c r="B25" s="209"/>
      <c r="C25" s="210"/>
      <c r="D25" s="204"/>
      <c r="E25" s="204"/>
      <c r="F25" s="204"/>
      <c r="G25" s="176">
        <f t="shared" ref="G25:M25" si="3">SUM(G16:G24)</f>
        <v>0</v>
      </c>
      <c r="H25" s="177">
        <f t="shared" si="3"/>
        <v>1878</v>
      </c>
      <c r="I25" s="178">
        <f t="shared" si="3"/>
        <v>120640.43</v>
      </c>
      <c r="J25" s="177">
        <f t="shared" si="3"/>
        <v>0</v>
      </c>
      <c r="K25" s="178">
        <f t="shared" si="3"/>
        <v>8.2383000000000024</v>
      </c>
      <c r="L25" s="179">
        <f t="shared" si="3"/>
        <v>9978.6409999999996</v>
      </c>
      <c r="M25" s="141">
        <f t="shared" si="3"/>
        <v>110653.55070000002</v>
      </c>
      <c r="N25" s="142">
        <f>SUM(N16:N24)</f>
        <v>19917.639125999998</v>
      </c>
      <c r="O25" s="143">
        <f>SUM(O16:O24)</f>
        <v>652.85594913</v>
      </c>
      <c r="P25" s="144">
        <f>SUM(P16:P24)</f>
        <v>131224.04577512998</v>
      </c>
      <c r="T25" s="163" t="str">
        <f>+'12'!A5</f>
        <v>Customer Name : Clinix Central Warehouse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131224.04577513001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120640.43</v>
      </c>
    </row>
    <row r="29" spans="1:21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9978.6409999999996</v>
      </c>
    </row>
    <row r="30" spans="1:21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8.2383000000000024</v>
      </c>
    </row>
    <row r="31" spans="1:21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110653.55069999999</v>
      </c>
    </row>
    <row r="32" spans="1:21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19917.639125999998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130571.18982599999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3264.2797456499998</v>
      </c>
    </row>
    <row r="35" spans="2:16" ht="15.75" customHeight="1" thickBot="1" x14ac:dyDescent="0.4">
      <c r="N35" s="202" t="s">
        <v>92</v>
      </c>
      <c r="O35" s="203"/>
      <c r="P35" s="160">
        <f>P33+P34</f>
        <v>133835.46957165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L17" sqref="L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1001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102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 t="s">
        <v>104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48</v>
      </c>
      <c r="C11" s="77" t="str">
        <f>IF($O34&gt;2.49%,"No","Yes")</f>
        <v>Yes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168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240</v>
      </c>
      <c r="I16" s="102">
        <f>(G16*D16)*F16+H16*F16</f>
        <v>12591</v>
      </c>
      <c r="J16" s="103"/>
      <c r="K16" s="104">
        <f>I16*$K$13</f>
        <v>0</v>
      </c>
      <c r="L16" s="105">
        <f>I16*8%</f>
        <v>1007.28</v>
      </c>
      <c r="M16" s="106">
        <f>I16-K16-L16</f>
        <v>11583.72</v>
      </c>
      <c r="N16" s="106">
        <f t="shared" ref="N16:N24" si="0">(M16*$N$15)+(J16*F16)*$N$15</f>
        <v>2085.0695999999998</v>
      </c>
      <c r="O16" s="107">
        <f t="shared" ref="O16:O24" si="1">(N16+M16)*$O$15</f>
        <v>68.343947999999997</v>
      </c>
      <c r="P16" s="105">
        <f t="shared" ref="P16:P24" si="2">M16+N16+O16</f>
        <v>13737.133548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240</v>
      </c>
      <c r="I17" s="116">
        <f t="shared" ref="I17:I23" si="3">(G17*D17)*F17+H17*F17</f>
        <v>12591</v>
      </c>
      <c r="J17" s="117"/>
      <c r="K17" s="1">
        <f t="shared" ref="K17:K21" si="4">I17*$K$13</f>
        <v>0</v>
      </c>
      <c r="L17" s="105">
        <f t="shared" ref="L17:L21" si="5">I17*8%</f>
        <v>1007.28</v>
      </c>
      <c r="M17" s="118">
        <f t="shared" ref="M17:M23" si="6">I17-K17-L17</f>
        <v>11583.72</v>
      </c>
      <c r="N17" s="118">
        <f t="shared" si="0"/>
        <v>2085.0695999999998</v>
      </c>
      <c r="O17" s="119">
        <f t="shared" si="1"/>
        <v>68.343947999999997</v>
      </c>
      <c r="P17" s="120">
        <f t="shared" si="2"/>
        <v>13737.133548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240</v>
      </c>
      <c r="I18" s="116">
        <f t="shared" si="3"/>
        <v>12591</v>
      </c>
      <c r="J18" s="117"/>
      <c r="K18" s="1">
        <f t="shared" si="4"/>
        <v>0</v>
      </c>
      <c r="L18" s="105">
        <f t="shared" si="5"/>
        <v>1007.28</v>
      </c>
      <c r="M18" s="118">
        <f t="shared" si="6"/>
        <v>11583.72</v>
      </c>
      <c r="N18" s="118">
        <f t="shared" si="0"/>
        <v>2085.0695999999998</v>
      </c>
      <c r="O18" s="119">
        <f t="shared" si="1"/>
        <v>68.343947999999997</v>
      </c>
      <c r="P18" s="120">
        <f t="shared" si="2"/>
        <v>13737.133548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240</v>
      </c>
      <c r="I19" s="116">
        <f t="shared" si="3"/>
        <v>17433.599999999999</v>
      </c>
      <c r="J19" s="117"/>
      <c r="K19" s="1">
        <f t="shared" si="4"/>
        <v>0</v>
      </c>
      <c r="L19" s="105">
        <f t="shared" si="5"/>
        <v>1394.6879999999999</v>
      </c>
      <c r="M19" s="118">
        <f t="shared" si="6"/>
        <v>16038.911999999998</v>
      </c>
      <c r="N19" s="118">
        <f t="shared" si="0"/>
        <v>2887.0041599999995</v>
      </c>
      <c r="O19" s="119">
        <f t="shared" si="1"/>
        <v>94.629580799999985</v>
      </c>
      <c r="P19" s="120">
        <f t="shared" si="2"/>
        <v>19020.545740799997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240</v>
      </c>
      <c r="I20" s="116">
        <f t="shared" si="3"/>
        <v>17433.599999999999</v>
      </c>
      <c r="J20" s="117"/>
      <c r="K20" s="1">
        <f t="shared" si="4"/>
        <v>0</v>
      </c>
      <c r="L20" s="105">
        <f t="shared" si="5"/>
        <v>1394.6879999999999</v>
      </c>
      <c r="M20" s="118">
        <f t="shared" si="6"/>
        <v>16038.911999999998</v>
      </c>
      <c r="N20" s="118">
        <f t="shared" si="0"/>
        <v>2887.0041599999995</v>
      </c>
      <c r="O20" s="119">
        <f t="shared" si="1"/>
        <v>94.629580799999985</v>
      </c>
      <c r="P20" s="120">
        <f t="shared" si="2"/>
        <v>19020.545740799997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600</v>
      </c>
      <c r="I21" s="116">
        <f t="shared" si="3"/>
        <v>43584</v>
      </c>
      <c r="J21" s="117"/>
      <c r="K21" s="1">
        <f t="shared" si="4"/>
        <v>0</v>
      </c>
      <c r="L21" s="105">
        <f t="shared" si="5"/>
        <v>3486.7200000000003</v>
      </c>
      <c r="M21" s="118">
        <f t="shared" si="6"/>
        <v>40097.279999999999</v>
      </c>
      <c r="N21" s="118">
        <f t="shared" si="0"/>
        <v>7217.5103999999992</v>
      </c>
      <c r="O21" s="119">
        <f t="shared" si="1"/>
        <v>236.57395199999999</v>
      </c>
      <c r="P21" s="120">
        <f t="shared" si="2"/>
        <v>47551.364351999997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1800</v>
      </c>
      <c r="I25" s="137">
        <f t="shared" si="9"/>
        <v>116224.2</v>
      </c>
      <c r="J25" s="138"/>
      <c r="K25" s="139">
        <f t="shared" si="9"/>
        <v>0</v>
      </c>
      <c r="L25" s="140">
        <f t="shared" si="9"/>
        <v>9297.9360000000015</v>
      </c>
      <c r="M25" s="141">
        <f t="shared" si="9"/>
        <v>106926.264</v>
      </c>
      <c r="N25" s="142">
        <f>SUM(N16:N24)</f>
        <v>19246.727519999997</v>
      </c>
      <c r="O25" s="143">
        <f>SUM(O16:O24)</f>
        <v>630.86495759999991</v>
      </c>
      <c r="P25" s="144">
        <f>SUM(P16:P24)</f>
        <v>126803.8564776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116224.2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9297.9360000000015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106926.264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0.18</v>
      </c>
      <c r="P32" s="153">
        <f>N25</f>
        <v>19246.727519999997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126172.99152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5.0000000000000001E-3</v>
      </c>
      <c r="P34" s="153">
        <f>O34*P33</f>
        <v>630.86495760000003</v>
      </c>
    </row>
    <row r="35" spans="2:16" ht="15.75" customHeight="1" thickBot="1" x14ac:dyDescent="0.4">
      <c r="N35" s="202" t="s">
        <v>92</v>
      </c>
      <c r="O35" s="203"/>
      <c r="P35" s="160">
        <f>P33+P34</f>
        <v>126803.8564776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3" workbookViewId="0">
      <selection activeCell="I17" sqref="I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20 16383:16384" ht="21" x14ac:dyDescent="0.5">
      <c r="A2" s="244" t="s">
        <v>45</v>
      </c>
      <c r="B2" s="244"/>
      <c r="C2" s="244"/>
    </row>
    <row r="3" spans="1:20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1002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20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20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20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102</v>
      </c>
      <c r="O6" s="241"/>
      <c r="P6" s="241"/>
      <c r="R6" s="70"/>
      <c r="S6" s="74"/>
      <c r="XFC6" t="s">
        <v>53</v>
      </c>
      <c r="XFD6" s="2">
        <v>0.18</v>
      </c>
    </row>
    <row r="7" spans="1:20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20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20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20 16383:16384" x14ac:dyDescent="0.35">
      <c r="A10" s="226" t="s">
        <v>95</v>
      </c>
      <c r="B10" s="75" t="s">
        <v>104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20 16383:16384" x14ac:dyDescent="0.35">
      <c r="A11" s="226"/>
      <c r="B11" s="76" t="s">
        <v>48</v>
      </c>
      <c r="C11" s="77" t="str">
        <f>IF($O34&gt;2.49%,"No","Yes")</f>
        <v>Yes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20 16383:16384" ht="14.65" customHeight="1" x14ac:dyDescent="0.35">
      <c r="A12" s="22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20 16383:16384" ht="15" thickBot="1" x14ac:dyDescent="0.4">
      <c r="A13" s="227"/>
      <c r="B13" s="168">
        <v>3520247902365</v>
      </c>
      <c r="J13" s="78"/>
      <c r="K13" s="78"/>
      <c r="L13" s="79">
        <v>0.05</v>
      </c>
      <c r="XFD13" t="s">
        <v>63</v>
      </c>
    </row>
    <row r="14" spans="1:20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R14" s="180"/>
      <c r="S14" s="180"/>
      <c r="T14" s="180"/>
      <c r="XFD14" t="s">
        <v>75</v>
      </c>
    </row>
    <row r="15" spans="1:20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R15" s="108">
        <f>SUM(L16:L21)</f>
        <v>668.93600000000004</v>
      </c>
      <c r="S15" s="108"/>
      <c r="XFD15" t="s">
        <v>81</v>
      </c>
    </row>
    <row r="16" spans="1:20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R16" s="108">
        <f>SUM(I16:I21)</f>
        <v>4180.8500000000004</v>
      </c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/>
      <c r="K17" s="1">
        <f t="shared" ref="K17:K21" si="3">I17*$K$13</f>
        <v>0</v>
      </c>
      <c r="L17" s="105">
        <f t="shared" ref="L17:L21" si="4">I17*16%</f>
        <v>335.76</v>
      </c>
      <c r="M17" s="118">
        <f t="shared" ref="M17:M23" si="5">I17-K17-L17</f>
        <v>1762.74</v>
      </c>
      <c r="N17" s="118">
        <f t="shared" si="0"/>
        <v>317.29320000000001</v>
      </c>
      <c r="O17" s="119">
        <f t="shared" ref="O17:O24" si="6">(N17+M17)*$O$15</f>
        <v>10.400165999999999</v>
      </c>
      <c r="P17" s="120">
        <f t="shared" si="1"/>
        <v>2090.4333659999998</v>
      </c>
      <c r="R17" s="181">
        <f>R15/R16*100</f>
        <v>16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</v>
      </c>
      <c r="I18" s="116">
        <f t="shared" si="2"/>
        <v>629.54999999999995</v>
      </c>
      <c r="J18" s="117"/>
      <c r="K18" s="1">
        <f t="shared" si="3"/>
        <v>0</v>
      </c>
      <c r="L18" s="105">
        <f t="shared" si="4"/>
        <v>100.72799999999999</v>
      </c>
      <c r="M18" s="118">
        <f t="shared" si="5"/>
        <v>528.822</v>
      </c>
      <c r="N18" s="118">
        <f t="shared" si="0"/>
        <v>95.187960000000004</v>
      </c>
      <c r="O18" s="119">
        <f t="shared" si="6"/>
        <v>3.1200497999999999</v>
      </c>
      <c r="P18" s="120">
        <f t="shared" si="1"/>
        <v>627.13000979999993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14</v>
      </c>
      <c r="I19" s="116">
        <f t="shared" si="2"/>
        <v>1016.96</v>
      </c>
      <c r="J19" s="117"/>
      <c r="K19" s="1">
        <f t="shared" si="3"/>
        <v>0</v>
      </c>
      <c r="L19" s="105">
        <f t="shared" si="4"/>
        <v>162.71360000000001</v>
      </c>
      <c r="M19" s="118">
        <f t="shared" si="5"/>
        <v>854.24639999999999</v>
      </c>
      <c r="N19" s="118">
        <f t="shared" si="0"/>
        <v>153.764352</v>
      </c>
      <c r="O19" s="119">
        <f t="shared" si="6"/>
        <v>5.0400537600000002</v>
      </c>
      <c r="P19" s="120">
        <f t="shared" si="1"/>
        <v>1013.05080576</v>
      </c>
    </row>
    <row r="20" spans="1:19 16384:16384" ht="15.5" customHeight="1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">
        <f t="shared" si="3"/>
        <v>0</v>
      </c>
      <c r="L21" s="105">
        <f t="shared" si="4"/>
        <v>69.734400000000008</v>
      </c>
      <c r="M21" s="118">
        <f t="shared" si="5"/>
        <v>366.10560000000004</v>
      </c>
      <c r="N21" s="118">
        <f t="shared" si="0"/>
        <v>65.899008000000009</v>
      </c>
      <c r="O21" s="119">
        <f t="shared" si="6"/>
        <v>2.1600230400000004</v>
      </c>
      <c r="P21" s="120">
        <f t="shared" si="1"/>
        <v>434.16463104000007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">
        <f>I22*3.5%</f>
        <v>8.2383000000000024</v>
      </c>
      <c r="L22" s="120">
        <f>I22*5%</f>
        <v>11.769000000000002</v>
      </c>
      <c r="M22" s="118">
        <f t="shared" si="5"/>
        <v>215.37270000000001</v>
      </c>
      <c r="N22" s="118">
        <f t="shared" si="0"/>
        <v>38.767085999999999</v>
      </c>
      <c r="O22" s="119">
        <f t="shared" si="6"/>
        <v>1.27069893</v>
      </c>
      <c r="P22" s="120">
        <f t="shared" si="1"/>
        <v>255.41048493000002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78</v>
      </c>
      <c r="I25" s="137">
        <f t="shared" si="9"/>
        <v>4416.2300000000005</v>
      </c>
      <c r="J25" s="138"/>
      <c r="K25" s="139">
        <f t="shared" si="9"/>
        <v>8.2383000000000024</v>
      </c>
      <c r="L25" s="140">
        <f t="shared" si="9"/>
        <v>680.70500000000004</v>
      </c>
      <c r="M25" s="141">
        <f t="shared" si="9"/>
        <v>3727.2866999999997</v>
      </c>
      <c r="N25" s="142">
        <f>SUM(N16:N24)</f>
        <v>670.91160600000001</v>
      </c>
      <c r="O25" s="143">
        <f>SUM(O16:O24)</f>
        <v>21.990991530000002</v>
      </c>
      <c r="P25" s="144">
        <f>SUM(P16:P24)</f>
        <v>4420.1892975299997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4416.2300000000005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680.70500000000004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8.2383000000000024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3727.2867000000006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0.18</v>
      </c>
      <c r="P32" s="153">
        <f>N25</f>
        <v>670.91160600000001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4398.1983060000002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5.0000000000000001E-3</v>
      </c>
      <c r="P34" s="153">
        <f>O34*P33</f>
        <v>21.990991530000002</v>
      </c>
    </row>
    <row r="35" spans="2:16" ht="15.75" customHeight="1" thickBot="1" x14ac:dyDescent="0.4">
      <c r="N35" s="202" t="s">
        <v>92</v>
      </c>
      <c r="O35" s="203"/>
      <c r="P35" s="160">
        <f>P33+P34</f>
        <v>4420.1892975300007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I8" sqref="I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4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44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9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3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44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5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44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9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6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44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7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44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9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8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44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9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44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167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44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4" t="s">
        <v>45</v>
      </c>
      <c r="B2" s="244"/>
      <c r="C2" s="244"/>
    </row>
    <row r="3" spans="1:19 16383:16384" ht="15" customHeight="1" x14ac:dyDescent="0.35">
      <c r="A3" s="229" t="s">
        <v>46</v>
      </c>
      <c r="B3" s="229"/>
      <c r="C3" s="229"/>
      <c r="F3" s="70"/>
      <c r="G3" s="71"/>
      <c r="K3" s="228" t="s">
        <v>47</v>
      </c>
      <c r="L3" s="228"/>
      <c r="M3" s="228"/>
      <c r="N3" s="229">
        <v>10</v>
      </c>
      <c r="O3" s="229"/>
      <c r="P3" s="22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9" t="s">
        <v>94</v>
      </c>
      <c r="B4" s="229"/>
      <c r="C4" s="229"/>
      <c r="F4" s="70"/>
      <c r="G4" s="71"/>
      <c r="K4" s="228" t="s">
        <v>49</v>
      </c>
      <c r="L4" s="228"/>
      <c r="M4" s="228"/>
      <c r="N4" s="242">
        <f ca="1">TODAY()</f>
        <v>46196</v>
      </c>
      <c r="O4" s="242"/>
      <c r="P4" s="24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1" t="s">
        <v>106</v>
      </c>
      <c r="B5" s="251"/>
      <c r="C5" s="251"/>
      <c r="F5" s="70"/>
      <c r="G5" s="71"/>
      <c r="K5" s="228" t="s">
        <v>51</v>
      </c>
      <c r="L5" s="228"/>
      <c r="M5" s="228"/>
      <c r="N5" s="242">
        <f ca="1">N4-1</f>
        <v>46195</v>
      </c>
      <c r="O5" s="229"/>
      <c r="P5" s="229"/>
      <c r="R5" s="70"/>
      <c r="S5" s="71"/>
    </row>
    <row r="6" spans="1:19 16383:16384" ht="15" customHeight="1" x14ac:dyDescent="0.35">
      <c r="A6" s="228" t="s">
        <v>105</v>
      </c>
      <c r="B6" s="228"/>
      <c r="C6" s="228"/>
      <c r="F6" s="70"/>
      <c r="G6" s="74"/>
      <c r="K6" s="228" t="s">
        <v>52</v>
      </c>
      <c r="L6" s="228"/>
      <c r="M6" s="228"/>
      <c r="N6" s="241" t="s">
        <v>97</v>
      </c>
      <c r="O6" s="241"/>
      <c r="P6" s="24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8"/>
      <c r="B7" s="228"/>
      <c r="C7" s="228"/>
      <c r="F7" s="70"/>
      <c r="G7" s="74"/>
      <c r="K7" s="228"/>
      <c r="L7" s="228"/>
      <c r="M7" s="228"/>
      <c r="N7" s="241"/>
      <c r="O7" s="241"/>
      <c r="P7" s="24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0"/>
      <c r="B8" s="240"/>
      <c r="C8" s="240"/>
      <c r="F8" s="70"/>
      <c r="G8" s="74"/>
      <c r="K8" s="228"/>
      <c r="L8" s="228"/>
      <c r="M8" s="228"/>
      <c r="N8" s="241"/>
      <c r="O8" s="241"/>
      <c r="P8" s="241"/>
      <c r="R8" s="70"/>
      <c r="S8" s="74"/>
    </row>
    <row r="9" spans="1:19 16383:16384" x14ac:dyDescent="0.35">
      <c r="A9" s="240"/>
      <c r="B9" s="240"/>
      <c r="C9" s="240"/>
      <c r="F9" s="70"/>
      <c r="G9" s="74"/>
      <c r="K9" s="228"/>
      <c r="L9" s="228"/>
      <c r="M9" s="228"/>
      <c r="N9" s="241"/>
      <c r="O9" s="241"/>
      <c r="P9" s="241"/>
      <c r="R9" s="70"/>
      <c r="S9" s="74"/>
      <c r="XFD9" t="s">
        <v>55</v>
      </c>
    </row>
    <row r="10" spans="1:19 16383:16384" x14ac:dyDescent="0.35">
      <c r="A10" s="226" t="s">
        <v>95</v>
      </c>
      <c r="B10" s="75">
        <v>0</v>
      </c>
      <c r="C10" s="75"/>
      <c r="F10" s="70"/>
      <c r="G10" s="71"/>
      <c r="K10" s="228" t="s">
        <v>56</v>
      </c>
      <c r="L10" s="228"/>
      <c r="M10" s="228"/>
      <c r="N10" s="229" t="s">
        <v>57</v>
      </c>
      <c r="O10" s="229"/>
      <c r="P10" s="229"/>
      <c r="R10" s="70"/>
      <c r="S10" s="71"/>
      <c r="XFD10" t="s">
        <v>58</v>
      </c>
    </row>
    <row r="11" spans="1:19 16383:16384" x14ac:dyDescent="0.35">
      <c r="A11" s="226"/>
      <c r="B11" s="76" t="s">
        <v>50</v>
      </c>
      <c r="C11" s="77" t="str">
        <f>IF($O34&gt;2.49%,"No","Yes")</f>
        <v>No</v>
      </c>
      <c r="F11" s="70"/>
      <c r="G11" s="71"/>
      <c r="K11" s="228" t="s">
        <v>59</v>
      </c>
      <c r="L11" s="228"/>
      <c r="M11" s="228"/>
      <c r="N11" s="229" t="s">
        <v>55</v>
      </c>
      <c r="O11" s="229"/>
      <c r="P11" s="229"/>
      <c r="R11" s="70"/>
      <c r="S11" s="71"/>
    </row>
    <row r="12" spans="1:19 16383:16384" ht="14.65" customHeight="1" x14ac:dyDescent="0.35">
      <c r="A12" s="226" t="s">
        <v>60</v>
      </c>
      <c r="B12" s="76" t="s">
        <v>54</v>
      </c>
      <c r="C12" s="77" t="str">
        <f>IF($O32&gt;21.99%,"No","Yes")</f>
        <v>No</v>
      </c>
      <c r="F12" s="70"/>
      <c r="G12" s="71"/>
      <c r="K12" s="228" t="s">
        <v>61</v>
      </c>
      <c r="L12" s="228"/>
      <c r="M12" s="228"/>
      <c r="N12" s="229"/>
      <c r="O12" s="229"/>
      <c r="P12" s="229"/>
      <c r="R12" s="70"/>
      <c r="S12" s="71"/>
      <c r="XFD12" t="s">
        <v>62</v>
      </c>
    </row>
    <row r="13" spans="1:19 16383:16384" ht="15" thickBot="1" x14ac:dyDescent="0.4">
      <c r="A13" s="227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0" t="s">
        <v>64</v>
      </c>
      <c r="B14" s="231"/>
      <c r="C14" s="23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8" t="s">
        <v>69</v>
      </c>
      <c r="J14" s="246" t="s">
        <v>70</v>
      </c>
      <c r="K14" s="250"/>
      <c r="L14" s="247"/>
      <c r="M14" s="248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2"/>
      <c r="B15" s="233"/>
      <c r="C15" s="23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9"/>
      <c r="J15" s="88" t="s">
        <v>78</v>
      </c>
      <c r="K15" s="90" t="s">
        <v>79</v>
      </c>
      <c r="L15" s="91" t="s">
        <v>80</v>
      </c>
      <c r="M15" s="249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8" t="s">
        <v>84</v>
      </c>
      <c r="B25" s="209"/>
      <c r="C25" s="210"/>
      <c r="D25" s="204"/>
      <c r="E25" s="204"/>
      <c r="F25" s="245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1" t="s">
        <v>85</v>
      </c>
      <c r="C28" s="212"/>
      <c r="D28" s="212"/>
      <c r="E28" s="212"/>
      <c r="F28" s="212"/>
      <c r="G28" s="212"/>
      <c r="H28" s="212"/>
      <c r="I28" s="212"/>
      <c r="J28" s="212"/>
      <c r="K28" s="212"/>
      <c r="L28" s="213"/>
      <c r="N28" s="220" t="s">
        <v>86</v>
      </c>
      <c r="O28" s="221"/>
      <c r="P28" s="152">
        <f>I25</f>
        <v>0</v>
      </c>
    </row>
    <row r="29" spans="1:19 16384:16384" ht="15" customHeight="1" x14ac:dyDescent="0.35">
      <c r="B29" s="214"/>
      <c r="C29" s="215"/>
      <c r="D29" s="215"/>
      <c r="E29" s="215"/>
      <c r="F29" s="215"/>
      <c r="G29" s="215"/>
      <c r="H29" s="215"/>
      <c r="I29" s="215"/>
      <c r="J29" s="215"/>
      <c r="K29" s="215"/>
      <c r="L29" s="216"/>
      <c r="N29" s="222" t="s">
        <v>87</v>
      </c>
      <c r="O29" s="223"/>
      <c r="P29" s="153">
        <f>L25</f>
        <v>0</v>
      </c>
    </row>
    <row r="30" spans="1:19 16384:16384" ht="15" customHeight="1" x14ac:dyDescent="0.35">
      <c r="B30" s="214"/>
      <c r="C30" s="215"/>
      <c r="D30" s="215"/>
      <c r="E30" s="215"/>
      <c r="F30" s="215"/>
      <c r="G30" s="215"/>
      <c r="H30" s="215"/>
      <c r="I30" s="215"/>
      <c r="J30" s="215"/>
      <c r="K30" s="215"/>
      <c r="L30" s="216"/>
      <c r="N30" s="222" t="s">
        <v>4</v>
      </c>
      <c r="O30" s="223"/>
      <c r="P30" s="154">
        <f>K25</f>
        <v>0</v>
      </c>
    </row>
    <row r="31" spans="1:19 16384:16384" ht="15" customHeight="1" x14ac:dyDescent="0.35">
      <c r="B31" s="214"/>
      <c r="C31" s="215"/>
      <c r="D31" s="215"/>
      <c r="E31" s="215"/>
      <c r="F31" s="215"/>
      <c r="G31" s="215"/>
      <c r="H31" s="215"/>
      <c r="I31" s="215"/>
      <c r="J31" s="215"/>
      <c r="K31" s="215"/>
      <c r="L31" s="216"/>
      <c r="M31" s="2"/>
      <c r="N31" s="222" t="s">
        <v>88</v>
      </c>
      <c r="O31" s="223"/>
      <c r="P31" s="153">
        <f>P28-P29-P30</f>
        <v>0</v>
      </c>
    </row>
    <row r="32" spans="1:19 16384:16384" ht="15" customHeight="1" x14ac:dyDescent="0.35">
      <c r="B32" s="214"/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4"/>
      <c r="C33" s="215"/>
      <c r="D33" s="215"/>
      <c r="E33" s="215"/>
      <c r="F33" s="215"/>
      <c r="G33" s="215"/>
      <c r="H33" s="215"/>
      <c r="I33" s="215"/>
      <c r="J33" s="215"/>
      <c r="K33" s="215"/>
      <c r="L33" s="216"/>
      <c r="M33" s="2"/>
      <c r="N33" s="224" t="s">
        <v>90</v>
      </c>
      <c r="O33" s="225"/>
      <c r="P33" s="153">
        <f>P31+P32</f>
        <v>0</v>
      </c>
    </row>
    <row r="34" spans="2:16" ht="15" customHeight="1" thickBot="1" x14ac:dyDescent="0.4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2" t="s">
        <v>92</v>
      </c>
      <c r="O35" s="203"/>
      <c r="P35" s="160">
        <f>P33+P34</f>
        <v>0</v>
      </c>
    </row>
    <row r="36" spans="2:16" ht="15" thickBot="1" x14ac:dyDescent="0.4">
      <c r="B36" s="161" t="s">
        <v>93</v>
      </c>
      <c r="C36" s="204"/>
      <c r="D36" s="204"/>
      <c r="E36" s="204"/>
      <c r="F36" s="204"/>
      <c r="G36" s="204"/>
      <c r="H36" s="204"/>
      <c r="I36" s="205"/>
      <c r="J36" s="206"/>
      <c r="K36" s="20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14</vt:lpstr>
      <vt:lpstr>13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2026-06-23T10:20:48Z</dcterms:modified>
</cp:coreProperties>
</file>