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0C85F08-1BCE-4064-BB4A-EACD9F3C4CBE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4" sheetId="29" r:id="rId16"/>
    <sheet name="13" sheetId="28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R20" i="17" l="1"/>
  <c r="R19" i="17"/>
  <c r="S21" i="17"/>
  <c r="I17" i="17"/>
  <c r="L17" i="17" s="1"/>
  <c r="H26" i="16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7" i="15"/>
  <c r="H16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 s="1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 s="1"/>
  <c r="N20" i="32"/>
  <c r="O20" i="32" s="1"/>
  <c r="M25" i="32"/>
  <c r="N16" i="32"/>
  <c r="L25" i="32"/>
  <c r="P29" i="32" s="1"/>
  <c r="P31" i="32" s="1"/>
  <c r="N22" i="32"/>
  <c r="O22" i="32" s="1"/>
  <c r="P22" i="32" s="1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 s="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N18" i="30"/>
  <c r="O18" i="30" s="1"/>
  <c r="P18" i="30" s="1"/>
  <c r="K25" i="30"/>
  <c r="P30" i="30" s="1"/>
  <c r="P31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 s="1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 s="1"/>
  <c r="N20" i="28"/>
  <c r="O20" i="28" s="1"/>
  <c r="P20" i="28"/>
  <c r="N22" i="28"/>
  <c r="O22" i="28" s="1"/>
  <c r="P22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8" i="28"/>
  <c r="O18" i="28" s="1"/>
  <c r="P18" i="28" s="1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6" i="32" l="1"/>
  <c r="P25" i="32" s="1"/>
  <c r="P16" i="30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L16" i="17" s="1"/>
  <c r="R21" i="17" s="1"/>
  <c r="I19" i="17"/>
  <c r="L19" i="17" s="1"/>
  <c r="I20" i="17"/>
  <c r="L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7" l="1"/>
  <c r="K17" i="17"/>
  <c r="M17" i="17" s="1"/>
  <c r="N17" i="17" s="1"/>
  <c r="O17" i="17" s="1"/>
  <c r="K20" i="17"/>
  <c r="M20" i="17" s="1"/>
  <c r="N20" i="17" s="1"/>
  <c r="O20" i="17" s="1"/>
  <c r="K16" i="17"/>
  <c r="K19" i="17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K20" i="18"/>
  <c r="M20" i="18" s="1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I23" i="15"/>
  <c r="M19" i="17" l="1"/>
  <c r="N19" i="17" s="1"/>
  <c r="O19" i="17" s="1"/>
  <c r="P19" i="17" s="1"/>
  <c r="M16" i="17"/>
  <c r="N16" i="17" s="1"/>
  <c r="L17" i="15"/>
  <c r="L23" i="15"/>
  <c r="L16" i="16"/>
  <c r="L16" i="15" s="1"/>
  <c r="L25" i="23"/>
  <c r="P29" i="23" s="1"/>
  <c r="L25" i="20"/>
  <c r="P29" i="20" s="1"/>
  <c r="M16" i="19"/>
  <c r="N16" i="19" s="1"/>
  <c r="K25" i="20"/>
  <c r="P30" i="20" s="1"/>
  <c r="K25" i="21"/>
  <c r="P30" i="21" s="1"/>
  <c r="L24" i="15"/>
  <c r="K25" i="18"/>
  <c r="P30" i="18" s="1"/>
  <c r="P31" i="18" s="1"/>
  <c r="M16" i="18"/>
  <c r="K24" i="16"/>
  <c r="K24" i="15" s="1"/>
  <c r="M21" i="17"/>
  <c r="N21" i="17" s="1"/>
  <c r="O21" i="17" s="1"/>
  <c r="L18" i="16"/>
  <c r="L20" i="16"/>
  <c r="L20" i="15" s="1"/>
  <c r="L25" i="21"/>
  <c r="P29" i="21" s="1"/>
  <c r="P31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P20" i="17"/>
  <c r="P24" i="17"/>
  <c r="P22" i="17"/>
  <c r="M22" i="16"/>
  <c r="N22" i="16" s="1"/>
  <c r="M24" i="15" l="1"/>
  <c r="M20" i="16"/>
  <c r="N20" i="16" s="1"/>
  <c r="M16" i="15"/>
  <c r="M17" i="15"/>
  <c r="L25" i="16"/>
  <c r="P29" i="16" s="1"/>
  <c r="M18" i="16"/>
  <c r="N18" i="16" s="1"/>
  <c r="O18" i="16" s="1"/>
  <c r="P31" i="20"/>
  <c r="P31" i="23"/>
  <c r="P21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16" i="16"/>
  <c r="P31" i="16" l="1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16" i="16"/>
  <c r="P22" i="15"/>
  <c r="P23" i="15" l="1"/>
  <c r="O25" i="16"/>
  <c r="P23" i="16"/>
  <c r="P19" i="16"/>
  <c r="O19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  <c r="G25" i="17"/>
  <c r="H18" i="17"/>
  <c r="H25" i="17" s="1"/>
  <c r="H26" i="17" s="1"/>
  <c r="I18" i="17" l="1"/>
  <c r="H18" i="15"/>
  <c r="I18" i="15" l="1"/>
  <c r="H25" i="15"/>
  <c r="L18" i="17"/>
  <c r="R16" i="17"/>
  <c r="I25" i="17"/>
  <c r="P28" i="17" s="1"/>
  <c r="K18" i="17"/>
  <c r="K25" i="17" l="1"/>
  <c r="P30" i="17" s="1"/>
  <c r="K18" i="15"/>
  <c r="K25" i="15" s="1"/>
  <c r="P30" i="15" s="1"/>
  <c r="L25" i="17"/>
  <c r="P29" i="17" s="1"/>
  <c r="P31" i="17" s="1"/>
  <c r="R15" i="17"/>
  <c r="R17" i="17" s="1"/>
  <c r="L18" i="15"/>
  <c r="L25" i="15" s="1"/>
  <c r="P29" i="15" s="1"/>
  <c r="M18" i="17"/>
  <c r="I25" i="15"/>
  <c r="P28" i="15" s="1"/>
  <c r="P31" i="15" l="1"/>
  <c r="N18" i="17"/>
  <c r="M25" i="17"/>
  <c r="M18" i="15"/>
  <c r="N18" i="15" l="1"/>
  <c r="N25" i="15" s="1"/>
  <c r="P32" i="15" s="1"/>
  <c r="P33" i="15" s="1"/>
  <c r="O18" i="17"/>
  <c r="N25" i="17"/>
  <c r="P32" i="17" s="1"/>
  <c r="P33" i="17" s="1"/>
  <c r="P18" i="17"/>
  <c r="P25" i="17" s="1"/>
  <c r="M25" i="15"/>
  <c r="P34" i="17" l="1"/>
  <c r="P35" i="17" s="1"/>
  <c r="U15" i="15" s="1"/>
  <c r="U26" i="15" s="1"/>
  <c r="O25" i="17"/>
  <c r="O18" i="15"/>
  <c r="O25" i="15" s="1"/>
  <c r="P34" i="15"/>
  <c r="P35" i="15" s="1"/>
  <c r="P18" i="15" l="1"/>
  <c r="P25" i="15" s="1"/>
</calcChain>
</file>

<file path=xl/sharedStrings.xml><?xml version="1.0" encoding="utf-8"?>
<sst xmlns="http://schemas.openxmlformats.org/spreadsheetml/2006/main" count="1605" uniqueCount="113">
  <si>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</si>
  <si>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</si>
  <si>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</si>
  <si>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</si>
  <si>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</si>
  <si>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</si>
  <si>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</si>
  <si>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</si>
  <si>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</si>
  <si>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</si>
  <si>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</si>
  <si>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</si>
  <si>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</si>
  <si>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</si>
  <si>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</si>
  <si>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</si>
  <si>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</si>
  <si>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</si>
  <si>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</si>
  <si>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</si>
  <si>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</si>
  <si>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</si>
  <si>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</si>
  <si>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</si>
  <si>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</si>
  <si>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</si>
  <si>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</si>
  <si>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</si>
  <si>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</si>
  <si>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</si>
  <si>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</si>
  <si>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</si>
  <si>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</si>
  <si>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</si>
  <si>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</si>
  <si>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</si>
  <si>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</si>
  <si>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</si>
  <si>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</si>
  <si>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</si>
  <si>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</si>
  <si>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</si>
  <si>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</si>
  <si>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</si>
  <si>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</si>
  <si>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</si>
  <si>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</si>
  <si>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</si>
  <si>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</si>
  <si>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</si>
  <si>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</si>
  <si>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</si>
  <si>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</si>
  <si>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</si>
  <si>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</si>
  <si>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</si>
  <si>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</si>
  <si>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</si>
  <si>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</si>
  <si>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</si>
  <si>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</si>
  <si>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</si>
  <si>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</si>
  <si>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</si>
  <si>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</si>
  <si>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</si>
  <si>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</si>
  <si>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</si>
  <si>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</si>
  <si>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</si>
  <si>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</si>
  <si>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</si>
  <si>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</si>
  <si>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</si>
  <si>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</si>
  <si>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</si>
  <si>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</si>
  <si>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</si>
  <si>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</si>
  <si>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</si>
  <si>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</si>
  <si>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</si>
  <si>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</si>
  <si>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</si>
  <si>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</si>
  <si>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</si>
  <si>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</si>
  <si>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</si>
  <si>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</si>
  <si>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</si>
  <si>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</si>
  <si>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</si>
  <si>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</si>
  <si>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</si>
  <si>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</si>
  <si>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</si>
  <si>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</si>
  <si>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</si>
  <si>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</si>
  <si>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</si>
  <si>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</si>
  <si>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</si>
  <si>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</si>
  <si>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</si>
  <si>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>150979-9</t>
  </si>
  <si>
    <t xml:space="preserve">Address: Multan Road Near Ever New </t>
  </si>
  <si>
    <t>Customer Name : Clinix Central Warehouse</t>
  </si>
  <si>
    <t>qty * size * Tp rate + qty * TP rate</t>
  </si>
  <si>
    <t>Gross Amount</t>
  </si>
  <si>
    <t>Gross * % / 100</t>
  </si>
  <si>
    <t xml:space="preserve">% lgany ka treeka </t>
  </si>
  <si>
    <t>gross / % *100</t>
  </si>
  <si>
    <t xml:space="preserve">Janna hai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</si>
</sst>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1" sqref="E1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1" sqref="E11"/>
      <selection pane="topRight" activeCell="E11" sqref="E11"/>
      <selection pane="bottomLeft" activeCell="E11" sqref="E11"/>
      <selection pane="bottomRight" activeCell="E11" sqref="E1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103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99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Clinix Central Warehouse</v>
      </c>
      <c r="U14" s="164">
        <f>+'1'!P35</f>
        <v>126803.8564776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Clinix Central Warehouse</v>
      </c>
      <c r="U15" s="164">
        <f>+'2'!P35</f>
        <v>101144.40061320001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400</v>
      </c>
      <c r="I16" s="1">
        <f>(G16*D16)*F16+H16*F16</f>
        <v>20985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2350.3199999999997</v>
      </c>
      <c r="M16" s="106">
        <f>I16-K16-L16</f>
        <v>18634.68</v>
      </c>
      <c r="N16" s="101">
        <f>+'1'!N16+'2'!N16+'4'!N16+'3'!N16+'5'!N16+'6'!N16+'7'!N16+'8'!N16+'9'!N16+'10'!N16</f>
        <v>3354.2424000000001</v>
      </c>
      <c r="O16" s="101">
        <f>+'1'!O16+'2'!O16+'4'!O16+'3'!O16+'5'!O16+'6'!O16+'7'!O16+'8'!O16+'9'!O16+'10'!O16</f>
        <v>109.94461199999999</v>
      </c>
      <c r="P16" s="105">
        <f t="shared" ref="P16:P24" si="0">M16+N16+O16</f>
        <v>22098.867011999999</v>
      </c>
      <c r="Q16" s="108"/>
      <c r="T16" s="163" t="str">
        <f>+'4'!A5</f>
        <v>Customer Name : Clinix Central Warehouse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520</v>
      </c>
      <c r="I17" s="1">
        <f t="shared" ref="I17:I23" si="1">(G17*D17)*F17+H17*F17</f>
        <v>27280.5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3357.6000000000004</v>
      </c>
      <c r="M17" s="118">
        <f t="shared" ref="M17:M23" si="2">I17-K17-L17</f>
        <v>23922.9</v>
      </c>
      <c r="N17" s="101">
        <f>+'1'!N17+'2'!N17+'4'!N17+'3'!N17+'5'!N17+'6'!N17+'7'!N17+'8'!N17+'9'!N17+'10'!N17</f>
        <v>4306.1219999999994</v>
      </c>
      <c r="O17" s="101">
        <f>+'1'!O17+'2'!O17+'4'!O17+'3'!O17+'5'!O17+'6'!O17+'7'!O17+'8'!O17+'9'!O17+'10'!O17</f>
        <v>141.14510999999999</v>
      </c>
      <c r="P17" s="120">
        <f t="shared" si="0"/>
        <v>28370.167110000002</v>
      </c>
      <c r="S17" s="64"/>
      <c r="T17" s="163" t="str">
        <f>+'3'!A5</f>
        <v>Customer Name : Clinix Central Warehouse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240</v>
      </c>
      <c r="I18" s="1">
        <f t="shared" si="1"/>
        <v>12591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1007.28</v>
      </c>
      <c r="M18" s="118">
        <f t="shared" si="2"/>
        <v>11583.72</v>
      </c>
      <c r="N18" s="101">
        <f>+'1'!N18+'2'!N18+'4'!N18+'3'!N18+'5'!N18+'6'!N18+'7'!N18+'8'!N18+'9'!N18+'10'!N18</f>
        <v>2085.0695999999998</v>
      </c>
      <c r="O18" s="101">
        <f>+'1'!O18+'2'!O18+'4'!O18+'3'!O18+'5'!O18+'6'!O18+'7'!O18+'8'!O18+'9'!O18+'10'!O18</f>
        <v>68.343947999999997</v>
      </c>
      <c r="P18" s="120">
        <f t="shared" si="0"/>
        <v>13737.133548</v>
      </c>
      <c r="T18" s="163" t="str">
        <f>+'5'!A5</f>
        <v>Customer Name : Clinix Central Warehouse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520</v>
      </c>
      <c r="I19" s="1">
        <f t="shared" si="1"/>
        <v>37772.800000000003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4648.96</v>
      </c>
      <c r="M19" s="118">
        <f t="shared" si="2"/>
        <v>33123.840000000004</v>
      </c>
      <c r="N19" s="101">
        <f>+'1'!N19+'2'!N19+'4'!N19+'3'!N19+'5'!N19+'6'!N19+'7'!N19+'8'!N19+'9'!N19+'10'!N19</f>
        <v>5962.2911999999997</v>
      </c>
      <c r="O19" s="101">
        <f>+'1'!O19+'2'!O19+'4'!O19+'3'!O19+'5'!O19+'6'!O19+'7'!O19+'8'!O19+'9'!O19+'10'!O19</f>
        <v>195.430656</v>
      </c>
      <c r="P19" s="120">
        <f t="shared" si="0"/>
        <v>39281.561856</v>
      </c>
      <c r="T19" s="163" t="str">
        <f>+'6'!A5</f>
        <v>Customer Name : Clinix Central Warehouse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520</v>
      </c>
      <c r="I20" s="1">
        <f t="shared" si="1"/>
        <v>37772.800000000003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4648.96</v>
      </c>
      <c r="M20" s="118">
        <f t="shared" si="2"/>
        <v>33123.840000000004</v>
      </c>
      <c r="N20" s="101">
        <f>+'1'!N20+'2'!N20+'4'!N20+'3'!N20+'5'!N20+'6'!N20+'7'!N20+'8'!N20+'9'!N20+'10'!N20</f>
        <v>5962.2911999999997</v>
      </c>
      <c r="O20" s="101">
        <f>+'1'!O20+'2'!O20+'4'!O20+'3'!O20+'5'!O20+'6'!O20+'7'!O20+'8'!O20+'9'!O20+'10'!O20</f>
        <v>195.430656</v>
      </c>
      <c r="P20" s="120">
        <f t="shared" si="0"/>
        <v>39281.561856</v>
      </c>
      <c r="T20" s="163" t="str">
        <f>+'7'!A5</f>
        <v>Customer Name : Clinix Central Warehouse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1120</v>
      </c>
      <c r="I21" s="1">
        <f t="shared" si="1"/>
        <v>81356.800000000003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9530.3680000000004</v>
      </c>
      <c r="M21" s="118">
        <f t="shared" si="2"/>
        <v>71826.432000000001</v>
      </c>
      <c r="N21" s="101">
        <f>+'1'!N21+'2'!N21+'4'!N21+'3'!N21+'5'!N21+'6'!N21+'7'!N21+'8'!N21+'9'!N21+'10'!N21</f>
        <v>12928.75776</v>
      </c>
      <c r="O21" s="101">
        <f>+'1'!O21+'2'!O21+'4'!O21+'3'!O21+'5'!O21+'6'!O21+'7'!O21+'8'!O21+'9'!O21+'10'!O21</f>
        <v>423.77594880000004</v>
      </c>
      <c r="P21" s="120">
        <f t="shared" si="0"/>
        <v>85178.965708800009</v>
      </c>
      <c r="T21" s="163" t="str">
        <f>+'8'!A5</f>
        <v>Customer Name : Clinix Central Warehouse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Clinix Central Warehouse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Clinix Central Warehouse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Clinix Central Warehouse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/>
      <c r="D25" s="222"/>
      <c r="E25" s="222"/>
      <c r="F25" s="222"/>
      <c r="G25" s="176">
        <f t="shared" ref="G25:M25" si="3">SUM(G16:G24)</f>
        <v>0</v>
      </c>
      <c r="H25" s="177">
        <f t="shared" si="3"/>
        <v>3320</v>
      </c>
      <c r="I25" s="178">
        <f t="shared" si="3"/>
        <v>217758.90000000002</v>
      </c>
      <c r="J25" s="177">
        <f t="shared" si="3"/>
        <v>0</v>
      </c>
      <c r="K25" s="178">
        <f t="shared" si="3"/>
        <v>0</v>
      </c>
      <c r="L25" s="179">
        <f t="shared" si="3"/>
        <v>25543.487999999998</v>
      </c>
      <c r="M25" s="141">
        <f t="shared" si="3"/>
        <v>192215.41200000001</v>
      </c>
      <c r="N25" s="142">
        <f>SUM(N16:N24)</f>
        <v>34598.774160000001</v>
      </c>
      <c r="O25" s="143">
        <f>SUM(O16:O24)</f>
        <v>1134.0709308</v>
      </c>
      <c r="P25" s="144">
        <f>SUM(P16:P24)</f>
        <v>227948.25709080001</v>
      </c>
      <c r="T25" s="163" t="str">
        <f>+'12'!A5</f>
        <v>Customer Name : Clinix Central Warehouse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227948.25709080001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217758.90000000002</v>
      </c>
    </row>
    <row r="29" spans="1:21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25543.487999999998</v>
      </c>
    </row>
    <row r="30" spans="1:21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21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192215.41200000001</v>
      </c>
    </row>
    <row r="32" spans="1:21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34598.774160000001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226814.18616000001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5670.3546540000007</v>
      </c>
    </row>
    <row r="35" spans="2:16" ht="15.75" customHeight="1" thickBot="1" x14ac:dyDescent="0.4">
      <c r="N35" s="220" t="s">
        <v>92</v>
      </c>
      <c r="O35" s="221"/>
      <c r="P35" s="160">
        <f>P33+P34</f>
        <v>232484.54081400001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102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240</v>
      </c>
      <c r="I16" s="102">
        <f>(G16*D16)*F16+H16*F16</f>
        <v>12591</v>
      </c>
      <c r="J16" s="103"/>
      <c r="K16" s="104">
        <f>I16*$K$13</f>
        <v>0</v>
      </c>
      <c r="L16" s="105">
        <f>I16*8%</f>
        <v>1007.28</v>
      </c>
      <c r="M16" s="106">
        <f>I16-K16-L16</f>
        <v>11583.72</v>
      </c>
      <c r="N16" s="106">
        <f t="shared" ref="N16:N24" si="0">(M16*$N$15)+(J16*F16)*$N$15</f>
        <v>2085.0695999999998</v>
      </c>
      <c r="O16" s="107">
        <f t="shared" ref="O16:O24" si="1">(N16+M16)*$O$15</f>
        <v>68.343947999999997</v>
      </c>
      <c r="P16" s="105">
        <f t="shared" ref="P16:P24" si="2">M16+N16+O16</f>
        <v>13737.133548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240</v>
      </c>
      <c r="I17" s="116">
        <f t="shared" ref="I17:I23" si="3">(G17*D17)*F17+H17*F17</f>
        <v>12591</v>
      </c>
      <c r="J17" s="117"/>
      <c r="K17" s="1">
        <f t="shared" ref="K17:K21" si="4">I17*$K$13</f>
        <v>0</v>
      </c>
      <c r="L17" s="105">
        <f t="shared" ref="L17:L21" si="5">I17*8%</f>
        <v>1007.28</v>
      </c>
      <c r="M17" s="118">
        <f t="shared" ref="M17:M23" si="6">I17-K17-L17</f>
        <v>11583.72</v>
      </c>
      <c r="N17" s="118">
        <f t="shared" si="0"/>
        <v>2085.0695999999998</v>
      </c>
      <c r="O17" s="119">
        <f t="shared" si="1"/>
        <v>68.343947999999997</v>
      </c>
      <c r="P17" s="120">
        <f t="shared" si="2"/>
        <v>13737.133548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240</v>
      </c>
      <c r="I18" s="116">
        <f t="shared" si="3"/>
        <v>12591</v>
      </c>
      <c r="J18" s="117"/>
      <c r="K18" s="1">
        <f t="shared" si="4"/>
        <v>0</v>
      </c>
      <c r="L18" s="105">
        <f t="shared" si="5"/>
        <v>1007.28</v>
      </c>
      <c r="M18" s="118">
        <f t="shared" si="6"/>
        <v>11583.72</v>
      </c>
      <c r="N18" s="118">
        <f t="shared" si="0"/>
        <v>2085.0695999999998</v>
      </c>
      <c r="O18" s="119">
        <f t="shared" si="1"/>
        <v>68.343947999999997</v>
      </c>
      <c r="P18" s="120">
        <f t="shared" si="2"/>
        <v>13737.133548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240</v>
      </c>
      <c r="I19" s="116">
        <f t="shared" si="3"/>
        <v>17433.599999999999</v>
      </c>
      <c r="J19" s="117"/>
      <c r="K19" s="1">
        <f t="shared" si="4"/>
        <v>0</v>
      </c>
      <c r="L19" s="105">
        <f t="shared" si="5"/>
        <v>1394.6879999999999</v>
      </c>
      <c r="M19" s="118">
        <f t="shared" si="6"/>
        <v>16038.911999999998</v>
      </c>
      <c r="N19" s="118">
        <f t="shared" si="0"/>
        <v>2887.0041599999995</v>
      </c>
      <c r="O19" s="119">
        <f t="shared" si="1"/>
        <v>94.629580799999985</v>
      </c>
      <c r="P19" s="120">
        <f t="shared" si="2"/>
        <v>19020.545740799997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240</v>
      </c>
      <c r="I20" s="116">
        <f t="shared" si="3"/>
        <v>17433.599999999999</v>
      </c>
      <c r="J20" s="117"/>
      <c r="K20" s="1">
        <f t="shared" si="4"/>
        <v>0</v>
      </c>
      <c r="L20" s="105">
        <f t="shared" si="5"/>
        <v>1394.6879999999999</v>
      </c>
      <c r="M20" s="118">
        <f t="shared" si="6"/>
        <v>16038.911999999998</v>
      </c>
      <c r="N20" s="118">
        <f t="shared" si="0"/>
        <v>2887.0041599999995</v>
      </c>
      <c r="O20" s="119">
        <f t="shared" si="1"/>
        <v>94.629580799999985</v>
      </c>
      <c r="P20" s="120">
        <f t="shared" si="2"/>
        <v>19020.545740799997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600</v>
      </c>
      <c r="I21" s="116">
        <f t="shared" si="3"/>
        <v>43584</v>
      </c>
      <c r="J21" s="117"/>
      <c r="K21" s="1">
        <f t="shared" si="4"/>
        <v>0</v>
      </c>
      <c r="L21" s="105">
        <f t="shared" si="5"/>
        <v>3486.7200000000003</v>
      </c>
      <c r="M21" s="118">
        <f t="shared" si="6"/>
        <v>40097.279999999999</v>
      </c>
      <c r="N21" s="118">
        <f t="shared" si="0"/>
        <v>7217.5103999999992</v>
      </c>
      <c r="O21" s="119">
        <f t="shared" si="1"/>
        <v>236.57395199999999</v>
      </c>
      <c r="P21" s="120">
        <f t="shared" si="2"/>
        <v>47551.364351999997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1800</v>
      </c>
      <c r="I25" s="137">
        <f t="shared" si="9"/>
        <v>116224.2</v>
      </c>
      <c r="J25" s="138"/>
      <c r="K25" s="139">
        <f t="shared" si="9"/>
        <v>0</v>
      </c>
      <c r="L25" s="140">
        <f t="shared" si="9"/>
        <v>9297.9360000000015</v>
      </c>
      <c r="M25" s="141">
        <f t="shared" si="9"/>
        <v>106926.264</v>
      </c>
      <c r="N25" s="142">
        <f>SUM(N16:N24)</f>
        <v>19246.727519999997</v>
      </c>
      <c r="O25" s="143">
        <f>SUM(O16:O24)</f>
        <v>630.86495759999991</v>
      </c>
      <c r="P25" s="144">
        <f>SUM(P16:P24)</f>
        <v>126803.8564776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45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116224.2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9297.9360000000015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106926.264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19246.727519999997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126172.99152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630.86495760000003</v>
      </c>
    </row>
    <row r="35" spans="2:16" ht="15.75" customHeight="1" thickBot="1" x14ac:dyDescent="0.4">
      <c r="N35" s="220" t="s">
        <v>92</v>
      </c>
      <c r="O35" s="221"/>
      <c r="P35" s="160">
        <f>P33+P34</f>
        <v>126803.8564776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D13" workbookViewId="0">
      <selection activeCell="D23" sqref="D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5.81640625" bestFit="1" customWidth="1"/>
    <col min="14" max="14" width="5.81640625" style="69" bestFit="1" customWidth="1"/>
    <col min="15" max="15" width="6.36328125" bestFit="1" customWidth="1"/>
    <col min="16" max="16" width="8.36328125" bestFit="1" customWidth="1"/>
    <col min="17" max="17" width="6.36328125" bestFit="1" customWidth="1"/>
    <col min="18" max="18" width="9.36328125" bestFit="1" customWidth="1"/>
  </cols>
  <sheetData>
    <row r="2" spans="1:20 16383:16384" ht="21" x14ac:dyDescent="0.5">
      <c r="A2" s="200" t="s">
        <v>45</v>
      </c>
      <c r="B2" s="200"/>
      <c r="C2" s="200"/>
    </row>
    <row r="3" spans="1:20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0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0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20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102</v>
      </c>
      <c r="O6" s="204"/>
      <c r="P6" s="204"/>
      <c r="R6" s="70"/>
      <c r="S6" s="74"/>
      <c r="XFC6" t="s">
        <v>53</v>
      </c>
      <c r="XFD6" s="2">
        <v>0.18</v>
      </c>
    </row>
    <row r="7" spans="1:20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0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0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0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0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0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20 16383:16384" ht="15" thickBot="1" x14ac:dyDescent="0.4">
      <c r="A13" s="244"/>
      <c r="B13" s="168">
        <v>3520247902365</v>
      </c>
      <c r="J13" s="78"/>
      <c r="K13" s="78"/>
      <c r="L13" s="79">
        <v>0.05</v>
      </c>
      <c r="XFD13" t="s">
        <v>63</v>
      </c>
    </row>
    <row r="14" spans="1:20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R14" s="180"/>
      <c r="S14" s="180"/>
      <c r="T14" s="180"/>
      <c r="XFD14" t="s">
        <v>75</v>
      </c>
    </row>
    <row r="15" spans="1:20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Q15" s="2"/>
      <c r="R15" s="108">
        <f>SUM(L16:L21)</f>
        <v>16245.552</v>
      </c>
      <c r="S15" s="108"/>
      <c r="XFD15" t="s">
        <v>81</v>
      </c>
    </row>
    <row r="16" spans="1:20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160</v>
      </c>
      <c r="I16" s="102">
        <f>(G16*D16)*F16+H16*F16</f>
        <v>8394</v>
      </c>
      <c r="J16" s="103"/>
      <c r="K16" s="104">
        <f>I16*$K$13</f>
        <v>0</v>
      </c>
      <c r="L16" s="105">
        <f>I16*16%</f>
        <v>1343.04</v>
      </c>
      <c r="M16" s="106">
        <f>I16-K16-L16</f>
        <v>7050.96</v>
      </c>
      <c r="N16" s="106">
        <f t="shared" ref="N16:N24" si="0">(M16*$N$15)+(J16*F16)*$N$15</f>
        <v>1269.1728000000001</v>
      </c>
      <c r="O16" s="107">
        <f>(N16+M16)*$O$15</f>
        <v>41.600663999999995</v>
      </c>
      <c r="P16" s="105">
        <f t="shared" ref="P16:P24" si="1">M16+N16+O16</f>
        <v>8361.733463999999</v>
      </c>
      <c r="Q16" s="108"/>
      <c r="R16" s="108">
        <f>SUM(I16:I21)</f>
        <v>101534.7</v>
      </c>
      <c r="S16" s="182" t="s">
        <v>108</v>
      </c>
      <c r="T16" s="182" t="s">
        <v>107</v>
      </c>
      <c r="XFD16" t="s">
        <v>82</v>
      </c>
    </row>
    <row r="17" spans="1:20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00"/>
      <c r="H17" s="101">
        <v>280</v>
      </c>
      <c r="I17" s="116">
        <f t="shared" ref="I17:I23" si="2">(G17*D17)*F17+H17*F17</f>
        <v>14689.5</v>
      </c>
      <c r="J17" s="117"/>
      <c r="K17" s="1">
        <f t="shared" ref="K17:K21" si="3">I17*$K$13</f>
        <v>0</v>
      </c>
      <c r="L17" s="105">
        <f t="shared" ref="L17:L21" si="4">I17*16%</f>
        <v>2350.3200000000002</v>
      </c>
      <c r="M17" s="118">
        <f t="shared" ref="M17:M23" si="5">I17-K17-L17</f>
        <v>12339.18</v>
      </c>
      <c r="N17" s="118">
        <f t="shared" si="0"/>
        <v>2221.0524</v>
      </c>
      <c r="O17" s="119">
        <f t="shared" ref="O17:O24" si="6">(N17+M17)*$O$15</f>
        <v>72.801162000000005</v>
      </c>
      <c r="P17" s="120">
        <f t="shared" si="1"/>
        <v>14633.033562000001</v>
      </c>
      <c r="Q17" s="108"/>
      <c r="R17" s="181">
        <f>R15/R16*100</f>
        <v>16</v>
      </c>
      <c r="S17" s="183" t="s">
        <v>110</v>
      </c>
      <c r="T17" s="182" t="s">
        <v>109</v>
      </c>
      <c r="XFD17" t="s">
        <v>83</v>
      </c>
    </row>
    <row r="18" spans="1:20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00"/>
      <c r="H18" s="101">
        <f t="shared" ref="H18" si="7">G18*40</f>
        <v>0</v>
      </c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  <c r="Q18" s="108"/>
      <c r="S18" s="182" t="s">
        <v>112</v>
      </c>
      <c r="T18" s="182" t="s">
        <v>111</v>
      </c>
    </row>
    <row r="19" spans="1:20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00"/>
      <c r="H19" s="101">
        <v>280</v>
      </c>
      <c r="I19" s="116">
        <f t="shared" si="2"/>
        <v>20339.2</v>
      </c>
      <c r="J19" s="117"/>
      <c r="K19" s="1">
        <f t="shared" si="3"/>
        <v>0</v>
      </c>
      <c r="L19" s="105">
        <f t="shared" si="4"/>
        <v>3254.2720000000004</v>
      </c>
      <c r="M19" s="118">
        <f t="shared" si="5"/>
        <v>17084.928</v>
      </c>
      <c r="N19" s="118">
        <f t="shared" si="0"/>
        <v>3075.2870399999997</v>
      </c>
      <c r="O19" s="119">
        <f t="shared" si="6"/>
        <v>100.8010752</v>
      </c>
      <c r="P19" s="120">
        <f t="shared" si="1"/>
        <v>20261.0161152</v>
      </c>
      <c r="Q19" s="108"/>
      <c r="R19">
        <f>(1*40)*65+1*65</f>
        <v>2665</v>
      </c>
    </row>
    <row r="20" spans="1:20 16384:16384" ht="15.5" customHeight="1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00"/>
      <c r="H20" s="101">
        <v>280</v>
      </c>
      <c r="I20" s="116">
        <f t="shared" si="2"/>
        <v>20339.2</v>
      </c>
      <c r="J20" s="117"/>
      <c r="K20" s="1">
        <f t="shared" si="3"/>
        <v>0</v>
      </c>
      <c r="L20" s="105">
        <f t="shared" si="4"/>
        <v>3254.2720000000004</v>
      </c>
      <c r="M20" s="118">
        <f t="shared" si="5"/>
        <v>17084.928</v>
      </c>
      <c r="N20" s="118">
        <f t="shared" si="0"/>
        <v>3075.2870399999997</v>
      </c>
      <c r="O20" s="119">
        <f t="shared" si="6"/>
        <v>100.8010752</v>
      </c>
      <c r="P20" s="120">
        <f t="shared" si="1"/>
        <v>20261.0161152</v>
      </c>
      <c r="Q20" s="108"/>
      <c r="R20">
        <f>R19*4</f>
        <v>10660</v>
      </c>
    </row>
    <row r="21" spans="1:20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00"/>
      <c r="H21" s="101">
        <v>520</v>
      </c>
      <c r="I21" s="116">
        <f t="shared" si="2"/>
        <v>37772.800000000003</v>
      </c>
      <c r="J21" s="117"/>
      <c r="K21" s="1">
        <f t="shared" si="3"/>
        <v>0</v>
      </c>
      <c r="L21" s="105">
        <f t="shared" si="4"/>
        <v>6043.6480000000001</v>
      </c>
      <c r="M21" s="118">
        <f t="shared" si="5"/>
        <v>31729.152000000002</v>
      </c>
      <c r="N21" s="118">
        <f t="shared" si="0"/>
        <v>5711.2473600000003</v>
      </c>
      <c r="O21" s="119">
        <f t="shared" si="6"/>
        <v>187.20199680000002</v>
      </c>
      <c r="P21" s="120">
        <f t="shared" si="1"/>
        <v>37627.601356800005</v>
      </c>
      <c r="Q21" s="108"/>
      <c r="R21">
        <f>L16/I16*100</f>
        <v>16</v>
      </c>
      <c r="S21">
        <f>(65.57*40)*1*52*1</f>
        <v>136385.59999999998</v>
      </c>
    </row>
    <row r="22" spans="1:20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  <c r="Q22" s="108"/>
    </row>
    <row r="23" spans="1:20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8">I23*3.5%</f>
        <v>0</v>
      </c>
      <c r="L23" s="120">
        <f t="shared" ref="L23:L24" si="9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20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8"/>
        <v>0</v>
      </c>
      <c r="L24" s="132">
        <f t="shared" si="9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20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10">SUM(G16:G24)</f>
        <v>0</v>
      </c>
      <c r="H25" s="136">
        <f t="shared" si="10"/>
        <v>1520</v>
      </c>
      <c r="I25" s="137">
        <f t="shared" si="10"/>
        <v>101534.7</v>
      </c>
      <c r="J25" s="138"/>
      <c r="K25" s="139">
        <f t="shared" si="10"/>
        <v>0</v>
      </c>
      <c r="L25" s="140">
        <f t="shared" si="10"/>
        <v>16245.552</v>
      </c>
      <c r="M25" s="141">
        <f t="shared" si="10"/>
        <v>85289.148000000001</v>
      </c>
      <c r="N25" s="142">
        <f>SUM(N16:N24)</f>
        <v>15352.04664</v>
      </c>
      <c r="O25" s="143">
        <f>SUM(O16:O24)</f>
        <v>503.20597320000002</v>
      </c>
      <c r="P25" s="144">
        <f>SUM(P16:P24)</f>
        <v>101144.40061320001</v>
      </c>
    </row>
    <row r="26" spans="1:20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38</v>
      </c>
      <c r="I26" s="147"/>
      <c r="K26" s="148"/>
      <c r="L26" s="148"/>
      <c r="M26" s="148"/>
      <c r="N26" s="148"/>
      <c r="O26" s="149"/>
      <c r="P26" s="148"/>
    </row>
    <row r="27" spans="1:20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0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101534.7</v>
      </c>
    </row>
    <row r="29" spans="1:20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16245.552</v>
      </c>
    </row>
    <row r="30" spans="1:20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20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85289.148000000001</v>
      </c>
    </row>
    <row r="32" spans="1:20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15352.04664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100641.19464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503.20597320000002</v>
      </c>
    </row>
    <row r="35" spans="2:16" ht="15.75" customHeight="1" thickBot="1" x14ac:dyDescent="0.4">
      <c r="N35" s="220" t="s">
        <v>92</v>
      </c>
      <c r="O35" s="221"/>
      <c r="P35" s="160">
        <f>P33+P34</f>
        <v>101144.40061320001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44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14</vt:lpstr>
      <vt:lpstr>13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2026-06-25T09:30:11Z</dcterms:modified>
</cp:coreProperties>
</file>