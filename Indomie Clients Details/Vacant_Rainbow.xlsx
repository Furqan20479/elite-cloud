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086F3E7-C3B0-4EE9-A0F3-2E96950A71D4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25" i="18" l="1"/>
  <c r="H19" i="18"/>
  <c r="H20" i="18"/>
  <c r="H16" i="18"/>
  <c r="J25" i="19"/>
  <c r="H19" i="19"/>
  <c r="H21" i="19"/>
  <c r="H17" i="19"/>
  <c r="J25" i="17"/>
  <c r="H20" i="17"/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C12" i="34" s="1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1" i="34"/>
  <c r="N4" i="34"/>
  <c r="N5" i="34" s="1"/>
  <c r="O34" i="33"/>
  <c r="C11" i="33" s="1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24" i="33" l="1"/>
  <c r="I16" i="35"/>
  <c r="I25" i="35" s="1"/>
  <c r="P28" i="35" s="1"/>
  <c r="I17" i="35"/>
  <c r="I18" i="35"/>
  <c r="K18" i="35" s="1"/>
  <c r="I19" i="35"/>
  <c r="I20" i="35"/>
  <c r="I21" i="35"/>
  <c r="K21" i="35" s="1"/>
  <c r="I22" i="35"/>
  <c r="I23" i="35"/>
  <c r="I24" i="35"/>
  <c r="L24" i="35" s="1"/>
  <c r="I16" i="30"/>
  <c r="L16" i="30" s="1"/>
  <c r="I17" i="30"/>
  <c r="K17" i="30" s="1"/>
  <c r="I18" i="30"/>
  <c r="I19" i="30"/>
  <c r="L19" i="30" s="1"/>
  <c r="I20" i="30"/>
  <c r="K20" i="30" s="1"/>
  <c r="I21" i="30"/>
  <c r="K21" i="30" s="1"/>
  <c r="I22" i="30"/>
  <c r="I23" i="30"/>
  <c r="K23" i="30" s="1"/>
  <c r="M23" i="30" s="1"/>
  <c r="I24" i="30"/>
  <c r="L24" i="30" s="1"/>
  <c r="I16" i="32"/>
  <c r="I25" i="32" s="1"/>
  <c r="P28" i="32" s="1"/>
  <c r="I17" i="32"/>
  <c r="I18" i="32"/>
  <c r="I19" i="32"/>
  <c r="K19" i="32" s="1"/>
  <c r="I20" i="32"/>
  <c r="K20" i="32" s="1"/>
  <c r="I21" i="32"/>
  <c r="I16" i="33"/>
  <c r="L16" i="33" s="1"/>
  <c r="I16" i="31"/>
  <c r="L16" i="31" s="1"/>
  <c r="I17" i="31"/>
  <c r="K17" i="31" s="1"/>
  <c r="I18" i="31"/>
  <c r="I19" i="31"/>
  <c r="K19" i="31" s="1"/>
  <c r="I20" i="31"/>
  <c r="L20" i="31" s="1"/>
  <c r="I21" i="31"/>
  <c r="K21" i="31" s="1"/>
  <c r="I22" i="31"/>
  <c r="I23" i="31"/>
  <c r="K23" i="31" s="1"/>
  <c r="I24" i="31"/>
  <c r="K24" i="31" s="1"/>
  <c r="I23" i="32"/>
  <c r="K23" i="32" s="1"/>
  <c r="I22" i="33"/>
  <c r="I16" i="34"/>
  <c r="I17" i="34"/>
  <c r="I18" i="34"/>
  <c r="K18" i="34" s="1"/>
  <c r="I19" i="34"/>
  <c r="I20" i="34"/>
  <c r="K20" i="34" s="1"/>
  <c r="I21" i="34"/>
  <c r="K21" i="34" s="1"/>
  <c r="I22" i="34"/>
  <c r="L22" i="34" s="1"/>
  <c r="I23" i="34"/>
  <c r="I24" i="34"/>
  <c r="L24" i="34" s="1"/>
  <c r="I16" i="29"/>
  <c r="K16" i="29" s="1"/>
  <c r="I17" i="29"/>
  <c r="K17" i="29" s="1"/>
  <c r="I18" i="29"/>
  <c r="I19" i="29"/>
  <c r="K19" i="29" s="1"/>
  <c r="I20" i="29"/>
  <c r="I21" i="29"/>
  <c r="L21" i="29" s="1"/>
  <c r="I22" i="29"/>
  <c r="I23" i="29"/>
  <c r="L23" i="29" s="1"/>
  <c r="I24" i="29"/>
  <c r="K24" i="29" s="1"/>
  <c r="M24" i="29" s="1"/>
  <c r="I24" i="32"/>
  <c r="L24" i="32" s="1"/>
  <c r="I19" i="33"/>
  <c r="I23" i="33"/>
  <c r="L23" i="33" s="1"/>
  <c r="L17" i="33"/>
  <c r="M17" i="33" s="1"/>
  <c r="L18" i="33"/>
  <c r="M18" i="33" s="1"/>
  <c r="K16" i="35"/>
  <c r="L16" i="35"/>
  <c r="K17" i="35"/>
  <c r="L18" i="35"/>
  <c r="K19" i="35"/>
  <c r="L19" i="35"/>
  <c r="K20" i="35"/>
  <c r="L20" i="35"/>
  <c r="L22" i="35"/>
  <c r="K23" i="35"/>
  <c r="L23" i="35"/>
  <c r="M23" i="35" s="1"/>
  <c r="K24" i="35"/>
  <c r="L16" i="34"/>
  <c r="K17" i="34"/>
  <c r="L17" i="34"/>
  <c r="K19" i="34"/>
  <c r="L19" i="34"/>
  <c r="L21" i="34"/>
  <c r="K22" i="34"/>
  <c r="K23" i="34"/>
  <c r="L23" i="34"/>
  <c r="M23" i="34" s="1"/>
  <c r="K21" i="33"/>
  <c r="L21" i="33"/>
  <c r="K22" i="33"/>
  <c r="M22" i="33" s="1"/>
  <c r="L22" i="33"/>
  <c r="K19" i="33"/>
  <c r="L19" i="33"/>
  <c r="K23" i="33"/>
  <c r="K20" i="33"/>
  <c r="L20" i="33"/>
  <c r="K24" i="33"/>
  <c r="L24" i="33"/>
  <c r="K16" i="33"/>
  <c r="K24" i="32"/>
  <c r="L16" i="32"/>
  <c r="K17" i="32"/>
  <c r="L17" i="32"/>
  <c r="K18" i="32"/>
  <c r="L18" i="32"/>
  <c r="L20" i="32"/>
  <c r="K21" i="32"/>
  <c r="L21" i="32"/>
  <c r="L23" i="32"/>
  <c r="K22" i="32"/>
  <c r="L22" i="32"/>
  <c r="L17" i="31"/>
  <c r="K22" i="31"/>
  <c r="L22" i="31"/>
  <c r="L24" i="31"/>
  <c r="K16" i="31"/>
  <c r="K18" i="31"/>
  <c r="L18" i="31"/>
  <c r="K20" i="31"/>
  <c r="L23" i="31"/>
  <c r="K18" i="30"/>
  <c r="L18" i="30"/>
  <c r="L21" i="30"/>
  <c r="L23" i="30"/>
  <c r="K16" i="30"/>
  <c r="K19" i="30"/>
  <c r="K22" i="30"/>
  <c r="L22" i="30"/>
  <c r="K24" i="30"/>
  <c r="L16" i="29"/>
  <c r="K21" i="29"/>
  <c r="L24" i="29"/>
  <c r="K20" i="29"/>
  <c r="L20" i="29"/>
  <c r="K22" i="29"/>
  <c r="L22" i="29"/>
  <c r="K18" i="29"/>
  <c r="L18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L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4" i="30" l="1"/>
  <c r="N24" i="30" s="1"/>
  <c r="O24" i="30" s="1"/>
  <c r="P24" i="30" s="1"/>
  <c r="M21" i="30"/>
  <c r="M17" i="31"/>
  <c r="M23" i="32"/>
  <c r="M24" i="32"/>
  <c r="M24" i="35"/>
  <c r="M18" i="35"/>
  <c r="L17" i="30"/>
  <c r="L25" i="30" s="1"/>
  <c r="P29" i="30" s="1"/>
  <c r="I25" i="30"/>
  <c r="P28" i="30" s="1"/>
  <c r="M24" i="31"/>
  <c r="L21" i="31"/>
  <c r="K16" i="32"/>
  <c r="K25" i="32" s="1"/>
  <c r="P30" i="32" s="1"/>
  <c r="M24" i="33"/>
  <c r="K22" i="35"/>
  <c r="M22" i="35" s="1"/>
  <c r="N22" i="35" s="1"/>
  <c r="O22" i="35" s="1"/>
  <c r="I16" i="27"/>
  <c r="I17" i="27"/>
  <c r="K17" i="27" s="1"/>
  <c r="I18" i="27"/>
  <c r="L18" i="27" s="1"/>
  <c r="I19" i="27"/>
  <c r="I20" i="27"/>
  <c r="I22" i="27"/>
  <c r="L22" i="27" s="1"/>
  <c r="I23" i="27"/>
  <c r="L23" i="27" s="1"/>
  <c r="I24" i="27"/>
  <c r="L17" i="29"/>
  <c r="L20" i="30"/>
  <c r="M20" i="30" s="1"/>
  <c r="N20" i="30" s="1"/>
  <c r="O20" i="30" s="1"/>
  <c r="L19" i="32"/>
  <c r="L25" i="32" s="1"/>
  <c r="P29" i="32" s="1"/>
  <c r="L18" i="34"/>
  <c r="L21" i="35"/>
  <c r="M21" i="35" s="1"/>
  <c r="N21" i="35" s="1"/>
  <c r="O21" i="35" s="1"/>
  <c r="L17" i="35"/>
  <c r="M17" i="35" s="1"/>
  <c r="N17" i="35" s="1"/>
  <c r="O17" i="35" s="1"/>
  <c r="M24" i="34"/>
  <c r="P24" i="34" s="1"/>
  <c r="I25" i="34"/>
  <c r="P28" i="34" s="1"/>
  <c r="K23" i="29"/>
  <c r="M22" i="29"/>
  <c r="N22" i="29" s="1"/>
  <c r="O22" i="29" s="1"/>
  <c r="M22" i="31"/>
  <c r="N22" i="31" s="1"/>
  <c r="O22" i="31" s="1"/>
  <c r="P22" i="31" s="1"/>
  <c r="L19" i="31"/>
  <c r="K24" i="34"/>
  <c r="L20" i="34"/>
  <c r="M20" i="34" s="1"/>
  <c r="N20" i="34" s="1"/>
  <c r="O20" i="34" s="1"/>
  <c r="M23" i="33"/>
  <c r="N23" i="33" s="1"/>
  <c r="O23" i="33" s="1"/>
  <c r="I16" i="26"/>
  <c r="I17" i="26"/>
  <c r="I18" i="26"/>
  <c r="K18" i="26" s="1"/>
  <c r="I19" i="26"/>
  <c r="L19" i="26" s="1"/>
  <c r="I20" i="26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7" i="32"/>
  <c r="N17" i="32" s="1"/>
  <c r="O17" i="32" s="1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K25" i="35"/>
  <c r="P30" i="35" s="1"/>
  <c r="N23" i="35"/>
  <c r="O23" i="35" s="1"/>
  <c r="M16" i="35"/>
  <c r="N24" i="34"/>
  <c r="O24" i="34" s="1"/>
  <c r="K25" i="34"/>
  <c r="P30" i="34" s="1"/>
  <c r="N23" i="34"/>
  <c r="O23" i="34" s="1"/>
  <c r="P23" i="34" s="1"/>
  <c r="N16" i="34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N24" i="31"/>
  <c r="O24" i="31" s="1"/>
  <c r="N23" i="31"/>
  <c r="O23" i="31" s="1"/>
  <c r="N17" i="31"/>
  <c r="O17" i="31" s="1"/>
  <c r="M16" i="31"/>
  <c r="N19" i="31"/>
  <c r="O19" i="31" s="1"/>
  <c r="K25" i="31"/>
  <c r="P30" i="31" s="1"/>
  <c r="N21" i="30"/>
  <c r="O21" i="30" s="1"/>
  <c r="K25" i="30"/>
  <c r="P30" i="30" s="1"/>
  <c r="N22" i="30"/>
  <c r="O22" i="30" s="1"/>
  <c r="P22" i="30" s="1"/>
  <c r="N23" i="30"/>
  <c r="O23" i="30" s="1"/>
  <c r="N21" i="29"/>
  <c r="O21" i="29" s="1"/>
  <c r="N23" i="29"/>
  <c r="O23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K16" i="27"/>
  <c r="L16" i="27"/>
  <c r="L17" i="27"/>
  <c r="K20" i="27"/>
  <c r="L20" i="27"/>
  <c r="K21" i="27"/>
  <c r="L21" i="27"/>
  <c r="K22" i="27"/>
  <c r="K24" i="27"/>
  <c r="L24" i="27"/>
  <c r="K19" i="27"/>
  <c r="L19" i="27"/>
  <c r="K18" i="27"/>
  <c r="K17" i="26"/>
  <c r="L17" i="26"/>
  <c r="K19" i="26"/>
  <c r="L23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19" i="32" l="1"/>
  <c r="N19" i="32" s="1"/>
  <c r="O19" i="32" s="1"/>
  <c r="L22" i="26"/>
  <c r="K23" i="27"/>
  <c r="K25" i="27" s="1"/>
  <c r="P30" i="27" s="1"/>
  <c r="L25" i="34"/>
  <c r="P29" i="34" s="1"/>
  <c r="P31" i="34" s="1"/>
  <c r="L25" i="35"/>
  <c r="P29" i="35" s="1"/>
  <c r="I25" i="27"/>
  <c r="P28" i="27" s="1"/>
  <c r="L18" i="26"/>
  <c r="L25" i="26" s="1"/>
  <c r="P29" i="26" s="1"/>
  <c r="P24" i="31"/>
  <c r="I25" i="26"/>
  <c r="P28" i="26" s="1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4" i="27"/>
  <c r="O24" i="27" s="1"/>
  <c r="L25" i="27"/>
  <c r="P29" i="27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3" i="27" l="1"/>
  <c r="N23" i="27" s="1"/>
  <c r="O23" i="27" s="1"/>
  <c r="I16" i="25"/>
  <c r="I17" i="25"/>
  <c r="L17" i="25" s="1"/>
  <c r="I18" i="25"/>
  <c r="K18" i="25" s="1"/>
  <c r="I19" i="25"/>
  <c r="I20" i="25"/>
  <c r="I22" i="25"/>
  <c r="K22" i="25" s="1"/>
  <c r="I23" i="25"/>
  <c r="K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K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L20" i="25"/>
  <c r="K16" i="25"/>
  <c r="L16" i="25"/>
  <c r="K24" i="25"/>
  <c r="K17" i="25"/>
  <c r="L23" i="25"/>
  <c r="K21" i="24"/>
  <c r="L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K24" i="19"/>
  <c r="L24" i="19"/>
  <c r="K21" i="18"/>
  <c r="K22" i="18"/>
  <c r="M22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17" i="17"/>
  <c r="L17" i="17"/>
  <c r="M17" i="17" s="1"/>
  <c r="N17" i="17" s="1"/>
  <c r="O17" i="17" s="1"/>
  <c r="L18" i="25"/>
  <c r="K20" i="17"/>
  <c r="M20" i="17" s="1"/>
  <c r="N20" i="17" s="1"/>
  <c r="O20" i="17" s="1"/>
  <c r="L20" i="17"/>
  <c r="L24" i="17"/>
  <c r="M24" i="17" s="1"/>
  <c r="N24" i="17" s="1"/>
  <c r="O24" i="17" s="1"/>
  <c r="L22" i="19"/>
  <c r="K18" i="19"/>
  <c r="K17" i="23"/>
  <c r="M17" i="23" s="1"/>
  <c r="N17" i="23" s="1"/>
  <c r="O17" i="23" s="1"/>
  <c r="K17" i="24"/>
  <c r="K25" i="24" s="1"/>
  <c r="P30" i="24" s="1"/>
  <c r="K19" i="17"/>
  <c r="L19" i="17"/>
  <c r="K16" i="17"/>
  <c r="M16" i="17" s="1"/>
  <c r="L16" i="17"/>
  <c r="K24" i="18"/>
  <c r="M24" i="18" s="1"/>
  <c r="L22" i="25"/>
  <c r="M22" i="25" s="1"/>
  <c r="N22" i="25" s="1"/>
  <c r="O22" i="25" s="1"/>
  <c r="K18" i="17"/>
  <c r="L18" i="17"/>
  <c r="M18" i="17" s="1"/>
  <c r="N18" i="17" s="1"/>
  <c r="O18" i="17" s="1"/>
  <c r="I25" i="25"/>
  <c r="P28" i="25" s="1"/>
  <c r="K21" i="19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M21" i="25" s="1"/>
  <c r="N21" i="25" s="1"/>
  <c r="O21" i="25" s="1"/>
  <c r="P21" i="25" s="1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K20" i="18"/>
  <c r="M20" i="18" s="1"/>
  <c r="N20" i="18" s="1"/>
  <c r="O20" i="18" s="1"/>
  <c r="L19" i="20"/>
  <c r="M19" i="20" s="1"/>
  <c r="N19" i="20" s="1"/>
  <c r="O19" i="20" s="1"/>
  <c r="K16" i="23"/>
  <c r="M16" i="23" s="1"/>
  <c r="N16" i="23" s="1"/>
  <c r="L24" i="24"/>
  <c r="L18" i="24"/>
  <c r="M18" i="24" s="1"/>
  <c r="N18" i="24" s="1"/>
  <c r="O18" i="24" s="1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M16" i="22"/>
  <c r="M21" i="21"/>
  <c r="N21" i="21" s="1"/>
  <c r="M21" i="19"/>
  <c r="L25" i="19"/>
  <c r="P29" i="19" s="1"/>
  <c r="N24" i="18"/>
  <c r="O24" i="18" s="1"/>
  <c r="N18" i="18"/>
  <c r="O18" i="18" s="1"/>
  <c r="N22" i="18"/>
  <c r="O22" i="18" s="1"/>
  <c r="I23" i="15"/>
  <c r="K25" i="25" l="1"/>
  <c r="P30" i="25" s="1"/>
  <c r="K25" i="19"/>
  <c r="P30" i="19" s="1"/>
  <c r="L21" i="16"/>
  <c r="L21" i="15" s="1"/>
  <c r="K20" i="16"/>
  <c r="L20" i="16"/>
  <c r="L20" i="15" s="1"/>
  <c r="K16" i="16"/>
  <c r="L16" i="16"/>
  <c r="K18" i="16"/>
  <c r="K18" i="15" s="1"/>
  <c r="L18" i="16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25" i="18"/>
  <c r="M18" i="15"/>
  <c r="M21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N22" i="15" l="1"/>
  <c r="O16" i="18"/>
  <c r="O25" i="18" s="1"/>
  <c r="N25" i="18"/>
  <c r="P32" i="18" s="1"/>
  <c r="P33" i="18" s="1"/>
  <c r="P34" i="18" s="1"/>
  <c r="P35" i="18" s="1"/>
  <c r="U16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7"/>
  <c r="P25" i="17" s="1"/>
  <c r="P16" i="16"/>
  <c r="P22" i="15"/>
  <c r="P16" i="18" l="1"/>
  <c r="P25" i="18" s="1"/>
  <c r="P33" i="16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<sst xmlns="http://schemas.openxmlformats.org/spreadsheetml/2006/main" count="1583" uniqueCount="114">
  <si>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</si>
  <si>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</si>
  <si>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</si>
  <si>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</si>
  <si>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</si>
  <si>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</si>
  <si>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</si>
  <si>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</si>
  <si>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</si>
  <si>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</si>
  <si>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</si>
  <si>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</si>
  <si>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</si>
  <si>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</si>
  <si>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</si>
  <si>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</si>
  <si>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</si>
  <si>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</si>
  <si>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</si>
  <si>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</si>
  <si>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</si>
  <si>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</si>
  <si>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</si>
  <si>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</si>
  <si>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</si>
  <si>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</si>
  <si>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</si>
  <si>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</si>
  <si>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</si>
  <si>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</si>
  <si>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</si>
  <si>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</si>
  <si>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</si>
  <si>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</si>
  <si>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</si>
  <si>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</si>
  <si>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</si>
  <si>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</si>
  <si>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</si>
  <si>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</si>
  <si>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</si>
  <si>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</si>
  <si>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</si>
  <si>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</si>
  <si>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</si>
  <si>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</si>
  <si>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</si>
  <si>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</si>
  <si>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</si>
  <si>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</si>
  <si>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</si>
  <si>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</si>
  <si>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</si>
  <si>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</si>
  <si>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</si>
  <si>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</si>
  <si>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</si>
  <si>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</si>
  <si>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</si>
  <si>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</si>
  <si>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</si>
  <si>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</si>
  <si>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</si>
  <si>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</si>
  <si>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</si>
  <si>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</si>
  <si>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</si>
  <si>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</si>
  <si>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</si>
  <si>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</si>
  <si>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</si>
  <si>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</si>
  <si>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</si>
  <si>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</si>
  <si>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</si>
  <si>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</si>
  <si>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</si>
  <si>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</si>
  <si>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</si>
  <si>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</si>
  <si>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</si>
  <si>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</si>
  <si>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</si>
  <si>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</si>
  <si>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</si>
  <si>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</si>
  <si>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</si>
  <si>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</si>
  <si>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</si>
  <si>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</si>
  <si>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</si>
  <si>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</si>
  <si>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</si>
  <si>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</si>
  <si>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</si>
  <si>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</si>
  <si>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</si>
  <si>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</si>
  <si>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</si>
  <si>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</si>
  <si>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</si>
  <si>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</si>
  <si>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</si>
  <si>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</si>
  <si>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</si>
  <si>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</si>
  <si>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Customer Name :  Rainbow Cash N carry</t>
  </si>
  <si>
    <t>Address:  Barki Road</t>
  </si>
  <si>
    <t>3344916-3</t>
  </si>
  <si>
    <t>Address:  DHA</t>
  </si>
  <si>
    <t>Customer Name :  Rainbow Cash N Carry</t>
  </si>
  <si>
    <t>Address:  Wapda Town</t>
  </si>
  <si>
    <t>Customer Name : Rainbow Cash N Carry</t>
  </si>
  <si>
    <t>Address: 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</si>
</sst>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5" zoomScale="70" zoomScaleNormal="70" workbookViewId="0">
      <selection activeCell="S19" sqref="S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0.1796875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5429687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 Rainbow Cash N carry</v>
      </c>
      <c r="U14" s="164">
        <f>+'1'!P35</f>
        <v>5148.8135678999997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 Rainbow Cash N carry</v>
      </c>
      <c r="U15" s="164">
        <f>+'2'!P35</f>
        <v>89522.84675729998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240</v>
      </c>
      <c r="I16" s="1">
        <f>(G16*D16)*F16+H16*F16</f>
        <v>12591</v>
      </c>
      <c r="J16" s="172">
        <f>+'1'!J16+'2'!J16+'4'!J16+'3'!J16+'5'!J16+'6'!J16+'7'!J16+'8'!J16+'9'!J16+'10'!J16+'11'!J16+'12'!J16+'13'!J16+'14'!J16+'15'!J16+'16'!J16+'17'!J16+'18'!J16</f>
        <v>12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1762.7400000000002</v>
      </c>
      <c r="M16" s="106">
        <f>I16-K16-L16</f>
        <v>10828.26</v>
      </c>
      <c r="N16" s="101">
        <f>+'1'!N16+'2'!N16+'4'!N16+'3'!N16+'5'!N16+'6'!N16+'7'!N16+'8'!N16+'9'!N16+'10'!N16</f>
        <v>2062.4058</v>
      </c>
      <c r="O16" s="101">
        <f>+'1'!O16+'2'!O16+'4'!O16+'3'!O16+'5'!O16+'6'!O16+'7'!O16+'8'!O16+'9'!O16+'10'!O16</f>
        <v>64.453329000000011</v>
      </c>
      <c r="P16" s="105">
        <f t="shared" ref="P16:P24" si="0">M16+N16+O16</f>
        <v>12955.119129000001</v>
      </c>
      <c r="Q16" s="108"/>
      <c r="T16" s="163" t="str">
        <f>+'4'!A5</f>
        <v>Customer Name : Rainbow Cash N Carry</v>
      </c>
      <c r="U16" s="164">
        <f>+'4'!P35</f>
        <v>31723.321932300001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520</v>
      </c>
      <c r="I17" s="1">
        <f t="shared" ref="I17:I23" si="1">(G17*D17)*F17+H17*F17</f>
        <v>27280.5</v>
      </c>
      <c r="J17" s="172">
        <f>+'1'!J17+'2'!J17+'4'!J17+'3'!J17+'5'!J17+'6'!J17+'7'!J17+'8'!J17+'9'!J17+'10'!J17+'11'!J17+'12'!J17+'13'!J17+'14'!J17+'15'!J17+'16'!J17+'17'!J17+'18'!J17</f>
        <v>26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3819.2700000000004</v>
      </c>
      <c r="M17" s="118">
        <f t="shared" ref="M17:M23" si="2">I17-K17-L17</f>
        <v>23461.23</v>
      </c>
      <c r="N17" s="101">
        <f>+'1'!N17+'2'!N17+'4'!N17+'3'!N17+'5'!N17+'6'!N17+'7'!N17+'8'!N17+'9'!N17+'10'!N17</f>
        <v>4468.5458999999992</v>
      </c>
      <c r="O17" s="101">
        <f>+'1'!O17+'2'!O17+'4'!O17+'3'!O17+'5'!O17+'6'!O17+'7'!O17+'8'!O17+'9'!O17+'10'!O17</f>
        <v>139.64887950000002</v>
      </c>
      <c r="P17" s="120">
        <f t="shared" si="0"/>
        <v>28069.424779500001</v>
      </c>
      <c r="S17" s="64"/>
      <c r="T17" s="163" t="str">
        <f>+'3'!A5</f>
        <v>Customer Name :  Rainbow Cash N Carry</v>
      </c>
      <c r="U17" s="164">
        <f>+'3'!P35</f>
        <v>75073.016996999999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480</v>
      </c>
      <c r="I18" s="1">
        <f t="shared" si="1"/>
        <v>25182</v>
      </c>
      <c r="J18" s="172">
        <f>+'1'!J18+'2'!J18+'4'!J18+'3'!J18+'5'!J18+'6'!J18+'7'!J18+'8'!J18+'9'!J18+'10'!J18+'11'!J18+'12'!J18+'13'!J18+'14'!J18+'15'!J18+'16'!J18+'17'!J18+'18'!J18</f>
        <v>24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3525.4800000000005</v>
      </c>
      <c r="M18" s="118">
        <f t="shared" si="2"/>
        <v>21656.52</v>
      </c>
      <c r="N18" s="101">
        <f>+'1'!N18+'2'!N18+'4'!N18+'3'!N18+'5'!N18+'6'!N18+'7'!N18+'8'!N18+'9'!N18+'10'!N18</f>
        <v>4124.8115999999991</v>
      </c>
      <c r="O18" s="101">
        <f>+'1'!O18+'2'!O18+'4'!O18+'3'!O18+'5'!O18+'6'!O18+'7'!O18+'8'!O18+'9'!O18+'10'!O18</f>
        <v>128.90665799999999</v>
      </c>
      <c r="P18" s="120">
        <f t="shared" si="0"/>
        <v>25910.238257999998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440</v>
      </c>
      <c r="I19" s="1">
        <f t="shared" si="1"/>
        <v>31961.599999999999</v>
      </c>
      <c r="J19" s="172">
        <f>+'1'!J19+'2'!J19+'4'!J19+'3'!J19+'5'!J19+'6'!J19+'7'!J19+'8'!J19+'9'!J19+'10'!J19+'11'!J19+'12'!J19+'13'!J19+'14'!J19+'15'!J19+'16'!J19+'17'!J19+'18'!J19</f>
        <v>22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4474.6240000000007</v>
      </c>
      <c r="M19" s="118">
        <f t="shared" si="2"/>
        <v>27486.975999999999</v>
      </c>
      <c r="N19" s="101">
        <f>+'1'!N19+'2'!N19+'4'!N19+'3'!N19+'5'!N19+'6'!N19+'7'!N19+'8'!N19+'9'!N19+'10'!N19</f>
        <v>5235.3100799999993</v>
      </c>
      <c r="O19" s="101">
        <f>+'1'!O19+'2'!O19+'4'!O19+'3'!O19+'5'!O19+'6'!O19+'7'!O19+'8'!O19+'9'!O19+'10'!O19</f>
        <v>163.61143039999999</v>
      </c>
      <c r="P19" s="120">
        <f t="shared" si="0"/>
        <v>32885.897510399998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680</v>
      </c>
      <c r="I20" s="1">
        <f t="shared" si="1"/>
        <v>49395.199999999997</v>
      </c>
      <c r="J20" s="172">
        <f>+'1'!J20+'2'!J20+'4'!J20+'3'!J20+'5'!J20+'6'!J20+'7'!J20+'8'!J20+'9'!J20+'10'!J20+'11'!J20+'12'!J20+'13'!J20+'14'!J20+'15'!J20+'16'!J20+'17'!J20+'18'!J20</f>
        <v>34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6915.3280000000004</v>
      </c>
      <c r="M20" s="118">
        <f t="shared" si="2"/>
        <v>42479.871999999996</v>
      </c>
      <c r="N20" s="101">
        <f>+'1'!N20+'2'!N20+'4'!N20+'3'!N20+'5'!N20+'6'!N20+'7'!N20+'8'!N20+'9'!N20+'10'!N20</f>
        <v>8090.933759999999</v>
      </c>
      <c r="O20" s="101">
        <f>+'1'!O20+'2'!O20+'4'!O20+'3'!O20+'5'!O20+'6'!O20+'7'!O20+'8'!O20+'9'!O20+'10'!O20</f>
        <v>252.85402879999998</v>
      </c>
      <c r="P20" s="120">
        <f t="shared" si="0"/>
        <v>50823.659788799996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680</v>
      </c>
      <c r="I21" s="1">
        <f t="shared" si="1"/>
        <v>49395.199999999997</v>
      </c>
      <c r="J21" s="172">
        <f>+'1'!J21+'2'!J21+'4'!J21+'3'!J21+'5'!J21+'6'!J21+'7'!J21+'8'!J21+'9'!J21+'10'!J21+'11'!J21+'12'!J21+'13'!J21+'14'!J21+'15'!J21+'16'!J21+'17'!J21+'18'!J21</f>
        <v>34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6915.3280000000013</v>
      </c>
      <c r="M21" s="118">
        <f t="shared" si="2"/>
        <v>42479.871999999996</v>
      </c>
      <c r="N21" s="101">
        <f>+'1'!N21+'2'!N21+'4'!N21+'3'!N21+'5'!N21+'6'!N21+'7'!N21+'8'!N21+'9'!N21+'10'!N21</f>
        <v>8090.9337599999999</v>
      </c>
      <c r="O21" s="101">
        <f>+'1'!O21+'2'!O21+'4'!O21+'3'!O21+'5'!O21+'6'!O21+'7'!O21+'8'!O21+'9'!O21+'10'!O21</f>
        <v>252.85402879999998</v>
      </c>
      <c r="P21" s="120">
        <f t="shared" si="0"/>
        <v>50823.659788799996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76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3040</v>
      </c>
      <c r="I25" s="178">
        <f t="shared" si="3"/>
        <v>195805.5</v>
      </c>
      <c r="J25" s="177">
        <f t="shared" si="3"/>
        <v>152</v>
      </c>
      <c r="K25" s="178">
        <f t="shared" si="3"/>
        <v>0</v>
      </c>
      <c r="L25" s="179">
        <f t="shared" si="3"/>
        <v>27412.770000000004</v>
      </c>
      <c r="M25" s="141">
        <f t="shared" si="3"/>
        <v>168392.72999999998</v>
      </c>
      <c r="N25" s="142">
        <f>SUM(N16:N24)</f>
        <v>32072.940899999998</v>
      </c>
      <c r="O25" s="143">
        <f>SUM(O16:O24)</f>
        <v>1002.3283544999999</v>
      </c>
      <c r="P25" s="144">
        <f>SUM(P16:P24)</f>
        <v>201467.99925449997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201467.99925449997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195805.5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27412.770000000004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168392.72999999998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32072.940899999998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200465.67089999997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5011.6417724999992</v>
      </c>
    </row>
    <row r="39" spans="2:16" ht="15.75" customHeight="1" thickBot="1" x14ac:dyDescent="0.4">
      <c r="N39" s="203" t="s">
        <v>92</v>
      </c>
      <c r="O39" s="204"/>
      <c r="P39" s="160">
        <f>P37+P38</f>
        <v>205477.31267249997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E7" sqref="E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 t="shared" ref="L16:L21" si="0">I16*14%</f>
        <v>0</v>
      </c>
      <c r="M16" s="106">
        <f>I16-K16-L16</f>
        <v>0</v>
      </c>
      <c r="N16" s="106">
        <f t="shared" ref="N16:N24" si="1">(M16*$N$15)+(J16*F16)*$N$15</f>
        <v>0</v>
      </c>
      <c r="O16" s="107">
        <f t="shared" ref="O16:O24" si="2">(N16+M16)*$O$15</f>
        <v>0</v>
      </c>
      <c r="P16" s="105">
        <f t="shared" ref="P16:P24" si="3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4">(G17*D17)*F17+H17*F17</f>
        <v>0</v>
      </c>
      <c r="J17" s="117"/>
      <c r="K17" s="1">
        <f t="shared" ref="K17:K21" si="5">I17*$K$13</f>
        <v>0</v>
      </c>
      <c r="L17" s="105">
        <f t="shared" si="0"/>
        <v>0</v>
      </c>
      <c r="M17" s="118">
        <f t="shared" ref="M17:M23" si="6">I17-K17-L17</f>
        <v>0</v>
      </c>
      <c r="N17" s="118">
        <f t="shared" si="1"/>
        <v>0</v>
      </c>
      <c r="O17" s="119">
        <f t="shared" si="2"/>
        <v>0</v>
      </c>
      <c r="P17" s="120">
        <f t="shared" si="3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4"/>
        <v>2098.5</v>
      </c>
      <c r="J18" s="117">
        <v>2</v>
      </c>
      <c r="K18" s="1">
        <f t="shared" si="5"/>
        <v>0</v>
      </c>
      <c r="L18" s="105">
        <f t="shared" si="0"/>
        <v>293.79000000000002</v>
      </c>
      <c r="M18" s="118">
        <f t="shared" si="6"/>
        <v>1804.71</v>
      </c>
      <c r="N18" s="118">
        <f t="shared" si="1"/>
        <v>343.73430000000002</v>
      </c>
      <c r="O18" s="119">
        <f t="shared" si="2"/>
        <v>10.742221500000001</v>
      </c>
      <c r="P18" s="120">
        <f t="shared" si="3"/>
        <v>2159.1865215000003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4"/>
        <v>0</v>
      </c>
      <c r="J19" s="117"/>
      <c r="K19" s="1">
        <f t="shared" si="5"/>
        <v>0</v>
      </c>
      <c r="L19" s="105">
        <f t="shared" si="0"/>
        <v>0</v>
      </c>
      <c r="M19" s="118">
        <f t="shared" si="6"/>
        <v>0</v>
      </c>
      <c r="N19" s="118">
        <f t="shared" si="1"/>
        <v>0</v>
      </c>
      <c r="O19" s="119">
        <f t="shared" si="2"/>
        <v>0</v>
      </c>
      <c r="P19" s="120">
        <f t="shared" si="3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4"/>
        <v>0</v>
      </c>
      <c r="J20" s="117"/>
      <c r="K20" s="1">
        <f t="shared" si="5"/>
        <v>0</v>
      </c>
      <c r="L20" s="105">
        <f t="shared" si="0"/>
        <v>0</v>
      </c>
      <c r="M20" s="118">
        <f t="shared" si="6"/>
        <v>0</v>
      </c>
      <c r="N20" s="118">
        <f t="shared" si="1"/>
        <v>0</v>
      </c>
      <c r="O20" s="119">
        <f t="shared" si="2"/>
        <v>0</v>
      </c>
      <c r="P20" s="120">
        <f t="shared" si="3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4"/>
        <v>2905.6</v>
      </c>
      <c r="J21" s="117">
        <v>2</v>
      </c>
      <c r="K21" s="1">
        <f t="shared" si="5"/>
        <v>0</v>
      </c>
      <c r="L21" s="105">
        <f t="shared" si="0"/>
        <v>406.78400000000005</v>
      </c>
      <c r="M21" s="118">
        <f t="shared" si="6"/>
        <v>2498.8159999999998</v>
      </c>
      <c r="N21" s="118">
        <f t="shared" si="1"/>
        <v>475.93727999999993</v>
      </c>
      <c r="O21" s="119">
        <f t="shared" si="2"/>
        <v>14.873766399999999</v>
      </c>
      <c r="P21" s="120">
        <f t="shared" si="3"/>
        <v>2989.6270463999999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4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1"/>
        <v>0</v>
      </c>
      <c r="O22" s="119">
        <f t="shared" si="2"/>
        <v>0</v>
      </c>
      <c r="P22" s="120">
        <f t="shared" si="3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4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1"/>
        <v>0</v>
      </c>
      <c r="O23" s="119">
        <f t="shared" si="2"/>
        <v>0</v>
      </c>
      <c r="P23" s="120">
        <f t="shared" si="3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2"/>
        <v>0</v>
      </c>
      <c r="P24" s="132">
        <f t="shared" si="3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700.57400000000007</v>
      </c>
      <c r="M25" s="141">
        <f t="shared" si="9"/>
        <v>4303.5259999999998</v>
      </c>
      <c r="N25" s="142">
        <f>SUM(N16:N24)</f>
        <v>819.67157999999995</v>
      </c>
      <c r="O25" s="143">
        <f>SUM(O16:O24)</f>
        <v>25.6159879</v>
      </c>
      <c r="P25" s="144">
        <f>SUM(P16:P24)</f>
        <v>5148.8135679000006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5004.1000000000004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700.57400000000007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4303.5259999999998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819.67157999999995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5123.19758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25.6159879</v>
      </c>
    </row>
    <row r="35" spans="2:16" ht="15.75" customHeight="1" thickBot="1" x14ac:dyDescent="0.4">
      <c r="N35" s="203" t="s">
        <v>92</v>
      </c>
      <c r="O35" s="204"/>
      <c r="P35" s="160">
        <f>P33+P34</f>
        <v>5148.8135678999997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3" workbookViewId="0">
      <selection activeCell="A2" sqref="A2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453125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 t="shared" ref="L16:L21" si="0">I16*14%</f>
        <v>293.79000000000002</v>
      </c>
      <c r="M16" s="106">
        <f>I16-K16-L16</f>
        <v>1804.71</v>
      </c>
      <c r="N16" s="106">
        <f t="shared" ref="N16:N24" si="1">(M16*$N$15)+(J16*F16)*$N$15</f>
        <v>343.73430000000002</v>
      </c>
      <c r="O16" s="107">
        <f>(N16+M16)*$O$15</f>
        <v>10.742221500000001</v>
      </c>
      <c r="P16" s="105">
        <f t="shared" ref="P16:P24" si="2">M16+N16+O16</f>
        <v>2159.1865215000003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3">(G17*D17)*F17+H17*F17</f>
        <v>10492.5</v>
      </c>
      <c r="J17" s="117">
        <v>10</v>
      </c>
      <c r="K17" s="1">
        <f t="shared" ref="K17:K21" si="4">I17*$K$13</f>
        <v>0</v>
      </c>
      <c r="L17" s="105">
        <f t="shared" si="0"/>
        <v>1468.95</v>
      </c>
      <c r="M17" s="118">
        <f t="shared" ref="M17:M23" si="5">I17-K17-L17</f>
        <v>9023.5499999999993</v>
      </c>
      <c r="N17" s="118">
        <f t="shared" si="1"/>
        <v>1718.6714999999997</v>
      </c>
      <c r="O17" s="119">
        <f t="shared" ref="O17:O24" si="6">(N17+M17)*$O$15</f>
        <v>53.711107499999997</v>
      </c>
      <c r="P17" s="120">
        <f t="shared" si="2"/>
        <v>10795.932607499999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200</v>
      </c>
      <c r="I18" s="116">
        <f t="shared" si="3"/>
        <v>10492.5</v>
      </c>
      <c r="J18" s="117">
        <v>10</v>
      </c>
      <c r="K18" s="1">
        <f t="shared" si="4"/>
        <v>0</v>
      </c>
      <c r="L18" s="105">
        <f t="shared" si="0"/>
        <v>1468.95</v>
      </c>
      <c r="M18" s="118">
        <f t="shared" si="5"/>
        <v>9023.5499999999993</v>
      </c>
      <c r="N18" s="118">
        <f t="shared" si="1"/>
        <v>1718.6714999999997</v>
      </c>
      <c r="O18" s="119">
        <f t="shared" si="6"/>
        <v>53.711107499999997</v>
      </c>
      <c r="P18" s="120">
        <f t="shared" si="2"/>
        <v>10795.932607499999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200</v>
      </c>
      <c r="I19" s="116">
        <f t="shared" si="3"/>
        <v>14528</v>
      </c>
      <c r="J19" s="117">
        <v>10</v>
      </c>
      <c r="K19" s="1">
        <f t="shared" si="4"/>
        <v>0</v>
      </c>
      <c r="L19" s="105">
        <f t="shared" si="0"/>
        <v>2033.9200000000003</v>
      </c>
      <c r="M19" s="118">
        <f t="shared" si="5"/>
        <v>12494.08</v>
      </c>
      <c r="N19" s="118">
        <f t="shared" si="1"/>
        <v>2379.6864</v>
      </c>
      <c r="O19" s="119">
        <f t="shared" si="6"/>
        <v>74.368831999999998</v>
      </c>
      <c r="P19" s="120">
        <f t="shared" si="2"/>
        <v>14948.135232000001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7*40</f>
        <v>280</v>
      </c>
      <c r="I20" s="116">
        <f t="shared" si="3"/>
        <v>20339.2</v>
      </c>
      <c r="J20" s="117">
        <v>14</v>
      </c>
      <c r="K20" s="1">
        <f t="shared" si="4"/>
        <v>0</v>
      </c>
      <c r="L20" s="105">
        <f t="shared" si="0"/>
        <v>2847.4880000000003</v>
      </c>
      <c r="M20" s="118">
        <f t="shared" si="5"/>
        <v>17491.712</v>
      </c>
      <c r="N20" s="118">
        <f t="shared" si="1"/>
        <v>3331.5609599999998</v>
      </c>
      <c r="O20" s="119">
        <f t="shared" si="6"/>
        <v>104.1163648</v>
      </c>
      <c r="P20" s="120">
        <f t="shared" si="2"/>
        <v>20927.389324799999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3"/>
        <v>29056</v>
      </c>
      <c r="J21" s="117">
        <v>20</v>
      </c>
      <c r="K21" s="1">
        <f t="shared" si="4"/>
        <v>0</v>
      </c>
      <c r="L21" s="105">
        <f t="shared" si="0"/>
        <v>4067.8400000000006</v>
      </c>
      <c r="M21" s="118">
        <f t="shared" si="5"/>
        <v>24988.16</v>
      </c>
      <c r="N21" s="118">
        <f t="shared" si="1"/>
        <v>4759.3728000000001</v>
      </c>
      <c r="O21" s="119">
        <f t="shared" si="6"/>
        <v>148.737664</v>
      </c>
      <c r="P21" s="120">
        <f t="shared" si="2"/>
        <v>29896.270464000001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1320</v>
      </c>
      <c r="I25" s="137">
        <f t="shared" si="9"/>
        <v>87006.7</v>
      </c>
      <c r="J25" s="136">
        <f t="shared" si="9"/>
        <v>66</v>
      </c>
      <c r="K25" s="139">
        <f t="shared" si="9"/>
        <v>0</v>
      </c>
      <c r="L25" s="140">
        <f t="shared" si="9"/>
        <v>12180.938000000002</v>
      </c>
      <c r="M25" s="141">
        <f t="shared" si="9"/>
        <v>74825.762000000002</v>
      </c>
      <c r="N25" s="142">
        <f>SUM(N16:N24)</f>
        <v>14251.697459999999</v>
      </c>
      <c r="O25" s="143">
        <f>SUM(O16:O24)</f>
        <v>445.3872973</v>
      </c>
      <c r="P25" s="144">
        <f>SUM(P16:P24)</f>
        <v>89522.846757299994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87006.7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12180.938000000002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74825.761999999988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14251.697459999999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89077.459459999984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445.38729729999994</v>
      </c>
    </row>
    <row r="35" spans="2:16" ht="15.75" customHeight="1" thickBot="1" x14ac:dyDescent="0.4">
      <c r="N35" s="203" t="s">
        <v>92</v>
      </c>
      <c r="O35" s="204"/>
      <c r="P35" s="160">
        <f>P33+P34</f>
        <v>89522.84675729998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2" workbookViewId="0">
      <selection activeCell="D8" sqref="D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7265625" customWidth="1"/>
    <col min="13" max="13" width="8" customWidth="1"/>
    <col min="14" max="14" width="10" style="69" customWidth="1"/>
    <col min="15" max="15" width="9.54296875" customWidth="1"/>
    <col min="16" max="16" width="10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 t="shared" ref="L16:L21" si="0">I16*14%</f>
        <v>881.37000000000012</v>
      </c>
      <c r="M16" s="106">
        <f>I16-K16-L16</f>
        <v>5414.13</v>
      </c>
      <c r="N16" s="106">
        <f t="shared" ref="N16:N24" si="1">(M16*$N$15)+(J16*F16)*$N$15</f>
        <v>1031.2029</v>
      </c>
      <c r="O16" s="107">
        <f>(N16+M16)*$O$15</f>
        <v>32.226664500000005</v>
      </c>
      <c r="P16" s="105">
        <f t="shared" ref="P16:P24" si="2">M16+N16+O16</f>
        <v>6477.5595645000003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f>6*40</f>
        <v>240</v>
      </c>
      <c r="I17" s="116">
        <f t="shared" ref="I17:I23" si="3">(G17*D17)*F17+H17*F17</f>
        <v>12591</v>
      </c>
      <c r="J17" s="117">
        <v>12</v>
      </c>
      <c r="K17" s="1">
        <f t="shared" ref="K17:K21" si="4">I17*$K$13</f>
        <v>0</v>
      </c>
      <c r="L17" s="105">
        <f t="shared" si="0"/>
        <v>1762.7400000000002</v>
      </c>
      <c r="M17" s="118">
        <f t="shared" ref="M17:M23" si="5">I17-K17-L17</f>
        <v>10828.26</v>
      </c>
      <c r="N17" s="118">
        <f t="shared" si="1"/>
        <v>2062.4058</v>
      </c>
      <c r="O17" s="119">
        <f t="shared" ref="O17:O24" si="6">(N17+M17)*$O$15</f>
        <v>64.453329000000011</v>
      </c>
      <c r="P17" s="120">
        <f t="shared" si="2"/>
        <v>12955.119129000001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200</v>
      </c>
      <c r="I18" s="116">
        <f t="shared" si="3"/>
        <v>10492.5</v>
      </c>
      <c r="J18" s="117">
        <v>10</v>
      </c>
      <c r="K18" s="1">
        <f t="shared" si="4"/>
        <v>0</v>
      </c>
      <c r="L18" s="105">
        <f t="shared" si="0"/>
        <v>1468.95</v>
      </c>
      <c r="M18" s="118">
        <f t="shared" si="5"/>
        <v>9023.5499999999993</v>
      </c>
      <c r="N18" s="118">
        <f t="shared" si="1"/>
        <v>1718.6714999999997</v>
      </c>
      <c r="O18" s="119">
        <f t="shared" si="6"/>
        <v>53.711107499999997</v>
      </c>
      <c r="P18" s="120">
        <f t="shared" si="2"/>
        <v>10795.932607499999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f>4*40</f>
        <v>160</v>
      </c>
      <c r="I19" s="116">
        <f t="shared" si="3"/>
        <v>11622.4</v>
      </c>
      <c r="J19" s="117">
        <v>8</v>
      </c>
      <c r="K19" s="1">
        <f t="shared" si="4"/>
        <v>0</v>
      </c>
      <c r="L19" s="105">
        <f t="shared" si="0"/>
        <v>1627.1360000000002</v>
      </c>
      <c r="M19" s="118">
        <f t="shared" si="5"/>
        <v>9995.2639999999992</v>
      </c>
      <c r="N19" s="118">
        <f t="shared" si="1"/>
        <v>1903.7491199999997</v>
      </c>
      <c r="O19" s="119">
        <f t="shared" si="6"/>
        <v>59.495065599999997</v>
      </c>
      <c r="P19" s="120">
        <f t="shared" si="2"/>
        <v>11958.5081856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280</v>
      </c>
      <c r="I20" s="116">
        <f t="shared" si="3"/>
        <v>20339.2</v>
      </c>
      <c r="J20" s="117">
        <v>14</v>
      </c>
      <c r="K20" s="1">
        <f t="shared" si="4"/>
        <v>0</v>
      </c>
      <c r="L20" s="105">
        <f t="shared" si="0"/>
        <v>2847.4880000000003</v>
      </c>
      <c r="M20" s="118">
        <f t="shared" si="5"/>
        <v>17491.712</v>
      </c>
      <c r="N20" s="118">
        <f t="shared" si="1"/>
        <v>3331.5609599999998</v>
      </c>
      <c r="O20" s="119">
        <f t="shared" si="6"/>
        <v>104.1163648</v>
      </c>
      <c r="P20" s="120">
        <f t="shared" si="2"/>
        <v>20927.389324799999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f>4*40</f>
        <v>160</v>
      </c>
      <c r="I21" s="116">
        <f t="shared" si="3"/>
        <v>11622.4</v>
      </c>
      <c r="J21" s="117">
        <v>8</v>
      </c>
      <c r="K21" s="1">
        <f t="shared" si="4"/>
        <v>0</v>
      </c>
      <c r="L21" s="105">
        <f t="shared" si="0"/>
        <v>1627.1360000000002</v>
      </c>
      <c r="M21" s="118">
        <f t="shared" si="5"/>
        <v>9995.2639999999992</v>
      </c>
      <c r="N21" s="118">
        <f t="shared" si="1"/>
        <v>1903.7491199999997</v>
      </c>
      <c r="O21" s="119">
        <f t="shared" si="6"/>
        <v>59.495065599999997</v>
      </c>
      <c r="P21" s="120">
        <f t="shared" si="2"/>
        <v>11958.5081856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1160</v>
      </c>
      <c r="I25" s="137">
        <f t="shared" si="9"/>
        <v>72963</v>
      </c>
      <c r="J25" s="136">
        <f t="shared" si="9"/>
        <v>58</v>
      </c>
      <c r="K25" s="139">
        <f t="shared" si="9"/>
        <v>0</v>
      </c>
      <c r="L25" s="140">
        <f t="shared" si="9"/>
        <v>10214.820000000002</v>
      </c>
      <c r="M25" s="141">
        <f t="shared" si="9"/>
        <v>62748.179999999993</v>
      </c>
      <c r="N25" s="142">
        <f>SUM(N16:N24)</f>
        <v>11951.339399999999</v>
      </c>
      <c r="O25" s="143">
        <f>SUM(O16:O24)</f>
        <v>373.49759699999998</v>
      </c>
      <c r="P25" s="144">
        <f>SUM(P16:P24)</f>
        <v>75073.016996999999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72963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10214.820000000002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62748.18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11951.339399999999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74699.519400000005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373.49759700000004</v>
      </c>
    </row>
    <row r="35" spans="2:16" ht="15.75" customHeight="1" thickBot="1" x14ac:dyDescent="0.4">
      <c r="N35" s="203" t="s">
        <v>92</v>
      </c>
      <c r="O35" s="204"/>
      <c r="P35" s="160">
        <f>P33+P34</f>
        <v>75073.016996999999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E8" sqref="E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f>2*40</f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 t="shared" ref="L16:L21" si="0">I16*14%</f>
        <v>587.58000000000004</v>
      </c>
      <c r="M16" s="106">
        <f>I16-K16-L16</f>
        <v>3609.42</v>
      </c>
      <c r="N16" s="106">
        <f t="shared" ref="N16:N24" si="1">(M16*$N$15)+(J16*F16)*$N$15</f>
        <v>687.46860000000004</v>
      </c>
      <c r="O16" s="107">
        <f>(N16+M16)*$O$15</f>
        <v>21.484443000000002</v>
      </c>
      <c r="P16" s="105">
        <f t="shared" ref="P16:P24" si="2">M16+N16+O16</f>
        <v>4318.3730430000005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3">(G17*D17)*F17+H17*F17</f>
        <v>4197</v>
      </c>
      <c r="J17" s="117">
        <v>4</v>
      </c>
      <c r="K17" s="1">
        <f t="shared" ref="K17:K21" si="4">I17*$K$13</f>
        <v>0</v>
      </c>
      <c r="L17" s="105">
        <f t="shared" si="0"/>
        <v>587.58000000000004</v>
      </c>
      <c r="M17" s="118">
        <f t="shared" ref="M17:M23" si="5">I17-K17-L17</f>
        <v>3609.42</v>
      </c>
      <c r="N17" s="118">
        <f t="shared" si="1"/>
        <v>687.46860000000004</v>
      </c>
      <c r="O17" s="119">
        <f t="shared" ref="O17:O24" si="6">(N17+M17)*$O$15</f>
        <v>21.484443000000002</v>
      </c>
      <c r="P17" s="120">
        <f t="shared" si="2"/>
        <v>4318.3730430000005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>
        <v>2</v>
      </c>
      <c r="K18" s="1">
        <f t="shared" si="4"/>
        <v>0</v>
      </c>
      <c r="L18" s="105">
        <f t="shared" si="0"/>
        <v>293.79000000000002</v>
      </c>
      <c r="M18" s="118">
        <f t="shared" si="5"/>
        <v>1804.71</v>
      </c>
      <c r="N18" s="118">
        <f t="shared" si="1"/>
        <v>343.73430000000002</v>
      </c>
      <c r="O18" s="119">
        <f t="shared" si="6"/>
        <v>10.742221500000001</v>
      </c>
      <c r="P18" s="120">
        <f t="shared" si="2"/>
        <v>2159.1865215000003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f>2*40</f>
        <v>80</v>
      </c>
      <c r="I19" s="116">
        <f t="shared" si="3"/>
        <v>5811.2</v>
      </c>
      <c r="J19" s="117">
        <v>4</v>
      </c>
      <c r="K19" s="1">
        <f t="shared" si="4"/>
        <v>0</v>
      </c>
      <c r="L19" s="105">
        <f t="shared" si="0"/>
        <v>813.5680000000001</v>
      </c>
      <c r="M19" s="118">
        <f t="shared" si="5"/>
        <v>4997.6319999999996</v>
      </c>
      <c r="N19" s="118">
        <f t="shared" si="1"/>
        <v>951.87455999999986</v>
      </c>
      <c r="O19" s="119">
        <f t="shared" si="6"/>
        <v>29.747532799999998</v>
      </c>
      <c r="P19" s="120">
        <f t="shared" si="2"/>
        <v>5979.2540927999999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f>40*3</f>
        <v>120</v>
      </c>
      <c r="I20" s="116">
        <f t="shared" si="3"/>
        <v>8716.7999999999993</v>
      </c>
      <c r="J20" s="117">
        <v>6</v>
      </c>
      <c r="K20" s="1">
        <f t="shared" si="4"/>
        <v>0</v>
      </c>
      <c r="L20" s="105">
        <f t="shared" si="0"/>
        <v>1220.3520000000001</v>
      </c>
      <c r="M20" s="118">
        <f t="shared" si="5"/>
        <v>7496.4479999999994</v>
      </c>
      <c r="N20" s="118">
        <f t="shared" si="1"/>
        <v>1427.8118399999998</v>
      </c>
      <c r="O20" s="119">
        <f t="shared" si="6"/>
        <v>44.621299199999996</v>
      </c>
      <c r="P20" s="120">
        <f t="shared" si="2"/>
        <v>8968.8811391999989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>
        <v>4</v>
      </c>
      <c r="K21" s="1">
        <f t="shared" si="4"/>
        <v>0</v>
      </c>
      <c r="L21" s="105">
        <f t="shared" si="0"/>
        <v>813.5680000000001</v>
      </c>
      <c r="M21" s="118">
        <f t="shared" si="5"/>
        <v>4997.6319999999996</v>
      </c>
      <c r="N21" s="118">
        <f t="shared" si="1"/>
        <v>951.87455999999986</v>
      </c>
      <c r="O21" s="119">
        <f t="shared" si="6"/>
        <v>29.747532799999998</v>
      </c>
      <c r="P21" s="120">
        <f t="shared" si="2"/>
        <v>5979.2540927999999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1"/>
        <v>0</v>
      </c>
      <c r="O22" s="119">
        <f t="shared" si="6"/>
        <v>0</v>
      </c>
      <c r="P22" s="120">
        <f t="shared" si="2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1"/>
        <v>0</v>
      </c>
      <c r="O23" s="119">
        <f t="shared" si="6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1"/>
        <v>0</v>
      </c>
      <c r="O24" s="134">
        <f t="shared" si="6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480</v>
      </c>
      <c r="I25" s="137">
        <f t="shared" si="9"/>
        <v>30831.7</v>
      </c>
      <c r="J25" s="136">
        <f t="shared" si="9"/>
        <v>24</v>
      </c>
      <c r="K25" s="139">
        <f t="shared" si="9"/>
        <v>0</v>
      </c>
      <c r="L25" s="140">
        <f t="shared" si="9"/>
        <v>4316.4380000000001</v>
      </c>
      <c r="M25" s="141">
        <f t="shared" si="9"/>
        <v>26515.261999999995</v>
      </c>
      <c r="N25" s="142">
        <f>SUM(N16:N24)</f>
        <v>5050.2324600000002</v>
      </c>
      <c r="O25" s="143">
        <f>SUM(O16:O24)</f>
        <v>157.82747229999998</v>
      </c>
      <c r="P25" s="144">
        <f>SUM(P16:P24)</f>
        <v>31723.321932300001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30831.7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4316.4380000000001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26515.262000000002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5050.2324600000002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31565.494460000002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157.82747230000001</v>
      </c>
    </row>
    <row r="35" spans="2:16" ht="15.75" customHeight="1" thickBot="1" x14ac:dyDescent="0.4">
      <c r="N35" s="203" t="s">
        <v>92</v>
      </c>
      <c r="O35" s="204"/>
      <c r="P35" s="160">
        <f>P33+P34</f>
        <v>31723.321932300001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F00-000000000000}">
      <formula1>$XFC$3:$XFC$4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N9:P9" xr:uid="{00000000-0002-0000-0F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000-000000000000}">
      <formula1>$XFD$12:$XFD$17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B11" xr:uid="{00000000-0002-0000-10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100-000000000000}">
      <formula1>$XFC$3:$XFC$4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N9:P9" xr:uid="{00000000-0002-0000-11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200-000000000000}">
      <formula1>$XFD$12:$XFD$17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B11" xr:uid="{00000000-0002-0000-12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300-000000000000}">
      <formula1>$XFC$3:$XFC$4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N9:P9" xr:uid="{00000000-0002-0000-13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400-000000000000}">
      <formula1>$XFD$12:$XFD$17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B11" xr:uid="{00000000-0002-0000-14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500-000000000000}">
      <formula1>$XFC$3:$XFC$4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N9:P9" xr:uid="{00000000-0002-0000-1500-000002000000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600-000000000000}">
      <formula1>$XFD$12:$XFD$17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B11" xr:uid="{00000000-0002-0000-1600-000002000000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2026-06-19T09:09:04Z</dcterms:modified>
</cp:coreProperties>
</file>