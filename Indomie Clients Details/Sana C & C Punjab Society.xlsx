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0DD005B-5EDE-4FD9-AB99-DCC6F03639C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8" i="16" l="1"/>
  <c r="L18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8" l="1"/>
  <c r="M16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<sst xmlns="http://schemas.openxmlformats.org/spreadsheetml/2006/main" count="1578" uniqueCount="106">
  <si>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</si>
  <si>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</si>
  <si>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</si>
  <si>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</si>
  <si>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</si>
  <si>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</si>
  <si>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</si>
  <si>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</si>
  <si>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</si>
  <si>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</si>
  <si>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</si>
  <si>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</si>
  <si>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</si>
  <si>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</si>
  <si>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</si>
  <si>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</si>
  <si>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</si>
  <si>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</si>
  <si>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</si>
  <si>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</si>
  <si>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</si>
  <si>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</si>
  <si>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</si>
  <si>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</si>
  <si>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</si>
  <si>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</si>
  <si>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</si>
  <si>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</si>
  <si>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</si>
  <si>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</si>
  <si>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</si>
  <si>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</si>
  <si>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</si>
  <si>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</si>
  <si>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</si>
  <si>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</si>
  <si>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</si>
  <si>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</si>
  <si>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</si>
  <si>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</si>
  <si>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</si>
  <si>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</si>
  <si>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</si>
  <si>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</si>
  <si>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</si>
  <si>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</si>
  <si>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</si>
  <si>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</si>
  <si>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</si>
  <si>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</si>
  <si>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</si>
  <si>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</si>
  <si>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</si>
  <si>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</si>
  <si>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</si>
  <si>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</si>
  <si>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</si>
  <si>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</si>
  <si>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</si>
  <si>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</si>
  <si>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</si>
  <si>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</si>
  <si>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</si>
  <si>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</si>
  <si>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</si>
  <si>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</si>
  <si>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</si>
  <si>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</si>
  <si>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</si>
  <si>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</si>
  <si>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</si>
  <si>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</si>
  <si>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</si>
  <si>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</si>
  <si>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</si>
  <si>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</si>
  <si>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</si>
  <si>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</si>
  <si>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</si>
  <si>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</si>
  <si>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</si>
  <si>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</si>
  <si>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</si>
  <si>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</si>
  <si>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</si>
  <si>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</si>
  <si>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</si>
  <si>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</si>
  <si>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</si>
  <si>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</si>
  <si>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</si>
  <si>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</si>
  <si>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</si>
  <si>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</si>
  <si>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</si>
  <si>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</si>
  <si>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</si>
  <si>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</si>
  <si>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</si>
  <si>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</si>
  <si>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</si>
  <si>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</si>
  <si>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Address: Punjab Society</t>
  </si>
  <si>
    <t>040250-2</t>
  </si>
  <si>
    <t xml:space="preserve">Customer Name : Sana Cash &amp; Carry </t>
  </si>
  <si>
    <t>Sana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</si>
</sst>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2" sqref="E1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/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Sana Cash &amp; Carry </v>
      </c>
      <c r="U14" s="163">
        <f>+'1'!P35</f>
        <v>32583.442318200006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Sana Cash &amp; Carry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84</v>
      </c>
      <c r="I16" s="1">
        <f>(G16*D16)*F16+H16*F16</f>
        <v>4406.8499999999995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440.68499999999995</v>
      </c>
      <c r="M16" s="105">
        <f>I16-K16-L16</f>
        <v>3966.1649999999995</v>
      </c>
      <c r="N16" s="100">
        <f>+'1'!N16+'2'!N16+'4'!N16+'3'!N16+'5'!N16+'6'!N16+'7'!N16+'8'!N16+'9'!N16+'10'!N16</f>
        <v>751.68269999999995</v>
      </c>
      <c r="O16" s="100">
        <f>+'1'!O16+'2'!O16+'4'!O16+'3'!O16+'5'!O16+'6'!O16+'7'!O16+'8'!O16+'9'!O16+'10'!O16</f>
        <v>23.589238499999997</v>
      </c>
      <c r="P16" s="104">
        <f t="shared" ref="P16:P24" si="0">M16+N16+O16</f>
        <v>4741.4369384999991</v>
      </c>
      <c r="Q16" s="107"/>
      <c r="T16" s="162" t="str">
        <f>+'4'!A5</f>
        <v xml:space="preserve">Customer Name : Sana Cash &amp; Carry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84</v>
      </c>
      <c r="I17" s="1">
        <f t="shared" ref="I17:I23" si="1">(G17*D17)*F17+H17*F17</f>
        <v>4406.8499999999995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440.68499999999995</v>
      </c>
      <c r="M17" s="117">
        <f t="shared" ref="M17:M23" si="2">I17-K17-L17</f>
        <v>3966.1649999999995</v>
      </c>
      <c r="N17" s="100">
        <f>+'1'!N17+'2'!N17+'4'!N17+'3'!N17+'5'!N17+'6'!N17+'7'!N17+'8'!N17+'9'!N17+'10'!N17</f>
        <v>751.68269999999995</v>
      </c>
      <c r="O17" s="100">
        <f>+'1'!O17+'2'!O17+'4'!O17+'3'!O17+'5'!O17+'6'!O17+'7'!O17+'8'!O17+'9'!O17+'10'!O17</f>
        <v>23.589238499999997</v>
      </c>
      <c r="P17" s="119">
        <f t="shared" si="0"/>
        <v>4741.4369384999991</v>
      </c>
      <c r="S17" s="64"/>
      <c r="T17" s="162" t="str">
        <f>+'3'!A5</f>
        <v xml:space="preserve">Customer Name : Sana Cash &amp; Carry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Sana Cash &amp; Carry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84</v>
      </c>
      <c r="I19" s="1">
        <f t="shared" si="1"/>
        <v>6101.76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610.17600000000004</v>
      </c>
      <c r="M19" s="117">
        <f t="shared" si="2"/>
        <v>5491.5839999999998</v>
      </c>
      <c r="N19" s="100">
        <f>+'1'!N19+'2'!N19+'4'!N19+'3'!N19+'5'!N19+'6'!N19+'7'!N19+'8'!N19+'9'!N19+'10'!N19</f>
        <v>1040.78592</v>
      </c>
      <c r="O19" s="100">
        <f>+'1'!O19+'2'!O19+'4'!O19+'3'!O19+'5'!O19+'6'!O19+'7'!O19+'8'!O19+'9'!O19+'10'!O19</f>
        <v>32.661849600000004</v>
      </c>
      <c r="P19" s="119">
        <f t="shared" si="0"/>
        <v>6565.0317696000002</v>
      </c>
      <c r="T19" s="162" t="str">
        <f>+'6'!A5</f>
        <v xml:space="preserve">Customer Name : Sana Cash &amp; Carry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84</v>
      </c>
      <c r="I20" s="1">
        <f t="shared" si="1"/>
        <v>6101.76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610.17600000000004</v>
      </c>
      <c r="M20" s="117">
        <f t="shared" si="2"/>
        <v>5491.5839999999998</v>
      </c>
      <c r="N20" s="100">
        <f>+'1'!N20+'2'!N20+'4'!N20+'3'!N20+'5'!N20+'6'!N20+'7'!N20+'8'!N20+'9'!N20+'10'!N20</f>
        <v>1040.78592</v>
      </c>
      <c r="O20" s="100">
        <f>+'1'!O20+'2'!O20+'4'!O20+'3'!O20+'5'!O20+'6'!O20+'7'!O20+'8'!O20+'9'!O20+'10'!O20</f>
        <v>32.661849600000004</v>
      </c>
      <c r="P20" s="119">
        <f t="shared" si="0"/>
        <v>6565.0317696000002</v>
      </c>
      <c r="T20" s="162" t="str">
        <f>+'7'!A5</f>
        <v xml:space="preserve">Customer Name : Sana Cash &amp; Carry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84</v>
      </c>
      <c r="I21" s="1">
        <f t="shared" si="1"/>
        <v>6101.76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610.17600000000004</v>
      </c>
      <c r="M21" s="117">
        <f t="shared" si="2"/>
        <v>5491.5839999999998</v>
      </c>
      <c r="N21" s="100">
        <f>+'1'!N21+'2'!N21+'4'!N21+'3'!N21+'5'!N21+'6'!N21+'7'!N21+'8'!N21+'9'!N21+'10'!N21</f>
        <v>1040.78592</v>
      </c>
      <c r="O21" s="100">
        <f>+'1'!O21+'2'!O21+'4'!O21+'3'!O21+'5'!O21+'6'!O21+'7'!O21+'8'!O21+'9'!O21+'10'!O21</f>
        <v>32.661849600000004</v>
      </c>
      <c r="P21" s="119">
        <f t="shared" si="0"/>
        <v>6565.0317696000002</v>
      </c>
      <c r="T21" s="162" t="str">
        <f>+'8'!A5</f>
        <v xml:space="preserve">Customer Name : Sana Cash &amp; Carry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 xml:space="preserve">Customer Name : Sana Cash &amp; Carry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Sana Cash &amp; Carry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Sana Cash &amp; Carry 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12.5</v>
      </c>
      <c r="D25" s="206"/>
      <c r="E25" s="206"/>
      <c r="F25" s="206"/>
      <c r="G25" s="175">
        <f t="shared" ref="G25:M25" si="3">SUM(G16:G24)</f>
        <v>0</v>
      </c>
      <c r="H25" s="176">
        <f t="shared" si="3"/>
        <v>500</v>
      </c>
      <c r="I25" s="177">
        <f t="shared" si="3"/>
        <v>30257.380000000005</v>
      </c>
      <c r="J25" s="176">
        <f t="shared" si="3"/>
        <v>20</v>
      </c>
      <c r="K25" s="177">
        <f t="shared" si="3"/>
        <v>109.84400000000002</v>
      </c>
      <c r="L25" s="178">
        <f t="shared" si="3"/>
        <v>2868.8179999999998</v>
      </c>
      <c r="M25" s="140">
        <f t="shared" si="3"/>
        <v>27278.718000000001</v>
      </c>
      <c r="N25" s="141">
        <f>SUM(N16:N24)</f>
        <v>5142.6176400000004</v>
      </c>
      <c r="O25" s="142">
        <f>SUM(O16:O24)</f>
        <v>162.10667820000003</v>
      </c>
      <c r="P25" s="143">
        <f>SUM(P16:P24)</f>
        <v>32583.442318200003</v>
      </c>
      <c r="T25" s="162" t="str">
        <f>+'12'!A5</f>
        <v xml:space="preserve">Customer Name : Sana Cash &amp; Carry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Sana Cash &amp; Carry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Sana Cash &amp; Carry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Sana Cash &amp; Carry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Sana Cash &amp; Carry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Sana Cash &amp; Carry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Sana Cash &amp; Carry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32583.442318200006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30257.380000000005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2868.8179999999998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109.84400000000002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27278.718000000004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5142.6176400000004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32421.335640000005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810.53339100000017</v>
      </c>
    </row>
    <row r="42" spans="1:21" ht="15.75" customHeight="1" thickBot="1" x14ac:dyDescent="0.4">
      <c r="N42" s="204" t="s">
        <v>92</v>
      </c>
      <c r="O42" s="205"/>
      <c r="P42" s="159">
        <f>P40+P41</f>
        <v>33231.869031000002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84</v>
      </c>
      <c r="I16" s="101">
        <f>(G16*D16)*F16+H16*F16</f>
        <v>4406.8499999999995</v>
      </c>
      <c r="J16" s="102">
        <v>4</v>
      </c>
      <c r="K16" s="103">
        <f>I16*$K$13</f>
        <v>0</v>
      </c>
      <c r="L16" s="104">
        <f>I16*10%</f>
        <v>440.68499999999995</v>
      </c>
      <c r="M16" s="105">
        <f>I16-K16-L16</f>
        <v>3966.1649999999995</v>
      </c>
      <c r="N16" s="105">
        <f t="shared" ref="N16:N24" si="0">(M16*$N$15)+(J16*F16)*$N$15</f>
        <v>751.68269999999995</v>
      </c>
      <c r="O16" s="106">
        <f t="shared" ref="O16:O24" si="1">(N16+M16)*$O$15</f>
        <v>23.589238499999997</v>
      </c>
      <c r="P16" s="104">
        <f t="shared" ref="P16:P24" si="2">M16+N16+O16</f>
        <v>4741.4369384999991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84</v>
      </c>
      <c r="I17" s="115">
        <f t="shared" ref="I17:I23" si="3">(G17*D17)*F17+H17*F17</f>
        <v>4406.8499999999995</v>
      </c>
      <c r="J17" s="116">
        <v>4</v>
      </c>
      <c r="K17" s="1">
        <f t="shared" ref="K17:K21" si="4">I17*$K$13</f>
        <v>0</v>
      </c>
      <c r="L17" s="104">
        <f t="shared" ref="L17:L21" si="5">I17*10%</f>
        <v>440.68499999999995</v>
      </c>
      <c r="M17" s="117">
        <f t="shared" ref="M17:M23" si="6">I17-K17-L17</f>
        <v>3966.1649999999995</v>
      </c>
      <c r="N17" s="117">
        <f t="shared" si="0"/>
        <v>751.68269999999995</v>
      </c>
      <c r="O17" s="118">
        <f t="shared" si="1"/>
        <v>23.589238499999997</v>
      </c>
      <c r="P17" s="119">
        <f t="shared" si="2"/>
        <v>4741.4369384999991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>
        <v>0</v>
      </c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84</v>
      </c>
      <c r="I19" s="115">
        <f t="shared" si="3"/>
        <v>6101.76</v>
      </c>
      <c r="J19" s="116">
        <v>4</v>
      </c>
      <c r="K19" s="1">
        <f t="shared" si="4"/>
        <v>0</v>
      </c>
      <c r="L19" s="104">
        <f t="shared" si="5"/>
        <v>610.17600000000004</v>
      </c>
      <c r="M19" s="117">
        <f t="shared" si="6"/>
        <v>5491.5839999999998</v>
      </c>
      <c r="N19" s="117">
        <f t="shared" si="0"/>
        <v>1040.78592</v>
      </c>
      <c r="O19" s="118">
        <f t="shared" si="1"/>
        <v>32.661849600000004</v>
      </c>
      <c r="P19" s="119">
        <f t="shared" si="2"/>
        <v>6565.0317696000002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84</v>
      </c>
      <c r="I20" s="115">
        <f t="shared" si="3"/>
        <v>6101.76</v>
      </c>
      <c r="J20" s="116">
        <v>4</v>
      </c>
      <c r="K20" s="1">
        <f t="shared" si="4"/>
        <v>0</v>
      </c>
      <c r="L20" s="104">
        <f t="shared" si="5"/>
        <v>610.17600000000004</v>
      </c>
      <c r="M20" s="117">
        <f t="shared" si="6"/>
        <v>5491.5839999999998</v>
      </c>
      <c r="N20" s="117">
        <f t="shared" si="0"/>
        <v>1040.78592</v>
      </c>
      <c r="O20" s="118">
        <f t="shared" si="1"/>
        <v>32.661849600000004</v>
      </c>
      <c r="P20" s="119">
        <f t="shared" si="2"/>
        <v>6565.0317696000002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84</v>
      </c>
      <c r="I21" s="115">
        <f t="shared" si="3"/>
        <v>6101.76</v>
      </c>
      <c r="J21" s="116">
        <v>4</v>
      </c>
      <c r="K21" s="1">
        <f t="shared" si="4"/>
        <v>0</v>
      </c>
      <c r="L21" s="104">
        <f t="shared" si="5"/>
        <v>610.17600000000004</v>
      </c>
      <c r="M21" s="117">
        <f t="shared" si="6"/>
        <v>5491.5839999999998</v>
      </c>
      <c r="N21" s="117">
        <f t="shared" si="0"/>
        <v>1040.78592</v>
      </c>
      <c r="O21" s="118">
        <f t="shared" si="1"/>
        <v>32.661849600000004</v>
      </c>
      <c r="P21" s="119">
        <f t="shared" si="2"/>
        <v>6565.0317696000002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500</v>
      </c>
      <c r="I25" s="136">
        <f t="shared" si="9"/>
        <v>30257.380000000005</v>
      </c>
      <c r="J25" s="182">
        <f>SUM(J16:J21)</f>
        <v>20</v>
      </c>
      <c r="K25" s="138">
        <f t="shared" si="9"/>
        <v>109.84400000000002</v>
      </c>
      <c r="L25" s="139">
        <f t="shared" si="9"/>
        <v>2868.8179999999998</v>
      </c>
      <c r="M25" s="140">
        <f t="shared" si="9"/>
        <v>27278.718000000001</v>
      </c>
      <c r="N25" s="141">
        <f>SUM(N16:N24)</f>
        <v>5142.6176400000004</v>
      </c>
      <c r="O25" s="142">
        <f>SUM(O16:O24)</f>
        <v>162.10667820000003</v>
      </c>
      <c r="P25" s="143">
        <f>SUM(P16:P24)</f>
        <v>32583.442318200003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30257.380000000005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2868.8179999999998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109.84400000000002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27278.718000000004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5142.6176400000004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32421.335640000005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162.10667820000003</v>
      </c>
    </row>
    <row r="35" spans="2:16" ht="15.75" customHeight="1" thickBot="1" x14ac:dyDescent="0.4">
      <c r="N35" s="204" t="s">
        <v>92</v>
      </c>
      <c r="O35" s="205"/>
      <c r="P35" s="159">
        <f>P33+P34</f>
        <v>32583.442318200006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3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46197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46196</v>
      </c>
      <c r="O5" s="231"/>
      <c r="P5" s="231"/>
      <c r="R5" s="70"/>
      <c r="S5" s="71"/>
    </row>
    <row r="6" spans="1:19 16383:16384" ht="15" customHeight="1" x14ac:dyDescent="0.35">
      <c r="A6" s="230" t="s">
        <v>102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103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2026-06-24T04:37:25Z</dcterms:modified>
</cp:coreProperties>
</file>