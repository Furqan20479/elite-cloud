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31F01CD-FF04-4F1A-8D1E-7C5B299C118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'2'!$A$1:$P$36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<sst xmlns="http://schemas.openxmlformats.org/spreadsheetml/2006/main" count="1587" uniqueCount="122">
  <si>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</si>
  <si>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</si>
  <si>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</si>
  <si>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</si>
  <si>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</si>
  <si>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</si>
  <si>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</si>
  <si>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</si>
  <si>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</si>
  <si>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</si>
  <si>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</si>
  <si>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</si>
  <si>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</si>
  <si>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</si>
  <si>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</si>
  <si>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</si>
  <si>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</si>
  <si>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</si>
  <si>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</si>
  <si>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</si>
  <si>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</si>
  <si>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</si>
  <si>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</si>
  <si>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</si>
  <si>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</si>
  <si>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</si>
  <si>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</si>
  <si>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</si>
  <si>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</si>
  <si>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</si>
  <si>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</si>
  <si>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</si>
  <si>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</si>
  <si>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</si>
  <si>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</si>
  <si>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</si>
  <si>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</si>
  <si>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</si>
  <si>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</si>
  <si>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</si>
  <si>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</si>
  <si>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</si>
  <si>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</si>
  <si>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</si>
  <si>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</si>
  <si>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</si>
  <si>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</si>
  <si>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</si>
  <si>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</si>
  <si>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</si>
  <si>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</si>
  <si>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</si>
  <si>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</si>
  <si>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</si>
  <si>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</si>
  <si>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</si>
  <si>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</si>
  <si>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</si>
  <si>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</si>
  <si>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</si>
  <si>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</si>
  <si>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</si>
  <si>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</si>
  <si>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</si>
  <si>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</si>
  <si>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</si>
  <si>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</si>
  <si>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</si>
  <si>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</si>
  <si>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</si>
  <si>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</si>
  <si>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</si>
  <si>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</si>
  <si>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</si>
  <si>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</si>
  <si>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</si>
  <si>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</si>
  <si>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</si>
  <si>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</si>
  <si>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</si>
  <si>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</si>
  <si>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</si>
  <si>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</si>
  <si>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</si>
  <si>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</si>
  <si>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</si>
  <si>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</si>
  <si>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</si>
  <si>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</si>
  <si>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</si>
  <si>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</si>
  <si>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</si>
  <si>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</si>
  <si>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</si>
  <si>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</si>
  <si>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</si>
  <si>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</si>
  <si>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</si>
  <si>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</si>
  <si>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</si>
  <si>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</si>
  <si>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</si>
  <si>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</si>
  <si>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</si>
  <si>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</si>
  <si>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</si>
  <si>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Umair</t>
  </si>
  <si>
    <t>Shop Bill Summary (Umair)</t>
  </si>
  <si>
    <t>Customer Name :Gulshan Bakery</t>
  </si>
  <si>
    <t>Address: Awan Market</t>
  </si>
  <si>
    <t>4360696-2</t>
  </si>
  <si>
    <t>Customer Name : Al Fazal Cash &amp; Carry</t>
  </si>
  <si>
    <t>Address: Nishter Colony</t>
  </si>
  <si>
    <t>Customer Name : Ali Super Store</t>
  </si>
  <si>
    <t>4950431-4</t>
  </si>
  <si>
    <t>Customer Name : Al Hamd Sweet &amp; Bakery</t>
  </si>
  <si>
    <t>Customer Name : SS Sweets</t>
  </si>
  <si>
    <t>Customer Name : A One Bakery</t>
  </si>
  <si>
    <t>1015702-4</t>
  </si>
  <si>
    <t>no Cash</t>
  </si>
  <si>
    <t xml:space="preserve">rate Issue </t>
  </si>
  <si>
    <t xml:space="preserve">khta hai rate zyada hai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</si>
</sst>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O10" sqref="O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:Gulshan Bakery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Fazal Cash &amp; Carry</v>
      </c>
      <c r="U15" s="164">
        <f>+'2'!P35</f>
        <v>9589.1163264000006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Ali Super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Al Hamd Sweet &amp; Bakery</v>
      </c>
      <c r="U17" s="164">
        <f>+'4'!P35</f>
        <v>5070.1295250000003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SS Sweets</v>
      </c>
      <c r="U18" s="164">
        <f>+'5'!P35</f>
        <v>3375.5372160000002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82</v>
      </c>
      <c r="I19" s="1">
        <f t="shared" si="1"/>
        <v>5956.4800000000005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476.51840000000004</v>
      </c>
      <c r="M19" s="118">
        <f t="shared" si="2"/>
        <v>5479.9616000000005</v>
      </c>
      <c r="N19" s="101">
        <f>+'1'!N19+'2'!N19+'4'!N19+'3'!N19+'5'!N19+'6'!N19+'7'!N19+'8'!N19+'9'!N19+'10'!N19</f>
        <v>1156.777472</v>
      </c>
      <c r="O19" s="101">
        <f>+'1'!O19+'2'!O19+'4'!O19+'3'!O19+'5'!O19+'6'!O19+'7'!O19+'8'!O19+'9'!O19+'10'!O19</f>
        <v>56.332029440000007</v>
      </c>
      <c r="P19" s="120">
        <f t="shared" si="0"/>
        <v>6693.0711014400003</v>
      </c>
      <c r="T19" s="163" t="str">
        <f>+'6'!A5</f>
        <v>Customer Name : A One Bakery</v>
      </c>
      <c r="U19" s="164">
        <f>+'6'!P35</f>
        <v>3309.6730752000003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82</v>
      </c>
      <c r="I20" s="1">
        <f t="shared" si="1"/>
        <v>5956.4800000000005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476.51840000000004</v>
      </c>
      <c r="M20" s="118">
        <f t="shared" si="2"/>
        <v>5479.9616000000005</v>
      </c>
      <c r="N20" s="101">
        <f>+'1'!N20+'2'!N20+'4'!N20+'3'!N20+'5'!N20+'6'!N20+'7'!N20+'8'!N20+'9'!N20+'10'!N20</f>
        <v>1172.758272</v>
      </c>
      <c r="O20" s="101">
        <f>+'1'!O20+'2'!O20+'4'!O20+'3'!O20+'5'!O20+'6'!O20+'7'!O20+'8'!O20+'9'!O20+'10'!O20</f>
        <v>56.411933440000006</v>
      </c>
      <c r="P20" s="120">
        <f t="shared" si="0"/>
        <v>6709.1318054400008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76</v>
      </c>
      <c r="I21" s="1">
        <f t="shared" si="1"/>
        <v>5520.64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441.65120000000002</v>
      </c>
      <c r="M21" s="118">
        <f t="shared" si="2"/>
        <v>5078.9888000000001</v>
      </c>
      <c r="N21" s="101">
        <f>+'1'!N21+'2'!N21+'4'!N21+'3'!N21+'5'!N21+'6'!N21+'7'!N21+'8'!N21+'9'!N21+'10'!N21</f>
        <v>1052.582656</v>
      </c>
      <c r="O21" s="101">
        <f>+'1'!O21+'2'!O21+'4'!O21+'3'!O21+'5'!O21+'6'!O21+'7'!O21+'8'!O21+'9'!O21+'10'!O21</f>
        <v>50.225329920000007</v>
      </c>
      <c r="P21" s="120">
        <f t="shared" si="0"/>
        <v>6181.7967859199998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280</v>
      </c>
      <c r="I25" s="178">
        <f t="shared" si="3"/>
        <v>19002.800000000003</v>
      </c>
      <c r="J25" s="177">
        <f t="shared" si="3"/>
        <v>12</v>
      </c>
      <c r="K25" s="178">
        <f t="shared" si="3"/>
        <v>54.922000000000011</v>
      </c>
      <c r="L25" s="179">
        <f t="shared" si="3"/>
        <v>1473.1480000000001</v>
      </c>
      <c r="M25" s="141">
        <f t="shared" si="3"/>
        <v>17474.73</v>
      </c>
      <c r="N25" s="142">
        <f>SUM(N16:N24)</f>
        <v>3697.99836</v>
      </c>
      <c r="O25" s="143">
        <f>SUM(O16:O24)</f>
        <v>171.72778260000001</v>
      </c>
      <c r="P25" s="144">
        <f>SUM(P16:P24)</f>
        <v>21344.4561426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21344.4561426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19002.800000000003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1473.1480000000001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54.922000000000011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17474.730000000003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3697.99836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21172.728360000005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529.31820900000014</v>
      </c>
    </row>
    <row r="39" spans="2:16" ht="15.75" customHeight="1" thickBot="1" x14ac:dyDescent="0.4">
      <c r="N39" s="203" t="s">
        <v>92</v>
      </c>
      <c r="O39" s="204"/>
      <c r="P39" s="160">
        <f>P37+P38</f>
        <v>21702.046569000006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J1" sqref="J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K1" t="s">
        <v>119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68579351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3277876302987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1521.9532799999999</v>
      </c>
      <c r="O25" s="143">
        <f>SUM(O16:O24)</f>
        <v>47.707046400000003</v>
      </c>
      <c r="P25" s="144">
        <f>SUM(P16:P24)</f>
        <v>9589.1163263999988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1521.9532799999999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9541.4092799999999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47.707046400000003</v>
      </c>
    </row>
    <row r="35" spans="2:16" ht="15.75" customHeight="1" thickBot="1" x14ac:dyDescent="0.4">
      <c r="N35" s="203" t="s">
        <v>92</v>
      </c>
      <c r="O35" s="204"/>
      <c r="P35" s="160">
        <f>P33+P34</f>
        <v>9589.1163264000006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7"/>
  <sheetViews>
    <sheetView workbookViewId="0">
      <selection activeCell="J1" sqref="J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K1" t="s">
        <v>120</v>
      </c>
      <c r="L1" t="s">
        <v>121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73259447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/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205.83270400000001</v>
      </c>
      <c r="O19" s="119">
        <f t="shared" si="6"/>
        <v>5.7071795199999995</v>
      </c>
      <c r="P19" s="120">
        <f t="shared" si="1"/>
        <v>1147.1430835199999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14</v>
      </c>
      <c r="I20" s="116">
        <f t="shared" si="2"/>
        <v>1016.96</v>
      </c>
      <c r="J20" s="117">
        <v>1</v>
      </c>
      <c r="K20" s="1">
        <f t="shared" si="3"/>
        <v>0</v>
      </c>
      <c r="L20" s="105">
        <f t="shared" si="4"/>
        <v>81.356800000000007</v>
      </c>
      <c r="M20" s="118">
        <f t="shared" si="5"/>
        <v>935.60320000000002</v>
      </c>
      <c r="N20" s="118">
        <f t="shared" si="0"/>
        <v>221.81350399999999</v>
      </c>
      <c r="O20" s="119">
        <f t="shared" si="6"/>
        <v>5.7870835200000004</v>
      </c>
      <c r="P20" s="120">
        <f t="shared" si="1"/>
        <v>1163.2037875199999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>
        <v>1</v>
      </c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192.40883199999999</v>
      </c>
      <c r="O21" s="119">
        <f t="shared" si="6"/>
        <v>4.9717721599999996</v>
      </c>
      <c r="P21" s="120">
        <f t="shared" si="1"/>
        <v>999.32620415999997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4474.8000000000011</v>
      </c>
      <c r="J25" s="138"/>
      <c r="K25" s="139">
        <f t="shared" si="9"/>
        <v>54.922000000000011</v>
      </c>
      <c r="L25" s="140">
        <f t="shared" si="9"/>
        <v>310.90800000000007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4108.9700000000012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03" t="s">
        <v>92</v>
      </c>
      <c r="O35" s="204"/>
      <c r="P35" s="160">
        <f>P33+P34</f>
        <v>5070.1295250000003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>
        <v>1</v>
      </c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221.81350399999999</v>
      </c>
      <c r="O19" s="119">
        <f t="shared" si="6"/>
        <v>28.935417600000001</v>
      </c>
      <c r="P19" s="120">
        <f t="shared" si="1"/>
        <v>1186.3521215999999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14</v>
      </c>
      <c r="I20" s="116">
        <f t="shared" si="2"/>
        <v>1016.96</v>
      </c>
      <c r="J20" s="117">
        <v>1</v>
      </c>
      <c r="K20" s="1">
        <f t="shared" si="3"/>
        <v>0</v>
      </c>
      <c r="L20" s="105">
        <f t="shared" si="4"/>
        <v>81.356800000000007</v>
      </c>
      <c r="M20" s="118">
        <f t="shared" si="5"/>
        <v>935.60320000000002</v>
      </c>
      <c r="N20" s="118">
        <f t="shared" si="0"/>
        <v>221.81350399999999</v>
      </c>
      <c r="O20" s="119">
        <f t="shared" si="6"/>
        <v>28.935417600000001</v>
      </c>
      <c r="P20" s="120">
        <f t="shared" si="1"/>
        <v>1186.3521215999999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>
        <v>1</v>
      </c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221.81350399999999</v>
      </c>
      <c r="O19" s="119">
        <f t="shared" si="6"/>
        <v>5.7870835200000004</v>
      </c>
      <c r="P19" s="120">
        <f t="shared" si="1"/>
        <v>1163.2037875199999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14</v>
      </c>
      <c r="I20" s="116">
        <f t="shared" si="2"/>
        <v>1016.96</v>
      </c>
      <c r="J20" s="117">
        <v>1</v>
      </c>
      <c r="K20" s="1">
        <f t="shared" si="3"/>
        <v>0</v>
      </c>
      <c r="L20" s="105">
        <f t="shared" si="4"/>
        <v>81.356800000000007</v>
      </c>
      <c r="M20" s="118">
        <f t="shared" si="5"/>
        <v>935.60320000000002</v>
      </c>
      <c r="N20" s="118">
        <f t="shared" si="0"/>
        <v>221.81350399999999</v>
      </c>
      <c r="O20" s="119">
        <f t="shared" si="6"/>
        <v>5.7870835200000004</v>
      </c>
      <c r="P20" s="120">
        <f t="shared" si="1"/>
        <v>1163.2037875199999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2026-06-24T12:18:32Z</dcterms:modified>
</cp:coreProperties>
</file>