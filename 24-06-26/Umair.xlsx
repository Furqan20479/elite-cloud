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053BB167-328D-4AE2-96DF-66E500E12AAE}" xr6:coauthVersionLast="47" xr6:coauthVersionMax="47" xr10:uidLastSave="{00000000-0000-0000-0000-000000000000}"/>
  <bookViews>
    <workbookView xWindow="-110" yWindow="-110" windowWidth="19420" windowHeight="10420" tabRatio="949" activeTab="2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T17" i="15" l="1"/>
  <c r="T16" i="15"/>
  <c r="J17" i="15"/>
  <c r="J18" i="15"/>
  <c r="J19" i="15"/>
  <c r="J20" i="15"/>
  <c r="J21" i="15"/>
  <c r="J22" i="15"/>
  <c r="J23" i="15"/>
  <c r="J24" i="15"/>
  <c r="J16" i="15"/>
  <c r="H17" i="15" l="1"/>
  <c r="H18" i="15"/>
  <c r="H19" i="15"/>
  <c r="H20" i="15"/>
  <c r="H21" i="15"/>
  <c r="H22" i="15"/>
  <c r="H23" i="15"/>
  <c r="H24" i="15"/>
  <c r="H16" i="15"/>
  <c r="T28" i="15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C21" i="33"/>
  <c r="B21" i="33"/>
  <c r="F20" i="33"/>
  <c r="E20" i="33"/>
  <c r="D20" i="33"/>
  <c r="I20" i="33" s="1"/>
  <c r="B20" i="33"/>
  <c r="C20" i="33" s="1"/>
  <c r="F19" i="33"/>
  <c r="E19" i="33"/>
  <c r="D19" i="33"/>
  <c r="B19" i="33"/>
  <c r="C19" i="33" s="1"/>
  <c r="F18" i="33"/>
  <c r="E18" i="33"/>
  <c r="D18" i="33"/>
  <c r="I18" i="33" s="1"/>
  <c r="K18" i="33" s="1"/>
  <c r="C18" i="33"/>
  <c r="B18" i="33"/>
  <c r="F17" i="33"/>
  <c r="I17" i="33" s="1"/>
  <c r="K17" i="33" s="1"/>
  <c r="E17" i="33"/>
  <c r="D17" i="33"/>
  <c r="B17" i="33"/>
  <c r="C17" i="33" s="1"/>
  <c r="F16" i="33"/>
  <c r="E16" i="33"/>
  <c r="D16" i="33"/>
  <c r="I16" i="33" s="1"/>
  <c r="L16" i="33" s="1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I22" i="32" s="1"/>
  <c r="C22" i="32"/>
  <c r="B22" i="32"/>
  <c r="F21" i="32"/>
  <c r="E21" i="32"/>
  <c r="D21" i="32"/>
  <c r="I21" i="32" s="1"/>
  <c r="B21" i="32"/>
  <c r="C21" i="32" s="1"/>
  <c r="F20" i="32"/>
  <c r="E20" i="32"/>
  <c r="D20" i="32"/>
  <c r="I20" i="32" s="1"/>
  <c r="B20" i="32"/>
  <c r="C20" i="32" s="1"/>
  <c r="F19" i="32"/>
  <c r="E19" i="32"/>
  <c r="D19" i="32"/>
  <c r="I19" i="32" s="1"/>
  <c r="B19" i="32"/>
  <c r="C19" i="32" s="1"/>
  <c r="F18" i="32"/>
  <c r="E18" i="32"/>
  <c r="D18" i="32"/>
  <c r="I18" i="32" s="1"/>
  <c r="B18" i="32"/>
  <c r="C18" i="32" s="1"/>
  <c r="F17" i="32"/>
  <c r="E17" i="32"/>
  <c r="D17" i="32"/>
  <c r="I17" i="32" s="1"/>
  <c r="B17" i="32"/>
  <c r="C17" i="32" s="1"/>
  <c r="F16" i="32"/>
  <c r="E16" i="32"/>
  <c r="D16" i="32"/>
  <c r="I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B21" i="30"/>
  <c r="C21" i="30" s="1"/>
  <c r="F20" i="30"/>
  <c r="E20" i="30"/>
  <c r="D20" i="30"/>
  <c r="I20" i="30" s="1"/>
  <c r="B20" i="30"/>
  <c r="C20" i="30" s="1"/>
  <c r="F19" i="30"/>
  <c r="E19" i="30"/>
  <c r="D19" i="30"/>
  <c r="I19" i="30" s="1"/>
  <c r="B19" i="30"/>
  <c r="C19" i="30" s="1"/>
  <c r="F18" i="30"/>
  <c r="E18" i="30"/>
  <c r="D18" i="30"/>
  <c r="I18" i="30" s="1"/>
  <c r="B18" i="30"/>
  <c r="C18" i="30" s="1"/>
  <c r="F17" i="30"/>
  <c r="E17" i="30"/>
  <c r="D17" i="30"/>
  <c r="I17" i="30" s="1"/>
  <c r="B17" i="30"/>
  <c r="C17" i="30" s="1"/>
  <c r="F16" i="30"/>
  <c r="E16" i="30"/>
  <c r="D16" i="30"/>
  <c r="I16" i="30" s="1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B21" i="28"/>
  <c r="C21" i="28" s="1"/>
  <c r="F20" i="28"/>
  <c r="E20" i="28"/>
  <c r="D20" i="28"/>
  <c r="I20" i="28" s="1"/>
  <c r="B20" i="28"/>
  <c r="C20" i="28" s="1"/>
  <c r="F19" i="28"/>
  <c r="E19" i="28"/>
  <c r="D19" i="28"/>
  <c r="I19" i="28" s="1"/>
  <c r="B19" i="28"/>
  <c r="C19" i="28" s="1"/>
  <c r="F18" i="28"/>
  <c r="E18" i="28"/>
  <c r="D18" i="28"/>
  <c r="I18" i="28" s="1"/>
  <c r="B18" i="28"/>
  <c r="C18" i="28" s="1"/>
  <c r="F17" i="28"/>
  <c r="E17" i="28"/>
  <c r="D17" i="28"/>
  <c r="I17" i="28" s="1"/>
  <c r="B17" i="28"/>
  <c r="C17" i="28" s="1"/>
  <c r="F16" i="28"/>
  <c r="E16" i="28"/>
  <c r="D16" i="28"/>
  <c r="I16" i="28" s="1"/>
  <c r="C16" i="28"/>
  <c r="B16" i="28"/>
  <c r="O15" i="28"/>
  <c r="N15" i="28"/>
  <c r="N4" i="28"/>
  <c r="N5" i="28" s="1"/>
  <c r="I16" i="31" l="1"/>
  <c r="I17" i="31"/>
  <c r="I18" i="31"/>
  <c r="I19" i="31"/>
  <c r="K19" i="31" s="1"/>
  <c r="I20" i="31"/>
  <c r="I21" i="31"/>
  <c r="I22" i="31"/>
  <c r="I23" i="31"/>
  <c r="K23" i="31" s="1"/>
  <c r="I24" i="31"/>
  <c r="I23" i="32"/>
  <c r="I22" i="33"/>
  <c r="I16" i="34"/>
  <c r="I25" i="34" s="1"/>
  <c r="P28" i="34" s="1"/>
  <c r="I17" i="34"/>
  <c r="I18" i="34"/>
  <c r="I19" i="34"/>
  <c r="I20" i="34"/>
  <c r="K20" i="34" s="1"/>
  <c r="I21" i="34"/>
  <c r="I22" i="34"/>
  <c r="I23" i="34"/>
  <c r="I24" i="34"/>
  <c r="L24" i="34" s="1"/>
  <c r="M24" i="34" s="1"/>
  <c r="I16" i="29"/>
  <c r="I17" i="29"/>
  <c r="I18" i="29"/>
  <c r="I19" i="29"/>
  <c r="K19" i="29" s="1"/>
  <c r="I20" i="29"/>
  <c r="I21" i="29"/>
  <c r="I22" i="29"/>
  <c r="I23" i="29"/>
  <c r="L23" i="29" s="1"/>
  <c r="I24" i="29"/>
  <c r="I24" i="32"/>
  <c r="I19" i="33"/>
  <c r="I23" i="33"/>
  <c r="L23" i="33" s="1"/>
  <c r="L17" i="33"/>
  <c r="L18" i="33"/>
  <c r="I25" i="35"/>
  <c r="P28" i="35" s="1"/>
  <c r="K16" i="35"/>
  <c r="L16" i="35"/>
  <c r="K17" i="35"/>
  <c r="M17" i="35"/>
  <c r="L17" i="35"/>
  <c r="K18" i="35"/>
  <c r="L18" i="35"/>
  <c r="M18" i="35" s="1"/>
  <c r="K19" i="35"/>
  <c r="L19" i="35"/>
  <c r="K20" i="35"/>
  <c r="L20" i="35"/>
  <c r="K21" i="35"/>
  <c r="M21" i="35" s="1"/>
  <c r="L21" i="35"/>
  <c r="K22" i="35"/>
  <c r="L22" i="35"/>
  <c r="M22" i="35"/>
  <c r="K23" i="35"/>
  <c r="L23" i="35"/>
  <c r="M23" i="35" s="1"/>
  <c r="K24" i="35"/>
  <c r="M24" i="35" s="1"/>
  <c r="L24" i="35"/>
  <c r="L16" i="34"/>
  <c r="K17" i="34"/>
  <c r="L17" i="34"/>
  <c r="K18" i="34"/>
  <c r="L18" i="34"/>
  <c r="K19" i="34"/>
  <c r="L19" i="34"/>
  <c r="L20" i="34"/>
  <c r="K21" i="34"/>
  <c r="L21" i="34"/>
  <c r="K22" i="34"/>
  <c r="L22" i="34"/>
  <c r="K23" i="34"/>
  <c r="M23" i="34"/>
  <c r="L23" i="34"/>
  <c r="K24" i="34"/>
  <c r="K21" i="33"/>
  <c r="L21" i="33"/>
  <c r="K22" i="33"/>
  <c r="M22" i="33" s="1"/>
  <c r="L22" i="33"/>
  <c r="K19" i="33"/>
  <c r="L19" i="33"/>
  <c r="K23" i="33"/>
  <c r="K20" i="33"/>
  <c r="L20" i="33"/>
  <c r="K24" i="33"/>
  <c r="M24" i="33" s="1"/>
  <c r="L24" i="33"/>
  <c r="M17" i="33"/>
  <c r="M18" i="33"/>
  <c r="K16" i="33"/>
  <c r="K24" i="32"/>
  <c r="M24" i="32" s="1"/>
  <c r="L24" i="32"/>
  <c r="I25" i="32"/>
  <c r="P28" i="32" s="1"/>
  <c r="K16" i="32"/>
  <c r="L16" i="32"/>
  <c r="K17" i="32"/>
  <c r="L17" i="32"/>
  <c r="K18" i="32"/>
  <c r="L18" i="32"/>
  <c r="K19" i="32"/>
  <c r="L19" i="32"/>
  <c r="K20" i="32"/>
  <c r="L20" i="32"/>
  <c r="K21" i="32"/>
  <c r="L21" i="32"/>
  <c r="K23" i="32"/>
  <c r="L23" i="32"/>
  <c r="M23" i="32" s="1"/>
  <c r="K22" i="32"/>
  <c r="L22" i="32"/>
  <c r="K17" i="31"/>
  <c r="L17" i="31"/>
  <c r="M17" i="31" s="1"/>
  <c r="L19" i="31"/>
  <c r="K21" i="31"/>
  <c r="L21" i="31"/>
  <c r="K22" i="31"/>
  <c r="L22" i="31"/>
  <c r="M22" i="31" s="1"/>
  <c r="K24" i="31"/>
  <c r="L24" i="31"/>
  <c r="M24" i="31" s="1"/>
  <c r="K16" i="31"/>
  <c r="L16" i="31"/>
  <c r="K18" i="31"/>
  <c r="L18" i="31"/>
  <c r="K20" i="31"/>
  <c r="L20" i="31"/>
  <c r="L23" i="31"/>
  <c r="K18" i="30"/>
  <c r="L18" i="30"/>
  <c r="K20" i="30"/>
  <c r="L20" i="30"/>
  <c r="K21" i="30"/>
  <c r="L21" i="30"/>
  <c r="M21" i="30" s="1"/>
  <c r="K23" i="30"/>
  <c r="M23" i="30" s="1"/>
  <c r="L23" i="30"/>
  <c r="I25" i="30"/>
  <c r="P28" i="30" s="1"/>
  <c r="K16" i="30"/>
  <c r="L16" i="30"/>
  <c r="K17" i="30"/>
  <c r="L17" i="30"/>
  <c r="K19" i="30"/>
  <c r="L19" i="30"/>
  <c r="K22" i="30"/>
  <c r="L22" i="30"/>
  <c r="K24" i="30"/>
  <c r="M24" i="30" s="1"/>
  <c r="L24" i="30"/>
  <c r="K16" i="29"/>
  <c r="L16" i="29"/>
  <c r="K21" i="29"/>
  <c r="L21" i="29"/>
  <c r="K24" i="29"/>
  <c r="M24" i="29"/>
  <c r="L24" i="29"/>
  <c r="K17" i="29"/>
  <c r="L17" i="29"/>
  <c r="K20" i="29"/>
  <c r="L20" i="29"/>
  <c r="K22" i="29"/>
  <c r="M22" i="29" s="1"/>
  <c r="L22" i="29"/>
  <c r="K18" i="29"/>
  <c r="L18" i="29"/>
  <c r="K23" i="29"/>
  <c r="I25" i="28"/>
  <c r="P28" i="28" s="1"/>
  <c r="K16" i="28"/>
  <c r="L16" i="28"/>
  <c r="K17" i="28"/>
  <c r="L17" i="28"/>
  <c r="M17" i="28" s="1"/>
  <c r="K18" i="28"/>
  <c r="L18" i="28"/>
  <c r="K19" i="28"/>
  <c r="L19" i="28"/>
  <c r="K20" i="28"/>
  <c r="L20" i="28"/>
  <c r="K21" i="28"/>
  <c r="L21" i="28"/>
  <c r="K22" i="28"/>
  <c r="L22" i="28"/>
  <c r="K23" i="28"/>
  <c r="M23" i="28"/>
  <c r="L23" i="28"/>
  <c r="K24" i="28"/>
  <c r="M24" i="28" s="1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M23" i="33" l="1"/>
  <c r="I16" i="26"/>
  <c r="I17" i="26"/>
  <c r="I18" i="26"/>
  <c r="K18" i="26" s="1"/>
  <c r="I19" i="26"/>
  <c r="I20" i="26"/>
  <c r="I21" i="26"/>
  <c r="I22" i="26"/>
  <c r="K22" i="26" s="1"/>
  <c r="I23" i="26"/>
  <c r="I24" i="26"/>
  <c r="I21" i="27"/>
  <c r="M18" i="28"/>
  <c r="N18" i="28" s="1"/>
  <c r="O18" i="28" s="1"/>
  <c r="P18" i="28" s="1"/>
  <c r="M20" i="29"/>
  <c r="M23" i="31"/>
  <c r="I25" i="31"/>
  <c r="P28" i="31" s="1"/>
  <c r="M19" i="32"/>
  <c r="N19" i="32" s="1"/>
  <c r="O19" i="32" s="1"/>
  <c r="M17" i="32"/>
  <c r="K16" i="34"/>
  <c r="M16" i="34" s="1"/>
  <c r="I25" i="33"/>
  <c r="P28" i="33" s="1"/>
  <c r="L19" i="29"/>
  <c r="I25" i="29"/>
  <c r="P28" i="29" s="1"/>
  <c r="M23" i="29"/>
  <c r="M22" i="28"/>
  <c r="N22" i="28" s="1"/>
  <c r="O22" i="28" s="1"/>
  <c r="P22" i="28" s="1"/>
  <c r="M22" i="32"/>
  <c r="N22" i="32" s="1"/>
  <c r="O22" i="32" s="1"/>
  <c r="P22" i="32" s="1"/>
  <c r="M22" i="30"/>
  <c r="M21" i="33"/>
  <c r="M20" i="34"/>
  <c r="N20" i="34" s="1"/>
  <c r="O20" i="34" s="1"/>
  <c r="M19" i="33"/>
  <c r="N19" i="33" s="1"/>
  <c r="O19" i="33" s="1"/>
  <c r="M19" i="34"/>
  <c r="M19" i="28"/>
  <c r="M16" i="29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19" i="31"/>
  <c r="M20" i="31"/>
  <c r="N20" i="31" s="1"/>
  <c r="O20" i="31" s="1"/>
  <c r="M20" i="33"/>
  <c r="N20" i="33" s="1"/>
  <c r="O20" i="33" s="1"/>
  <c r="M20" i="35"/>
  <c r="M21" i="29"/>
  <c r="M21" i="34"/>
  <c r="N21" i="34" s="1"/>
  <c r="O21" i="34" s="1"/>
  <c r="M21" i="32"/>
  <c r="N21" i="32" s="1"/>
  <c r="O21" i="32" s="1"/>
  <c r="M21" i="31"/>
  <c r="M22" i="34"/>
  <c r="N22" i="34" s="1"/>
  <c r="O22" i="34" s="1"/>
  <c r="M21" i="28"/>
  <c r="L25" i="33"/>
  <c r="P29" i="33" s="1"/>
  <c r="M20" i="32"/>
  <c r="N20" i="32" s="1"/>
  <c r="O20" i="32" s="1"/>
  <c r="L25" i="31"/>
  <c r="P29" i="31" s="1"/>
  <c r="K25" i="33"/>
  <c r="P30" i="33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0" i="35"/>
  <c r="O20" i="35" s="1"/>
  <c r="P20" i="35" s="1"/>
  <c r="N24" i="35"/>
  <c r="O24" i="35" s="1"/>
  <c r="P24" i="35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N24" i="34"/>
  <c r="O24" i="34" s="1"/>
  <c r="P24" i="34"/>
  <c r="L25" i="34"/>
  <c r="P29" i="34" s="1"/>
  <c r="K25" i="34"/>
  <c r="P30" i="34" s="1"/>
  <c r="N23" i="34"/>
  <c r="O23" i="34" s="1"/>
  <c r="P23" i="34" s="1"/>
  <c r="N19" i="34"/>
  <c r="O19" i="34" s="1"/>
  <c r="N16" i="34"/>
  <c r="N23" i="33"/>
  <c r="O23" i="33" s="1"/>
  <c r="N24" i="33"/>
  <c r="O24" i="33" s="1"/>
  <c r="N18" i="33"/>
  <c r="O18" i="33" s="1"/>
  <c r="N21" i="33"/>
  <c r="O21" i="33" s="1"/>
  <c r="N17" i="33"/>
  <c r="O17" i="33" s="1"/>
  <c r="N22" i="33"/>
  <c r="O22" i="33" s="1"/>
  <c r="M16" i="33"/>
  <c r="N17" i="32"/>
  <c r="O17" i="32" s="1"/>
  <c r="N23" i="32"/>
  <c r="O23" i="32" s="1"/>
  <c r="N24" i="32"/>
  <c r="O24" i="32" s="1"/>
  <c r="P24" i="32" s="1"/>
  <c r="L25" i="32"/>
  <c r="P29" i="32" s="1"/>
  <c r="K25" i="32"/>
  <c r="P30" i="32" s="1"/>
  <c r="N21" i="31"/>
  <c r="O21" i="31" s="1"/>
  <c r="N24" i="31"/>
  <c r="O24" i="31" s="1"/>
  <c r="P24" i="31"/>
  <c r="N23" i="31"/>
  <c r="O23" i="31" s="1"/>
  <c r="N17" i="31"/>
  <c r="O17" i="31" s="1"/>
  <c r="M16" i="31"/>
  <c r="N19" i="31"/>
  <c r="O19" i="31" s="1"/>
  <c r="K25" i="31"/>
  <c r="P30" i="31" s="1"/>
  <c r="N22" i="31"/>
  <c r="O22" i="31" s="1"/>
  <c r="P22" i="31" s="1"/>
  <c r="N21" i="30"/>
  <c r="O21" i="30" s="1"/>
  <c r="N17" i="30"/>
  <c r="O17" i="30" s="1"/>
  <c r="K25" i="30"/>
  <c r="P30" i="30" s="1"/>
  <c r="N24" i="30"/>
  <c r="O24" i="30" s="1"/>
  <c r="P24" i="30" s="1"/>
  <c r="N22" i="30"/>
  <c r="O22" i="30" s="1"/>
  <c r="P22" i="30" s="1"/>
  <c r="N23" i="30"/>
  <c r="O23" i="30" s="1"/>
  <c r="N22" i="29"/>
  <c r="O22" i="29" s="1"/>
  <c r="N21" i="29"/>
  <c r="O21" i="29" s="1"/>
  <c r="N23" i="29"/>
  <c r="O23" i="29" s="1"/>
  <c r="N16" i="29"/>
  <c r="N20" i="29"/>
  <c r="O20" i="29" s="1"/>
  <c r="N24" i="29"/>
  <c r="O24" i="29" s="1"/>
  <c r="P24" i="29" s="1"/>
  <c r="L25" i="29"/>
  <c r="P29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N19" i="28"/>
  <c r="O19" i="28" s="1"/>
  <c r="L25" i="28"/>
  <c r="P29" i="28" s="1"/>
  <c r="M16" i="28"/>
  <c r="N21" i="28"/>
  <c r="O21" i="28" s="1"/>
  <c r="N17" i="28"/>
  <c r="O17" i="28" s="1"/>
  <c r="J25" i="15"/>
  <c r="I25" i="27"/>
  <c r="P28" i="27" s="1"/>
  <c r="K16" i="27"/>
  <c r="L16" i="27"/>
  <c r="K17" i="27"/>
  <c r="L17" i="27"/>
  <c r="K20" i="27"/>
  <c r="L20" i="27"/>
  <c r="K21" i="27"/>
  <c r="L21" i="27"/>
  <c r="K22" i="27"/>
  <c r="L22" i="27"/>
  <c r="K23" i="27"/>
  <c r="L23" i="27"/>
  <c r="K24" i="27"/>
  <c r="L24" i="27"/>
  <c r="K19" i="27"/>
  <c r="L19" i="27"/>
  <c r="K18" i="27"/>
  <c r="L18" i="27"/>
  <c r="K17" i="26"/>
  <c r="L17" i="26"/>
  <c r="K19" i="26"/>
  <c r="L19" i="26"/>
  <c r="L22" i="26"/>
  <c r="K23" i="26"/>
  <c r="L23" i="26"/>
  <c r="L18" i="26"/>
  <c r="K20" i="26"/>
  <c r="L20" i="26"/>
  <c r="K21" i="26"/>
  <c r="L21" i="26"/>
  <c r="K24" i="26"/>
  <c r="L24" i="26"/>
  <c r="M24" i="26" s="1"/>
  <c r="K16" i="26"/>
  <c r="L16" i="26"/>
  <c r="T23" i="15"/>
  <c r="T22" i="15"/>
  <c r="T21" i="15"/>
  <c r="T20" i="15"/>
  <c r="T19" i="15"/>
  <c r="T18" i="15"/>
  <c r="T15" i="15"/>
  <c r="T14" i="15"/>
  <c r="I25" i="26" l="1"/>
  <c r="P28" i="26" s="1"/>
  <c r="M23" i="27"/>
  <c r="P23" i="32"/>
  <c r="P23" i="31"/>
  <c r="M17" i="26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31" i="34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K25" i="27"/>
  <c r="P30" i="27" s="1"/>
  <c r="L25" i="26"/>
  <c r="P29" i="26" s="1"/>
  <c r="N20" i="26"/>
  <c r="O20" i="26" s="1"/>
  <c r="N17" i="26"/>
  <c r="O17" i="26" s="1"/>
  <c r="P17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I16" i="25" l="1"/>
  <c r="I17" i="25"/>
  <c r="I18" i="25"/>
  <c r="I19" i="25"/>
  <c r="I25" i="25" s="1"/>
  <c r="P28" i="25" s="1"/>
  <c r="I20" i="25"/>
  <c r="I22" i="25"/>
  <c r="K22" i="25" s="1"/>
  <c r="I23" i="25"/>
  <c r="I24" i="25"/>
  <c r="L24" i="25" s="1"/>
  <c r="I21" i="18"/>
  <c r="I22" i="18"/>
  <c r="L22" i="18" s="1"/>
  <c r="I24" i="18"/>
  <c r="L24" i="18" s="1"/>
  <c r="I19" i="19"/>
  <c r="L19" i="19" s="1"/>
  <c r="I20" i="19"/>
  <c r="I21" i="19"/>
  <c r="I22" i="19"/>
  <c r="K22" i="19" s="1"/>
  <c r="I23" i="19"/>
  <c r="L23" i="19" s="1"/>
  <c r="I24" i="19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K17" i="20" s="1"/>
  <c r="I19" i="20"/>
  <c r="K19" i="20" s="1"/>
  <c r="I21" i="20"/>
  <c r="L21" i="20" s="1"/>
  <c r="I23" i="20"/>
  <c r="L23" i="20" s="1"/>
  <c r="M25" i="27"/>
  <c r="P24" i="27"/>
  <c r="P31" i="26"/>
  <c r="I16" i="24"/>
  <c r="L16" i="24" s="1"/>
  <c r="I17" i="24"/>
  <c r="L17" i="24" s="1"/>
  <c r="I18" i="24"/>
  <c r="K18" i="24" s="1"/>
  <c r="I19" i="24"/>
  <c r="L19" i="24" s="1"/>
  <c r="I20" i="24"/>
  <c r="K20" i="24" s="1"/>
  <c r="I21" i="24"/>
  <c r="L21" i="24" s="1"/>
  <c r="I22" i="24"/>
  <c r="K22" i="24" s="1"/>
  <c r="I21" i="23"/>
  <c r="K21" i="23" s="1"/>
  <c r="I23" i="23"/>
  <c r="I17" i="21"/>
  <c r="L17" i="21" s="1"/>
  <c r="I19" i="21"/>
  <c r="K19" i="21" s="1"/>
  <c r="I21" i="21"/>
  <c r="K21" i="21" s="1"/>
  <c r="O21" i="27"/>
  <c r="P21" i="27" s="1"/>
  <c r="P31" i="27"/>
  <c r="P23" i="27"/>
  <c r="P18" i="27"/>
  <c r="I21" i="25"/>
  <c r="L21" i="25" s="1"/>
  <c r="I23" i="24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K19" i="23" s="1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K18" i="20" s="1"/>
  <c r="I20" i="20"/>
  <c r="L20" i="20" s="1"/>
  <c r="I22" i="20"/>
  <c r="K22" i="20" s="1"/>
  <c r="I24" i="20"/>
  <c r="K24" i="20" s="1"/>
  <c r="I16" i="21"/>
  <c r="L16" i="21" s="1"/>
  <c r="I18" i="21"/>
  <c r="K18" i="21" s="1"/>
  <c r="I20" i="21"/>
  <c r="K20" i="21" s="1"/>
  <c r="I22" i="21"/>
  <c r="K22" i="21" s="1"/>
  <c r="I24" i="21"/>
  <c r="K24" i="21" s="1"/>
  <c r="I16" i="17"/>
  <c r="K16" i="17" s="1"/>
  <c r="I17" i="17"/>
  <c r="K17" i="17" s="1"/>
  <c r="I18" i="17"/>
  <c r="K18" i="17" s="1"/>
  <c r="I19" i="17"/>
  <c r="K19" i="17" s="1"/>
  <c r="I20" i="17"/>
  <c r="K20" i="17" s="1"/>
  <c r="I21" i="17"/>
  <c r="L21" i="17" s="1"/>
  <c r="I22" i="17"/>
  <c r="L22" i="17" s="1"/>
  <c r="I23" i="17"/>
  <c r="K23" i="17" s="1"/>
  <c r="I24" i="17"/>
  <c r="K24" i="17" s="1"/>
  <c r="I19" i="18"/>
  <c r="K19" i="18" s="1"/>
  <c r="I23" i="18"/>
  <c r="L23" i="18" s="1"/>
  <c r="K18" i="25"/>
  <c r="L18" i="25"/>
  <c r="K20" i="25"/>
  <c r="L20" i="25"/>
  <c r="K16" i="25"/>
  <c r="L16" i="25"/>
  <c r="K24" i="25"/>
  <c r="L22" i="25"/>
  <c r="L17" i="25"/>
  <c r="K17" i="25"/>
  <c r="L23" i="25"/>
  <c r="K23" i="25"/>
  <c r="K17" i="24"/>
  <c r="K21" i="24"/>
  <c r="L23" i="24"/>
  <c r="K23" i="24"/>
  <c r="K17" i="23"/>
  <c r="L23" i="23"/>
  <c r="K23" i="23"/>
  <c r="K16" i="22"/>
  <c r="L16" i="22"/>
  <c r="K18" i="22"/>
  <c r="L18" i="22"/>
  <c r="K20" i="22"/>
  <c r="L20" i="22"/>
  <c r="K22" i="22"/>
  <c r="L22" i="22"/>
  <c r="L17" i="22"/>
  <c r="K17" i="22"/>
  <c r="L19" i="22"/>
  <c r="K19" i="22"/>
  <c r="L21" i="22"/>
  <c r="K21" i="22"/>
  <c r="L24" i="20"/>
  <c r="K23" i="20"/>
  <c r="K20" i="19"/>
  <c r="L20" i="19"/>
  <c r="K18" i="19"/>
  <c r="K24" i="19"/>
  <c r="L24" i="19"/>
  <c r="L21" i="19"/>
  <c r="K21" i="19"/>
  <c r="L21" i="18"/>
  <c r="K21" i="18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38" i="15"/>
  <c r="O36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K22" i="18" l="1"/>
  <c r="M22" i="18" s="1"/>
  <c r="L22" i="19"/>
  <c r="L18" i="17"/>
  <c r="K23" i="19"/>
  <c r="M23" i="19" s="1"/>
  <c r="N23" i="19" s="1"/>
  <c r="O23" i="19" s="1"/>
  <c r="K19" i="19"/>
  <c r="L23" i="22"/>
  <c r="L25" i="22" s="1"/>
  <c r="P29" i="22" s="1"/>
  <c r="K19" i="25"/>
  <c r="L19" i="25"/>
  <c r="L25" i="25" s="1"/>
  <c r="P29" i="25" s="1"/>
  <c r="K21" i="25"/>
  <c r="K16" i="24"/>
  <c r="K18" i="18"/>
  <c r="M18" i="18" s="1"/>
  <c r="K21" i="20"/>
  <c r="M21" i="20" s="1"/>
  <c r="N21" i="20" s="1"/>
  <c r="O21" i="20" s="1"/>
  <c r="L21" i="21"/>
  <c r="O25" i="35"/>
  <c r="P16" i="35"/>
  <c r="P25" i="35" s="1"/>
  <c r="P34" i="35"/>
  <c r="P35" i="35" s="1"/>
  <c r="O25" i="33"/>
  <c r="P16" i="33"/>
  <c r="P25" i="33" s="1"/>
  <c r="P34" i="33"/>
  <c r="P35" i="33" s="1"/>
  <c r="P16" i="31"/>
  <c r="P25" i="31" s="1"/>
  <c r="P34" i="31"/>
  <c r="P35" i="31" s="1"/>
  <c r="O25" i="28"/>
  <c r="P16" i="28"/>
  <c r="P25" i="28" s="1"/>
  <c r="P34" i="28"/>
  <c r="P35" i="28" s="1"/>
  <c r="U26" i="15" s="1"/>
  <c r="L20" i="24"/>
  <c r="K19" i="24"/>
  <c r="M19" i="24" s="1"/>
  <c r="N19" i="24" s="1"/>
  <c r="O19" i="24" s="1"/>
  <c r="P19" i="24" s="1"/>
  <c r="L24" i="21"/>
  <c r="L17" i="20"/>
  <c r="M17" i="20" s="1"/>
  <c r="N17" i="20" s="1"/>
  <c r="O17" i="20" s="1"/>
  <c r="K17" i="19"/>
  <c r="M17" i="19" s="1"/>
  <c r="N17" i="19" s="1"/>
  <c r="O17" i="19" s="1"/>
  <c r="L16" i="17"/>
  <c r="K20" i="18"/>
  <c r="M20" i="18" s="1"/>
  <c r="N20" i="18" s="1"/>
  <c r="O20" i="18" s="1"/>
  <c r="L17" i="17"/>
  <c r="M17" i="17" s="1"/>
  <c r="N17" i="17" s="1"/>
  <c r="O17" i="17" s="1"/>
  <c r="L19" i="20"/>
  <c r="M19" i="20" s="1"/>
  <c r="N19" i="20" s="1"/>
  <c r="O19" i="20" s="1"/>
  <c r="K16" i="23"/>
  <c r="M16" i="23" s="1"/>
  <c r="N16" i="23" s="1"/>
  <c r="L24" i="24"/>
  <c r="L18" i="24"/>
  <c r="L22" i="21"/>
  <c r="M22" i="21" s="1"/>
  <c r="N22" i="21" s="1"/>
  <c r="O22" i="21" s="1"/>
  <c r="L18" i="21"/>
  <c r="M18" i="21" s="1"/>
  <c r="N18" i="21" s="1"/>
  <c r="O18" i="21" s="1"/>
  <c r="K16" i="20"/>
  <c r="M16" i="20" s="1"/>
  <c r="N16" i="20" s="1"/>
  <c r="K16" i="19"/>
  <c r="K22" i="17"/>
  <c r="M22" i="17" s="1"/>
  <c r="N22" i="17" s="1"/>
  <c r="O22" i="17" s="1"/>
  <c r="L19" i="21"/>
  <c r="M19" i="21" s="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L19" i="17"/>
  <c r="M19" i="17" s="1"/>
  <c r="N19" i="17" s="1"/>
  <c r="O19" i="17" s="1"/>
  <c r="P19" i="17" s="1"/>
  <c r="L20" i="17"/>
  <c r="M20" i="17" s="1"/>
  <c r="N20" i="17" s="1"/>
  <c r="O20" i="17" s="1"/>
  <c r="K21" i="17"/>
  <c r="L22" i="24"/>
  <c r="M22" i="24" s="1"/>
  <c r="N22" i="24" s="1"/>
  <c r="O22" i="24" s="1"/>
  <c r="L21" i="23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19" i="18"/>
  <c r="L25" i="18" s="1"/>
  <c r="P29" i="18" s="1"/>
  <c r="K23" i="18"/>
  <c r="O25" i="27"/>
  <c r="M23" i="25"/>
  <c r="M16" i="24"/>
  <c r="N16" i="24" s="1"/>
  <c r="M20" i="24"/>
  <c r="N20" i="24" s="1"/>
  <c r="O20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L18" i="20"/>
  <c r="M18" i="20" s="1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M24" i="25"/>
  <c r="N24" i="25" s="1"/>
  <c r="O24" i="25" s="1"/>
  <c r="M18" i="24"/>
  <c r="N18" i="24" s="1"/>
  <c r="O18" i="24" s="1"/>
  <c r="L19" i="23"/>
  <c r="M19" i="23" s="1"/>
  <c r="N19" i="23" s="1"/>
  <c r="O19" i="23" s="1"/>
  <c r="M21" i="22"/>
  <c r="N21" i="22" s="1"/>
  <c r="O21" i="22" s="1"/>
  <c r="P21" i="22" s="1"/>
  <c r="M17" i="22"/>
  <c r="N17" i="22" s="1"/>
  <c r="O17" i="22" s="1"/>
  <c r="L20" i="21"/>
  <c r="M20" i="21" s="1"/>
  <c r="N20" i="21" s="1"/>
  <c r="O20" i="21" s="1"/>
  <c r="M24" i="21"/>
  <c r="N24" i="21" s="1"/>
  <c r="O24" i="21" s="1"/>
  <c r="P24" i="21" s="1"/>
  <c r="M23" i="20"/>
  <c r="N23" i="20" s="1"/>
  <c r="O23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19" i="25"/>
  <c r="M22" i="25"/>
  <c r="N22" i="25" s="1"/>
  <c r="O22" i="25" s="1"/>
  <c r="M20" i="25"/>
  <c r="N20" i="25" s="1"/>
  <c r="O20" i="25" s="1"/>
  <c r="M24" i="24"/>
  <c r="M17" i="24"/>
  <c r="N17" i="24" s="1"/>
  <c r="O17" i="24" s="1"/>
  <c r="M23" i="24"/>
  <c r="I25" i="23"/>
  <c r="P28" i="23" s="1"/>
  <c r="M19" i="22"/>
  <c r="N19" i="22" s="1"/>
  <c r="O19" i="22" s="1"/>
  <c r="M18" i="22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19" i="19"/>
  <c r="N19" i="19" s="1"/>
  <c r="O19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K16" i="16" s="1"/>
  <c r="I17" i="16"/>
  <c r="L17" i="16" s="1"/>
  <c r="I18" i="16"/>
  <c r="K18" i="16" s="1"/>
  <c r="I19" i="16"/>
  <c r="L19" i="16" s="1"/>
  <c r="I20" i="16"/>
  <c r="K20" i="16" s="1"/>
  <c r="I21" i="16"/>
  <c r="L21" i="16" s="1"/>
  <c r="L21" i="15" s="1"/>
  <c r="I22" i="16"/>
  <c r="K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N17" i="25"/>
  <c r="O17" i="25" s="1"/>
  <c r="K25" i="25"/>
  <c r="P30" i="25" s="1"/>
  <c r="M16" i="25"/>
  <c r="N23" i="25"/>
  <c r="O23" i="25" s="1"/>
  <c r="P23" i="25" s="1"/>
  <c r="N19" i="25"/>
  <c r="O19" i="25" s="1"/>
  <c r="N23" i="24"/>
  <c r="O23" i="24" s="1"/>
  <c r="N24" i="24"/>
  <c r="O24" i="24" s="1"/>
  <c r="K25" i="24"/>
  <c r="P30" i="24" s="1"/>
  <c r="N18" i="22"/>
  <c r="O18" i="22" s="1"/>
  <c r="M16" i="22"/>
  <c r="M21" i="21"/>
  <c r="N21" i="21" s="1"/>
  <c r="M21" i="19"/>
  <c r="N24" i="19"/>
  <c r="O24" i="19" s="1"/>
  <c r="L25" i="19"/>
  <c r="P29" i="19" s="1"/>
  <c r="N24" i="18"/>
  <c r="O24" i="18" s="1"/>
  <c r="N18" i="18"/>
  <c r="O18" i="18" s="1"/>
  <c r="N22" i="18"/>
  <c r="O22" i="18" s="1"/>
  <c r="M16" i="17"/>
  <c r="I23" i="15"/>
  <c r="K25" i="19" l="1"/>
  <c r="P30" i="19" s="1"/>
  <c r="K22" i="15"/>
  <c r="M19" i="18"/>
  <c r="N19" i="18" s="1"/>
  <c r="O19" i="18" s="1"/>
  <c r="K18" i="15"/>
  <c r="L25" i="24"/>
  <c r="P29" i="24" s="1"/>
  <c r="P31" i="24" s="1"/>
  <c r="L17" i="15"/>
  <c r="L23" i="15"/>
  <c r="L16" i="16"/>
  <c r="L16" i="15" s="1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L25" i="17"/>
  <c r="P29" i="17" s="1"/>
  <c r="K24" i="16"/>
  <c r="K24" i="15" s="1"/>
  <c r="M24" i="15" s="1"/>
  <c r="M21" i="17"/>
  <c r="N21" i="17" s="1"/>
  <c r="O21" i="17" s="1"/>
  <c r="L18" i="16"/>
  <c r="L18" i="15" s="1"/>
  <c r="L20" i="16"/>
  <c r="L20" i="15" s="1"/>
  <c r="L25" i="21"/>
  <c r="P29" i="21" s="1"/>
  <c r="K16" i="15"/>
  <c r="M16" i="15" s="1"/>
  <c r="L22" i="16"/>
  <c r="L22" i="15" s="1"/>
  <c r="M22" i="15" s="1"/>
  <c r="M22" i="23"/>
  <c r="N22" i="23" s="1"/>
  <c r="O22" i="23" s="1"/>
  <c r="M22" i="20"/>
  <c r="N22" i="20" s="1"/>
  <c r="O22" i="20" s="1"/>
  <c r="M25" i="24"/>
  <c r="K20" i="15"/>
  <c r="K21" i="16"/>
  <c r="K21" i="15" s="1"/>
  <c r="M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32" i="15" s="1"/>
  <c r="M24" i="16"/>
  <c r="N24" i="16" s="1"/>
  <c r="K23" i="16"/>
  <c r="K19" i="16"/>
  <c r="K19" i="15" s="1"/>
  <c r="O21" i="21"/>
  <c r="P21" i="21" s="1"/>
  <c r="M16" i="16"/>
  <c r="N16" i="16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P22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P19" i="18" l="1"/>
  <c r="M25" i="18"/>
  <c r="M18" i="15"/>
  <c r="N16" i="18"/>
  <c r="N16" i="15" s="1"/>
  <c r="M18" i="16"/>
  <c r="N18" i="16" s="1"/>
  <c r="O18" i="16" s="1"/>
  <c r="O18" i="15" s="1"/>
  <c r="M22" i="16"/>
  <c r="N22" i="16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3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O22" i="16"/>
  <c r="O22" i="15" s="1"/>
  <c r="N22" i="15"/>
  <c r="N18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6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8"/>
  <c r="O16" i="17"/>
  <c r="O25" i="17" s="1"/>
  <c r="N25" i="17"/>
  <c r="P32" i="17" s="1"/>
  <c r="O16" i="16"/>
  <c r="N20" i="15" l="1"/>
  <c r="P20" i="15" s="1"/>
  <c r="P33" i="17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4" i="15" s="1"/>
  <c r="P35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7" i="15" s="1"/>
  <c r="P16" i="17"/>
  <c r="P25" i="17" s="1"/>
  <c r="P34" i="17"/>
  <c r="P35" i="17" s="1"/>
  <c r="U15" i="15" s="1"/>
  <c r="P16" i="16"/>
  <c r="P22" i="15"/>
  <c r="P33" i="16" l="1"/>
  <c r="P34" i="16" s="1"/>
  <c r="P35" i="16" s="1"/>
  <c r="U14" i="15" s="1"/>
  <c r="U30" i="15" s="1"/>
  <c r="N25" i="15"/>
  <c r="P36" i="15" s="1"/>
  <c r="P37" i="15" s="1"/>
  <c r="P38" i="15" s="1"/>
  <c r="P39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<sst xmlns="http://schemas.openxmlformats.org/spreadsheetml/2006/main" count="1584" uniqueCount="119">
  <si>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</si>
  <si>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</si>
  <si>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</si>
  <si>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</si>
  <si>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</si>
  <si>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</si>
  <si>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</si>
  <si>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</si>
  <si>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</si>
  <si>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</si>
  <si>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</si>
  <si>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</si>
  <si>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</si>
  <si>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</si>
  <si>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</si>
  <si>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</si>
  <si>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</si>
  <si>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</si>
  <si>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</si>
  <si>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</si>
  <si>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</si>
  <si>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</si>
  <si>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</si>
  <si>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</si>
  <si>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</si>
  <si>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</si>
  <si>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</si>
  <si>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</si>
  <si>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</si>
  <si>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</si>
  <si>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</si>
  <si>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</si>
  <si>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</si>
  <si>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</si>
  <si>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</si>
  <si>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</si>
  <si>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</si>
  <si>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</si>
  <si>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</si>
  <si>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</si>
  <si>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</si>
  <si>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</si>
  <si>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</si>
  <si>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</si>
  <si>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</si>
  <si>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</si>
  <si>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</si>
  <si>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</si>
  <si>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</si>
  <si>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</si>
  <si>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</si>
  <si>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</si>
  <si>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</si>
  <si>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</si>
  <si>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</si>
  <si>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</si>
  <si>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</si>
  <si>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</si>
  <si>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</si>
  <si>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</si>
  <si>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</si>
  <si>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</si>
  <si>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</si>
  <si>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</si>
  <si>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</si>
  <si>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</si>
  <si>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</si>
  <si>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</si>
  <si>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</si>
  <si>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</si>
  <si>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</si>
  <si>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</si>
  <si>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</si>
  <si>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</si>
  <si>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</si>
  <si>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</si>
  <si>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</si>
  <si>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</si>
  <si>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</si>
  <si>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</si>
  <si>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</si>
  <si>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</si>
  <si>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</si>
  <si>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</si>
  <si>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</si>
  <si>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</si>
  <si>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</si>
  <si>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</si>
  <si>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</si>
  <si>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</si>
  <si>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</si>
  <si>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</si>
  <si>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</si>
  <si>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</si>
  <si>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</si>
  <si>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</si>
  <si>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</si>
  <si>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</si>
  <si>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</si>
  <si>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</si>
  <si>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</si>
  <si>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</si>
  <si>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 xml:space="preserve">Customer Name : </t>
  </si>
  <si>
    <t xml:space="preserve">Address: </t>
  </si>
  <si>
    <t>Umair Rehman</t>
  </si>
  <si>
    <t>Umer Nawaz</t>
  </si>
  <si>
    <t>Umair</t>
  </si>
  <si>
    <t>Shop Bill Summary (Umair)</t>
  </si>
  <si>
    <t>Customer Name :Gulshan Bakery</t>
  </si>
  <si>
    <t>Address: Awan Market</t>
  </si>
  <si>
    <t>4360696-2</t>
  </si>
  <si>
    <t>Customer Name : Al Fazal Cash &amp; Carry</t>
  </si>
  <si>
    <t>Address: Nishter Colony</t>
  </si>
  <si>
    <t>Customer Name : Ali Super Store</t>
  </si>
  <si>
    <t>4950431-4</t>
  </si>
  <si>
    <t>Customer Name : Al Hamd Sweet &amp; Bakery</t>
  </si>
  <si>
    <t>Customer Name : SS Sweets</t>
  </si>
  <si>
    <t>Customer Name : A One Bakery</t>
  </si>
  <si>
    <t>1015702-4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</si>
</sst>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3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2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0" fillId="0" borderId="0" xfId="0" applyAlignment="1">
      <alignment horizontal="left" vertical="center" wrapText="1"/>
    </xf>
    <xf numFmtId="0" fontId="18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26" xfId="0" applyFont="1" applyBorder="1" applyAlignment="1">
      <alignment horizontal="center" vertical="top" wrapText="1"/>
    </xf>
    <xf numFmtId="0" fontId="13" fillId="0" borderId="14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B16" sqref="B16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  <c r="B14" t="s">
        <v>104</v>
      </c>
    </row>
    <row r="15" spans="1:2" x14ac:dyDescent="0.35">
      <c r="A15">
        <v>10</v>
      </c>
      <c r="B15" t="s">
        <v>105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F10" sqref="F10"/>
      <selection pane="topRight" activeCell="F10" sqref="F10"/>
      <selection pane="bottomLeft" activeCell="F10" sqref="F10"/>
      <selection pane="bottomRight" activeCell="F10" sqref="F10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3"/>
      <c r="B3" s="183"/>
      <c r="C3" s="183"/>
      <c r="D3" s="183"/>
      <c r="E3" s="183"/>
      <c r="F3" s="184"/>
      <c r="G3" s="184"/>
      <c r="H3" s="184"/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</row>
    <row r="4" spans="1:29" x14ac:dyDescent="0.35">
      <c r="A4" s="185" t="s">
        <v>6</v>
      </c>
      <c r="B4" s="5" t="s">
        <v>7</v>
      </c>
      <c r="C4" s="5"/>
      <c r="D4" s="187" t="s">
        <v>8</v>
      </c>
      <c r="E4" s="189" t="s">
        <v>9</v>
      </c>
      <c r="F4" s="191" t="s">
        <v>3</v>
      </c>
      <c r="G4" s="191"/>
      <c r="H4" s="192" t="s">
        <v>10</v>
      </c>
      <c r="I4" s="192"/>
      <c r="J4" s="193" t="s">
        <v>11</v>
      </c>
      <c r="K4" s="194"/>
      <c r="L4" s="193" t="s">
        <v>12</v>
      </c>
      <c r="M4" s="194"/>
      <c r="N4" s="195" t="s">
        <v>13</v>
      </c>
      <c r="O4" s="195"/>
      <c r="P4" s="193" t="s">
        <v>4</v>
      </c>
      <c r="Q4" s="194"/>
      <c r="R4" s="193" t="s">
        <v>14</v>
      </c>
      <c r="S4" s="194"/>
      <c r="T4" s="196" t="s">
        <v>15</v>
      </c>
      <c r="U4" s="196"/>
      <c r="V4" s="197" t="s">
        <v>16</v>
      </c>
      <c r="W4" s="198"/>
      <c r="X4" s="197" t="s">
        <v>17</v>
      </c>
      <c r="Y4" s="198"/>
    </row>
    <row r="5" spans="1:29" ht="26.25" customHeight="1" thickBot="1" x14ac:dyDescent="0.4">
      <c r="A5" s="186"/>
      <c r="B5" s="7" t="s">
        <v>18</v>
      </c>
      <c r="C5" s="7" t="s">
        <v>8</v>
      </c>
      <c r="D5" s="188"/>
      <c r="E5" s="190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1"/>
  <sheetViews>
    <sheetView tabSelected="1" topLeftCell="A24" zoomScale="70" zoomScaleNormal="70" workbookViewId="0">
      <selection activeCell="S29" sqref="S2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0.453125" bestFit="1" customWidth="1"/>
  </cols>
  <sheetData>
    <row r="2" spans="1:21 16383:16384" ht="21" x14ac:dyDescent="0.5">
      <c r="A2" s="199" t="s">
        <v>45</v>
      </c>
      <c r="B2" s="199"/>
      <c r="C2" s="199"/>
    </row>
    <row r="3" spans="1:21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46196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04" t="s">
        <v>106</v>
      </c>
      <c r="B5" s="204"/>
      <c r="C5" s="204"/>
      <c r="F5" s="70"/>
      <c r="G5" s="71"/>
      <c r="K5" s="201" t="s">
        <v>51</v>
      </c>
      <c r="L5" s="201"/>
      <c r="M5" s="201"/>
      <c r="N5" s="202">
        <f ca="1">N4-1</f>
        <v>46195</v>
      </c>
      <c r="O5" s="200"/>
      <c r="P5" s="200"/>
      <c r="R5" s="70"/>
      <c r="S5" s="71"/>
    </row>
    <row r="6" spans="1:21 16383:16384" ht="15" customHeight="1" x14ac:dyDescent="0.35">
      <c r="A6" s="204"/>
      <c r="B6" s="204"/>
      <c r="C6" s="204"/>
      <c r="F6" s="70"/>
      <c r="G6" s="74"/>
      <c r="K6" s="201" t="s">
        <v>52</v>
      </c>
      <c r="L6" s="201"/>
      <c r="M6" s="201"/>
      <c r="N6" s="203" t="s">
        <v>42</v>
      </c>
      <c r="O6" s="203"/>
      <c r="P6" s="203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21 16383:16384" hidden="1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21 16383:16384" x14ac:dyDescent="0.35">
      <c r="A10" s="206"/>
      <c r="B10" s="75"/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21 16383:16384" ht="15" thickBot="1" x14ac:dyDescent="0.4">
      <c r="A11" s="206"/>
      <c r="B11" s="76"/>
      <c r="C11" s="77"/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21 16383:16384" ht="14.65" customHeight="1" x14ac:dyDescent="0.35">
      <c r="A12" s="206"/>
      <c r="B12" s="76"/>
      <c r="C12" s="77"/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T12" s="215" t="s">
        <v>107</v>
      </c>
      <c r="U12" s="216"/>
      <c r="XFD12" t="s">
        <v>62</v>
      </c>
    </row>
    <row r="13" spans="1:21 16383:16384" ht="15" thickBot="1" x14ac:dyDescent="0.4">
      <c r="A13" s="243"/>
      <c r="J13" s="78"/>
      <c r="K13" s="78"/>
      <c r="L13" s="79">
        <v>0.05</v>
      </c>
      <c r="T13" s="217"/>
      <c r="U13" s="218"/>
      <c r="XFD13" t="s">
        <v>63</v>
      </c>
    </row>
    <row r="14" spans="1:21 16383:16384" ht="29.25" customHeight="1" x14ac:dyDescent="0.6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09" t="s">
        <v>68</v>
      </c>
      <c r="H14" s="210"/>
      <c r="I14" s="210" t="s">
        <v>69</v>
      </c>
      <c r="J14" s="210" t="s">
        <v>70</v>
      </c>
      <c r="K14" s="210"/>
      <c r="L14" s="212"/>
      <c r="M14" s="213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>Customer Name :Gulshan Bakery</v>
      </c>
      <c r="U14" s="164">
        <f>+'1'!P35</f>
        <v>2390.3320994999999</v>
      </c>
      <c r="XFD14" t="s">
        <v>75</v>
      </c>
    </row>
    <row r="15" spans="1:21 16383:16384" ht="29.25" customHeight="1" thickBot="1" x14ac:dyDescent="0.65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173" t="s">
        <v>2</v>
      </c>
      <c r="H15" s="171" t="s">
        <v>77</v>
      </c>
      <c r="I15" s="211"/>
      <c r="J15" s="171" t="s">
        <v>78</v>
      </c>
      <c r="K15" s="171" t="s">
        <v>79</v>
      </c>
      <c r="L15" s="174" t="s">
        <v>80</v>
      </c>
      <c r="M15" s="21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>Customer Name : Al Fazal Cash &amp; Carry</v>
      </c>
      <c r="U15" s="164">
        <f>+'2'!P35</f>
        <v>9929.0192255999991</v>
      </c>
      <c r="XFD15" t="s">
        <v>81</v>
      </c>
    </row>
    <row r="16" spans="1:21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70">
        <f>VLOOKUP(A16,'[1]Cust. Price List'!D6:M14,10,0)</f>
        <v>52.462499999999999</v>
      </c>
      <c r="G16" s="114"/>
      <c r="H16" s="172">
        <f>+'1'!H16+'2'!H16+'4'!H16+'3'!H16+'5'!H16+'6'!H16+'7'!H16+'8'!H16+'9'!H16+'10'!H16+'11'!H16+'12'!H16+'13'!H16+'14'!H16+'15'!H16+'16'!H16</f>
        <v>21</v>
      </c>
      <c r="I16" s="1">
        <f>(G16*D16)*F16+H16*F16</f>
        <v>1101.7124999999999</v>
      </c>
      <c r="J16" s="172">
        <f>+'1'!J16+'2'!J16+'4'!J16+'3'!J16+'5'!J16+'6'!J16+'7'!J16+'8'!J16+'9'!J16+'10'!J16+'11'!J16+'12'!J16+'13'!J16+'14'!J16+'15'!J16+'16'!J16+'17'!J16+'18'!J16</f>
        <v>1</v>
      </c>
      <c r="K16" s="172">
        <f>+'1'!K16+'2'!K16+'4'!K16+'3'!K16+'5'!K16+'6'!K16+'7'!K16+'8'!K16+'9'!K16+'10'!K16</f>
        <v>0</v>
      </c>
      <c r="L16" s="175">
        <f>+'1'!L16+'2'!L16+'4'!L16+'3'!L16+'5'!L16+'6'!L16+'7'!L16+'8'!L16+'9'!L16+'10'!L16</f>
        <v>88.137</v>
      </c>
      <c r="M16" s="106">
        <f>I16-K16-L16</f>
        <v>1013.5754999999999</v>
      </c>
      <c r="N16" s="101">
        <f>+'1'!N16+'2'!N16+'4'!N16+'3'!N16+'5'!N16+'6'!N16+'7'!N16+'8'!N16+'9'!N16+'10'!N16</f>
        <v>234.52835999999999</v>
      </c>
      <c r="O16" s="101">
        <f>+'1'!O16+'2'!O16+'4'!O16+'3'!O16+'5'!O16+'6'!O16+'7'!O16+'8'!O16+'9'!O16+'10'!O16</f>
        <v>6.2405192999999999</v>
      </c>
      <c r="P16" s="105">
        <f t="shared" ref="P16:P24" si="0">M16+N16+O16</f>
        <v>1254.3443792999999</v>
      </c>
      <c r="Q16" s="108"/>
      <c r="T16" s="163" t="str">
        <f>+'3'!A5</f>
        <v>Customer Name : Ali Super Store</v>
      </c>
      <c r="U16" s="164">
        <f>+'3'!P35</f>
        <v>2134.5726042000006</v>
      </c>
      <c r="XFD16" t="s">
        <v>82</v>
      </c>
    </row>
    <row r="17" spans="1:21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2">
        <f>+'1'!H17+'2'!H17+'4'!H17+'3'!H17+'5'!H17+'6'!H17+'7'!H17+'8'!H17+'9'!H17+'10'!H17+'11'!H17+'12'!H17+'13'!H17+'14'!H17+'15'!H17+'16'!H17</f>
        <v>21</v>
      </c>
      <c r="I17" s="1">
        <f t="shared" ref="I17:I23" si="1">(G17*D17)*F17+H17*F17</f>
        <v>1101.7124999999999</v>
      </c>
      <c r="J17" s="172">
        <f>+'1'!J17+'2'!J17+'4'!J17+'3'!J17+'5'!J17+'6'!J17+'7'!J17+'8'!J17+'9'!J17+'10'!J17+'11'!J17+'12'!J17+'13'!J17+'14'!J17+'15'!J17+'16'!J17+'17'!J17+'18'!J17</f>
        <v>2</v>
      </c>
      <c r="K17" s="172">
        <f>+'1'!K17+'2'!K17+'4'!K17+'3'!K17+'5'!K17+'6'!K17+'7'!K17+'8'!K17+'9'!K17+'10'!K17</f>
        <v>0</v>
      </c>
      <c r="L17" s="175">
        <f>+'1'!L17+'2'!L17+'4'!L17+'3'!L17+'5'!L17+'6'!L17+'7'!L17+'8'!L17+'9'!L17+'10'!L17</f>
        <v>88.137</v>
      </c>
      <c r="M17" s="118">
        <f t="shared" ref="M17:M23" si="2">I17-K17-L17</f>
        <v>1013.5754999999999</v>
      </c>
      <c r="N17" s="101">
        <f>+'1'!N17+'2'!N17+'4'!N17+'3'!N17+'5'!N17+'6'!N17+'7'!N17+'8'!N17+'9'!N17+'10'!N17</f>
        <v>246.07011</v>
      </c>
      <c r="O17" s="101">
        <f>+'1'!O17+'2'!O17+'4'!O17+'3'!O17+'5'!O17+'6'!O17+'7'!O17+'8'!O17+'9'!O17+'10'!O17</f>
        <v>6.2982280499999996</v>
      </c>
      <c r="P17" s="120">
        <f t="shared" si="0"/>
        <v>1265.9438380500001</v>
      </c>
      <c r="S17" s="64"/>
      <c r="T17" s="163" t="str">
        <f>+'4'!A5</f>
        <v>Customer Name : Al Hamd Sweet &amp; Bakery</v>
      </c>
      <c r="U17" s="164">
        <f>+'4'!P35</f>
        <v>5070.1295250000003</v>
      </c>
      <c r="XFD17" t="s">
        <v>83</v>
      </c>
    </row>
    <row r="18" spans="1:21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2">
        <f>+'1'!H18+'2'!H18+'4'!H18+'3'!H18+'5'!H18+'6'!H18+'7'!H18+'8'!H18+'9'!H18+'10'!H18+'11'!H18+'12'!H18+'13'!H18+'14'!H18+'15'!H18+'16'!H18</f>
        <v>19</v>
      </c>
      <c r="I18" s="1">
        <f t="shared" si="1"/>
        <v>996.78750000000002</v>
      </c>
      <c r="J18" s="172">
        <f>+'1'!J18+'2'!J18+'4'!J18+'3'!J18+'5'!J18+'6'!J18+'7'!J18+'8'!J18+'9'!J18+'10'!J18+'11'!J18+'12'!J18+'13'!J18+'14'!J18+'15'!J18+'16'!J18+'17'!J18+'18'!J18</f>
        <v>0</v>
      </c>
      <c r="K18" s="172">
        <f>+'1'!K18+'2'!K18+'4'!K18+'3'!K18+'5'!K18+'6'!K18+'7'!K18+'8'!K18+'9'!K18+'10'!K18</f>
        <v>0</v>
      </c>
      <c r="L18" s="175">
        <f>+'1'!L18+'2'!L18+'4'!L18+'3'!L18+'5'!L18+'6'!L18+'7'!L18+'8'!L18+'9'!L18+'10'!L18</f>
        <v>79.742999999999995</v>
      </c>
      <c r="M18" s="118">
        <f t="shared" si="2"/>
        <v>917.04449999999997</v>
      </c>
      <c r="N18" s="101">
        <f>+'1'!N18+'2'!N18+'4'!N18+'3'!N18+'5'!N18+'6'!N18+'7'!N18+'8'!N18+'9'!N18+'10'!N18</f>
        <v>201.74978999999996</v>
      </c>
      <c r="O18" s="101">
        <f>+'1'!O18+'2'!O18+'4'!O18+'3'!O18+'5'!O18+'6'!O18+'7'!O18+'8'!O18+'9'!O18+'10'!O18</f>
        <v>5.5939714499999997</v>
      </c>
      <c r="P18" s="120">
        <f t="shared" si="0"/>
        <v>1124.3882614499998</v>
      </c>
      <c r="T18" s="163" t="str">
        <f>+'5'!A5</f>
        <v>Customer Name : SS Sweets</v>
      </c>
      <c r="U18" s="164">
        <f>+'5'!P35</f>
        <v>3375.5372160000002</v>
      </c>
    </row>
    <row r="19" spans="1:21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2">
        <f>+'1'!H19+'2'!H19+'4'!H19+'3'!H19+'5'!H19+'6'!H19+'7'!H19+'8'!H19+'9'!H19+'10'!H19+'11'!H19+'12'!H19+'13'!H19+'14'!H19+'15'!H19+'16'!H19</f>
        <v>82</v>
      </c>
      <c r="I19" s="1">
        <f t="shared" si="1"/>
        <v>5956.4800000000005</v>
      </c>
      <c r="J19" s="172">
        <f>+'1'!J19+'2'!J19+'4'!J19+'3'!J19+'5'!J19+'6'!J19+'7'!J19+'8'!J19+'9'!J19+'10'!J19+'11'!J19+'12'!J19+'13'!J19+'14'!J19+'15'!J19+'16'!J19+'17'!J19+'18'!J19</f>
        <v>4</v>
      </c>
      <c r="K19" s="172">
        <f>+'1'!K19+'2'!K19+'4'!K19+'3'!K19+'5'!K19+'6'!K19+'7'!K19+'8'!K19+'9'!K19+'10'!K19</f>
        <v>0</v>
      </c>
      <c r="L19" s="175">
        <f>+'1'!L19+'2'!L19+'4'!L19+'3'!L19+'5'!L19+'6'!L19+'7'!L19+'8'!L19+'9'!L19+'10'!L19</f>
        <v>476.51840000000004</v>
      </c>
      <c r="M19" s="118">
        <f t="shared" si="2"/>
        <v>5479.9616000000005</v>
      </c>
      <c r="N19" s="101">
        <f>+'1'!N19+'2'!N19+'4'!N19+'3'!N19+'5'!N19+'6'!N19+'7'!N19+'8'!N19+'9'!N19+'10'!N19</f>
        <v>1269.514752</v>
      </c>
      <c r="O19" s="101">
        <f>+'1'!O19+'2'!O19+'4'!O19+'3'!O19+'5'!O19+'6'!O19+'7'!O19+'8'!O19+'9'!O19+'10'!O19</f>
        <v>56.895715840000001</v>
      </c>
      <c r="P19" s="120">
        <f t="shared" si="0"/>
        <v>6806.3720678400005</v>
      </c>
      <c r="T19" s="163" t="str">
        <f>+'6'!A5</f>
        <v>Customer Name : A One Bakery</v>
      </c>
      <c r="U19" s="164">
        <f>+'6'!P35</f>
        <v>3309.6730752000003</v>
      </c>
    </row>
    <row r="20" spans="1:21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2">
        <f>+'1'!H20+'2'!H20+'4'!H20+'3'!H20+'5'!H20+'6'!H20+'7'!H20+'8'!H20+'9'!H20+'10'!H20+'11'!H20+'12'!H20+'13'!H20+'14'!H20+'15'!H20+'16'!H20</f>
        <v>82</v>
      </c>
      <c r="I20" s="1">
        <f t="shared" si="1"/>
        <v>5956.4800000000005</v>
      </c>
      <c r="J20" s="172">
        <f>+'1'!J20+'2'!J20+'4'!J20+'3'!J20+'5'!J20+'6'!J20+'7'!J20+'8'!J20+'9'!J20+'10'!J20+'11'!J20+'12'!J20+'13'!J20+'14'!J20+'15'!J20+'16'!J20+'17'!J20+'18'!J20</f>
        <v>5</v>
      </c>
      <c r="K20" s="172">
        <f>+'1'!K20+'2'!K20+'4'!K20+'3'!K20+'5'!K20+'6'!K20+'7'!K20+'8'!K20+'9'!K20+'10'!K20</f>
        <v>0</v>
      </c>
      <c r="L20" s="175">
        <f>+'1'!L20+'2'!L20+'4'!L20+'3'!L20+'5'!L20+'6'!L20+'7'!L20+'8'!L20+'9'!L20+'10'!L20</f>
        <v>476.51840000000004</v>
      </c>
      <c r="M20" s="118">
        <f t="shared" si="2"/>
        <v>5479.9616000000005</v>
      </c>
      <c r="N20" s="101">
        <f>+'1'!N20+'2'!N20+'4'!N20+'3'!N20+'5'!N20+'6'!N20+'7'!N20+'8'!N20+'9'!N20+'10'!N20</f>
        <v>1285.4955519999999</v>
      </c>
      <c r="O20" s="101">
        <f>+'1'!O20+'2'!O20+'4'!O20+'3'!O20+'5'!O20+'6'!O20+'7'!O20+'8'!O20+'9'!O20+'10'!O20</f>
        <v>56.97561984</v>
      </c>
      <c r="P20" s="120">
        <f t="shared" si="0"/>
        <v>6822.4327718400009</v>
      </c>
      <c r="T20" s="163" t="str">
        <f>+'7'!A5</f>
        <v xml:space="preserve">Customer Name : </v>
      </c>
      <c r="U20" s="164">
        <f>+'7'!P35</f>
        <v>0</v>
      </c>
    </row>
    <row r="21" spans="1:21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2">
        <f>+'1'!H21+'2'!H21+'4'!H21+'3'!H21+'5'!H21+'6'!H21+'7'!H21+'8'!H21+'9'!H21+'10'!H21+'11'!H21+'12'!H21+'13'!H21+'14'!H21+'15'!H21+'16'!H21</f>
        <v>76</v>
      </c>
      <c r="I21" s="1">
        <f t="shared" si="1"/>
        <v>5520.64</v>
      </c>
      <c r="J21" s="172">
        <f>+'1'!J21+'2'!J21+'4'!J21+'3'!J21+'5'!J21+'6'!J21+'7'!J21+'8'!J21+'9'!J21+'10'!J21+'11'!J21+'12'!J21+'13'!J21+'14'!J21+'15'!J21+'16'!J21+'17'!J21+'18'!J21</f>
        <v>3</v>
      </c>
      <c r="K21" s="172">
        <f>+'1'!K21+'2'!K21+'4'!K21+'3'!K21+'5'!K21+'6'!K21+'7'!K21+'8'!K21+'9'!K21+'10'!K21</f>
        <v>0</v>
      </c>
      <c r="L21" s="175">
        <f>+'1'!L21+'2'!L21+'4'!L21+'3'!L21+'5'!L21+'6'!L21+'7'!L21+'8'!L21+'9'!L21+'10'!L21</f>
        <v>441.65120000000002</v>
      </c>
      <c r="M21" s="118">
        <f t="shared" si="2"/>
        <v>5078.9888000000001</v>
      </c>
      <c r="N21" s="101">
        <f>+'1'!N21+'2'!N21+'4'!N21+'3'!N21+'5'!N21+'6'!N21+'7'!N21+'8'!N21+'9'!N21+'10'!N21</f>
        <v>1165.3199359999999</v>
      </c>
      <c r="O21" s="101">
        <f>+'1'!O21+'2'!O21+'4'!O21+'3'!O21+'5'!O21+'6'!O21+'7'!O21+'8'!O21+'9'!O21+'10'!O21</f>
        <v>50.789016320000002</v>
      </c>
      <c r="P21" s="120">
        <f t="shared" si="0"/>
        <v>6295.0977523199999</v>
      </c>
      <c r="T21" s="163" t="str">
        <f>+'8'!A5</f>
        <v xml:space="preserve">Customer Name : </v>
      </c>
      <c r="U21" s="164">
        <f>+'8'!P35</f>
        <v>0</v>
      </c>
    </row>
    <row r="22" spans="1:21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2">
        <f>+'1'!H22+'2'!H22+'4'!H22+'3'!H22+'5'!H22+'6'!H22+'7'!H22+'8'!H22+'9'!H22+'10'!H22+'11'!H22+'12'!H22+'13'!H22+'14'!H22+'15'!H22+'16'!H22</f>
        <v>60</v>
      </c>
      <c r="I22" s="1">
        <f t="shared" si="1"/>
        <v>2353.8000000000002</v>
      </c>
      <c r="J22" s="172">
        <f>+'1'!J22+'2'!J22+'4'!J22+'3'!J22+'5'!J22+'6'!J22+'7'!J22+'8'!J22+'9'!J22+'10'!J22+'11'!J22+'12'!J22+'13'!J22+'14'!J22+'15'!J22+'16'!J22+'17'!J22+'18'!J22</f>
        <v>0</v>
      </c>
      <c r="K22" s="172">
        <f>+'1'!K22+'2'!K22+'4'!K22+'3'!K22+'5'!K22+'6'!K22+'7'!K22+'8'!K22+'9'!K22+'10'!K22</f>
        <v>82.38300000000001</v>
      </c>
      <c r="L22" s="175">
        <f>+'1'!L22+'2'!L22+'4'!L22+'3'!L22+'5'!L22+'6'!L22+'7'!L22+'8'!L22+'9'!L22+'10'!L22</f>
        <v>117.69000000000003</v>
      </c>
      <c r="M22" s="118">
        <f t="shared" si="2"/>
        <v>2153.7270000000003</v>
      </c>
      <c r="N22" s="101">
        <f>+'1'!N22+'2'!N22+'4'!N22+'3'!N22+'5'!N22+'6'!N22+'7'!N22+'8'!N22+'9'!N22+'10'!N22</f>
        <v>473.81994000000009</v>
      </c>
      <c r="O22" s="101">
        <f>+'1'!O22+'2'!O22+'4'!O22+'3'!O22+'5'!O22+'6'!O22+'7'!O22+'8'!O22+'9'!O22+'10'!O22</f>
        <v>13.137734700000003</v>
      </c>
      <c r="P22" s="120">
        <f t="shared" si="0"/>
        <v>2640.6846747</v>
      </c>
      <c r="T22" s="163" t="str">
        <f>+'9'!A5</f>
        <v xml:space="preserve">Customer Name : </v>
      </c>
      <c r="U22" s="164">
        <f>+'9'!P35</f>
        <v>0</v>
      </c>
    </row>
    <row r="23" spans="1:21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2">
        <f>+'1'!H23+'2'!H23+'4'!H23+'3'!H23+'5'!H23+'6'!H23+'7'!H23+'8'!H23+'9'!H23+'10'!H23+'11'!H23+'12'!H23+'13'!H23+'14'!H23+'15'!H23+'16'!H23</f>
        <v>0</v>
      </c>
      <c r="I23" s="1">
        <f t="shared" si="1"/>
        <v>0</v>
      </c>
      <c r="J23" s="172">
        <f>+'1'!J23+'2'!J23+'4'!J23+'3'!J23+'5'!J23+'6'!J23+'7'!J23+'8'!J23+'9'!J23+'10'!J23+'11'!J23+'12'!J23+'13'!J23+'14'!J23+'15'!J23+'16'!J23+'17'!J23+'18'!J23</f>
        <v>0</v>
      </c>
      <c r="K23" s="172">
        <f>+'1'!K23+'2'!K23+'4'!K23+'3'!K23+'5'!K23+'6'!K23+'7'!K23+'8'!K23+'9'!K23+'10'!K23</f>
        <v>0</v>
      </c>
      <c r="L23" s="175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 xml:space="preserve">Customer Name : </v>
      </c>
      <c r="U23" s="164">
        <f>+'10'!P35</f>
        <v>0</v>
      </c>
    </row>
    <row r="24" spans="1:21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2">
        <f>+'1'!H24+'2'!H24+'4'!H24+'3'!H24+'5'!H24+'6'!H24+'7'!H24+'8'!H24+'9'!H24+'10'!H24+'11'!H24+'12'!H24+'13'!H24+'14'!H24+'15'!H24+'16'!H24</f>
        <v>0</v>
      </c>
      <c r="I24" s="1">
        <f>(G24*D24)*F24+H24*F24</f>
        <v>0</v>
      </c>
      <c r="J24" s="172">
        <f>+'1'!J24+'2'!J24+'4'!J24+'3'!J24+'5'!J24+'6'!J24+'7'!J24+'8'!J24+'9'!J24+'10'!J24+'11'!J24+'12'!J24+'13'!J24+'14'!J24+'15'!J24+'16'!J24+'17'!J24+'18'!J24</f>
        <v>0</v>
      </c>
      <c r="K24" s="172">
        <f>+'1'!K24+'2'!K24+'4'!K24+'3'!K24+'5'!K24+'6'!K24+'7'!K24+'8'!K24+'9'!K24+'10'!K24</f>
        <v>0</v>
      </c>
      <c r="L24" s="175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 xml:space="preserve">Customer Name : </v>
      </c>
      <c r="U24" s="164">
        <f>+'11'!P35</f>
        <v>0</v>
      </c>
    </row>
    <row r="25" spans="1:21 16384:16384" ht="26.5" thickBot="1" x14ac:dyDescent="0.65">
      <c r="A25" s="225" t="s">
        <v>84</v>
      </c>
      <c r="B25" s="226"/>
      <c r="C25" s="227">
        <f>H25/40</f>
        <v>9.0250000000000004</v>
      </c>
      <c r="D25" s="221"/>
      <c r="E25" s="221"/>
      <c r="F25" s="221"/>
      <c r="G25" s="176">
        <f t="shared" ref="G25:M25" si="3">SUM(G16:G24)</f>
        <v>0</v>
      </c>
      <c r="H25" s="177">
        <f t="shared" si="3"/>
        <v>361</v>
      </c>
      <c r="I25" s="178">
        <f t="shared" si="3"/>
        <v>22987.612499999999</v>
      </c>
      <c r="J25" s="177">
        <f t="shared" si="3"/>
        <v>15</v>
      </c>
      <c r="K25" s="178">
        <f t="shared" si="3"/>
        <v>82.38300000000001</v>
      </c>
      <c r="L25" s="179">
        <f t="shared" si="3"/>
        <v>1768.3950000000002</v>
      </c>
      <c r="M25" s="141">
        <f t="shared" si="3"/>
        <v>21136.834500000001</v>
      </c>
      <c r="N25" s="142">
        <f>SUM(N16:N24)</f>
        <v>4876.4984400000003</v>
      </c>
      <c r="O25" s="143">
        <f>SUM(O16:O24)</f>
        <v>195.93080550000002</v>
      </c>
      <c r="P25" s="144">
        <f>SUM(P16:P24)</f>
        <v>26209.2637455</v>
      </c>
      <c r="T25" s="163" t="str">
        <f>+'12'!A5</f>
        <v xml:space="preserve">Customer Name : </v>
      </c>
      <c r="U25" s="164">
        <f>+'12'!P35</f>
        <v>0</v>
      </c>
    </row>
    <row r="26" spans="1:21 16384:16384" ht="26" x14ac:dyDescent="0.6">
      <c r="A26" s="145"/>
      <c r="B26" s="145"/>
      <c r="C26" s="145"/>
      <c r="D26" s="145"/>
      <c r="E26" s="145"/>
      <c r="F26" s="145"/>
      <c r="G26" s="146"/>
      <c r="H26" s="146"/>
      <c r="I26" s="147"/>
      <c r="J26" s="146"/>
      <c r="K26" s="147"/>
      <c r="L26" s="148"/>
      <c r="M26" s="146"/>
      <c r="N26" s="146"/>
      <c r="O26" s="148"/>
      <c r="P26" s="147"/>
      <c r="T26" s="163" t="str">
        <f>+'13'!A5</f>
        <v xml:space="preserve">Customer Name : </v>
      </c>
      <c r="U26" s="164">
        <f>+'13'!P35</f>
        <v>0</v>
      </c>
    </row>
    <row r="27" spans="1:21 16384:16384" ht="26" x14ac:dyDescent="0.6">
      <c r="A27" s="145"/>
      <c r="B27" s="145"/>
      <c r="C27" s="145"/>
      <c r="D27" s="145"/>
      <c r="E27" s="145"/>
      <c r="F27" s="145"/>
      <c r="G27" s="146"/>
      <c r="H27" s="146"/>
      <c r="I27" s="147"/>
      <c r="J27" s="146"/>
      <c r="K27" s="147"/>
      <c r="L27" s="148"/>
      <c r="M27" s="146"/>
      <c r="N27" s="146"/>
      <c r="O27" s="148"/>
      <c r="P27" s="147"/>
      <c r="T27" s="163" t="str">
        <f>+'14'!A5</f>
        <v xml:space="preserve">Customer Name : </v>
      </c>
      <c r="U27" s="164">
        <f>+'14'!P35</f>
        <v>0</v>
      </c>
    </row>
    <row r="28" spans="1:21 16384:16384" ht="26" x14ac:dyDescent="0.6">
      <c r="A28" s="145"/>
      <c r="B28" s="145"/>
      <c r="C28" s="145"/>
      <c r="D28" s="145"/>
      <c r="E28" s="145"/>
      <c r="F28" s="145"/>
      <c r="G28" s="146"/>
      <c r="H28" s="146"/>
      <c r="I28" s="147"/>
      <c r="J28" s="146"/>
      <c r="K28" s="147"/>
      <c r="L28" s="148"/>
      <c r="M28" s="146"/>
      <c r="N28" s="146"/>
      <c r="O28" s="148"/>
      <c r="P28" s="147"/>
      <c r="T28" s="163" t="str">
        <f>+'15'!A5</f>
        <v xml:space="preserve">Customer Name : </v>
      </c>
      <c r="U28" s="182">
        <f>+'15'!P35</f>
        <v>0</v>
      </c>
    </row>
    <row r="29" spans="1:21 16384:16384" ht="26" x14ac:dyDescent="0.6">
      <c r="A29" s="145"/>
      <c r="B29" s="145"/>
      <c r="C29" s="145"/>
      <c r="D29" s="145"/>
      <c r="E29" s="145"/>
      <c r="F29" s="145"/>
      <c r="G29" s="146"/>
      <c r="H29" s="146"/>
      <c r="I29" s="147"/>
      <c r="J29" s="146"/>
      <c r="K29" s="147"/>
      <c r="L29" s="148"/>
      <c r="M29" s="146"/>
      <c r="N29" s="146"/>
      <c r="O29" s="148"/>
      <c r="P29" s="147"/>
      <c r="T29" s="181"/>
      <c r="U29" s="182"/>
    </row>
    <row r="30" spans="1:21 16384:16384" ht="26.5" thickBot="1" x14ac:dyDescent="0.65">
      <c r="A30" s="145"/>
      <c r="B30" s="145"/>
      <c r="C30" s="145"/>
      <c r="D30" s="145"/>
      <c r="E30" s="145"/>
      <c r="F30" s="145"/>
      <c r="G30" s="146"/>
      <c r="H30" s="146"/>
      <c r="I30" s="147"/>
      <c r="K30" s="148"/>
      <c r="L30" s="148"/>
      <c r="M30" s="148"/>
      <c r="N30" s="148"/>
      <c r="O30" s="149"/>
      <c r="P30" s="148"/>
      <c r="T30" s="166" t="s">
        <v>84</v>
      </c>
      <c r="U30" s="165">
        <f>SUM(U14:U28)</f>
        <v>26209.2637455</v>
      </c>
    </row>
    <row r="31" spans="1:21 16384:16384" ht="15" thickBot="1" x14ac:dyDescent="0.4">
      <c r="A31" s="69"/>
      <c r="B31" s="69"/>
      <c r="C31" s="150"/>
      <c r="D31" s="150"/>
      <c r="E31" s="150"/>
      <c r="F31" s="150"/>
      <c r="G31" s="151"/>
      <c r="H31" s="151"/>
    </row>
    <row r="32" spans="1:21 16384:16384" x14ac:dyDescent="0.35">
      <c r="B32" s="228" t="s">
        <v>85</v>
      </c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N32" s="237" t="s">
        <v>86</v>
      </c>
      <c r="O32" s="238"/>
      <c r="P32" s="152">
        <f>I25</f>
        <v>22987.612499999999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N33" s="239" t="s">
        <v>87</v>
      </c>
      <c r="O33" s="240"/>
      <c r="P33" s="153">
        <f>L25</f>
        <v>1768.3950000000002</v>
      </c>
    </row>
    <row r="34" spans="2:16" ht="15" customHeight="1" x14ac:dyDescent="0.35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N34" s="239" t="s">
        <v>4</v>
      </c>
      <c r="O34" s="240"/>
      <c r="P34" s="154">
        <f>K25</f>
        <v>82.38300000000001</v>
      </c>
    </row>
    <row r="35" spans="2:16" ht="15" customHeight="1" x14ac:dyDescent="0.35">
      <c r="B35" s="231"/>
      <c r="C35" s="232"/>
      <c r="D35" s="232"/>
      <c r="E35" s="232"/>
      <c r="F35" s="232"/>
      <c r="G35" s="232"/>
      <c r="H35" s="232"/>
      <c r="I35" s="232"/>
      <c r="J35" s="232"/>
      <c r="K35" s="232"/>
      <c r="L35" s="233"/>
      <c r="M35" s="2"/>
      <c r="N35" s="239" t="s">
        <v>88</v>
      </c>
      <c r="O35" s="240"/>
      <c r="P35" s="153">
        <f>P32-P33-P34</f>
        <v>21136.834499999997</v>
      </c>
    </row>
    <row r="36" spans="2:16" ht="15" customHeight="1" x14ac:dyDescent="0.35">
      <c r="B36" s="231"/>
      <c r="C36" s="232"/>
      <c r="D36" s="232"/>
      <c r="E36" s="232"/>
      <c r="F36" s="232"/>
      <c r="G36" s="232"/>
      <c r="H36" s="232"/>
      <c r="I36" s="232"/>
      <c r="J36" s="232"/>
      <c r="K36" s="232"/>
      <c r="L36" s="233"/>
      <c r="M36" s="2"/>
      <c r="N36" s="155" t="s">
        <v>89</v>
      </c>
      <c r="O36" s="156">
        <f>IF(B12="Registered",18%,22%)</f>
        <v>0.22</v>
      </c>
      <c r="P36" s="153">
        <f>N25</f>
        <v>4876.4984400000003</v>
      </c>
    </row>
    <row r="37" spans="2:16" ht="15" customHeight="1" x14ac:dyDescent="0.35">
      <c r="B37" s="231"/>
      <c r="C37" s="232"/>
      <c r="D37" s="232"/>
      <c r="E37" s="232"/>
      <c r="F37" s="232"/>
      <c r="G37" s="232"/>
      <c r="H37" s="232"/>
      <c r="I37" s="232"/>
      <c r="J37" s="232"/>
      <c r="K37" s="232"/>
      <c r="L37" s="233"/>
      <c r="M37" s="2"/>
      <c r="N37" s="241" t="s">
        <v>90</v>
      </c>
      <c r="O37" s="242"/>
      <c r="P37" s="153">
        <f>P35+P36</f>
        <v>26013.332939999997</v>
      </c>
    </row>
    <row r="38" spans="2:16" ht="15" customHeight="1" thickBot="1" x14ac:dyDescent="0.4">
      <c r="B38" s="234"/>
      <c r="C38" s="235"/>
      <c r="D38" s="235"/>
      <c r="E38" s="235"/>
      <c r="F38" s="235"/>
      <c r="G38" s="235"/>
      <c r="H38" s="235"/>
      <c r="I38" s="235"/>
      <c r="J38" s="235"/>
      <c r="K38" s="235"/>
      <c r="L38" s="236"/>
      <c r="M38" s="157"/>
      <c r="N38" s="158" t="s">
        <v>91</v>
      </c>
      <c r="O38" s="159">
        <f>IF(B11="Filer",0.5%,2.5%)</f>
        <v>2.5000000000000001E-2</v>
      </c>
      <c r="P38" s="153">
        <f>O38*P37</f>
        <v>650.33332350000001</v>
      </c>
    </row>
    <row r="39" spans="2:16" ht="15.75" customHeight="1" thickBot="1" x14ac:dyDescent="0.4">
      <c r="N39" s="219" t="s">
        <v>92</v>
      </c>
      <c r="O39" s="220"/>
      <c r="P39" s="160">
        <f>P37+P38</f>
        <v>26663.666263499996</v>
      </c>
    </row>
    <row r="40" spans="2:16" ht="15" thickBot="1" x14ac:dyDescent="0.4">
      <c r="B40" s="161" t="s">
        <v>93</v>
      </c>
      <c r="C40" s="221"/>
      <c r="D40" s="221"/>
      <c r="E40" s="221"/>
      <c r="F40" s="221"/>
      <c r="G40" s="221"/>
      <c r="H40" s="221"/>
      <c r="I40" s="222"/>
      <c r="J40" s="223"/>
      <c r="K40" s="224"/>
    </row>
    <row r="41" spans="2:16" ht="15.75" customHeight="1" x14ac:dyDescent="0.35"/>
  </sheetData>
  <mergeCells count="47">
    <mergeCell ref="T12:U13"/>
    <mergeCell ref="N39:O39"/>
    <mergeCell ref="C40:I40"/>
    <mergeCell ref="J40:K40"/>
    <mergeCell ref="A25:B25"/>
    <mergeCell ref="C25:F25"/>
    <mergeCell ref="B32:L38"/>
    <mergeCell ref="N32:O32"/>
    <mergeCell ref="N33:O33"/>
    <mergeCell ref="N34:O34"/>
    <mergeCell ref="N35:O35"/>
    <mergeCell ref="N37:O37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K5:M5"/>
    <mergeCell ref="N5:P5"/>
    <mergeCell ref="K6:M6"/>
    <mergeCell ref="N6:P6"/>
    <mergeCell ref="A5:C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opLeftCell="A19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46196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108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46195</v>
      </c>
      <c r="O5" s="200"/>
      <c r="P5" s="200"/>
      <c r="R5" s="70"/>
      <c r="S5" s="71"/>
    </row>
    <row r="6" spans="1:19 16383:16384" ht="15" customHeight="1" x14ac:dyDescent="0.35">
      <c r="A6" s="201" t="s">
        <v>109</v>
      </c>
      <c r="B6" s="201"/>
      <c r="C6" s="201"/>
      <c r="F6" s="70"/>
      <c r="G6" s="74"/>
      <c r="K6" s="201" t="s">
        <v>52</v>
      </c>
      <c r="L6" s="201"/>
      <c r="M6" s="201"/>
      <c r="N6" s="203" t="s">
        <v>104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110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14</v>
      </c>
      <c r="I16" s="102">
        <f>(G16*D16)*F16+H16*F16</f>
        <v>734.47500000000002</v>
      </c>
      <c r="J16" s="103">
        <v>1</v>
      </c>
      <c r="K16" s="104">
        <f>I16*$K$13</f>
        <v>0</v>
      </c>
      <c r="L16" s="105">
        <f>I16*8%</f>
        <v>58.758000000000003</v>
      </c>
      <c r="M16" s="106">
        <f>I16-K16-L16</f>
        <v>675.71699999999998</v>
      </c>
      <c r="N16" s="106">
        <f t="shared" ref="N16:N24" si="0">(M16*$N$15)+(J16*F16)*$N$15</f>
        <v>160.19949</v>
      </c>
      <c r="O16" s="107">
        <f t="shared" ref="O16:O24" si="1">(N16+M16)*$O$15</f>
        <v>4.1795824499999998</v>
      </c>
      <c r="P16" s="105">
        <f t="shared" ref="P16:P24" si="2">M16+N16+O16</f>
        <v>840.09607244999995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14</v>
      </c>
      <c r="I17" s="116">
        <f t="shared" ref="I17:I23" si="3">(G17*D17)*F17+H17*F17</f>
        <v>734.47500000000002</v>
      </c>
      <c r="J17" s="117">
        <v>1</v>
      </c>
      <c r="K17" s="1">
        <f t="shared" ref="K17:K21" si="4">I17*$K$13</f>
        <v>0</v>
      </c>
      <c r="L17" s="105">
        <f t="shared" ref="L17:L21" si="5">I17*8%</f>
        <v>58.758000000000003</v>
      </c>
      <c r="M17" s="118">
        <f t="shared" ref="M17:M23" si="6">I17-K17-L17</f>
        <v>675.71699999999998</v>
      </c>
      <c r="N17" s="118">
        <f t="shared" si="0"/>
        <v>160.19949</v>
      </c>
      <c r="O17" s="119">
        <f t="shared" si="1"/>
        <v>4.1795824499999998</v>
      </c>
      <c r="P17" s="120">
        <f t="shared" si="2"/>
        <v>840.09607244999995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12</v>
      </c>
      <c r="I18" s="116">
        <f t="shared" si="3"/>
        <v>629.54999999999995</v>
      </c>
      <c r="J18" s="117"/>
      <c r="K18" s="1">
        <f t="shared" si="4"/>
        <v>0</v>
      </c>
      <c r="L18" s="105">
        <f t="shared" si="5"/>
        <v>50.363999999999997</v>
      </c>
      <c r="M18" s="118">
        <f t="shared" si="6"/>
        <v>579.18599999999992</v>
      </c>
      <c r="N18" s="118">
        <f t="shared" si="0"/>
        <v>127.42091999999998</v>
      </c>
      <c r="O18" s="119">
        <f t="shared" si="1"/>
        <v>3.5330345999999997</v>
      </c>
      <c r="P18" s="120">
        <f t="shared" si="2"/>
        <v>710.1399545999999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3"/>
        <v>0</v>
      </c>
      <c r="J19" s="117"/>
      <c r="K19" s="1">
        <f t="shared" si="4"/>
        <v>0</v>
      </c>
      <c r="L19" s="105">
        <f t="shared" si="5"/>
        <v>0</v>
      </c>
      <c r="M19" s="118">
        <f t="shared" si="6"/>
        <v>0</v>
      </c>
      <c r="N19" s="118">
        <f t="shared" si="0"/>
        <v>0</v>
      </c>
      <c r="O19" s="119">
        <f t="shared" si="1"/>
        <v>0</v>
      </c>
      <c r="P19" s="120">
        <f t="shared" si="2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3"/>
        <v>0</v>
      </c>
      <c r="J20" s="117"/>
      <c r="K20" s="1">
        <f t="shared" si="4"/>
        <v>0</v>
      </c>
      <c r="L20" s="105">
        <f t="shared" si="5"/>
        <v>0</v>
      </c>
      <c r="M20" s="118">
        <f t="shared" si="6"/>
        <v>0</v>
      </c>
      <c r="N20" s="118">
        <f t="shared" si="0"/>
        <v>0</v>
      </c>
      <c r="O20" s="119">
        <f t="shared" si="1"/>
        <v>0</v>
      </c>
      <c r="P20" s="120">
        <f t="shared" si="2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3"/>
        <v>0</v>
      </c>
      <c r="J21" s="117"/>
      <c r="K21" s="1">
        <f t="shared" si="4"/>
        <v>0</v>
      </c>
      <c r="L21" s="105">
        <f t="shared" si="5"/>
        <v>0</v>
      </c>
      <c r="M21" s="118">
        <f t="shared" si="6"/>
        <v>0</v>
      </c>
      <c r="N21" s="118">
        <f t="shared" si="0"/>
        <v>0</v>
      </c>
      <c r="O21" s="119">
        <f t="shared" si="1"/>
        <v>0</v>
      </c>
      <c r="P21" s="120">
        <f t="shared" si="2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3"/>
        <v>0</v>
      </c>
      <c r="J22" s="117"/>
      <c r="K22" s="1">
        <f>I22*3.5%</f>
        <v>0</v>
      </c>
      <c r="L22" s="120">
        <f>I22*5%</f>
        <v>0</v>
      </c>
      <c r="M22" s="118">
        <f t="shared" si="6"/>
        <v>0</v>
      </c>
      <c r="N22" s="118">
        <f t="shared" si="0"/>
        <v>0</v>
      </c>
      <c r="O22" s="119">
        <f t="shared" si="1"/>
        <v>0</v>
      </c>
      <c r="P22" s="120">
        <f t="shared" si="2"/>
        <v>0</v>
      </c>
    </row>
    <row r="23" spans="1:19 16384:16384" ht="15" hidden="1" thickBot="1" x14ac:dyDescent="0.4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6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40</v>
      </c>
      <c r="I25" s="137">
        <f t="shared" si="9"/>
        <v>2098.5</v>
      </c>
      <c r="J25" s="138"/>
      <c r="K25" s="139">
        <f t="shared" si="9"/>
        <v>0</v>
      </c>
      <c r="L25" s="140">
        <f t="shared" si="9"/>
        <v>167.88</v>
      </c>
      <c r="M25" s="141">
        <f t="shared" si="9"/>
        <v>1930.62</v>
      </c>
      <c r="N25" s="142">
        <f>SUM(N16:N24)</f>
        <v>447.81989999999996</v>
      </c>
      <c r="O25" s="143">
        <f>SUM(O16:O24)</f>
        <v>11.8921995</v>
      </c>
      <c r="P25" s="144">
        <f>SUM(P16:P24)</f>
        <v>2390.3320994999999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2098.5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167.88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1930.62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447.81989999999996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2378.4398999999999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5.0000000000000001E-3</v>
      </c>
      <c r="P34" s="153">
        <f>O34*P33</f>
        <v>11.8921995</v>
      </c>
    </row>
    <row r="35" spans="2:16" ht="15.75" customHeight="1" thickBot="1" x14ac:dyDescent="0.4">
      <c r="N35" s="219" t="s">
        <v>92</v>
      </c>
      <c r="O35" s="220"/>
      <c r="P35" s="160">
        <f>P33+P34</f>
        <v>2390.3320994999999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20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2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46196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111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46195</v>
      </c>
      <c r="O5" s="200"/>
      <c r="P5" s="200"/>
      <c r="R5" s="70"/>
      <c r="S5" s="71"/>
    </row>
    <row r="6" spans="1:19 16383:16384" ht="15" customHeight="1" x14ac:dyDescent="0.35">
      <c r="A6" s="201" t="s">
        <v>112</v>
      </c>
      <c r="B6" s="201"/>
      <c r="C6" s="201"/>
      <c r="F6" s="70"/>
      <c r="G6" s="74"/>
      <c r="K6" s="201" t="s">
        <v>52</v>
      </c>
      <c r="L6" s="201"/>
      <c r="M6" s="201"/>
      <c r="N6" s="203" t="s">
        <v>104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68579351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40</v>
      </c>
      <c r="I19" s="116">
        <f t="shared" si="2"/>
        <v>2905.6</v>
      </c>
      <c r="J19" s="117">
        <v>2</v>
      </c>
      <c r="K19" s="1">
        <f t="shared" si="3"/>
        <v>0</v>
      </c>
      <c r="L19" s="105">
        <f t="shared" si="4"/>
        <v>232.44800000000001</v>
      </c>
      <c r="M19" s="118">
        <f t="shared" si="5"/>
        <v>2673.152</v>
      </c>
      <c r="N19" s="118">
        <f t="shared" si="0"/>
        <v>620.05503999999996</v>
      </c>
      <c r="O19" s="119">
        <f t="shared" si="6"/>
        <v>16.4660352</v>
      </c>
      <c r="P19" s="120">
        <f t="shared" si="1"/>
        <v>3309.6730752000003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40</v>
      </c>
      <c r="I20" s="116">
        <f t="shared" si="2"/>
        <v>2905.6</v>
      </c>
      <c r="J20" s="117">
        <v>2</v>
      </c>
      <c r="K20" s="1">
        <f t="shared" si="3"/>
        <v>0</v>
      </c>
      <c r="L20" s="105">
        <f t="shared" si="4"/>
        <v>232.44800000000001</v>
      </c>
      <c r="M20" s="118">
        <f t="shared" si="5"/>
        <v>2673.152</v>
      </c>
      <c r="N20" s="118">
        <f t="shared" si="0"/>
        <v>620.05503999999996</v>
      </c>
      <c r="O20" s="119">
        <f t="shared" si="6"/>
        <v>16.4660352</v>
      </c>
      <c r="P20" s="120">
        <f t="shared" si="1"/>
        <v>3309.6730752000003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40</v>
      </c>
      <c r="I21" s="116">
        <f t="shared" si="2"/>
        <v>2905.6</v>
      </c>
      <c r="J21" s="117">
        <v>2</v>
      </c>
      <c r="K21" s="1">
        <f t="shared" si="3"/>
        <v>0</v>
      </c>
      <c r="L21" s="105">
        <f t="shared" si="4"/>
        <v>232.44800000000001</v>
      </c>
      <c r="M21" s="118">
        <f t="shared" si="5"/>
        <v>2673.152</v>
      </c>
      <c r="N21" s="118">
        <f t="shared" si="0"/>
        <v>620.05503999999996</v>
      </c>
      <c r="O21" s="119">
        <f t="shared" si="6"/>
        <v>16.4660352</v>
      </c>
      <c r="P21" s="120">
        <f t="shared" si="1"/>
        <v>3309.6730752000003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120</v>
      </c>
      <c r="I25" s="137">
        <f t="shared" si="9"/>
        <v>8716.7999999999993</v>
      </c>
      <c r="J25" s="138"/>
      <c r="K25" s="139">
        <f t="shared" si="9"/>
        <v>0</v>
      </c>
      <c r="L25" s="140">
        <f t="shared" si="9"/>
        <v>697.34400000000005</v>
      </c>
      <c r="M25" s="141">
        <f t="shared" si="9"/>
        <v>8019.4560000000001</v>
      </c>
      <c r="N25" s="142">
        <f>SUM(N16:N24)</f>
        <v>1860.1651199999999</v>
      </c>
      <c r="O25" s="143">
        <f>SUM(O16:O24)</f>
        <v>49.398105600000001</v>
      </c>
      <c r="P25" s="144">
        <f>SUM(P16:P24)</f>
        <v>9929.0192256000009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8716.7999999999993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697.34400000000005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8019.4559999999992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1860.1651199999999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9879.6211199999998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5.0000000000000001E-3</v>
      </c>
      <c r="P34" s="153">
        <f>O34*P33</f>
        <v>49.398105600000001</v>
      </c>
    </row>
    <row r="35" spans="2:16" ht="15.75" customHeight="1" thickBot="1" x14ac:dyDescent="0.4">
      <c r="N35" s="219" t="s">
        <v>92</v>
      </c>
      <c r="O35" s="220"/>
      <c r="P35" s="160">
        <f>P33+P34</f>
        <v>9929.0192255999991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22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4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46196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113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46195</v>
      </c>
      <c r="O5" s="200"/>
      <c r="P5" s="200"/>
      <c r="R5" s="70"/>
      <c r="S5" s="71"/>
    </row>
    <row r="6" spans="1:19 16383:16384" ht="15" customHeight="1" x14ac:dyDescent="0.35">
      <c r="A6" s="201" t="s">
        <v>112</v>
      </c>
      <c r="B6" s="201"/>
      <c r="C6" s="201"/>
      <c r="F6" s="70"/>
      <c r="G6" s="74"/>
      <c r="K6" s="201" t="s">
        <v>52</v>
      </c>
      <c r="L6" s="201"/>
      <c r="M6" s="201"/>
      <c r="N6" s="203" t="s">
        <v>104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9" t="s">
        <v>114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56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7</v>
      </c>
      <c r="I16" s="102">
        <f>(G16*D16)*F16+H16*F16</f>
        <v>367.23750000000001</v>
      </c>
      <c r="J16" s="103"/>
      <c r="K16" s="104">
        <f>I16*$K$13</f>
        <v>0</v>
      </c>
      <c r="L16" s="105">
        <f>I16*8%</f>
        <v>29.379000000000001</v>
      </c>
      <c r="M16" s="106">
        <f>I16-K16-L16</f>
        <v>337.85849999999999</v>
      </c>
      <c r="N16" s="106">
        <f t="shared" ref="N16:N24" si="0">(M16*$N$15)+(J16*F16)*$N$15</f>
        <v>74.328869999999995</v>
      </c>
      <c r="O16" s="107">
        <f>(N16+M16)*$O$15</f>
        <v>2.06093685</v>
      </c>
      <c r="P16" s="105">
        <f t="shared" ref="P16:P24" si="1">M16+N16+O16</f>
        <v>414.24830685000001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7</v>
      </c>
      <c r="I17" s="116">
        <f t="shared" ref="I17:I23" si="2">(G17*D17)*F17+H17*F17</f>
        <v>367.23750000000001</v>
      </c>
      <c r="J17" s="117">
        <v>1</v>
      </c>
      <c r="K17" s="1">
        <f t="shared" ref="K17:K21" si="3">I17*$K$13</f>
        <v>0</v>
      </c>
      <c r="L17" s="105">
        <f t="shared" ref="L17:L21" si="4">I17*8%</f>
        <v>29.379000000000001</v>
      </c>
      <c r="M17" s="118">
        <f t="shared" ref="M17:M23" si="5">I17-K17-L17</f>
        <v>337.85849999999999</v>
      </c>
      <c r="N17" s="118">
        <f t="shared" si="0"/>
        <v>85.870620000000002</v>
      </c>
      <c r="O17" s="119">
        <f t="shared" ref="O17:O24" si="6">(N17+M17)*$O$15</f>
        <v>2.1186455999999998</v>
      </c>
      <c r="P17" s="120">
        <f t="shared" si="1"/>
        <v>425.84776559999995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7</v>
      </c>
      <c r="I18" s="116">
        <f t="shared" si="2"/>
        <v>367.23750000000001</v>
      </c>
      <c r="J18" s="117"/>
      <c r="K18" s="1">
        <f t="shared" si="3"/>
        <v>0</v>
      </c>
      <c r="L18" s="105">
        <f t="shared" si="4"/>
        <v>29.379000000000001</v>
      </c>
      <c r="M18" s="118">
        <f t="shared" si="5"/>
        <v>337.85849999999999</v>
      </c>
      <c r="N18" s="118">
        <f t="shared" si="0"/>
        <v>74.328869999999995</v>
      </c>
      <c r="O18" s="119">
        <f t="shared" si="6"/>
        <v>2.06093685</v>
      </c>
      <c r="P18" s="120">
        <f t="shared" si="1"/>
        <v>414.24830685000001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20</v>
      </c>
      <c r="I22" s="116">
        <f t="shared" si="2"/>
        <v>784.60000000000014</v>
      </c>
      <c r="J22" s="117"/>
      <c r="K22" s="1">
        <f>I22*3.5%</f>
        <v>27.461000000000006</v>
      </c>
      <c r="L22" s="120">
        <f>I22*5%</f>
        <v>39.230000000000011</v>
      </c>
      <c r="M22" s="118">
        <f t="shared" si="5"/>
        <v>717.90900000000011</v>
      </c>
      <c r="N22" s="118">
        <f t="shared" si="0"/>
        <v>157.93998000000002</v>
      </c>
      <c r="O22" s="119">
        <f t="shared" si="6"/>
        <v>4.3792449000000007</v>
      </c>
      <c r="P22" s="120">
        <f t="shared" si="1"/>
        <v>880.2282249000001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41</v>
      </c>
      <c r="I25" s="137">
        <f t="shared" si="9"/>
        <v>1886.3125000000002</v>
      </c>
      <c r="J25" s="138"/>
      <c r="K25" s="139">
        <f t="shared" si="9"/>
        <v>27.461000000000006</v>
      </c>
      <c r="L25" s="140">
        <f t="shared" si="9"/>
        <v>127.36700000000002</v>
      </c>
      <c r="M25" s="141">
        <f t="shared" si="9"/>
        <v>1731.4845</v>
      </c>
      <c r="N25" s="142">
        <f>SUM(N16:N24)</f>
        <v>392.46834000000001</v>
      </c>
      <c r="O25" s="143">
        <f>SUM(O16:O24)</f>
        <v>10.619764200000001</v>
      </c>
      <c r="P25" s="144">
        <f>SUM(P16:P24)</f>
        <v>2134.5726042000001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1886.3125000000002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127.36700000000002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27.461000000000006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1731.4845000000003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392.46834000000001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2123.9528400000004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5.0000000000000001E-3</v>
      </c>
      <c r="P34" s="153">
        <f>O34*P33</f>
        <v>10.619764200000002</v>
      </c>
    </row>
    <row r="35" spans="2:16" ht="15.75" customHeight="1" thickBot="1" x14ac:dyDescent="0.4">
      <c r="N35" s="219" t="s">
        <v>92</v>
      </c>
      <c r="O35" s="220"/>
      <c r="P35" s="160">
        <f>P33+P34</f>
        <v>2134.5726042000006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20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3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46196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115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46195</v>
      </c>
      <c r="O5" s="200"/>
      <c r="P5" s="200"/>
      <c r="R5" s="70"/>
      <c r="S5" s="71"/>
    </row>
    <row r="6" spans="1:19 16383:16384" ht="15" customHeight="1" x14ac:dyDescent="0.35">
      <c r="A6" s="201" t="s">
        <v>112</v>
      </c>
      <c r="B6" s="201"/>
      <c r="C6" s="201"/>
      <c r="F6" s="70"/>
      <c r="G6" s="74"/>
      <c r="K6" s="201" t="s">
        <v>52</v>
      </c>
      <c r="L6" s="201"/>
      <c r="M6" s="201"/>
      <c r="N6" s="203" t="s">
        <v>104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73259447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14</v>
      </c>
      <c r="I19" s="116">
        <f t="shared" si="2"/>
        <v>1016.96</v>
      </c>
      <c r="J19" s="117"/>
      <c r="K19" s="1">
        <f t="shared" si="3"/>
        <v>0</v>
      </c>
      <c r="L19" s="105">
        <f t="shared" si="4"/>
        <v>81.356800000000007</v>
      </c>
      <c r="M19" s="118">
        <f t="shared" si="5"/>
        <v>935.60320000000002</v>
      </c>
      <c r="N19" s="118">
        <f t="shared" si="0"/>
        <v>205.83270400000001</v>
      </c>
      <c r="O19" s="119">
        <f t="shared" si="6"/>
        <v>5.7071795199999995</v>
      </c>
      <c r="P19" s="120">
        <f t="shared" si="1"/>
        <v>1147.1430835199999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14</v>
      </c>
      <c r="I20" s="116">
        <f t="shared" si="2"/>
        <v>1016.96</v>
      </c>
      <c r="J20" s="117">
        <v>1</v>
      </c>
      <c r="K20" s="1">
        <f t="shared" si="3"/>
        <v>0</v>
      </c>
      <c r="L20" s="105">
        <f t="shared" si="4"/>
        <v>81.356800000000007</v>
      </c>
      <c r="M20" s="118">
        <f t="shared" si="5"/>
        <v>935.60320000000002</v>
      </c>
      <c r="N20" s="118">
        <f t="shared" si="0"/>
        <v>221.81350399999999</v>
      </c>
      <c r="O20" s="119">
        <f t="shared" si="6"/>
        <v>5.7870835200000004</v>
      </c>
      <c r="P20" s="120">
        <f t="shared" si="1"/>
        <v>1163.2037875199999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12</v>
      </c>
      <c r="I21" s="116">
        <f t="shared" si="2"/>
        <v>871.68000000000006</v>
      </c>
      <c r="J21" s="117">
        <v>1</v>
      </c>
      <c r="K21" s="1">
        <f t="shared" si="3"/>
        <v>0</v>
      </c>
      <c r="L21" s="105">
        <f t="shared" si="4"/>
        <v>69.734400000000008</v>
      </c>
      <c r="M21" s="118">
        <f t="shared" si="5"/>
        <v>801.94560000000001</v>
      </c>
      <c r="N21" s="118">
        <f t="shared" si="0"/>
        <v>192.40883199999999</v>
      </c>
      <c r="O21" s="119">
        <f t="shared" si="6"/>
        <v>4.9717721599999996</v>
      </c>
      <c r="P21" s="120">
        <f t="shared" si="1"/>
        <v>999.32620415999997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40</v>
      </c>
      <c r="I22" s="116">
        <f t="shared" si="2"/>
        <v>1569.2000000000003</v>
      </c>
      <c r="J22" s="117"/>
      <c r="K22" s="1">
        <f>I22*3.5%</f>
        <v>54.922000000000011</v>
      </c>
      <c r="L22" s="120">
        <f>I22*5%</f>
        <v>78.460000000000022</v>
      </c>
      <c r="M22" s="118">
        <f t="shared" si="5"/>
        <v>1435.8180000000002</v>
      </c>
      <c r="N22" s="118">
        <f t="shared" si="0"/>
        <v>315.87996000000004</v>
      </c>
      <c r="O22" s="119">
        <f t="shared" si="6"/>
        <v>8.7584898000000013</v>
      </c>
      <c r="P22" s="120">
        <f t="shared" si="1"/>
        <v>1760.4564498000002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80</v>
      </c>
      <c r="I25" s="137">
        <f t="shared" si="9"/>
        <v>4474.8000000000011</v>
      </c>
      <c r="J25" s="138"/>
      <c r="K25" s="139">
        <f t="shared" si="9"/>
        <v>54.922000000000011</v>
      </c>
      <c r="L25" s="140">
        <f t="shared" si="9"/>
        <v>310.90800000000007</v>
      </c>
      <c r="M25" s="141">
        <f t="shared" si="9"/>
        <v>4108.97</v>
      </c>
      <c r="N25" s="142">
        <f>SUM(N16:N24)</f>
        <v>935.93499999999995</v>
      </c>
      <c r="O25" s="143">
        <f>SUM(O16:O24)</f>
        <v>25.224525</v>
      </c>
      <c r="P25" s="144">
        <f>SUM(P16:P24)</f>
        <v>5070.1295250000003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4474.8000000000011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310.90800000000007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54.922000000000011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4108.9700000000012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935.93499999999995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5044.9050000000007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5.0000000000000001E-3</v>
      </c>
      <c r="P34" s="153">
        <f>O34*P33</f>
        <v>25.224525000000003</v>
      </c>
    </row>
    <row r="35" spans="2:16" ht="15.75" customHeight="1" thickBot="1" x14ac:dyDescent="0.4">
      <c r="N35" s="219" t="s">
        <v>92</v>
      </c>
      <c r="O35" s="220"/>
      <c r="P35" s="160">
        <f>P33+P34</f>
        <v>5070.1295250000003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20" workbookViewId="0">
      <selection sqref="A1:Q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5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46196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116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46195</v>
      </c>
      <c r="O5" s="200"/>
      <c r="P5" s="200"/>
      <c r="R5" s="70"/>
      <c r="S5" s="71"/>
    </row>
    <row r="6" spans="1:19 16383:16384" ht="15" customHeight="1" x14ac:dyDescent="0.35">
      <c r="A6" s="201" t="s">
        <v>112</v>
      </c>
      <c r="B6" s="201"/>
      <c r="C6" s="201"/>
      <c r="F6" s="70"/>
      <c r="G6" s="74"/>
      <c r="K6" s="201" t="s">
        <v>52</v>
      </c>
      <c r="L6" s="201"/>
      <c r="M6" s="201"/>
      <c r="N6" s="203" t="s">
        <v>104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9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14</v>
      </c>
      <c r="I19" s="116">
        <f t="shared" si="2"/>
        <v>1016.96</v>
      </c>
      <c r="J19" s="117">
        <v>1</v>
      </c>
      <c r="K19" s="1">
        <f t="shared" si="3"/>
        <v>0</v>
      </c>
      <c r="L19" s="105">
        <f t="shared" si="4"/>
        <v>81.356800000000007</v>
      </c>
      <c r="M19" s="118">
        <f t="shared" si="5"/>
        <v>935.60320000000002</v>
      </c>
      <c r="N19" s="118">
        <f t="shared" si="0"/>
        <v>221.81350399999999</v>
      </c>
      <c r="O19" s="119">
        <f t="shared" si="6"/>
        <v>28.935417600000001</v>
      </c>
      <c r="P19" s="120">
        <f t="shared" si="1"/>
        <v>1186.3521215999999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14</v>
      </c>
      <c r="I20" s="116">
        <f t="shared" si="2"/>
        <v>1016.96</v>
      </c>
      <c r="J20" s="117">
        <v>1</v>
      </c>
      <c r="K20" s="1">
        <f t="shared" si="3"/>
        <v>0</v>
      </c>
      <c r="L20" s="105">
        <f t="shared" si="4"/>
        <v>81.356800000000007</v>
      </c>
      <c r="M20" s="118">
        <f t="shared" si="5"/>
        <v>935.60320000000002</v>
      </c>
      <c r="N20" s="118">
        <f t="shared" si="0"/>
        <v>221.81350399999999</v>
      </c>
      <c r="O20" s="119">
        <f t="shared" si="6"/>
        <v>28.935417600000001</v>
      </c>
      <c r="P20" s="120">
        <f t="shared" si="1"/>
        <v>1186.3521215999999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12</v>
      </c>
      <c r="I21" s="116">
        <f t="shared" si="2"/>
        <v>871.68000000000006</v>
      </c>
      <c r="J21" s="117"/>
      <c r="K21" s="1">
        <f t="shared" si="3"/>
        <v>0</v>
      </c>
      <c r="L21" s="105">
        <f t="shared" si="4"/>
        <v>69.734400000000008</v>
      </c>
      <c r="M21" s="118">
        <f t="shared" si="5"/>
        <v>801.94560000000001</v>
      </c>
      <c r="N21" s="118">
        <f t="shared" si="0"/>
        <v>176.428032</v>
      </c>
      <c r="O21" s="119">
        <f t="shared" si="6"/>
        <v>24.459340800000003</v>
      </c>
      <c r="P21" s="120">
        <f t="shared" si="1"/>
        <v>1002.8329728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40</v>
      </c>
      <c r="I25" s="137">
        <f t="shared" si="9"/>
        <v>2905.6000000000004</v>
      </c>
      <c r="J25" s="138"/>
      <c r="K25" s="139">
        <f t="shared" si="9"/>
        <v>0</v>
      </c>
      <c r="L25" s="140">
        <f t="shared" si="9"/>
        <v>232.44800000000004</v>
      </c>
      <c r="M25" s="141">
        <f t="shared" si="9"/>
        <v>2673.152</v>
      </c>
      <c r="N25" s="142">
        <f>SUM(N16:N24)</f>
        <v>620.05503999999996</v>
      </c>
      <c r="O25" s="143">
        <f>SUM(O16:O24)</f>
        <v>82.330176000000009</v>
      </c>
      <c r="P25" s="144">
        <f>SUM(P16:P24)</f>
        <v>3375.5372159999997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2905.6000000000004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232.44800000000004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2673.1520000000005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620.05503999999996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3293.2070400000002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82.330176000000009</v>
      </c>
    </row>
    <row r="35" spans="2:16" ht="15.75" customHeight="1" thickBot="1" x14ac:dyDescent="0.4">
      <c r="N35" s="219" t="s">
        <v>92</v>
      </c>
      <c r="O35" s="220"/>
      <c r="P35" s="160">
        <f>P33+P34</f>
        <v>3375.5372160000002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21" workbookViewId="0">
      <selection sqref="A1:P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6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46196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117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46195</v>
      </c>
      <c r="O5" s="200"/>
      <c r="P5" s="200"/>
      <c r="R5" s="70"/>
      <c r="S5" s="71"/>
    </row>
    <row r="6" spans="1:19 16383:16384" ht="15" customHeight="1" x14ac:dyDescent="0.35">
      <c r="A6" s="201" t="s">
        <v>112</v>
      </c>
      <c r="B6" s="201"/>
      <c r="C6" s="201"/>
      <c r="F6" s="70"/>
      <c r="G6" s="74"/>
      <c r="K6" s="201" t="s">
        <v>52</v>
      </c>
      <c r="L6" s="201"/>
      <c r="M6" s="201"/>
      <c r="N6" s="203" t="s">
        <v>104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118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14</v>
      </c>
      <c r="I19" s="116">
        <f t="shared" si="2"/>
        <v>1016.96</v>
      </c>
      <c r="J19" s="117">
        <v>1</v>
      </c>
      <c r="K19" s="1">
        <f t="shared" si="3"/>
        <v>0</v>
      </c>
      <c r="L19" s="105">
        <f t="shared" si="4"/>
        <v>81.356800000000007</v>
      </c>
      <c r="M19" s="118">
        <f t="shared" si="5"/>
        <v>935.60320000000002</v>
      </c>
      <c r="N19" s="118">
        <f t="shared" si="0"/>
        <v>221.81350399999999</v>
      </c>
      <c r="O19" s="119">
        <f t="shared" si="6"/>
        <v>5.7870835200000004</v>
      </c>
      <c r="P19" s="120">
        <f t="shared" si="1"/>
        <v>1163.2037875199999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14</v>
      </c>
      <c r="I20" s="116">
        <f t="shared" si="2"/>
        <v>1016.96</v>
      </c>
      <c r="J20" s="117">
        <v>1</v>
      </c>
      <c r="K20" s="1">
        <f t="shared" si="3"/>
        <v>0</v>
      </c>
      <c r="L20" s="105">
        <f t="shared" si="4"/>
        <v>81.356800000000007</v>
      </c>
      <c r="M20" s="118">
        <f t="shared" si="5"/>
        <v>935.60320000000002</v>
      </c>
      <c r="N20" s="118">
        <f t="shared" si="0"/>
        <v>221.81350399999999</v>
      </c>
      <c r="O20" s="119">
        <f t="shared" si="6"/>
        <v>5.7870835200000004</v>
      </c>
      <c r="P20" s="120">
        <f t="shared" si="1"/>
        <v>1163.2037875199999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12</v>
      </c>
      <c r="I21" s="116">
        <f t="shared" si="2"/>
        <v>871.68000000000006</v>
      </c>
      <c r="J21" s="117"/>
      <c r="K21" s="1">
        <f t="shared" si="3"/>
        <v>0</v>
      </c>
      <c r="L21" s="105">
        <f t="shared" si="4"/>
        <v>69.734400000000008</v>
      </c>
      <c r="M21" s="118">
        <f t="shared" si="5"/>
        <v>801.94560000000001</v>
      </c>
      <c r="N21" s="118">
        <f t="shared" si="0"/>
        <v>176.428032</v>
      </c>
      <c r="O21" s="119">
        <f t="shared" si="6"/>
        <v>4.8918681600000005</v>
      </c>
      <c r="P21" s="120">
        <f t="shared" si="1"/>
        <v>983.26550015999999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40</v>
      </c>
      <c r="I25" s="137">
        <f t="shared" si="9"/>
        <v>2905.6000000000004</v>
      </c>
      <c r="J25" s="138"/>
      <c r="K25" s="139">
        <f t="shared" si="9"/>
        <v>0</v>
      </c>
      <c r="L25" s="140">
        <f t="shared" si="9"/>
        <v>232.44800000000004</v>
      </c>
      <c r="M25" s="141">
        <f t="shared" si="9"/>
        <v>2673.152</v>
      </c>
      <c r="N25" s="142">
        <f>SUM(N16:N24)</f>
        <v>620.05503999999996</v>
      </c>
      <c r="O25" s="143">
        <f>SUM(O16:O24)</f>
        <v>16.4660352</v>
      </c>
      <c r="P25" s="144">
        <f>SUM(P16:P24)</f>
        <v>3309.6730751999999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2905.6000000000004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232.44800000000004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2673.1520000000005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620.05503999999996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3293.2070400000002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5.0000000000000001E-3</v>
      </c>
      <c r="P34" s="153">
        <f>O34*P33</f>
        <v>16.4660352</v>
      </c>
    </row>
    <row r="35" spans="2:16" ht="15.75" customHeight="1" thickBot="1" x14ac:dyDescent="0.4">
      <c r="N35" s="219" t="s">
        <v>92</v>
      </c>
      <c r="O35" s="220"/>
      <c r="P35" s="160">
        <f>P33+P34</f>
        <v>3309.6730752000003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5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7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46196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46195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9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5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8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46196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46195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4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9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46196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46195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7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4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46196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46195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4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46196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46195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4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46196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46195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topLeftCell="A5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46196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46195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75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topLeftCell="A10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46196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46195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topLeftCell="A10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46196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46195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80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topLeftCell="A7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46196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46195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46196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46195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46196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46195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46196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46195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topLeftCell="A13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46196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46195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2026-06-23T12:25:29Z</dcterms:modified>
</cp:coreProperties>
</file>