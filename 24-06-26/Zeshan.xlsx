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689FD602-46C9-40F1-8BD3-4F73E071D454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17" i="15" l="1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L20" i="19"/>
  <c r="K18" i="19"/>
  <c r="K24" i="19"/>
  <c r="L24" i="19"/>
  <c r="L21" i="19"/>
  <c r="K21" i="19"/>
  <c r="L21" i="18"/>
  <c r="K21" i="18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7" i="23" l="1"/>
  <c r="K22" i="18"/>
  <c r="M22" i="18" s="1"/>
  <c r="L22" i="19"/>
  <c r="L25" i="19" s="1"/>
  <c r="P29" i="19" s="1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N24" i="18"/>
  <c r="O24" i="18" s="1"/>
  <c r="N18" i="18"/>
  <c r="O18" i="18" s="1"/>
  <c r="N22" i="18"/>
  <c r="O22" i="18" s="1"/>
  <c r="M16" i="17"/>
  <c r="I23" i="15"/>
  <c r="L21" i="15" l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5" l="1"/>
  <c r="M22" i="15"/>
  <c r="N16" i="18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P33" i="23" l="1"/>
  <c r="P34" i="23" s="1"/>
  <c r="P35" i="23" s="1"/>
  <c r="U21" i="15" s="1"/>
  <c r="P33" i="20"/>
  <c r="P34" i="20" s="1"/>
  <c r="P35" i="20" s="1"/>
  <c r="U18" i="15" s="1"/>
  <c r="N22" i="15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<sst xmlns="http://schemas.openxmlformats.org/spreadsheetml/2006/main" count="1584" uniqueCount="122">
  <si>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</si>
  <si>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</si>
  <si>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</si>
  <si>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</si>
  <si>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</si>
  <si>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</si>
  <si>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</si>
  <si>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</si>
  <si>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</si>
  <si>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</si>
  <si>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</si>
  <si>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</si>
  <si>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</si>
  <si>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</si>
  <si>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</si>
  <si>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</si>
  <si>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</si>
  <si>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</si>
  <si>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</si>
  <si>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</si>
  <si>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</si>
  <si>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</si>
  <si>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</si>
  <si>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</si>
  <si>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</si>
  <si>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</si>
  <si>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</si>
  <si>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</si>
  <si>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</si>
  <si>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</si>
  <si>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</si>
  <si>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</si>
  <si>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</si>
  <si>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</si>
  <si>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</si>
  <si>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</si>
  <si>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</si>
  <si>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</si>
  <si>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</si>
  <si>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</si>
  <si>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</si>
  <si>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</si>
  <si>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</si>
  <si>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</si>
  <si>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</si>
  <si>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</si>
  <si>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</si>
  <si>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</si>
  <si>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</si>
  <si>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</si>
  <si>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</si>
  <si>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</si>
  <si>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</si>
  <si>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</si>
  <si>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</si>
  <si>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</si>
  <si>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</si>
  <si>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</si>
  <si>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</si>
  <si>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</si>
  <si>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</si>
  <si>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</si>
  <si>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</si>
  <si>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</si>
  <si>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</si>
  <si>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</si>
  <si>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</si>
  <si>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</si>
  <si>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</si>
  <si>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</si>
  <si>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</si>
  <si>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</si>
  <si>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</si>
  <si>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</si>
  <si>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</si>
  <si>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</si>
  <si>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</si>
  <si>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</si>
  <si>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</si>
  <si>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</si>
  <si>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</si>
  <si>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</si>
  <si>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</si>
  <si>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</si>
  <si>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</si>
  <si>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</si>
  <si>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</si>
  <si>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</si>
  <si>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</si>
  <si>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</si>
  <si>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</si>
  <si>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</si>
  <si>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</si>
  <si>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</si>
  <si>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</si>
  <si>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</si>
  <si>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</si>
  <si>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</si>
  <si>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</si>
  <si>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</si>
  <si>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</si>
  <si>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</si>
  <si>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</si>
  <si>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</si>
  <si>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</si>
  <si>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</si>
  <si>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Zeshan</t>
  </si>
  <si>
    <t>Shop Bill Summary (Zeshan)</t>
  </si>
  <si>
    <t>Customer Name : Nisaht Store</t>
  </si>
  <si>
    <t>Address: Nishat Colony</t>
  </si>
  <si>
    <t>Customer Name : Dalasha Bakery</t>
  </si>
  <si>
    <t>Customer Name : Sulman Store</t>
  </si>
  <si>
    <t>Customer Name : Bhola Store</t>
  </si>
  <si>
    <t>Customer Name : Bismillah Store</t>
  </si>
  <si>
    <t>8058676-4</t>
  </si>
  <si>
    <t xml:space="preserve">Customer Name : Shareef Mart </t>
  </si>
  <si>
    <t>9616030-7</t>
  </si>
  <si>
    <t>Customer Name : Euro Store</t>
  </si>
  <si>
    <t>9878957-8</t>
  </si>
  <si>
    <t>Customer Name : Latif Store</t>
  </si>
  <si>
    <t>Address: Mariyam Colony</t>
  </si>
  <si>
    <t>3105302-5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</si>
</sst>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23" zoomScale="70" zoomScaleNormal="70" workbookViewId="0">
      <selection activeCell="S25" sqref="S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106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107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Nisaht Store</v>
      </c>
      <c r="U14" s="164">
        <f>+'1'!P35</f>
        <v>448.87260225000006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0"/>
      <c r="J15" s="171" t="s">
        <v>78</v>
      </c>
      <c r="K15" s="171" t="s">
        <v>79</v>
      </c>
      <c r="L15" s="174" t="s">
        <v>80</v>
      </c>
      <c r="M15" s="23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Dalasha Bakery</v>
      </c>
      <c r="U15" s="164">
        <f>+'2'!P35</f>
        <v>448.87260225000006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105</v>
      </c>
      <c r="I16" s="1">
        <f>(G16*D16)*F16+H16*F16</f>
        <v>5508.5625</v>
      </c>
      <c r="J16" s="172">
        <f>+'1'!J16+'2'!J16+'4'!J16+'3'!J16+'5'!J16+'6'!J16+'7'!J16+'8'!J16+'9'!J16+'10'!J16+'11'!J16+'12'!J16+'13'!J16+'14'!J16+'15'!J16+'16'!J16+'17'!J16+'18'!J16</f>
        <v>4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472.16249999999997</v>
      </c>
      <c r="M16" s="106">
        <f>I16-K16-L16</f>
        <v>5036.3999999999996</v>
      </c>
      <c r="N16" s="101">
        <f>+'1'!N16+'2'!N16+'4'!N16+'3'!N16+'5'!N16+'6'!N16+'7'!N16+'8'!N16+'9'!N16+'10'!N16</f>
        <v>1107.1686</v>
      </c>
      <c r="O16" s="101">
        <f>+'1'!O16+'2'!O16+'4'!O16+'3'!O16+'5'!O16+'6'!O16+'7'!O16+'8'!O16+'9'!O16+'10'!O16</f>
        <v>30.717843000000002</v>
      </c>
      <c r="P16" s="105">
        <f t="shared" ref="P16:P24" si="0">M16+N16+O16</f>
        <v>6174.286443</v>
      </c>
      <c r="Q16" s="108"/>
      <c r="T16" s="163" t="str">
        <f>+'3'!A5</f>
        <v>Customer Name : Sulman Store</v>
      </c>
      <c r="U16" s="164">
        <f>+'3'!P35</f>
        <v>448.87260225000006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65</v>
      </c>
      <c r="I17" s="1">
        <f t="shared" ref="I17:I23" si="1">(G17*D17)*F17+H17*F17</f>
        <v>3410.0625</v>
      </c>
      <c r="J17" s="172">
        <f>+'1'!J17+'2'!J17+'4'!J17+'3'!J17+'5'!J17+'6'!J17+'7'!J17+'8'!J17+'9'!J17+'10'!J17+'11'!J17+'12'!J17+'13'!J17+'14'!J17+'15'!J17+'16'!J17+'17'!J17+'18'!J17</f>
        <v>5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304.28249999999997</v>
      </c>
      <c r="M17" s="118">
        <f t="shared" ref="M17:M23" si="2">I17-K17-L17</f>
        <v>3105.78</v>
      </c>
      <c r="N17" s="101">
        <f>+'1'!N17+'2'!N17+'4'!N17+'3'!N17+'5'!N17+'6'!N17+'7'!N17+'8'!N17+'9'!N17+'10'!N17</f>
        <v>687.67845</v>
      </c>
      <c r="O17" s="101">
        <f>+'1'!O17+'2'!O17+'4'!O17+'3'!O17+'5'!O17+'6'!O17+'7'!O17+'8'!O17+'9'!O17+'10'!O17</f>
        <v>18.96729225</v>
      </c>
      <c r="P17" s="120">
        <f t="shared" si="0"/>
        <v>3812.42574225</v>
      </c>
      <c r="S17" s="64"/>
      <c r="T17" s="163" t="str">
        <f>+'4'!A5</f>
        <v>Customer Name : Bhola Store</v>
      </c>
      <c r="U17" s="164">
        <f>+'4'!P35</f>
        <v>448.87260225000006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10</v>
      </c>
      <c r="I18" s="1">
        <f t="shared" si="1"/>
        <v>524.625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62.954999999999998</v>
      </c>
      <c r="M18" s="118">
        <f t="shared" si="2"/>
        <v>461.67</v>
      </c>
      <c r="N18" s="101">
        <f>+'1'!N18+'2'!N18+'4'!N18+'3'!N18+'5'!N18+'6'!N18+'7'!N18+'8'!N18+'9'!N18+'10'!N18</f>
        <v>83.1006</v>
      </c>
      <c r="O18" s="101">
        <f>+'1'!O18+'2'!O18+'4'!O18+'3'!O18+'5'!O18+'6'!O18+'7'!O18+'8'!O18+'9'!O18+'10'!O18</f>
        <v>2.7238530000000005</v>
      </c>
      <c r="P18" s="120">
        <f t="shared" si="0"/>
        <v>547.49445300000002</v>
      </c>
      <c r="T18" s="163" t="str">
        <f>+'5'!A5</f>
        <v>Customer Name : Bismillah Store</v>
      </c>
      <c r="U18" s="164">
        <f>+'5'!P35</f>
        <v>2752.4376496500004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70</v>
      </c>
      <c r="I19" s="1">
        <f t="shared" si="1"/>
        <v>5084.8</v>
      </c>
      <c r="J19" s="172">
        <f>+'1'!J19+'2'!J19+'4'!J19+'3'!J19+'5'!J19+'6'!J19+'7'!J19+'8'!J19+'9'!J19+'10'!J19+'11'!J19+'12'!J19+'13'!J19+'14'!J19+'15'!J19+'16'!J19+'17'!J19+'18'!J19</f>
        <v>2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450.36799999999999</v>
      </c>
      <c r="M19" s="118">
        <f t="shared" si="2"/>
        <v>4634.4319999999998</v>
      </c>
      <c r="N19" s="101">
        <f>+'1'!N19+'2'!N19+'4'!N19+'3'!N19+'5'!N19+'6'!N19+'7'!N19+'8'!N19+'9'!N19+'10'!N19</f>
        <v>986.45119999999997</v>
      </c>
      <c r="O19" s="101">
        <f>+'1'!O19+'2'!O19+'4'!O19+'3'!O19+'5'!O19+'6'!O19+'7'!O19+'8'!O19+'9'!O19+'10'!O19</f>
        <v>28.104416000000001</v>
      </c>
      <c r="P19" s="120">
        <f t="shared" si="0"/>
        <v>5648.9876160000003</v>
      </c>
      <c r="T19" s="163" t="str">
        <f>+'6'!A5</f>
        <v xml:space="preserve">Customer Name : Shareef Mart </v>
      </c>
      <c r="U19" s="164">
        <f>+'6'!P35</f>
        <v>1654.8365376000002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50</v>
      </c>
      <c r="I20" s="1">
        <f t="shared" si="1"/>
        <v>3632</v>
      </c>
      <c r="J20" s="172">
        <f>+'1'!J20+'2'!J20+'4'!J20+'3'!J20+'5'!J20+'6'!J20+'7'!J20+'8'!J20+'9'!J20+'10'!J20+'11'!J20+'12'!J20+'13'!J20+'14'!J20+'15'!J20+'16'!J20+'17'!J20+'18'!J20</f>
        <v>3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334.14400000000001</v>
      </c>
      <c r="M20" s="118">
        <f t="shared" si="2"/>
        <v>3297.8559999999998</v>
      </c>
      <c r="N20" s="101">
        <f>+'1'!N20+'2'!N20+'4'!N20+'3'!N20+'5'!N20+'6'!N20+'7'!N20+'8'!N20+'9'!N20+'10'!N20</f>
        <v>705.47967999999992</v>
      </c>
      <c r="O20" s="101">
        <f>+'1'!O20+'2'!O20+'4'!O20+'3'!O20+'5'!O20+'6'!O20+'7'!O20+'8'!O20+'9'!O20+'10'!O20</f>
        <v>20.0166784</v>
      </c>
      <c r="P20" s="120">
        <f t="shared" si="0"/>
        <v>4023.3523583999995</v>
      </c>
      <c r="T20" s="163" t="str">
        <f>+'7'!A5</f>
        <v>Customer Name : Euro Store</v>
      </c>
      <c r="U20" s="164">
        <f>+'7'!P35</f>
        <v>5267.5008116999998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80</v>
      </c>
      <c r="I21" s="1">
        <f t="shared" si="1"/>
        <v>5811.2</v>
      </c>
      <c r="J21" s="172">
        <f>+'1'!J21+'2'!J21+'4'!J21+'3'!J21+'5'!J21+'6'!J21+'7'!J21+'8'!J21+'9'!J21+'10'!J21+'11'!J21+'12'!J21+'13'!J21+'14'!J21+'15'!J21+'16'!J21+'17'!J21+'18'!J21</f>
        <v>5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493.952</v>
      </c>
      <c r="M21" s="118">
        <f t="shared" si="2"/>
        <v>5317.2479999999996</v>
      </c>
      <c r="N21" s="101">
        <f>+'1'!N21+'2'!N21+'4'!N21+'3'!N21+'5'!N21+'6'!N21+'7'!N21+'8'!N21+'9'!N21+'10'!N21</f>
        <v>1218.31808</v>
      </c>
      <c r="O21" s="101">
        <f>+'1'!O21+'2'!O21+'4'!O21+'3'!O21+'5'!O21+'6'!O21+'7'!O21+'8'!O21+'9'!O21+'10'!O21</f>
        <v>32.677830400000005</v>
      </c>
      <c r="P21" s="120">
        <f t="shared" si="0"/>
        <v>6568.2439103999995</v>
      </c>
      <c r="T21" s="163" t="str">
        <f>+'8'!A5</f>
        <v>Customer Name : Latif Store</v>
      </c>
      <c r="U21" s="164">
        <f>+'8'!P35</f>
        <v>20620.928423700003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120</v>
      </c>
      <c r="I22" s="1">
        <f t="shared" si="1"/>
        <v>4707.6000000000004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164.76600000000002</v>
      </c>
      <c r="L22" s="175">
        <f>+'1'!L22+'2'!L22+'4'!L22+'3'!L22+'5'!L22+'6'!L22+'7'!L22+'8'!L22+'9'!L22+'10'!L22</f>
        <v>235.38000000000005</v>
      </c>
      <c r="M22" s="118">
        <f t="shared" si="2"/>
        <v>4307.4540000000006</v>
      </c>
      <c r="N22" s="101">
        <f>+'1'!N22+'2'!N22+'4'!N22+'3'!N22+'5'!N22+'6'!N22+'7'!N22+'8'!N22+'9'!N22+'10'!N22</f>
        <v>947.63988000000018</v>
      </c>
      <c r="O22" s="101">
        <f>+'1'!O22+'2'!O22+'4'!O22+'3'!O22+'5'!O22+'6'!O22+'7'!O22+'8'!O22+'9'!O22+'10'!O22</f>
        <v>61.309428600000004</v>
      </c>
      <c r="P22" s="120">
        <f t="shared" si="0"/>
        <v>5316.4033085999999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12.5</v>
      </c>
      <c r="D25" s="206"/>
      <c r="E25" s="206"/>
      <c r="F25" s="206"/>
      <c r="G25" s="176">
        <f t="shared" ref="G25:M25" si="3">SUM(G16:G24)</f>
        <v>0</v>
      </c>
      <c r="H25" s="177">
        <f t="shared" si="3"/>
        <v>500</v>
      </c>
      <c r="I25" s="178">
        <f t="shared" si="3"/>
        <v>28678.85</v>
      </c>
      <c r="J25" s="177">
        <f t="shared" si="3"/>
        <v>19</v>
      </c>
      <c r="K25" s="178">
        <f t="shared" si="3"/>
        <v>164.76600000000002</v>
      </c>
      <c r="L25" s="179">
        <f t="shared" si="3"/>
        <v>2353.2440000000001</v>
      </c>
      <c r="M25" s="141">
        <f t="shared" si="3"/>
        <v>26160.84</v>
      </c>
      <c r="N25" s="142">
        <f>SUM(N16:N24)</f>
        <v>5735.8364899999997</v>
      </c>
      <c r="O25" s="143">
        <f>SUM(O16:O24)</f>
        <v>194.51734164999999</v>
      </c>
      <c r="P25" s="144">
        <f>SUM(P16:P24)</f>
        <v>32091.193831650002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32091.193831650002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3" t="s">
        <v>85</v>
      </c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N32" s="222" t="s">
        <v>86</v>
      </c>
      <c r="O32" s="223"/>
      <c r="P32" s="152">
        <f>I25</f>
        <v>28678.85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N33" s="224" t="s">
        <v>87</v>
      </c>
      <c r="O33" s="225"/>
      <c r="P33" s="153">
        <f>L25</f>
        <v>2353.2440000000001</v>
      </c>
    </row>
    <row r="34" spans="2:16" ht="15" customHeight="1" x14ac:dyDescent="0.35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N34" s="224" t="s">
        <v>4</v>
      </c>
      <c r="O34" s="225"/>
      <c r="P34" s="154">
        <f>K25</f>
        <v>164.76600000000002</v>
      </c>
    </row>
    <row r="35" spans="2:16" ht="15" customHeight="1" x14ac:dyDescent="0.35">
      <c r="B35" s="216"/>
      <c r="C35" s="217"/>
      <c r="D35" s="217"/>
      <c r="E35" s="217"/>
      <c r="F35" s="217"/>
      <c r="G35" s="217"/>
      <c r="H35" s="217"/>
      <c r="I35" s="217"/>
      <c r="J35" s="217"/>
      <c r="K35" s="217"/>
      <c r="L35" s="218"/>
      <c r="M35" s="2"/>
      <c r="N35" s="224" t="s">
        <v>88</v>
      </c>
      <c r="O35" s="225"/>
      <c r="P35" s="153">
        <f>P32-P33-P34</f>
        <v>26160.84</v>
      </c>
    </row>
    <row r="36" spans="2:16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M36" s="2"/>
      <c r="N36" s="155" t="s">
        <v>89</v>
      </c>
      <c r="O36" s="156">
        <f>IF(B12="Registered",18%,22%)</f>
        <v>0.22</v>
      </c>
      <c r="P36" s="153">
        <f>N25</f>
        <v>5735.8364899999997</v>
      </c>
    </row>
    <row r="37" spans="2:16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M37" s="2"/>
      <c r="N37" s="226" t="s">
        <v>90</v>
      </c>
      <c r="O37" s="227"/>
      <c r="P37" s="153">
        <f>P35+P36</f>
        <v>31896.676489999998</v>
      </c>
    </row>
    <row r="38" spans="2:16" ht="15" customHeight="1" thickBot="1" x14ac:dyDescent="0.4">
      <c r="B38" s="219"/>
      <c r="C38" s="220"/>
      <c r="D38" s="220"/>
      <c r="E38" s="220"/>
      <c r="F38" s="220"/>
      <c r="G38" s="220"/>
      <c r="H38" s="220"/>
      <c r="I38" s="220"/>
      <c r="J38" s="220"/>
      <c r="K38" s="220"/>
      <c r="L38" s="221"/>
      <c r="M38" s="157"/>
      <c r="N38" s="158" t="s">
        <v>91</v>
      </c>
      <c r="O38" s="159">
        <f>IF(B11="Filer",0.5%,2.5%)</f>
        <v>2.5000000000000001E-2</v>
      </c>
      <c r="P38" s="153">
        <f>O38*P37</f>
        <v>797.41691225</v>
      </c>
    </row>
    <row r="39" spans="2:16" ht="15.75" customHeight="1" thickBot="1" x14ac:dyDescent="0.4">
      <c r="N39" s="204" t="s">
        <v>92</v>
      </c>
      <c r="O39" s="205"/>
      <c r="P39" s="160">
        <f>P37+P38</f>
        <v>32694.093402249997</v>
      </c>
    </row>
    <row r="40" spans="2:16" ht="15" thickBot="1" x14ac:dyDescent="0.4">
      <c r="B40" s="161" t="s">
        <v>93</v>
      </c>
      <c r="C40" s="206"/>
      <c r="D40" s="206"/>
      <c r="E40" s="206"/>
      <c r="F40" s="206"/>
      <c r="G40" s="206"/>
      <c r="H40" s="206"/>
      <c r="I40" s="207"/>
      <c r="J40" s="208"/>
      <c r="K40" s="209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9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108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109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3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6"/>
        <v>358.95450000000005</v>
      </c>
      <c r="N22" s="118">
        <f t="shared" si="0"/>
        <v>78.96999000000001</v>
      </c>
      <c r="O22" s="119">
        <f t="shared" si="1"/>
        <v>10.948112250000001</v>
      </c>
      <c r="P22" s="120">
        <f t="shared" si="2"/>
        <v>448.87260225000006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392.30000000000007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19.615000000000006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13.730500000000003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358.95450000000005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437.92449000000005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4" t="s">
        <v>92</v>
      </c>
      <c r="O35" s="205"/>
      <c r="P35" s="160">
        <f>P33+P34</f>
        <v>448.87260225000006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E21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110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109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392.30000000000007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19.615000000000006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13.730500000000003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358.95450000000005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437.92449000000005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4" t="s">
        <v>92</v>
      </c>
      <c r="O35" s="205"/>
      <c r="P35" s="160">
        <f>P33+P34</f>
        <v>448.87260225000006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J22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111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109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392.30000000000007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19.615000000000006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13.730500000000003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358.95450000000005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437.92449000000005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4" t="s">
        <v>92</v>
      </c>
      <c r="O35" s="205"/>
      <c r="P35" s="160">
        <f>P33+P34</f>
        <v>448.87260225000006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109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392.30000000000007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19.615000000000006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13.730500000000003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358.95450000000005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437.92449000000005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4" t="s">
        <v>92</v>
      </c>
      <c r="O35" s="205"/>
      <c r="P35" s="160">
        <f>P33+P34</f>
        <v>448.87260225000006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21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109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 t="s">
        <v>114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9">
        <v>8058676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86.877899999999997</v>
      </c>
      <c r="O16" s="107">
        <f>(N16+M16)*$O$15</f>
        <v>2.8476644999999996</v>
      </c>
      <c r="P16" s="105">
        <f t="shared" ref="P16:P24" si="1">M16+N16+O16</f>
        <v>572.38056449999988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1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96.321149999999989</v>
      </c>
      <c r="O17" s="119">
        <f t="shared" ref="O17:O24" si="6">(N17+M17)*$O$15</f>
        <v>2.89488075</v>
      </c>
      <c r="P17" s="120">
        <f t="shared" si="1"/>
        <v>581.87103074999993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120.29183999999999</v>
      </c>
      <c r="O19" s="119">
        <f t="shared" si="6"/>
        <v>3.9428991999999998</v>
      </c>
      <c r="P19" s="120">
        <f t="shared" si="1"/>
        <v>792.52273920000005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133.36704</v>
      </c>
      <c r="O20" s="119">
        <f t="shared" si="6"/>
        <v>4.0082751999999999</v>
      </c>
      <c r="P20" s="120">
        <f t="shared" si="1"/>
        <v>805.66331519999994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40</v>
      </c>
      <c r="I25" s="137">
        <f t="shared" si="9"/>
        <v>2502.0500000000002</v>
      </c>
      <c r="J25" s="138"/>
      <c r="K25" s="139">
        <f t="shared" si="9"/>
        <v>0</v>
      </c>
      <c r="L25" s="140">
        <f t="shared" si="9"/>
        <v>200.16399999999999</v>
      </c>
      <c r="M25" s="141">
        <f t="shared" si="9"/>
        <v>2301.886</v>
      </c>
      <c r="N25" s="142">
        <f>SUM(N16:N24)</f>
        <v>436.85793000000001</v>
      </c>
      <c r="O25" s="143">
        <f>SUM(O16:O24)</f>
        <v>13.693719649999998</v>
      </c>
      <c r="P25" s="144">
        <f>SUM(P16:P24)</f>
        <v>2752.4376496499999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2502.0500000000002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200.16399999999999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2301.8860000000004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436.85793000000001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2738.7439300000005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13.693719650000004</v>
      </c>
    </row>
    <row r="35" spans="2:16" ht="15.75" customHeight="1" thickBot="1" x14ac:dyDescent="0.4">
      <c r="N35" s="204" t="s">
        <v>92</v>
      </c>
      <c r="O35" s="205"/>
      <c r="P35" s="160">
        <f>P33+P34</f>
        <v>2752.4376496500004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21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109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116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5</v>
      </c>
      <c r="I19" s="116">
        <f t="shared" si="2"/>
        <v>363.2</v>
      </c>
      <c r="J19" s="117"/>
      <c r="K19" s="1">
        <f t="shared" si="3"/>
        <v>0</v>
      </c>
      <c r="L19" s="105">
        <f t="shared" si="4"/>
        <v>29.056000000000001</v>
      </c>
      <c r="M19" s="118">
        <f t="shared" si="5"/>
        <v>334.14400000000001</v>
      </c>
      <c r="N19" s="118">
        <f t="shared" si="0"/>
        <v>73.511679999999998</v>
      </c>
      <c r="O19" s="119">
        <f t="shared" si="6"/>
        <v>2.0382784000000003</v>
      </c>
      <c r="P19" s="120">
        <f t="shared" si="1"/>
        <v>409.69395840000004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5</v>
      </c>
      <c r="I20" s="116">
        <f t="shared" si="2"/>
        <v>363.2</v>
      </c>
      <c r="J20" s="117">
        <v>1</v>
      </c>
      <c r="K20" s="1">
        <f t="shared" si="3"/>
        <v>0</v>
      </c>
      <c r="L20" s="105">
        <f t="shared" si="4"/>
        <v>29.056000000000001</v>
      </c>
      <c r="M20" s="118">
        <f t="shared" si="5"/>
        <v>334.14400000000001</v>
      </c>
      <c r="N20" s="118">
        <f t="shared" si="0"/>
        <v>89.49248</v>
      </c>
      <c r="O20" s="119">
        <f t="shared" si="6"/>
        <v>2.1181824000000002</v>
      </c>
      <c r="P20" s="120">
        <f t="shared" si="1"/>
        <v>425.75466240000003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4.0765568000000005</v>
      </c>
      <c r="P21" s="120">
        <f t="shared" si="1"/>
        <v>819.38791680000008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0</v>
      </c>
      <c r="L25" s="140">
        <f t="shared" si="9"/>
        <v>116.224</v>
      </c>
      <c r="M25" s="141">
        <f t="shared" si="9"/>
        <v>1336.576</v>
      </c>
      <c r="N25" s="142">
        <f>SUM(N16:N24)</f>
        <v>310.02751999999998</v>
      </c>
      <c r="O25" s="143">
        <f>SUM(O16:O24)</f>
        <v>8.2330176000000002</v>
      </c>
      <c r="P25" s="144">
        <f>SUM(P16:P24)</f>
        <v>1654.8365376000002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1452.8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116.224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1336.576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310.02751999999998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1646.6035200000001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8.2330176000000002</v>
      </c>
    </row>
    <row r="35" spans="2:16" ht="15.75" customHeight="1" thickBot="1" x14ac:dyDescent="0.4">
      <c r="N35" s="204" t="s">
        <v>92</v>
      </c>
      <c r="O35" s="205"/>
      <c r="P35" s="160">
        <f>P33+P34</f>
        <v>1654.8365376000002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21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109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 t="s">
        <v>118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3420157306523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/>
      <c r="K16" s="104">
        <f>I16*$K$13</f>
        <v>0</v>
      </c>
      <c r="L16" s="105">
        <f>I16*12%</f>
        <v>94.43249999999999</v>
      </c>
      <c r="M16" s="106">
        <f>I16-K16-L16</f>
        <v>692.505</v>
      </c>
      <c r="N16" s="106">
        <f t="shared" ref="N16:N24" si="0">(M16*$N$15)+(J16*F16)*$N$15</f>
        <v>124.65089999999999</v>
      </c>
      <c r="O16" s="107">
        <f>(N16+M16)*$O$15</f>
        <v>4.0857795000000001</v>
      </c>
      <c r="P16" s="105">
        <f t="shared" ref="P16:P24" si="1">M16+N16+O16</f>
        <v>821.24167949999992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15</v>
      </c>
      <c r="I17" s="116">
        <f t="shared" ref="I17:I23" si="2">(G17*D17)*F17+H17*F17</f>
        <v>786.9375</v>
      </c>
      <c r="J17" s="117">
        <v>2</v>
      </c>
      <c r="K17" s="1">
        <f t="shared" ref="K17:K21" si="3">I17*$K$13</f>
        <v>0</v>
      </c>
      <c r="L17" s="105">
        <f t="shared" ref="L17:L21" si="4">I17*12%</f>
        <v>94.43249999999999</v>
      </c>
      <c r="M17" s="118">
        <f t="shared" ref="M17:M23" si="5">I17-K17-L17</f>
        <v>692.505</v>
      </c>
      <c r="N17" s="118">
        <f t="shared" si="0"/>
        <v>143.53739999999999</v>
      </c>
      <c r="O17" s="119">
        <f t="shared" ref="O17:O24" si="6">(N17+M17)*$O$15</f>
        <v>4.180212</v>
      </c>
      <c r="P17" s="120">
        <f t="shared" si="1"/>
        <v>840.22261200000003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10</v>
      </c>
      <c r="I18" s="116">
        <f t="shared" si="2"/>
        <v>524.625</v>
      </c>
      <c r="J18" s="117"/>
      <c r="K18" s="1">
        <f t="shared" si="3"/>
        <v>0</v>
      </c>
      <c r="L18" s="105">
        <f t="shared" si="4"/>
        <v>62.954999999999998</v>
      </c>
      <c r="M18" s="118">
        <f t="shared" si="5"/>
        <v>461.67</v>
      </c>
      <c r="N18" s="118">
        <f t="shared" si="0"/>
        <v>83.1006</v>
      </c>
      <c r="O18" s="119">
        <f t="shared" si="6"/>
        <v>2.7238530000000005</v>
      </c>
      <c r="P18" s="120">
        <f t="shared" si="1"/>
        <v>547.49445300000002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130.75199999999998</v>
      </c>
      <c r="M19" s="118">
        <f t="shared" si="5"/>
        <v>958.84799999999996</v>
      </c>
      <c r="N19" s="118">
        <f t="shared" si="0"/>
        <v>172.59263999999999</v>
      </c>
      <c r="O19" s="119">
        <f t="shared" si="6"/>
        <v>5.6572032000000005</v>
      </c>
      <c r="P19" s="120">
        <f t="shared" si="1"/>
        <v>1137.0978431999999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/>
      <c r="K20" s="1">
        <f t="shared" si="3"/>
        <v>0</v>
      </c>
      <c r="L20" s="105">
        <f t="shared" si="4"/>
        <v>130.75199999999998</v>
      </c>
      <c r="M20" s="118">
        <f t="shared" si="5"/>
        <v>958.84799999999996</v>
      </c>
      <c r="N20" s="118">
        <f t="shared" si="0"/>
        <v>172.59263999999999</v>
      </c>
      <c r="O20" s="119">
        <f t="shared" si="6"/>
        <v>5.6572032000000005</v>
      </c>
      <c r="P20" s="120">
        <f t="shared" si="1"/>
        <v>1137.0978431999999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>
        <v>2</v>
      </c>
      <c r="K21" s="1">
        <f t="shared" si="3"/>
        <v>0</v>
      </c>
      <c r="L21" s="105">
        <f t="shared" si="4"/>
        <v>87.167999999999992</v>
      </c>
      <c r="M21" s="118">
        <f t="shared" si="5"/>
        <v>639.23199999999997</v>
      </c>
      <c r="N21" s="118">
        <f t="shared" si="0"/>
        <v>141.21215999999998</v>
      </c>
      <c r="O21" s="119">
        <f t="shared" si="6"/>
        <v>3.9022208000000003</v>
      </c>
      <c r="P21" s="120">
        <f t="shared" si="1"/>
        <v>784.34638080000002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80</v>
      </c>
      <c r="I25" s="137">
        <f t="shared" si="9"/>
        <v>5004.0999999999995</v>
      </c>
      <c r="J25" s="138"/>
      <c r="K25" s="139">
        <f t="shared" si="9"/>
        <v>0</v>
      </c>
      <c r="L25" s="140">
        <f t="shared" si="9"/>
        <v>600.49199999999996</v>
      </c>
      <c r="M25" s="141">
        <f t="shared" si="9"/>
        <v>4403.6080000000002</v>
      </c>
      <c r="N25" s="142">
        <f>SUM(N16:N24)</f>
        <v>837.68633999999997</v>
      </c>
      <c r="O25" s="143">
        <f>SUM(O16:O24)</f>
        <v>26.206471700000002</v>
      </c>
      <c r="P25" s="144">
        <f>SUM(P16:P24)</f>
        <v>5267.5008116999998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5004.0999999999995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600.49199999999996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4403.6079999999993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837.68633999999997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5241.2943399999995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26.206471699999998</v>
      </c>
    </row>
    <row r="35" spans="2:16" ht="15.75" customHeight="1" thickBot="1" x14ac:dyDescent="0.4">
      <c r="N35" s="204" t="s">
        <v>92</v>
      </c>
      <c r="O35" s="205"/>
      <c r="P35" s="160">
        <f>P33+P34</f>
        <v>5267.5008116999998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20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119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120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121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80</v>
      </c>
      <c r="I16" s="102">
        <f>(G16*D16)*F16+H16*F16</f>
        <v>4197</v>
      </c>
      <c r="J16" s="103">
        <v>4</v>
      </c>
      <c r="K16" s="104">
        <f>I16*$K$13</f>
        <v>0</v>
      </c>
      <c r="L16" s="105">
        <f>I16*8%</f>
        <v>335.76</v>
      </c>
      <c r="M16" s="106">
        <f>I16-K16-L16</f>
        <v>3861.24</v>
      </c>
      <c r="N16" s="106">
        <f t="shared" ref="N16:N24" si="0">(M16*$N$15)+(J16*F16)*$N$15</f>
        <v>895.63980000000004</v>
      </c>
      <c r="O16" s="107">
        <f>(N16+M16)*$O$15</f>
        <v>23.784399000000001</v>
      </c>
      <c r="P16" s="105">
        <f t="shared" ref="P16:P24" si="1">M16+N16+O16</f>
        <v>4780.6641989999998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447.81990000000002</v>
      </c>
      <c r="O17" s="119">
        <f t="shared" ref="O17:O24" si="6">(N17+M17)*$O$15</f>
        <v>11.8921995</v>
      </c>
      <c r="P17" s="120">
        <f t="shared" si="1"/>
        <v>2390.3320994999999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16.4660352</v>
      </c>
      <c r="P19" s="120">
        <f t="shared" si="1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8.2330176000000002</v>
      </c>
      <c r="P20" s="120">
        <f t="shared" si="1"/>
        <v>1654.8365376000002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60</v>
      </c>
      <c r="I21" s="116">
        <f t="shared" si="2"/>
        <v>4358.3999999999996</v>
      </c>
      <c r="J21" s="117">
        <v>3</v>
      </c>
      <c r="K21" s="1">
        <f t="shared" si="3"/>
        <v>0</v>
      </c>
      <c r="L21" s="105">
        <f t="shared" si="4"/>
        <v>348.67199999999997</v>
      </c>
      <c r="M21" s="118">
        <f t="shared" si="5"/>
        <v>4009.7279999999996</v>
      </c>
      <c r="N21" s="118">
        <f t="shared" si="0"/>
        <v>930.08255999999994</v>
      </c>
      <c r="O21" s="119">
        <f t="shared" si="6"/>
        <v>24.6990528</v>
      </c>
      <c r="P21" s="120">
        <f t="shared" si="1"/>
        <v>4964.5096127999996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">
        <f>I22*3.5%</f>
        <v>109.84400000000002</v>
      </c>
      <c r="L22" s="120">
        <f>I22*5%</f>
        <v>156.92000000000004</v>
      </c>
      <c r="M22" s="118">
        <f t="shared" si="5"/>
        <v>2871.6360000000004</v>
      </c>
      <c r="N22" s="118">
        <f t="shared" si="0"/>
        <v>631.75992000000008</v>
      </c>
      <c r="O22" s="119">
        <f t="shared" si="6"/>
        <v>17.516979600000003</v>
      </c>
      <c r="P22" s="120">
        <f t="shared" si="1"/>
        <v>3520.9128996000004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320</v>
      </c>
      <c r="I25" s="137">
        <f t="shared" si="9"/>
        <v>18150.7</v>
      </c>
      <c r="J25" s="138"/>
      <c r="K25" s="139">
        <f t="shared" si="9"/>
        <v>109.84400000000002</v>
      </c>
      <c r="L25" s="140">
        <f t="shared" si="9"/>
        <v>1357.904</v>
      </c>
      <c r="M25" s="141">
        <f t="shared" si="9"/>
        <v>16682.951999999997</v>
      </c>
      <c r="N25" s="142">
        <f>SUM(N16:N24)</f>
        <v>3835.38474</v>
      </c>
      <c r="O25" s="143">
        <f>SUM(O16:O24)</f>
        <v>102.5916837</v>
      </c>
      <c r="P25" s="144">
        <f>SUM(P16:P24)</f>
        <v>20620.928423699999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18150.7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1357.904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109.84400000000002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16682.952000000001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3835.38474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20518.336740000002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102.59168370000002</v>
      </c>
    </row>
    <row r="35" spans="2:16" ht="15.75" customHeight="1" thickBot="1" x14ac:dyDescent="0.4">
      <c r="N35" s="204" t="s">
        <v>92</v>
      </c>
      <c r="O35" s="205"/>
      <c r="P35" s="160">
        <f>P33+P34</f>
        <v>20620.928423700003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0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7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80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2026-06-23T12:28:17Z</dcterms:modified>
</cp:coreProperties>
</file>