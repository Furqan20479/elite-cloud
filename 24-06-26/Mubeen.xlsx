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B563A137-3267-422B-84C6-E30103A77A5E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N16" i="18" l="1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<sst xmlns="http://schemas.openxmlformats.org/spreadsheetml/2006/main" count="1584" uniqueCount="118">
  <si>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</si>
  <si>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</si>
  <si>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</si>
  <si>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</si>
  <si>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</si>
  <si>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</si>
  <si>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</si>
  <si>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</si>
  <si>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</si>
  <si>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</si>
  <si>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</si>
  <si>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</si>
  <si>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</si>
  <si>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</si>
  <si>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</si>
  <si>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</si>
  <si>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</si>
  <si>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</si>
  <si>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</si>
  <si>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</si>
  <si>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</si>
  <si>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</si>
  <si>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</si>
  <si>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</si>
  <si>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</si>
  <si>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</si>
  <si>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</si>
  <si>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</si>
  <si>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</si>
  <si>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</si>
  <si>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</si>
  <si>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</si>
  <si>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</si>
  <si>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</si>
  <si>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</si>
  <si>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</si>
  <si>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</si>
  <si>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</si>
  <si>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</si>
  <si>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</si>
  <si>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</si>
  <si>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</si>
  <si>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</si>
  <si>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</si>
  <si>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</si>
  <si>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</si>
  <si>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</si>
  <si>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</si>
  <si>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</si>
  <si>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</si>
  <si>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</si>
  <si>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</si>
  <si>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</si>
  <si>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</si>
  <si>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</si>
  <si>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</si>
  <si>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</si>
  <si>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</si>
  <si>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</si>
  <si>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</si>
  <si>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</si>
  <si>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</si>
  <si>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</si>
  <si>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</si>
  <si>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</si>
  <si>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</si>
  <si>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</si>
  <si>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</si>
  <si>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</si>
  <si>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</si>
  <si>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</si>
  <si>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</si>
  <si>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</si>
  <si>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</si>
  <si>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</si>
  <si>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</si>
  <si>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</si>
  <si>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</si>
  <si>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</si>
  <si>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</si>
  <si>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</si>
  <si>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</si>
  <si>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</si>
  <si>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</si>
  <si>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</si>
  <si>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</si>
  <si>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</si>
  <si>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</si>
  <si>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</si>
  <si>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</si>
  <si>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</si>
  <si>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</si>
  <si>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</si>
  <si>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</si>
  <si>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</si>
  <si>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</si>
  <si>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</si>
  <si>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</si>
  <si>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</si>
  <si>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</si>
  <si>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</si>
  <si>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</si>
  <si>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</si>
  <si>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</si>
  <si>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</si>
  <si>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</si>
  <si>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Mubeen</t>
  </si>
  <si>
    <t>Shop Bill Summary (Mubeen)</t>
  </si>
  <si>
    <t>Customer Name : Akari Welfare Shop</t>
  </si>
  <si>
    <t>Address: Askari 1</t>
  </si>
  <si>
    <t>4119712-7</t>
  </si>
  <si>
    <t>Customer Name : United Store</t>
  </si>
  <si>
    <t>Address: Askari 9</t>
  </si>
  <si>
    <t>3255339-7</t>
  </si>
  <si>
    <t>Customer Name : Classic Store</t>
  </si>
  <si>
    <t>331054413451-5</t>
  </si>
  <si>
    <t>Customer Name : Karam Store</t>
  </si>
  <si>
    <t>Address: Tajbagh Phase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</si>
</sst>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3" zoomScale="70" zoomScaleNormal="7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106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107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Akari Welfare Shop</v>
      </c>
      <c r="U14" s="164">
        <f>+'1'!P35</f>
        <v>3309.6730752000003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United Store</v>
      </c>
      <c r="U15" s="164">
        <f>+'2'!P35</f>
        <v>2850.0025873500003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+'3'!A5</f>
        <v>Customer Name : Classic Store</v>
      </c>
      <c r="U16" s="164">
        <f>+'3'!P35</f>
        <v>1966.53100032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10</v>
      </c>
      <c r="I17" s="1">
        <f t="shared" ref="I17:I23" si="1">(G17*D17)*F17+H17*F17</f>
        <v>524.625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41.97</v>
      </c>
      <c r="M17" s="118">
        <f t="shared" ref="M17:M23" si="2">I17-K17-L17</f>
        <v>482.65499999999997</v>
      </c>
      <c r="N17" s="101">
        <f>+'1'!N17+'2'!N17+'4'!N17+'3'!N17+'5'!N17+'6'!N17+'7'!N17+'8'!N17+'9'!N17+'10'!N17</f>
        <v>106.1841</v>
      </c>
      <c r="O17" s="101">
        <f>+'1'!O17+'2'!O17+'4'!O17+'3'!O17+'5'!O17+'6'!O17+'7'!O17+'8'!O17+'9'!O17+'10'!O17</f>
        <v>2.9441954999999997</v>
      </c>
      <c r="P17" s="120">
        <f t="shared" si="0"/>
        <v>591.78329549999989</v>
      </c>
      <c r="S17" s="64"/>
      <c r="T17" s="163" t="str">
        <f>+'4'!A5</f>
        <v>Customer Name : Karam Store</v>
      </c>
      <c r="U17" s="164">
        <f>+'4'!P35</f>
        <v>2022.0462656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10</v>
      </c>
      <c r="I18" s="1">
        <f t="shared" si="1"/>
        <v>524.625</v>
      </c>
      <c r="J18" s="172">
        <f>+'1'!J18+'2'!J18+'4'!J18+'3'!J18+'5'!J18+'6'!J18+'7'!J18+'8'!J18+'9'!J18+'10'!J18+'11'!J18+'12'!J18+'13'!J18+'14'!J18+'15'!J18+'16'!J18+'17'!J18+'18'!J18</f>
        <v>1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41.97</v>
      </c>
      <c r="M18" s="118">
        <f t="shared" si="2"/>
        <v>482.65499999999997</v>
      </c>
      <c r="N18" s="101">
        <f>+'1'!N18+'2'!N18+'4'!N18+'3'!N18+'5'!N18+'6'!N18+'7'!N18+'8'!N18+'9'!N18+'10'!N18</f>
        <v>117.72585000000001</v>
      </c>
      <c r="O18" s="101">
        <f>+'1'!O18+'2'!O18+'4'!O18+'3'!O18+'5'!O18+'6'!O18+'7'!O18+'8'!O18+'9'!O18+'10'!O18</f>
        <v>3.0019042499999999</v>
      </c>
      <c r="P18" s="120">
        <f t="shared" si="0"/>
        <v>603.38275425000006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0</v>
      </c>
      <c r="I19" s="1">
        <f t="shared" si="1"/>
        <v>0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0</v>
      </c>
      <c r="M19" s="118">
        <f t="shared" si="2"/>
        <v>0</v>
      </c>
      <c r="N19" s="101">
        <f>+'1'!N19+'2'!N19+'4'!N19+'3'!N19+'5'!N19+'6'!N19+'7'!N19+'8'!N19+'9'!N19+'10'!N19</f>
        <v>0</v>
      </c>
      <c r="O19" s="101">
        <f>+'1'!O19+'2'!O19+'4'!O19+'3'!O19+'5'!O19+'6'!O19+'7'!O19+'8'!O19+'9'!O19+'10'!O19</f>
        <v>0</v>
      </c>
      <c r="P19" s="120">
        <f t="shared" si="0"/>
        <v>0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34</v>
      </c>
      <c r="I20" s="1">
        <f t="shared" si="1"/>
        <v>2469.7600000000002</v>
      </c>
      <c r="J20" s="172">
        <f>+'1'!J20+'2'!J20+'4'!J20+'3'!J20+'5'!J20+'6'!J20+'7'!J20+'8'!J20+'9'!J20+'10'!J20+'11'!J20+'12'!J20+'13'!J20+'14'!J20+'15'!J20+'16'!J20+'17'!J20+'18'!J20</f>
        <v>1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197.58080000000001</v>
      </c>
      <c r="M20" s="118">
        <f t="shared" si="2"/>
        <v>2272.1792</v>
      </c>
      <c r="N20" s="101">
        <f>+'1'!N20+'2'!N20+'4'!N20+'3'!N20+'5'!N20+'6'!N20+'7'!N20+'8'!N20+'9'!N20+'10'!N20</f>
        <v>515.86022400000002</v>
      </c>
      <c r="O20" s="101">
        <f>+'1'!O20+'2'!O20+'4'!O20+'3'!O20+'5'!O20+'6'!O20+'7'!O20+'8'!O20+'9'!O20+'10'!O20</f>
        <v>53.394758400000001</v>
      </c>
      <c r="P20" s="120">
        <f t="shared" si="0"/>
        <v>2841.4341824000003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74</v>
      </c>
      <c r="I21" s="1">
        <f t="shared" si="1"/>
        <v>5375.36</v>
      </c>
      <c r="J21" s="172">
        <f>+'1'!J21+'2'!J21+'4'!J21+'3'!J21+'5'!J21+'6'!J21+'7'!J21+'8'!J21+'9'!J21+'10'!J21+'11'!J21+'12'!J21+'13'!J21+'14'!J21+'15'!J21+'16'!J21+'17'!J21+'18'!J21</f>
        <v>3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430.02880000000005</v>
      </c>
      <c r="M21" s="118">
        <f t="shared" si="2"/>
        <v>4945.3311999999996</v>
      </c>
      <c r="N21" s="101">
        <f>+'1'!N21+'2'!N21+'4'!N21+'3'!N21+'5'!N21+'6'!N21+'7'!N21+'8'!N21+'9'!N21+'10'!N21</f>
        <v>1135.915264</v>
      </c>
      <c r="O21" s="101">
        <f>+'1'!O21+'2'!O21+'4'!O21+'3'!O21+'5'!O21+'6'!O21+'7'!O21+'8'!O21+'9'!O21+'10'!O21</f>
        <v>30.406232320000001</v>
      </c>
      <c r="P21" s="120">
        <f t="shared" si="0"/>
        <v>6111.6526963199994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3.2</v>
      </c>
      <c r="D25" s="205"/>
      <c r="E25" s="205"/>
      <c r="F25" s="205"/>
      <c r="G25" s="176">
        <f t="shared" ref="G25:M25" si="3">SUM(G16:G24)</f>
        <v>0</v>
      </c>
      <c r="H25" s="177">
        <f t="shared" si="3"/>
        <v>128</v>
      </c>
      <c r="I25" s="178">
        <f t="shared" si="3"/>
        <v>8894.369999999999</v>
      </c>
      <c r="J25" s="177">
        <f t="shared" si="3"/>
        <v>5</v>
      </c>
      <c r="K25" s="178">
        <f t="shared" si="3"/>
        <v>0</v>
      </c>
      <c r="L25" s="179">
        <f t="shared" si="3"/>
        <v>711.54960000000005</v>
      </c>
      <c r="M25" s="141">
        <f t="shared" si="3"/>
        <v>8182.8203999999996</v>
      </c>
      <c r="N25" s="142">
        <f>SUM(N16:N24)</f>
        <v>1875.685438</v>
      </c>
      <c r="O25" s="143">
        <f>SUM(O16:O24)</f>
        <v>89.747090470000003</v>
      </c>
      <c r="P25" s="144">
        <f>SUM(P16:P24)</f>
        <v>10148.252928469999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10148.252928469999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8894.369999999999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711.54960000000005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0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8182.8203999999987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1875.685438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10058.505837999999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251.46264595</v>
      </c>
    </row>
    <row r="39" spans="2:16" ht="15.75" customHeight="1" thickBot="1" x14ac:dyDescent="0.4">
      <c r="N39" s="203" t="s">
        <v>92</v>
      </c>
      <c r="O39" s="204"/>
      <c r="P39" s="160">
        <f>P37+P38</f>
        <v>10309.968483949999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110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>
        <v>2</v>
      </c>
      <c r="K21" s="1">
        <f t="shared" si="4"/>
        <v>0</v>
      </c>
      <c r="L21" s="105">
        <f t="shared" si="5"/>
        <v>232.44800000000001</v>
      </c>
      <c r="M21" s="118">
        <f t="shared" si="6"/>
        <v>2673.152</v>
      </c>
      <c r="N21" s="118">
        <f t="shared" si="0"/>
        <v>620.05503999999996</v>
      </c>
      <c r="O21" s="119">
        <f t="shared" si="1"/>
        <v>16.4660352</v>
      </c>
      <c r="P21" s="120">
        <f t="shared" si="2"/>
        <v>3309.6730752000003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3309.6730752000003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232.44800000000001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03" t="s">
        <v>92</v>
      </c>
      <c r="O35" s="204"/>
      <c r="P35" s="160">
        <f>P33+P34</f>
        <v>3309.6730752000003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112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113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/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106.1841</v>
      </c>
      <c r="O17" s="119">
        <f t="shared" ref="O17:O24" si="6">(N17+M17)*$O$15</f>
        <v>2.9441954999999997</v>
      </c>
      <c r="P17" s="120">
        <f t="shared" si="1"/>
        <v>591.78329549999989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10</v>
      </c>
      <c r="I18" s="116">
        <f t="shared" si="2"/>
        <v>524.625</v>
      </c>
      <c r="J18" s="117">
        <v>1</v>
      </c>
      <c r="K18" s="1">
        <f t="shared" si="3"/>
        <v>0</v>
      </c>
      <c r="L18" s="105">
        <f t="shared" si="4"/>
        <v>41.97</v>
      </c>
      <c r="M18" s="118">
        <f t="shared" si="5"/>
        <v>482.65499999999997</v>
      </c>
      <c r="N18" s="118">
        <f t="shared" si="0"/>
        <v>117.72585000000001</v>
      </c>
      <c r="O18" s="119">
        <f t="shared" si="6"/>
        <v>3.0019042499999999</v>
      </c>
      <c r="P18" s="120">
        <f t="shared" si="1"/>
        <v>603.38275425000006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147.02336</v>
      </c>
      <c r="O20" s="119">
        <f t="shared" si="6"/>
        <v>4.0765568000000005</v>
      </c>
      <c r="P20" s="120">
        <f t="shared" si="1"/>
        <v>819.38791680000008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>
        <v>1</v>
      </c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163.00415999999998</v>
      </c>
      <c r="O21" s="119">
        <f t="shared" si="6"/>
        <v>4.1564607999999996</v>
      </c>
      <c r="P21" s="120">
        <f t="shared" si="1"/>
        <v>835.44862079999996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2502.0500000000002</v>
      </c>
      <c r="J25" s="138"/>
      <c r="K25" s="139">
        <f t="shared" si="9"/>
        <v>0</v>
      </c>
      <c r="L25" s="140">
        <f t="shared" si="9"/>
        <v>200.16399999999999</v>
      </c>
      <c r="M25" s="141">
        <f t="shared" si="9"/>
        <v>2301.886</v>
      </c>
      <c r="N25" s="142">
        <f>SUM(N16:N24)</f>
        <v>533.93746999999996</v>
      </c>
      <c r="O25" s="143">
        <f>SUM(O16:O24)</f>
        <v>14.17911735</v>
      </c>
      <c r="P25" s="144">
        <f>SUM(P16:P24)</f>
        <v>2850.0025873499999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2502.0500000000002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200.16399999999999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2301.8860000000004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533.93746999999996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2835.8234700000003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14.179117350000002</v>
      </c>
    </row>
    <row r="35" spans="2:16" ht="15.75" customHeight="1" thickBot="1" x14ac:dyDescent="0.4">
      <c r="N35" s="203" t="s">
        <v>92</v>
      </c>
      <c r="O35" s="204"/>
      <c r="P35" s="160">
        <f>P33+P34</f>
        <v>2850.0025873500003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112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115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24</v>
      </c>
      <c r="I21" s="116">
        <f t="shared" si="2"/>
        <v>1743.3600000000001</v>
      </c>
      <c r="J21" s="117"/>
      <c r="K21" s="1">
        <f t="shared" si="3"/>
        <v>0</v>
      </c>
      <c r="L21" s="105">
        <f t="shared" si="4"/>
        <v>139.46880000000002</v>
      </c>
      <c r="M21" s="118">
        <f t="shared" si="5"/>
        <v>1603.8912</v>
      </c>
      <c r="N21" s="118">
        <f t="shared" si="0"/>
        <v>352.856064</v>
      </c>
      <c r="O21" s="119">
        <f t="shared" si="6"/>
        <v>9.7837363200000009</v>
      </c>
      <c r="P21" s="120">
        <f t="shared" si="1"/>
        <v>1966.53100032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24</v>
      </c>
      <c r="I25" s="137">
        <f t="shared" si="9"/>
        <v>1743.3600000000001</v>
      </c>
      <c r="J25" s="138"/>
      <c r="K25" s="139">
        <f t="shared" si="9"/>
        <v>0</v>
      </c>
      <c r="L25" s="140">
        <f t="shared" si="9"/>
        <v>139.46880000000002</v>
      </c>
      <c r="M25" s="141">
        <f t="shared" si="9"/>
        <v>1603.8912</v>
      </c>
      <c r="N25" s="142">
        <f>SUM(N16:N24)</f>
        <v>352.856064</v>
      </c>
      <c r="O25" s="143">
        <f>SUM(O16:O24)</f>
        <v>9.7837363200000009</v>
      </c>
      <c r="P25" s="144">
        <f>SUM(P16:P24)</f>
        <v>1966.53100032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1743.3600000000001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139.46880000000002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1603.8912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352.856064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1956.7472640000001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9.7837363200000009</v>
      </c>
    </row>
    <row r="35" spans="2:16" ht="15.75" customHeight="1" thickBot="1" x14ac:dyDescent="0.4">
      <c r="N35" s="203" t="s">
        <v>92</v>
      </c>
      <c r="O35" s="204"/>
      <c r="P35" s="160">
        <f>P33+P34</f>
        <v>1966.53100032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5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24</v>
      </c>
      <c r="I20" s="116">
        <f t="shared" si="2"/>
        <v>1743.3600000000001</v>
      </c>
      <c r="J20" s="117">
        <v>1</v>
      </c>
      <c r="K20" s="1">
        <f t="shared" si="3"/>
        <v>0</v>
      </c>
      <c r="L20" s="105">
        <f t="shared" si="4"/>
        <v>139.46880000000002</v>
      </c>
      <c r="M20" s="118">
        <f t="shared" si="5"/>
        <v>1603.8912</v>
      </c>
      <c r="N20" s="118">
        <f t="shared" si="0"/>
        <v>368.83686399999999</v>
      </c>
      <c r="O20" s="119">
        <f t="shared" si="6"/>
        <v>49.318201600000002</v>
      </c>
      <c r="P20" s="120">
        <f t="shared" si="1"/>
        <v>2022.0462656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24</v>
      </c>
      <c r="I25" s="137">
        <f t="shared" si="9"/>
        <v>1743.3600000000001</v>
      </c>
      <c r="J25" s="138"/>
      <c r="K25" s="139">
        <f t="shared" si="9"/>
        <v>0</v>
      </c>
      <c r="L25" s="140">
        <f t="shared" si="9"/>
        <v>139.46880000000002</v>
      </c>
      <c r="M25" s="141">
        <f t="shared" si="9"/>
        <v>1603.8912</v>
      </c>
      <c r="N25" s="142">
        <f>SUM(N16:N24)</f>
        <v>368.83686399999999</v>
      </c>
      <c r="O25" s="143">
        <f>SUM(O16:O24)</f>
        <v>49.318201600000002</v>
      </c>
      <c r="P25" s="144">
        <f>SUM(P16:P24)</f>
        <v>2022.0462656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1743.3600000000001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139.46880000000002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1603.8912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368.83686399999999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1972.7280639999999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49.318201600000002</v>
      </c>
    </row>
    <row r="35" spans="2:16" ht="15.75" customHeight="1" thickBot="1" x14ac:dyDescent="0.4">
      <c r="N35" s="203" t="s">
        <v>92</v>
      </c>
      <c r="O35" s="204"/>
      <c r="P35" s="160">
        <f>P33+P34</f>
        <v>2022.0462656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2026-06-23T12:39:39Z</dcterms:modified>
</cp:coreProperties>
</file>