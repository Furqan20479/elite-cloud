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E9D53F5-CB95-46F7-BBEE-65173310712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<sst xmlns="http://schemas.openxmlformats.org/spreadsheetml/2006/main" count="1585" uniqueCount="119">
  <si>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</si>
  <si>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</si>
  <si>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</si>
  <si>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</si>
  <si>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</si>
  <si>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</si>
  <si>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</si>
  <si>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</si>
  <si>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</si>
  <si>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</si>
  <si>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</si>
  <si>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</si>
  <si>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</si>
  <si>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</si>
  <si>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</si>
  <si>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</si>
  <si>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</si>
  <si>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</si>
  <si>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</si>
  <si>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</si>
  <si>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</si>
  <si>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</si>
  <si>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</si>
  <si>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</si>
  <si>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</si>
  <si>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</si>
  <si>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</si>
  <si>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</si>
  <si>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</si>
  <si>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</si>
  <si>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</si>
  <si>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</si>
  <si>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</si>
  <si>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</si>
  <si>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</si>
  <si>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</si>
  <si>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</si>
  <si>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</si>
  <si>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</si>
  <si>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</si>
  <si>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</si>
  <si>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</si>
  <si>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</si>
  <si>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</si>
  <si>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</si>
  <si>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</si>
  <si>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</si>
  <si>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</si>
  <si>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</si>
  <si>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</si>
  <si>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</si>
  <si>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</si>
  <si>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</si>
  <si>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</si>
  <si>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</si>
  <si>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</si>
  <si>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</si>
  <si>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</si>
  <si>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</si>
  <si>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</si>
  <si>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</si>
  <si>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</si>
  <si>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</si>
  <si>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</si>
  <si>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</si>
  <si>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</si>
  <si>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</si>
  <si>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</si>
  <si>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</si>
  <si>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</si>
  <si>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</si>
  <si>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</si>
  <si>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</si>
  <si>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</si>
  <si>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</si>
  <si>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</si>
  <si>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</si>
  <si>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</si>
  <si>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</si>
  <si>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</si>
  <si>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</si>
  <si>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</si>
  <si>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</si>
  <si>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</si>
  <si>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</si>
  <si>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</si>
  <si>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</si>
  <si>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</si>
  <si>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</si>
  <si>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</si>
  <si>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</si>
  <si>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</si>
  <si>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</si>
  <si>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</si>
  <si>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</si>
  <si>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</si>
  <si>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</si>
  <si>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</si>
  <si>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</si>
  <si>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</si>
  <si>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</si>
  <si>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</si>
  <si>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</si>
  <si>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</si>
  <si>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</si>
  <si>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</si>
  <si>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Mubeen</t>
  </si>
  <si>
    <t>Shop Bill Summary (Mubeen)</t>
  </si>
  <si>
    <t>Customer Name : Akari Welfare Shop</t>
  </si>
  <si>
    <t>Address: Askari 1</t>
  </si>
  <si>
    <t>4119712-7</t>
  </si>
  <si>
    <t>Customer Name : United Store</t>
  </si>
  <si>
    <t>Address: Askari 9</t>
  </si>
  <si>
    <t>3255339-7</t>
  </si>
  <si>
    <t>Customer Name : Classic Store</t>
  </si>
  <si>
    <t>331054413451-5</t>
  </si>
  <si>
    <t>Customer Name : Karam Store</t>
  </si>
  <si>
    <t>Address: Tajbagh Phase 3</t>
  </si>
  <si>
    <t xml:space="preserve">Jane nh dete 2 Bjy k baad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</si>
</sst>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3" zoomScale="70" zoomScaleNormal="7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Akari Welfare Shop</v>
      </c>
      <c r="U14" s="164">
        <f>+'1'!P35</f>
        <v>3309.6730752000003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United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Classic Store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Karam Store</v>
      </c>
      <c r="U17" s="164">
        <f>+'4'!P35</f>
        <v>2022.0462656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24</v>
      </c>
      <c r="I20" s="1">
        <f t="shared" si="1"/>
        <v>1743.3600000000001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139.46880000000002</v>
      </c>
      <c r="M20" s="118">
        <f t="shared" si="2"/>
        <v>1603.8912</v>
      </c>
      <c r="N20" s="101">
        <f>+'1'!N20+'2'!N20+'4'!N20+'3'!N20+'5'!N20+'6'!N20+'7'!N20+'8'!N20+'9'!N20+'10'!N20</f>
        <v>368.83686399999999</v>
      </c>
      <c r="O20" s="101">
        <f>+'1'!O20+'2'!O20+'4'!O20+'3'!O20+'5'!O20+'6'!O20+'7'!O20+'8'!O20+'9'!O20+'10'!O20</f>
        <v>49.318201600000002</v>
      </c>
      <c r="P20" s="120">
        <f t="shared" si="0"/>
        <v>2022.0462656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620.05503999999996</v>
      </c>
      <c r="O21" s="101">
        <f>+'1'!O21+'2'!O21+'4'!O21+'3'!O21+'5'!O21+'6'!O21+'7'!O21+'8'!O21+'9'!O21+'10'!O21</f>
        <v>16.4660352</v>
      </c>
      <c r="P21" s="120">
        <f t="shared" si="0"/>
        <v>3309.6730752000003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1.6</v>
      </c>
      <c r="D25" s="221"/>
      <c r="E25" s="221"/>
      <c r="F25" s="221"/>
      <c r="G25" s="176">
        <f t="shared" ref="G25:M25" si="3">SUM(G16:G24)</f>
        <v>0</v>
      </c>
      <c r="H25" s="177">
        <f t="shared" si="3"/>
        <v>64</v>
      </c>
      <c r="I25" s="178">
        <f t="shared" si="3"/>
        <v>4648.96</v>
      </c>
      <c r="J25" s="177">
        <f t="shared" si="3"/>
        <v>3</v>
      </c>
      <c r="K25" s="178">
        <f t="shared" si="3"/>
        <v>0</v>
      </c>
      <c r="L25" s="179">
        <f t="shared" si="3"/>
        <v>371.91680000000002</v>
      </c>
      <c r="M25" s="141">
        <f t="shared" si="3"/>
        <v>4277.0432000000001</v>
      </c>
      <c r="N25" s="142">
        <f>SUM(N16:N24)</f>
        <v>988.89190399999995</v>
      </c>
      <c r="O25" s="143">
        <f>SUM(O16:O24)</f>
        <v>65.784236800000002</v>
      </c>
      <c r="P25" s="144">
        <f>SUM(P16:P24)</f>
        <v>5331.7193408000003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5331.7193408000003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4648.96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371.91680000000002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4277.0432000000001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988.89190399999995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5265.9351040000001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131.6483776</v>
      </c>
    </row>
    <row r="39" spans="2:16" ht="15.75" customHeight="1" thickBot="1" x14ac:dyDescent="0.4">
      <c r="N39" s="219" t="s">
        <v>92</v>
      </c>
      <c r="O39" s="220"/>
      <c r="P39" s="160">
        <f>P37+P38</f>
        <v>5397.5834816000006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>
        <v>2</v>
      </c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620.05503999999996</v>
      </c>
      <c r="O21" s="119">
        <f t="shared" si="1"/>
        <v>16.4660352</v>
      </c>
      <c r="P21" s="120">
        <f t="shared" si="2"/>
        <v>3309.6730752000003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7"/>
  <sheetViews>
    <sheetView topLeftCell="A7" workbookViewId="0">
      <selection activeCell="I21" sqref="I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118</v>
      </c>
    </row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1" sqref="H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99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368.83686399999999</v>
      </c>
      <c r="O20" s="119">
        <f t="shared" si="6"/>
        <v>49.318201600000002</v>
      </c>
      <c r="P20" s="120">
        <f t="shared" si="1"/>
        <v>2022.0462656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1743.3600000000001</v>
      </c>
      <c r="J25" s="138"/>
      <c r="K25" s="139">
        <f t="shared" si="9"/>
        <v>0</v>
      </c>
      <c r="L25" s="140">
        <f t="shared" si="9"/>
        <v>139.46880000000002</v>
      </c>
      <c r="M25" s="141">
        <f t="shared" si="9"/>
        <v>1603.8912</v>
      </c>
      <c r="N25" s="142">
        <f>SUM(N16:N24)</f>
        <v>368.83686399999999</v>
      </c>
      <c r="O25" s="143">
        <f>SUM(O16:O24)</f>
        <v>49.318201600000002</v>
      </c>
      <c r="P25" s="144">
        <f>SUM(P16:P24)</f>
        <v>2022.0462656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1743.3600000000001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139.46880000000002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1603.8912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368.83686399999999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1972.7280639999999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49.318201600000002</v>
      </c>
    </row>
    <row r="35" spans="2:16" ht="15.75" customHeight="1" thickBot="1" x14ac:dyDescent="0.4">
      <c r="N35" s="219" t="s">
        <v>92</v>
      </c>
      <c r="O35" s="220"/>
      <c r="P35" s="160">
        <f>P33+P34</f>
        <v>2022.0462656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2026-06-24T12:15:27Z</dcterms:modified>
</cp:coreProperties>
</file>