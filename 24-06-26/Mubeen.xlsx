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58FD350B-B9DC-40B1-AF69-6F0D5E623BEB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2" i="32" l="1"/>
  <c r="I16" i="28"/>
  <c r="I17" i="28"/>
  <c r="I18" i="28"/>
  <c r="L18" i="28" s="1"/>
  <c r="I19" i="28"/>
  <c r="I20" i="28"/>
  <c r="I21" i="28"/>
  <c r="I22" i="28"/>
  <c r="L22" i="28" s="1"/>
  <c r="I23" i="28"/>
  <c r="I24" i="28"/>
  <c r="I17" i="33"/>
  <c r="K17" i="33" s="1"/>
  <c r="I21" i="33"/>
  <c r="K21" i="33" s="1"/>
  <c r="I24" i="33"/>
  <c r="I16" i="35"/>
  <c r="K16" i="35" s="1"/>
  <c r="I17" i="35"/>
  <c r="I18" i="35"/>
  <c r="K18" i="35" s="1"/>
  <c r="I19" i="35"/>
  <c r="I20" i="35"/>
  <c r="K20" i="35" s="1"/>
  <c r="I21" i="35"/>
  <c r="K21" i="35" s="1"/>
  <c r="I22" i="35"/>
  <c r="L22" i="35" s="1"/>
  <c r="I23" i="35"/>
  <c r="I24" i="35"/>
  <c r="K24" i="35" s="1"/>
  <c r="I16" i="30"/>
  <c r="L16" i="30" s="1"/>
  <c r="I17" i="30"/>
  <c r="K17" i="30" s="1"/>
  <c r="I18" i="30"/>
  <c r="I19" i="30"/>
  <c r="K19" i="30" s="1"/>
  <c r="I20" i="30"/>
  <c r="K20" i="30" s="1"/>
  <c r="I21" i="30"/>
  <c r="K21" i="30" s="1"/>
  <c r="I22" i="30"/>
  <c r="K22" i="30" s="1"/>
  <c r="I23" i="30"/>
  <c r="K23" i="30" s="1"/>
  <c r="I24" i="30"/>
  <c r="L24" i="30" s="1"/>
  <c r="I16" i="32"/>
  <c r="I17" i="32"/>
  <c r="L17" i="32" s="1"/>
  <c r="I18" i="32"/>
  <c r="L18" i="32" s="1"/>
  <c r="I19" i="32"/>
  <c r="K19" i="32" s="1"/>
  <c r="I20" i="32"/>
  <c r="K20" i="32" s="1"/>
  <c r="I21" i="32"/>
  <c r="L21" i="32" s="1"/>
  <c r="I16" i="33"/>
  <c r="L16" i="33" s="1"/>
  <c r="I16" i="31"/>
  <c r="L16" i="31" s="1"/>
  <c r="I17" i="31"/>
  <c r="K17" i="31" s="1"/>
  <c r="I18" i="31"/>
  <c r="K18" i="31" s="1"/>
  <c r="I19" i="31"/>
  <c r="K19" i="31" s="1"/>
  <c r="I20" i="31"/>
  <c r="L20" i="31" s="1"/>
  <c r="I21" i="31"/>
  <c r="K21" i="31" s="1"/>
  <c r="I22" i="31"/>
  <c r="I23" i="31"/>
  <c r="K23" i="31" s="1"/>
  <c r="I24" i="31"/>
  <c r="K24" i="31" s="1"/>
  <c r="I23" i="32"/>
  <c r="K23" i="32" s="1"/>
  <c r="I22" i="33"/>
  <c r="I16" i="34"/>
  <c r="I17" i="34"/>
  <c r="I18" i="34"/>
  <c r="K18" i="34" s="1"/>
  <c r="I19" i="34"/>
  <c r="I20" i="34"/>
  <c r="K20" i="34" s="1"/>
  <c r="I21" i="34"/>
  <c r="K21" i="34" s="1"/>
  <c r="I22" i="34"/>
  <c r="L22" i="34" s="1"/>
  <c r="I23" i="34"/>
  <c r="K23" i="34" s="1"/>
  <c r="I24" i="34"/>
  <c r="L24" i="34" s="1"/>
  <c r="I16" i="29"/>
  <c r="K16" i="29" s="1"/>
  <c r="I17" i="29"/>
  <c r="K17" i="29" s="1"/>
  <c r="I18" i="29"/>
  <c r="I19" i="29"/>
  <c r="K19" i="29" s="1"/>
  <c r="I20" i="29"/>
  <c r="I21" i="29"/>
  <c r="L21" i="29" s="1"/>
  <c r="I22" i="29"/>
  <c r="L22" i="29" s="1"/>
  <c r="I23" i="29"/>
  <c r="L23" i="29" s="1"/>
  <c r="I24" i="29"/>
  <c r="K24" i="29" s="1"/>
  <c r="I24" i="32"/>
  <c r="L24" i="32" s="1"/>
  <c r="I19" i="33"/>
  <c r="K19" i="33" s="1"/>
  <c r="I23" i="33"/>
  <c r="L23" i="33" s="1"/>
  <c r="L17" i="33"/>
  <c r="M17" i="33" s="1"/>
  <c r="L18" i="33"/>
  <c r="M18" i="33" s="1"/>
  <c r="L16" i="35"/>
  <c r="K17" i="35"/>
  <c r="K19" i="35"/>
  <c r="L19" i="35"/>
  <c r="K23" i="35"/>
  <c r="L23" i="35"/>
  <c r="L16" i="34"/>
  <c r="K17" i="34"/>
  <c r="L17" i="34"/>
  <c r="K19" i="34"/>
  <c r="L19" i="34"/>
  <c r="L21" i="34"/>
  <c r="L23" i="34"/>
  <c r="K22" i="33"/>
  <c r="L22" i="33"/>
  <c r="L19" i="33"/>
  <c r="K20" i="33"/>
  <c r="L20" i="33"/>
  <c r="K24" i="33"/>
  <c r="L24" i="33"/>
  <c r="K16" i="33"/>
  <c r="L16" i="32"/>
  <c r="K17" i="32"/>
  <c r="K18" i="32"/>
  <c r="K21" i="32"/>
  <c r="K22" i="32"/>
  <c r="L22" i="32"/>
  <c r="L17" i="31"/>
  <c r="L19" i="31"/>
  <c r="K22" i="31"/>
  <c r="L22" i="31"/>
  <c r="L24" i="31"/>
  <c r="K16" i="31"/>
  <c r="L18" i="31"/>
  <c r="K20" i="31"/>
  <c r="K18" i="30"/>
  <c r="L18" i="30"/>
  <c r="L23" i="30"/>
  <c r="K16" i="30"/>
  <c r="L22" i="30"/>
  <c r="K24" i="30"/>
  <c r="L16" i="29"/>
  <c r="K21" i="29"/>
  <c r="L24" i="29"/>
  <c r="K20" i="29"/>
  <c r="L20" i="29"/>
  <c r="K22" i="29"/>
  <c r="K18" i="29"/>
  <c r="L18" i="29"/>
  <c r="K16" i="28"/>
  <c r="L16" i="28"/>
  <c r="K17" i="28"/>
  <c r="L17" i="28"/>
  <c r="K18" i="28"/>
  <c r="K19" i="28"/>
  <c r="L19" i="28"/>
  <c r="K20" i="28"/>
  <c r="L20" i="28"/>
  <c r="K21" i="28"/>
  <c r="L21" i="28"/>
  <c r="K22" i="28"/>
  <c r="K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28" l="1"/>
  <c r="P28" i="28" s="1"/>
  <c r="L20" i="32"/>
  <c r="K24" i="32"/>
  <c r="M24" i="32" s="1"/>
  <c r="N24" i="32" s="1"/>
  <c r="O24" i="32" s="1"/>
  <c r="P24" i="32" s="1"/>
  <c r="M22" i="33"/>
  <c r="N22" i="33" s="1"/>
  <c r="O22" i="33" s="1"/>
  <c r="K22" i="34"/>
  <c r="L18" i="35"/>
  <c r="L21" i="30"/>
  <c r="M21" i="30" s="1"/>
  <c r="N21" i="30" s="1"/>
  <c r="O21" i="30" s="1"/>
  <c r="L21" i="33"/>
  <c r="L25" i="33" s="1"/>
  <c r="P29" i="33" s="1"/>
  <c r="M23" i="30"/>
  <c r="L23" i="32"/>
  <c r="L19" i="30"/>
  <c r="L23" i="31"/>
  <c r="M23" i="31" s="1"/>
  <c r="N23" i="31" s="1"/>
  <c r="O23" i="31" s="1"/>
  <c r="K23" i="33"/>
  <c r="L24" i="35"/>
  <c r="M24" i="35" s="1"/>
  <c r="N24" i="35" s="1"/>
  <c r="O24" i="35" s="1"/>
  <c r="P24" i="35" s="1"/>
  <c r="M23" i="34"/>
  <c r="M23" i="28"/>
  <c r="N23" i="28" s="1"/>
  <c r="O23" i="28" s="1"/>
  <c r="P23" i="28" s="1"/>
  <c r="K23" i="29"/>
  <c r="L20" i="35"/>
  <c r="I25" i="32"/>
  <c r="P28" i="32" s="1"/>
  <c r="K24" i="34"/>
  <c r="M24" i="34" s="1"/>
  <c r="N24" i="34" s="1"/>
  <c r="O24" i="34" s="1"/>
  <c r="L20" i="34"/>
  <c r="M23" i="35"/>
  <c r="M24" i="29"/>
  <c r="N24" i="29" s="1"/>
  <c r="O24" i="29" s="1"/>
  <c r="P24" i="29" s="1"/>
  <c r="I25" i="35"/>
  <c r="P28" i="35" s="1"/>
  <c r="M23" i="32"/>
  <c r="N23" i="32" s="1"/>
  <c r="O23" i="32" s="1"/>
  <c r="L17" i="30"/>
  <c r="I25" i="30"/>
  <c r="P28" i="30" s="1"/>
  <c r="M24" i="31"/>
  <c r="L21" i="31"/>
  <c r="K16" i="32"/>
  <c r="M16" i="32" s="1"/>
  <c r="N16" i="32" s="1"/>
  <c r="M24" i="33"/>
  <c r="N24" i="33" s="1"/>
  <c r="O24" i="33" s="1"/>
  <c r="K22" i="35"/>
  <c r="M22" i="35" s="1"/>
  <c r="N22" i="35" s="1"/>
  <c r="O22" i="35" s="1"/>
  <c r="I16" i="27"/>
  <c r="L16" i="27" s="1"/>
  <c r="I17" i="27"/>
  <c r="K17" i="27" s="1"/>
  <c r="I18" i="27"/>
  <c r="L18" i="27" s="1"/>
  <c r="I19" i="27"/>
  <c r="K19" i="27" s="1"/>
  <c r="I20" i="27"/>
  <c r="L20" i="27" s="1"/>
  <c r="I22" i="27"/>
  <c r="I23" i="27"/>
  <c r="L23" i="27" s="1"/>
  <c r="I24" i="27"/>
  <c r="L24" i="27" s="1"/>
  <c r="M17" i="28"/>
  <c r="N17" i="28" s="1"/>
  <c r="O17" i="28" s="1"/>
  <c r="L17" i="29"/>
  <c r="L20" i="30"/>
  <c r="M20" i="30" s="1"/>
  <c r="N20" i="30" s="1"/>
  <c r="O20" i="30" s="1"/>
  <c r="L19" i="32"/>
  <c r="L25" i="32" s="1"/>
  <c r="P29" i="32" s="1"/>
  <c r="L18" i="34"/>
  <c r="L25" i="34" s="1"/>
  <c r="P29" i="34" s="1"/>
  <c r="L21" i="35"/>
  <c r="M21" i="35" s="1"/>
  <c r="N21" i="35" s="1"/>
  <c r="O21" i="35" s="1"/>
  <c r="L17" i="35"/>
  <c r="M17" i="35" s="1"/>
  <c r="N17" i="35" s="1"/>
  <c r="O17" i="35" s="1"/>
  <c r="I25" i="34"/>
  <c r="P28" i="34" s="1"/>
  <c r="M24" i="30"/>
  <c r="M17" i="31"/>
  <c r="N17" i="31" s="1"/>
  <c r="O17" i="31" s="1"/>
  <c r="M18" i="35"/>
  <c r="N18" i="35" s="1"/>
  <c r="O18" i="35" s="1"/>
  <c r="M22" i="29"/>
  <c r="M22" i="31"/>
  <c r="N22" i="31" s="1"/>
  <c r="O22" i="31" s="1"/>
  <c r="P22" i="31" s="1"/>
  <c r="M23" i="33"/>
  <c r="N23" i="33" s="1"/>
  <c r="O23" i="33" s="1"/>
  <c r="I16" i="26"/>
  <c r="I17" i="26"/>
  <c r="K17" i="26" s="1"/>
  <c r="I18" i="26"/>
  <c r="K18" i="26" s="1"/>
  <c r="I19" i="26"/>
  <c r="L19" i="26" s="1"/>
  <c r="I20" i="26"/>
  <c r="K20" i="26" s="1"/>
  <c r="I21" i="26"/>
  <c r="L21" i="26" s="1"/>
  <c r="I22" i="26"/>
  <c r="K22" i="26" s="1"/>
  <c r="I23" i="26"/>
  <c r="K23" i="26" s="1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M19" i="29" s="1"/>
  <c r="N19" i="29" s="1"/>
  <c r="O19" i="29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N16" i="29" s="1"/>
  <c r="M17" i="30"/>
  <c r="N17" i="30" s="1"/>
  <c r="O17" i="30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6" i="30"/>
  <c r="N16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K25" i="35"/>
  <c r="P30" i="35" s="1"/>
  <c r="N23" i="35"/>
  <c r="O23" i="35" s="1"/>
  <c r="M16" i="35"/>
  <c r="K25" i="34"/>
  <c r="P30" i="34" s="1"/>
  <c r="N23" i="34"/>
  <c r="O23" i="34" s="1"/>
  <c r="P23" i="34" s="1"/>
  <c r="N18" i="33"/>
  <c r="O18" i="33" s="1"/>
  <c r="N17" i="33"/>
  <c r="O17" i="33" s="1"/>
  <c r="M16" i="33"/>
  <c r="N24" i="31"/>
  <c r="O24" i="31" s="1"/>
  <c r="M16" i="31"/>
  <c r="N19" i="31"/>
  <c r="O19" i="31" s="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L25" i="29"/>
  <c r="P29" i="29" s="1"/>
  <c r="K25" i="29"/>
  <c r="P30" i="29" s="1"/>
  <c r="N24" i="28"/>
  <c r="O24" i="28" s="1"/>
  <c r="P24" i="28" s="1"/>
  <c r="K25" i="28"/>
  <c r="P30" i="28" s="1"/>
  <c r="N19" i="28"/>
  <c r="O19" i="28" s="1"/>
  <c r="L25" i="28"/>
  <c r="P29" i="28" s="1"/>
  <c r="M16" i="28"/>
  <c r="J25" i="15"/>
  <c r="K16" i="27"/>
  <c r="L17" i="27"/>
  <c r="K20" i="27"/>
  <c r="K22" i="27"/>
  <c r="L22" i="27"/>
  <c r="K23" i="27"/>
  <c r="K24" i="27"/>
  <c r="L19" i="27"/>
  <c r="K18" i="27"/>
  <c r="K19" i="26"/>
  <c r="L23" i="26"/>
  <c r="L20" i="26"/>
  <c r="K21" i="26"/>
  <c r="K24" i="26"/>
  <c r="K16" i="26"/>
  <c r="L16" i="26"/>
  <c r="T23" i="15"/>
  <c r="T22" i="15"/>
  <c r="T21" i="15"/>
  <c r="T20" i="15"/>
  <c r="T19" i="15"/>
  <c r="T18" i="15"/>
  <c r="T15" i="15"/>
  <c r="T14" i="15"/>
  <c r="M21" i="33" l="1"/>
  <c r="N21" i="33" s="1"/>
  <c r="O21" i="33" s="1"/>
  <c r="L17" i="26"/>
  <c r="L21" i="27"/>
  <c r="K25" i="32"/>
  <c r="P30" i="32" s="1"/>
  <c r="L25" i="31"/>
  <c r="P29" i="31" s="1"/>
  <c r="L25" i="35"/>
  <c r="P29" i="35" s="1"/>
  <c r="P31" i="35" s="1"/>
  <c r="P24" i="34"/>
  <c r="P24" i="31"/>
  <c r="I25" i="27"/>
  <c r="P28" i="27" s="1"/>
  <c r="M18" i="34"/>
  <c r="N18" i="34" s="1"/>
  <c r="O18" i="34" s="1"/>
  <c r="P18" i="34" s="1"/>
  <c r="L22" i="26"/>
  <c r="L18" i="26"/>
  <c r="L25" i="26" s="1"/>
  <c r="P29" i="26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M18" i="26"/>
  <c r="N18" i="26" s="1"/>
  <c r="O18" i="26" s="1"/>
  <c r="I16" i="25"/>
  <c r="I17" i="25"/>
  <c r="I18" i="25"/>
  <c r="K18" i="25" s="1"/>
  <c r="I19" i="25"/>
  <c r="I20" i="25"/>
  <c r="I22" i="25"/>
  <c r="K22" i="25" s="1"/>
  <c r="I23" i="25"/>
  <c r="K23" i="25" s="1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L17" i="25"/>
  <c r="K17" i="25"/>
  <c r="L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2" i="18"/>
  <c r="M22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2" i="19" l="1"/>
  <c r="M22" i="19" s="1"/>
  <c r="N22" i="19" s="1"/>
  <c r="O22" i="19" s="1"/>
  <c r="P22" i="19" s="1"/>
  <c r="L18" i="25"/>
  <c r="M18" i="25" s="1"/>
  <c r="N18" i="25" s="1"/>
  <c r="O18" i="25" s="1"/>
  <c r="K24" i="18"/>
  <c r="M24" i="18" s="1"/>
  <c r="I25" i="25"/>
  <c r="P28" i="25" s="1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M24" i="21" s="1"/>
  <c r="N24" i="21" s="1"/>
  <c r="O24" i="21" s="1"/>
  <c r="P24" i="21" s="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M24" i="24" s="1"/>
  <c r="N24" i="24" s="1"/>
  <c r="O24" i="24" s="1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22" i="25"/>
  <c r="N22" i="25" s="1"/>
  <c r="O22" i="25" s="1"/>
  <c r="M20" i="25"/>
  <c r="N20" i="25" s="1"/>
  <c r="O20" i="25" s="1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M16" i="25"/>
  <c r="N23" i="25"/>
  <c r="O23" i="25" s="1"/>
  <c r="P23" i="25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22" i="18"/>
  <c r="O22" i="18" s="1"/>
  <c r="I23" i="15"/>
  <c r="M19" i="25" l="1"/>
  <c r="N19" i="25" s="1"/>
  <c r="O19" i="25" s="1"/>
  <c r="K25" i="25"/>
  <c r="P30" i="25" s="1"/>
  <c r="M23" i="22"/>
  <c r="N23" i="22" s="1"/>
  <c r="O23" i="22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9" l="1"/>
  <c r="P22" i="20"/>
  <c r="M22" i="15"/>
  <c r="M25" i="18"/>
  <c r="P19" i="18"/>
  <c r="M25" i="20"/>
  <c r="M24" i="16"/>
  <c r="N24" i="16" s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O16" i="16"/>
  <c r="N22" i="15" l="1"/>
  <c r="O16" i="18"/>
  <c r="O16" i="15" s="1"/>
  <c r="P16" i="15" s="1"/>
  <c r="P25" i="20"/>
  <c r="N18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8"/>
  <c r="P25" i="18" s="1"/>
  <c r="P34" i="18"/>
  <c r="P35" i="18" s="1"/>
  <c r="U17" i="15" s="1"/>
  <c r="P16" i="17"/>
  <c r="P25" i="17" s="1"/>
  <c r="P16" i="16"/>
  <c r="P22" i="15"/>
  <c r="O25" i="18" l="1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<sst xmlns="http://schemas.openxmlformats.org/spreadsheetml/2006/main" count="1585" uniqueCount="119">
  <si>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</si>
  <si>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</si>
  <si>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</si>
  <si>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</si>
  <si>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</si>
  <si>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</si>
  <si>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</si>
  <si>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</si>
  <si>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</si>
  <si>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</si>
  <si>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</si>
  <si>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</si>
  <si>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</si>
  <si>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</si>
  <si>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</si>
  <si>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</si>
  <si>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</si>
  <si>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</si>
  <si>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</si>
  <si>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</si>
  <si>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</si>
  <si>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</si>
  <si>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</si>
  <si>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</si>
  <si>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</si>
  <si>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</si>
  <si>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</si>
  <si>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</si>
  <si>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</si>
  <si>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</si>
  <si>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</si>
  <si>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</si>
  <si>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</si>
  <si>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</si>
  <si>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</si>
  <si>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</si>
  <si>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</si>
  <si>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</si>
  <si>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</si>
  <si>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</si>
  <si>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</si>
  <si>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</si>
  <si>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</si>
  <si>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</si>
  <si>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</si>
  <si>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</si>
  <si>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</si>
  <si>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</si>
  <si>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</si>
  <si>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</si>
  <si>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</si>
  <si>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</si>
  <si>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</si>
  <si>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</si>
  <si>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</si>
  <si>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</si>
  <si>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</si>
  <si>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</si>
  <si>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</si>
  <si>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</si>
  <si>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</si>
  <si>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</si>
  <si>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</si>
  <si>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</si>
  <si>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</si>
  <si>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</si>
  <si>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</si>
  <si>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</si>
  <si>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</si>
  <si>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</si>
  <si>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</si>
  <si>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</si>
  <si>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</si>
  <si>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</si>
  <si>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</si>
  <si>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</si>
  <si>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</si>
  <si>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</si>
  <si>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</si>
  <si>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</si>
  <si>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</si>
  <si>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</si>
  <si>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</si>
  <si>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</si>
  <si>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</si>
  <si>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</si>
  <si>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</si>
  <si>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</si>
  <si>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</si>
  <si>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</si>
  <si>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</si>
  <si>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</si>
  <si>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</si>
  <si>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</si>
  <si>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</si>
  <si>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</si>
  <si>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</si>
  <si>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</si>
  <si>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</si>
  <si>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</si>
  <si>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</si>
  <si>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</si>
  <si>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</si>
  <si>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</si>
  <si>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</si>
  <si>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</si>
  <si>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Mubeen</t>
  </si>
  <si>
    <t>Shop Bill Summary (Mubeen)</t>
  </si>
  <si>
    <t>Customer Name : Akari Welfare Shop</t>
  </si>
  <si>
    <t>Address: Askari 1</t>
  </si>
  <si>
    <t>4119712-7</t>
  </si>
  <si>
    <t>Customer Name : United Store</t>
  </si>
  <si>
    <t>Address: Askari 9</t>
  </si>
  <si>
    <t>3255339-7</t>
  </si>
  <si>
    <t>Customer Name : Classic Store</t>
  </si>
  <si>
    <t>331054413451-5</t>
  </si>
  <si>
    <t>Customer Name : Karam Store</t>
  </si>
  <si>
    <t>Address: Tajbagh Phase 3</t>
  </si>
  <si>
    <t xml:space="preserve">Jane nh dete 2 Bjy k baad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</si>
</sst>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107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Akari Welfare Shop</v>
      </c>
      <c r="U14" s="164">
        <f>+'1'!P35</f>
        <v>3309.6730752000003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United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>Customer Name : Classic Store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>Customer Name : Karam Store</v>
      </c>
      <c r="U17" s="164">
        <f>+'4'!P35</f>
        <v>2022.0462656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24</v>
      </c>
      <c r="I20" s="1">
        <f t="shared" si="1"/>
        <v>1743.3600000000001</v>
      </c>
      <c r="J20" s="172">
        <f>+'1'!J20+'2'!J20+'4'!J20+'3'!J20+'5'!J20+'6'!J20+'7'!J20+'8'!J20+'9'!J20+'10'!J20+'11'!J20+'12'!J20+'13'!J20+'14'!J20+'15'!J20+'16'!J20+'17'!J20+'18'!J20</f>
        <v>1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139.46880000000002</v>
      </c>
      <c r="M20" s="118">
        <f t="shared" si="2"/>
        <v>1603.8912</v>
      </c>
      <c r="N20" s="101">
        <f>+'1'!N20+'2'!N20+'4'!N20+'3'!N20+'5'!N20+'6'!N20+'7'!N20+'8'!N20+'9'!N20+'10'!N20</f>
        <v>368.83686399999999</v>
      </c>
      <c r="O20" s="101">
        <f>+'1'!O20+'2'!O20+'4'!O20+'3'!O20+'5'!O20+'6'!O20+'7'!O20+'8'!O20+'9'!O20+'10'!O20</f>
        <v>49.318201600000002</v>
      </c>
      <c r="P20" s="120">
        <f t="shared" si="0"/>
        <v>2022.0462656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40</v>
      </c>
      <c r="I21" s="1">
        <f t="shared" si="1"/>
        <v>2905.6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232.44800000000001</v>
      </c>
      <c r="M21" s="118">
        <f t="shared" si="2"/>
        <v>2673.152</v>
      </c>
      <c r="N21" s="101">
        <f>+'1'!N21+'2'!N21+'4'!N21+'3'!N21+'5'!N21+'6'!N21+'7'!N21+'8'!N21+'9'!N21+'10'!N21</f>
        <v>620.05503999999996</v>
      </c>
      <c r="O21" s="101">
        <f>+'1'!O21+'2'!O21+'4'!O21+'3'!O21+'5'!O21+'6'!O21+'7'!O21+'8'!O21+'9'!O21+'10'!O21</f>
        <v>16.4660352</v>
      </c>
      <c r="P21" s="120">
        <f t="shared" si="0"/>
        <v>3309.6730752000003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1.6</v>
      </c>
      <c r="D25" s="221"/>
      <c r="E25" s="221"/>
      <c r="F25" s="221"/>
      <c r="G25" s="176">
        <f t="shared" ref="G25:M25" si="3">SUM(G16:G24)</f>
        <v>0</v>
      </c>
      <c r="H25" s="177">
        <f t="shared" si="3"/>
        <v>64</v>
      </c>
      <c r="I25" s="178">
        <f t="shared" si="3"/>
        <v>4648.96</v>
      </c>
      <c r="J25" s="177">
        <f t="shared" si="3"/>
        <v>3</v>
      </c>
      <c r="K25" s="178">
        <f t="shared" si="3"/>
        <v>0</v>
      </c>
      <c r="L25" s="179">
        <f t="shared" si="3"/>
        <v>371.91680000000002</v>
      </c>
      <c r="M25" s="141">
        <f t="shared" si="3"/>
        <v>4277.0432000000001</v>
      </c>
      <c r="N25" s="142">
        <f>SUM(N16:N24)</f>
        <v>988.89190399999995</v>
      </c>
      <c r="O25" s="143">
        <f>SUM(O16:O24)</f>
        <v>65.784236800000002</v>
      </c>
      <c r="P25" s="144">
        <f>SUM(P16:P24)</f>
        <v>5331.7193408000003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5331.7193408000003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4648.96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371.91680000000002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4277.0432000000001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988.89190399999995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5265.9351040000001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131.6483776</v>
      </c>
    </row>
    <row r="39" spans="2:16" ht="15.75" customHeight="1" thickBot="1" x14ac:dyDescent="0.4">
      <c r="N39" s="219" t="s">
        <v>92</v>
      </c>
      <c r="O39" s="220"/>
      <c r="P39" s="160">
        <f>P37+P38</f>
        <v>5397.5834816000006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4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FD37"/>
  <sheetViews>
    <sheetView topLeftCell="A7" workbookViewId="0">
      <selection activeCell="I21" sqref="I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118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8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</v>
      </c>
      <c r="I20" s="116">
        <f t="shared" si="2"/>
        <v>1743.3600000000001</v>
      </c>
      <c r="J20" s="117">
        <v>1</v>
      </c>
      <c r="K20" s="1">
        <f t="shared" si="3"/>
        <v>0</v>
      </c>
      <c r="L20" s="105">
        <f t="shared" si="4"/>
        <v>139.46880000000002</v>
      </c>
      <c r="M20" s="118">
        <f t="shared" si="5"/>
        <v>1603.8912</v>
      </c>
      <c r="N20" s="118">
        <f t="shared" si="0"/>
        <v>368.83686399999999</v>
      </c>
      <c r="O20" s="119">
        <f t="shared" si="6"/>
        <v>49.318201600000002</v>
      </c>
      <c r="P20" s="120">
        <f t="shared" si="1"/>
        <v>2022.0462656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24</v>
      </c>
      <c r="I25" s="137">
        <f t="shared" si="9"/>
        <v>1743.3600000000001</v>
      </c>
      <c r="J25" s="138"/>
      <c r="K25" s="139">
        <f t="shared" si="9"/>
        <v>0</v>
      </c>
      <c r="L25" s="140">
        <f t="shared" si="9"/>
        <v>139.46880000000002</v>
      </c>
      <c r="M25" s="141">
        <f t="shared" si="9"/>
        <v>1603.8912</v>
      </c>
      <c r="N25" s="142">
        <f>SUM(N16:N24)</f>
        <v>368.83686399999999</v>
      </c>
      <c r="O25" s="143">
        <f>SUM(O16:O24)</f>
        <v>49.318201600000002</v>
      </c>
      <c r="P25" s="144">
        <f>SUM(P16:P24)</f>
        <v>2022.0462656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1743.3600000000001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139.46880000000002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1603.8912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368.83686399999999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1972.7280639999999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49.318201600000002</v>
      </c>
    </row>
    <row r="35" spans="2:16" ht="15.75" customHeight="1" thickBot="1" x14ac:dyDescent="0.4">
      <c r="N35" s="219" t="s">
        <v>92</v>
      </c>
      <c r="O35" s="220"/>
      <c r="P35" s="160">
        <f>P33+P34</f>
        <v>2022.0462656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2026-06-29T06:07:53Z</dcterms:modified>
</cp:coreProperties>
</file>