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FC263D90-A306-4A6B-A753-106EBF3DD01B}" xr6:coauthVersionLast="47" xr6:coauthVersionMax="47" xr10:uidLastSave="{00000000-0000-0000-0000-000000000000}"/>
  <bookViews>
    <workbookView xWindow="-110" yWindow="-110" windowWidth="19420" windowHeight="10420" tabRatio="949" activeTab="6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20" i="16" l="1"/>
  <c r="L17" i="19"/>
  <c r="L18" i="19"/>
  <c r="L19" i="19"/>
  <c r="L20" i="19"/>
  <c r="L21" i="19"/>
  <c r="L16" i="19"/>
  <c r="U17" i="15"/>
  <c r="T17" i="15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K18" i="19"/>
  <c r="K24" i="19"/>
  <c r="L24" i="19"/>
  <c r="K22" i="19"/>
  <c r="L22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N21" i="19"/>
  <c r="O21" i="19" s="1"/>
  <c r="P17" i="19"/>
  <c r="P31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5" l="1"/>
  <c r="M25" i="19"/>
  <c r="M18" i="15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<sst xmlns="http://schemas.openxmlformats.org/spreadsheetml/2006/main" count="1583" uniqueCount="116">
  <si>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</si>
  <si>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</si>
  <si>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</si>
  <si>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</si>
  <si>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</si>
  <si>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</si>
  <si>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</si>
  <si>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</si>
  <si>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</si>
  <si>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</si>
  <si>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</si>
  <si>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</si>
  <si>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</si>
  <si>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</si>
  <si>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</si>
  <si>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</si>
  <si>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</si>
  <si>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</si>
  <si>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</si>
  <si>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</si>
  <si>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</si>
  <si>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</si>
  <si>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</si>
  <si>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</si>
  <si>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</si>
  <si>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</si>
  <si>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</si>
  <si>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</si>
  <si>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</si>
  <si>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</si>
  <si>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</si>
  <si>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</si>
  <si>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</si>
  <si>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</si>
  <si>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</si>
  <si>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</si>
  <si>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</si>
  <si>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</si>
  <si>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</si>
  <si>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</si>
  <si>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</si>
  <si>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</si>
  <si>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</si>
  <si>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</si>
  <si>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</si>
  <si>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</si>
  <si>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</si>
  <si>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</si>
  <si>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</si>
  <si>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</si>
  <si>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</si>
  <si>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</si>
  <si>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</si>
  <si>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</si>
  <si>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</si>
  <si>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</si>
  <si>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</si>
  <si>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</si>
  <si>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</si>
  <si>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</si>
  <si>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</si>
  <si>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</si>
  <si>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</si>
  <si>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</si>
  <si>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</si>
  <si>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</si>
  <si>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</si>
  <si>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</si>
  <si>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</si>
  <si>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</si>
  <si>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</si>
  <si>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</si>
  <si>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</si>
  <si>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</si>
  <si>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</si>
  <si>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</si>
  <si>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</si>
  <si>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</si>
  <si>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</si>
  <si>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</si>
  <si>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</si>
  <si>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</si>
  <si>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</si>
  <si>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</si>
  <si>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</si>
  <si>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</si>
  <si>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</si>
  <si>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</si>
  <si>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</si>
  <si>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</si>
  <si>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</si>
  <si>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</si>
  <si>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</si>
  <si>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</si>
  <si>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</si>
  <si>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</si>
  <si>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</si>
  <si>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</si>
  <si>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</si>
  <si>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</si>
  <si>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</si>
  <si>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</si>
  <si>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</si>
  <si>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</si>
  <si>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</si>
  <si>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</si>
  <si>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 xml:space="preserve">Salman </t>
  </si>
  <si>
    <t>Shop Bill Summary (Salman)</t>
  </si>
  <si>
    <t>Customer Name : Taj Bakers</t>
  </si>
  <si>
    <t>Address: Makkah Colony</t>
  </si>
  <si>
    <t>Customer Name : Bakhtawar Sweets</t>
  </si>
  <si>
    <t>1436857-9</t>
  </si>
  <si>
    <t>Customer Name : Honey Store</t>
  </si>
  <si>
    <t>Address: Walton Road</t>
  </si>
  <si>
    <t>7925707-1</t>
  </si>
  <si>
    <t xml:space="preserve">No cash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</si>
</sst>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6" zoomScale="70" zoomScaleNormal="70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106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107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Taj Bakers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0"/>
      <c r="J15" s="171" t="s">
        <v>78</v>
      </c>
      <c r="K15" s="171" t="s">
        <v>79</v>
      </c>
      <c r="L15" s="174" t="s">
        <v>80</v>
      </c>
      <c r="M15" s="23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Bakhtawar Sweets</v>
      </c>
      <c r="U15" s="164">
        <f>+'2'!P35</f>
        <v>3309.6730752000003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120</v>
      </c>
      <c r="I16" s="1">
        <f>(G16*D16)*F16+H16*F16</f>
        <v>6295.5</v>
      </c>
      <c r="J16" s="172">
        <f>+'1'!J16+'2'!J16+'4'!J16+'3'!J16+'5'!J16+'6'!J16+'7'!J16+'8'!J16+'9'!J16+'10'!J16+'11'!J16+'12'!J16+'13'!J16+'14'!J16+'15'!J16+'16'!J16+'17'!J16+'18'!J16</f>
        <v>6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629.55000000000007</v>
      </c>
      <c r="M16" s="106">
        <f>I16-K16-L16</f>
        <v>5665.95</v>
      </c>
      <c r="N16" s="101">
        <f>+'1'!N16+'2'!N16+'4'!N16+'3'!N16+'5'!N16+'6'!N16+'7'!N16+'8'!N16+'9'!N16+'10'!N16</f>
        <v>1315.7595000000001</v>
      </c>
      <c r="O16" s="101">
        <f>+'1'!O16+'2'!O16+'4'!O16+'3'!O16+'5'!O16+'6'!O16+'7'!O16+'8'!O16+'9'!O16+'10'!O16</f>
        <v>34.908547499999997</v>
      </c>
      <c r="P16" s="105">
        <f t="shared" ref="P16:P24" si="0">M16+N16+O16</f>
        <v>7016.6180475000001</v>
      </c>
      <c r="Q16" s="108"/>
      <c r="T16" s="163" t="str">
        <f>+'3'!A5</f>
        <v>Customer Name : Honey Store</v>
      </c>
      <c r="U16" s="164">
        <f>+'3'!P35</f>
        <v>44618.357075999993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120</v>
      </c>
      <c r="I17" s="1">
        <f t="shared" ref="I17:I23" si="1">(G17*D17)*F17+H17*F17</f>
        <v>6295.5</v>
      </c>
      <c r="J17" s="172">
        <f>+'1'!J17+'2'!J17+'4'!J17+'3'!J17+'5'!J17+'6'!J17+'7'!J17+'8'!J17+'9'!J17+'10'!J17+'11'!J17+'12'!J17+'13'!J17+'14'!J17+'15'!J17+'16'!J17+'17'!J17+'18'!J17</f>
        <v>6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629.55000000000007</v>
      </c>
      <c r="M17" s="118">
        <f t="shared" ref="M17:M23" si="2">I17-K17-L17</f>
        <v>5665.95</v>
      </c>
      <c r="N17" s="101">
        <f>+'1'!N17+'2'!N17+'4'!N17+'3'!N17+'5'!N17+'6'!N17+'7'!N17+'8'!N17+'9'!N17+'10'!N17</f>
        <v>1315.7595000000001</v>
      </c>
      <c r="O17" s="101">
        <f>+'1'!O17+'2'!O17+'4'!O17+'3'!O17+'5'!O17+'6'!O17+'7'!O17+'8'!O17+'9'!O17+'10'!O17</f>
        <v>34.908547499999997</v>
      </c>
      <c r="P17" s="120">
        <f t="shared" si="0"/>
        <v>7016.6180475000001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80</v>
      </c>
      <c r="I18" s="1">
        <f t="shared" si="1"/>
        <v>4197</v>
      </c>
      <c r="J18" s="172">
        <f>+'1'!J18+'2'!J18+'4'!J18+'3'!J18+'5'!J18+'6'!J18+'7'!J18+'8'!J18+'9'!J18+'10'!J18+'11'!J18+'12'!J18+'13'!J18+'14'!J18+'15'!J18+'16'!J18+'17'!J18+'18'!J18</f>
        <v>4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419.70000000000005</v>
      </c>
      <c r="M18" s="118">
        <f t="shared" si="2"/>
        <v>3777.3</v>
      </c>
      <c r="N18" s="101">
        <f>+'1'!N18+'2'!N18+'4'!N18+'3'!N18+'5'!N18+'6'!N18+'7'!N18+'8'!N18+'9'!N18+'10'!N18</f>
        <v>877.17300000000012</v>
      </c>
      <c r="O18" s="101">
        <f>+'1'!O18+'2'!O18+'4'!O18+'3'!O18+'5'!O18+'6'!O18+'7'!O18+'8'!O18+'9'!O18+'10'!O18</f>
        <v>23.272365000000001</v>
      </c>
      <c r="P18" s="120">
        <f t="shared" si="0"/>
        <v>4677.7453649999998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133</v>
      </c>
      <c r="I19" s="1">
        <f t="shared" si="1"/>
        <v>9661.1200000000008</v>
      </c>
      <c r="J19" s="172">
        <f>+'1'!J19+'2'!J19+'4'!J19+'3'!J19+'5'!J19+'6'!J19+'7'!J19+'8'!J19+'9'!J19+'10'!J19+'11'!J19+'12'!J19+'13'!J19+'14'!J19+'15'!J19+'16'!J19+'17'!J19+'18'!J19</f>
        <v>7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947.22559999999999</v>
      </c>
      <c r="M19" s="118">
        <f t="shared" si="2"/>
        <v>8713.894400000001</v>
      </c>
      <c r="N19" s="101">
        <f>+'1'!N19+'2'!N19+'4'!N19+'3'!N19+'5'!N19+'6'!N19+'7'!N19+'8'!N19+'9'!N19+'10'!N19</f>
        <v>2028.9223679999998</v>
      </c>
      <c r="O19" s="101">
        <f>+'1'!O19+'2'!O19+'4'!O19+'3'!O19+'5'!O19+'6'!O19+'7'!O19+'8'!O19+'9'!O19+'10'!O19</f>
        <v>53.714083839999994</v>
      </c>
      <c r="P19" s="120">
        <f t="shared" si="0"/>
        <v>10796.53085184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133</v>
      </c>
      <c r="I20" s="1">
        <f t="shared" si="1"/>
        <v>9661.1200000000008</v>
      </c>
      <c r="J20" s="172">
        <f>+'1'!J20+'2'!J20+'4'!J20+'3'!J20+'5'!J20+'6'!J20+'7'!J20+'8'!J20+'9'!J20+'10'!J20+'11'!J20+'12'!J20+'13'!J20+'14'!J20+'15'!J20+'16'!J20+'17'!J20+'18'!J20</f>
        <v>7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947.22559999999999</v>
      </c>
      <c r="M20" s="118">
        <f t="shared" si="2"/>
        <v>8713.894400000001</v>
      </c>
      <c r="N20" s="101">
        <f>+'1'!N20+'2'!N20+'4'!N20+'3'!N20+'5'!N20+'6'!N20+'7'!N20+'8'!N20+'9'!N20+'10'!N20</f>
        <v>2028.9223679999998</v>
      </c>
      <c r="O20" s="101">
        <f>+'1'!O20+'2'!O20+'4'!O20+'3'!O20+'5'!O20+'6'!O20+'7'!O20+'8'!O20+'9'!O20+'10'!O20</f>
        <v>53.714083839999994</v>
      </c>
      <c r="P20" s="120">
        <f t="shared" si="0"/>
        <v>10796.53085184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94</v>
      </c>
      <c r="I21" s="1">
        <f t="shared" si="1"/>
        <v>6828.16</v>
      </c>
      <c r="J21" s="172">
        <f>+'1'!J21+'2'!J21+'4'!J21+'3'!J21+'5'!J21+'6'!J21+'7'!J21+'8'!J21+'9'!J21+'10'!J21+'11'!J21+'12'!J21+'13'!J21+'14'!J21+'15'!J21+'16'!J21+'17'!J21+'18'!J21</f>
        <v>4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662.47680000000003</v>
      </c>
      <c r="M21" s="118">
        <f t="shared" si="2"/>
        <v>6165.6831999999995</v>
      </c>
      <c r="N21" s="101">
        <f>+'1'!N21+'2'!N21+'4'!N21+'3'!N21+'5'!N21+'6'!N21+'7'!N21+'8'!N21+'9'!N21+'10'!N21</f>
        <v>1420.3735039999999</v>
      </c>
      <c r="O21" s="101">
        <f>+'1'!O21+'2'!O21+'4'!O21+'3'!O21+'5'!O21+'6'!O21+'7'!O21+'8'!O21+'9'!O21+'10'!O21</f>
        <v>37.930283519999996</v>
      </c>
      <c r="P21" s="120">
        <f t="shared" si="0"/>
        <v>7623.9869875199993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17</v>
      </c>
      <c r="D25" s="206"/>
      <c r="E25" s="206"/>
      <c r="F25" s="206"/>
      <c r="G25" s="176">
        <f t="shared" ref="G25:M25" si="3">SUM(G16:G24)</f>
        <v>0</v>
      </c>
      <c r="H25" s="177">
        <f t="shared" si="3"/>
        <v>680</v>
      </c>
      <c r="I25" s="178">
        <f t="shared" si="3"/>
        <v>42938.400000000009</v>
      </c>
      <c r="J25" s="177">
        <f t="shared" si="3"/>
        <v>34</v>
      </c>
      <c r="K25" s="178">
        <f t="shared" si="3"/>
        <v>0</v>
      </c>
      <c r="L25" s="179">
        <f t="shared" si="3"/>
        <v>4235.7280000000001</v>
      </c>
      <c r="M25" s="141">
        <f t="shared" si="3"/>
        <v>38702.672000000006</v>
      </c>
      <c r="N25" s="142">
        <f>SUM(N16:N24)</f>
        <v>8986.9102399999992</v>
      </c>
      <c r="O25" s="143">
        <f>SUM(O16:O24)</f>
        <v>238.44791119999999</v>
      </c>
      <c r="P25" s="144">
        <f>SUM(P16:P24)</f>
        <v>47928.030151200001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47928.030151199993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3" t="s">
        <v>85</v>
      </c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N32" s="222" t="s">
        <v>86</v>
      </c>
      <c r="O32" s="223"/>
      <c r="P32" s="152">
        <f>I25</f>
        <v>42938.400000000009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N33" s="224" t="s">
        <v>87</v>
      </c>
      <c r="O33" s="225"/>
      <c r="P33" s="153">
        <f>L25</f>
        <v>4235.7280000000001</v>
      </c>
    </row>
    <row r="34" spans="2:16" ht="15" customHeight="1" x14ac:dyDescent="0.35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N34" s="224" t="s">
        <v>4</v>
      </c>
      <c r="O34" s="225"/>
      <c r="P34" s="154">
        <f>K25</f>
        <v>0</v>
      </c>
    </row>
    <row r="35" spans="2:16" ht="15" customHeight="1" x14ac:dyDescent="0.35">
      <c r="B35" s="216"/>
      <c r="C35" s="217"/>
      <c r="D35" s="217"/>
      <c r="E35" s="217"/>
      <c r="F35" s="217"/>
      <c r="G35" s="217"/>
      <c r="H35" s="217"/>
      <c r="I35" s="217"/>
      <c r="J35" s="217"/>
      <c r="K35" s="217"/>
      <c r="L35" s="218"/>
      <c r="M35" s="2"/>
      <c r="N35" s="224" t="s">
        <v>88</v>
      </c>
      <c r="O35" s="225"/>
      <c r="P35" s="153">
        <f>P32-P33-P34</f>
        <v>38702.672000000006</v>
      </c>
    </row>
    <row r="36" spans="2:16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M36" s="2"/>
      <c r="N36" s="155" t="s">
        <v>89</v>
      </c>
      <c r="O36" s="156">
        <f>IF(B12="Registered",18%,22%)</f>
        <v>0.22</v>
      </c>
      <c r="P36" s="153">
        <f>N25</f>
        <v>8986.9102399999992</v>
      </c>
    </row>
    <row r="37" spans="2:16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M37" s="2"/>
      <c r="N37" s="226" t="s">
        <v>90</v>
      </c>
      <c r="O37" s="227"/>
      <c r="P37" s="153">
        <f>P35+P36</f>
        <v>47689.582240000003</v>
      </c>
    </row>
    <row r="38" spans="2:16" ht="15" customHeight="1" thickBot="1" x14ac:dyDescent="0.4">
      <c r="B38" s="219"/>
      <c r="C38" s="220"/>
      <c r="D38" s="220"/>
      <c r="E38" s="220"/>
      <c r="F38" s="220"/>
      <c r="G38" s="220"/>
      <c r="H38" s="220"/>
      <c r="I38" s="220"/>
      <c r="J38" s="220"/>
      <c r="K38" s="220"/>
      <c r="L38" s="221"/>
      <c r="M38" s="157"/>
      <c r="N38" s="158" t="s">
        <v>91</v>
      </c>
      <c r="O38" s="159">
        <f>IF(B11="Filer",0.5%,2.5%)</f>
        <v>2.5000000000000001E-2</v>
      </c>
      <c r="P38" s="153">
        <f>O38*P37</f>
        <v>1192.2395560000002</v>
      </c>
    </row>
    <row r="39" spans="2:16" ht="15.75" customHeight="1" thickBot="1" x14ac:dyDescent="0.4">
      <c r="N39" s="204" t="s">
        <v>92</v>
      </c>
      <c r="O39" s="205"/>
      <c r="P39" s="160">
        <f>P37+P38</f>
        <v>48881.821796000004</v>
      </c>
    </row>
    <row r="40" spans="2:16" ht="15" thickBot="1" x14ac:dyDescent="0.4">
      <c r="B40" s="161" t="s">
        <v>93</v>
      </c>
      <c r="C40" s="206"/>
      <c r="D40" s="206"/>
      <c r="E40" s="206"/>
      <c r="F40" s="206"/>
      <c r="G40" s="206"/>
      <c r="H40" s="206"/>
      <c r="I40" s="207"/>
      <c r="J40" s="208"/>
      <c r="K40" s="209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FD37"/>
  <sheetViews>
    <sheetView topLeftCell="A5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1" spans="1:19 16383:16384" x14ac:dyDescent="0.35">
      <c r="M1" t="s">
        <v>115</v>
      </c>
    </row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108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109</v>
      </c>
      <c r="B6" s="230"/>
      <c r="C6" s="230"/>
      <c r="F6" s="70"/>
      <c r="G6" s="74"/>
      <c r="K6" s="230" t="s">
        <v>52</v>
      </c>
      <c r="L6" s="230"/>
      <c r="M6" s="230"/>
      <c r="N6" s="243" t="s">
        <v>98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>
      <selection activeCell="H4" sqref="H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110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109</v>
      </c>
      <c r="B6" s="230"/>
      <c r="C6" s="230"/>
      <c r="F6" s="70"/>
      <c r="G6" s="74"/>
      <c r="K6" s="230" t="s">
        <v>52</v>
      </c>
      <c r="L6" s="230"/>
      <c r="M6" s="230"/>
      <c r="N6" s="243" t="s">
        <v>98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111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2"/>
        <v>944.32</v>
      </c>
      <c r="J19" s="117">
        <v>1</v>
      </c>
      <c r="K19" s="1">
        <f t="shared" si="3"/>
        <v>0</v>
      </c>
      <c r="L19" s="105">
        <f t="shared" si="4"/>
        <v>75.545600000000007</v>
      </c>
      <c r="M19" s="118">
        <f t="shared" si="5"/>
        <v>868.77440000000001</v>
      </c>
      <c r="N19" s="118">
        <f t="shared" si="0"/>
        <v>207.11116799999999</v>
      </c>
      <c r="O19" s="119">
        <f t="shared" si="6"/>
        <v>5.37942784</v>
      </c>
      <c r="P19" s="120">
        <f t="shared" si="1"/>
        <v>1081.26499584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13</v>
      </c>
      <c r="I20" s="116">
        <f t="shared" si="2"/>
        <v>944.32</v>
      </c>
      <c r="J20" s="117">
        <v>1</v>
      </c>
      <c r="K20" s="1">
        <f t="shared" si="3"/>
        <v>0</v>
      </c>
      <c r="L20" s="105">
        <f t="shared" si="4"/>
        <v>75.545600000000007</v>
      </c>
      <c r="M20" s="118">
        <f t="shared" si="5"/>
        <v>868.77440000000001</v>
      </c>
      <c r="N20" s="118">
        <f t="shared" si="0"/>
        <v>207.11116799999999</v>
      </c>
      <c r="O20" s="119">
        <f t="shared" si="6"/>
        <v>5.37942784</v>
      </c>
      <c r="P20" s="120">
        <f t="shared" si="1"/>
        <v>1081.26499584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14</v>
      </c>
      <c r="I21" s="116">
        <f t="shared" si="2"/>
        <v>1016.96</v>
      </c>
      <c r="J21" s="117"/>
      <c r="K21" s="1">
        <f t="shared" si="3"/>
        <v>0</v>
      </c>
      <c r="L21" s="105">
        <f t="shared" si="4"/>
        <v>81.356800000000007</v>
      </c>
      <c r="M21" s="118">
        <f t="shared" si="5"/>
        <v>935.60320000000002</v>
      </c>
      <c r="N21" s="118">
        <f t="shared" si="0"/>
        <v>205.83270400000001</v>
      </c>
      <c r="O21" s="119">
        <f t="shared" si="6"/>
        <v>5.7071795199999995</v>
      </c>
      <c r="P21" s="120">
        <f t="shared" si="1"/>
        <v>1147.1430835199999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40</v>
      </c>
      <c r="I25" s="137">
        <f t="shared" si="9"/>
        <v>2905.6000000000004</v>
      </c>
      <c r="J25" s="138"/>
      <c r="K25" s="139">
        <f t="shared" si="9"/>
        <v>0</v>
      </c>
      <c r="L25" s="140">
        <f t="shared" si="9"/>
        <v>232.44800000000004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2905.6000000000004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232.44800000000004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2673.1520000000005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3293.2070400000002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4" t="s">
        <v>92</v>
      </c>
      <c r="O35" s="205"/>
      <c r="P35" s="160">
        <f>P33+P34</f>
        <v>3309.6730752000003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8" workbookViewId="0">
      <selection activeCell="A24" sqref="A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113</v>
      </c>
      <c r="B6" s="230"/>
      <c r="C6" s="230"/>
      <c r="F6" s="70"/>
      <c r="G6" s="74"/>
      <c r="K6" s="230" t="s">
        <v>52</v>
      </c>
      <c r="L6" s="230"/>
      <c r="M6" s="230"/>
      <c r="N6" s="243" t="s">
        <v>98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 t="s">
        <v>114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120</v>
      </c>
      <c r="I16" s="102">
        <f>(G16*D16)*F16+H16*F16</f>
        <v>6295.5</v>
      </c>
      <c r="J16" s="103">
        <v>6</v>
      </c>
      <c r="K16" s="104">
        <f>I16*$K$13</f>
        <v>0</v>
      </c>
      <c r="L16" s="105">
        <f>I16*10%</f>
        <v>629.55000000000007</v>
      </c>
      <c r="M16" s="106">
        <f>I16-K16-L16</f>
        <v>5665.95</v>
      </c>
      <c r="N16" s="106">
        <f t="shared" ref="N16:N24" si="0">(M16*$N$15)+(J16*F16)*$N$15</f>
        <v>1315.7595000000001</v>
      </c>
      <c r="O16" s="107">
        <f>(N16+M16)*$O$15</f>
        <v>34.908547499999997</v>
      </c>
      <c r="P16" s="105">
        <f t="shared" ref="P16:P24" si="1">M16+N16+O16</f>
        <v>7016.6180475000001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120</v>
      </c>
      <c r="I17" s="116">
        <f t="shared" ref="I17:I23" si="2">(G17*D17)*F17+H17*F17</f>
        <v>6295.5</v>
      </c>
      <c r="J17" s="117">
        <v>6</v>
      </c>
      <c r="K17" s="1">
        <f t="shared" ref="K17:K21" si="3">I17*$K$13</f>
        <v>0</v>
      </c>
      <c r="L17" s="105">
        <f t="shared" ref="L17:L21" si="4">I17*10%</f>
        <v>629.55000000000007</v>
      </c>
      <c r="M17" s="118">
        <f t="shared" ref="M17:M23" si="5">I17-K17-L17</f>
        <v>5665.95</v>
      </c>
      <c r="N17" s="118">
        <f t="shared" si="0"/>
        <v>1315.7595000000001</v>
      </c>
      <c r="O17" s="119">
        <f t="shared" ref="O17:O24" si="6">(N17+M17)*$O$15</f>
        <v>34.908547499999997</v>
      </c>
      <c r="P17" s="120">
        <f t="shared" si="1"/>
        <v>7016.6180475000001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80</v>
      </c>
      <c r="I18" s="116">
        <f t="shared" si="2"/>
        <v>4197</v>
      </c>
      <c r="J18" s="117">
        <v>4</v>
      </c>
      <c r="K18" s="1">
        <f t="shared" si="3"/>
        <v>0</v>
      </c>
      <c r="L18" s="105">
        <f t="shared" si="4"/>
        <v>419.70000000000005</v>
      </c>
      <c r="M18" s="118">
        <f t="shared" si="5"/>
        <v>3777.3</v>
      </c>
      <c r="N18" s="118">
        <f t="shared" si="0"/>
        <v>877.17300000000012</v>
      </c>
      <c r="O18" s="119">
        <f t="shared" si="6"/>
        <v>23.272365000000001</v>
      </c>
      <c r="P18" s="120">
        <f t="shared" si="1"/>
        <v>4677.7453649999998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120</v>
      </c>
      <c r="I19" s="116">
        <f t="shared" si="2"/>
        <v>8716.7999999999993</v>
      </c>
      <c r="J19" s="117">
        <v>6</v>
      </c>
      <c r="K19" s="1">
        <f t="shared" si="3"/>
        <v>0</v>
      </c>
      <c r="L19" s="105">
        <f t="shared" si="4"/>
        <v>871.68</v>
      </c>
      <c r="M19" s="118">
        <f t="shared" si="5"/>
        <v>7845.119999999999</v>
      </c>
      <c r="N19" s="118">
        <f t="shared" si="0"/>
        <v>1821.8111999999999</v>
      </c>
      <c r="O19" s="119">
        <f t="shared" si="6"/>
        <v>48.334655999999995</v>
      </c>
      <c r="P19" s="120">
        <f t="shared" si="1"/>
        <v>9715.2658559999982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120</v>
      </c>
      <c r="I20" s="116">
        <f t="shared" si="2"/>
        <v>8716.7999999999993</v>
      </c>
      <c r="J20" s="117">
        <v>6</v>
      </c>
      <c r="K20" s="1">
        <f t="shared" si="3"/>
        <v>0</v>
      </c>
      <c r="L20" s="105">
        <f t="shared" si="4"/>
        <v>871.68</v>
      </c>
      <c r="M20" s="118">
        <f t="shared" si="5"/>
        <v>7845.119999999999</v>
      </c>
      <c r="N20" s="118">
        <f t="shared" si="0"/>
        <v>1821.8111999999999</v>
      </c>
      <c r="O20" s="119">
        <f t="shared" si="6"/>
        <v>48.334655999999995</v>
      </c>
      <c r="P20" s="120">
        <f t="shared" si="1"/>
        <v>9715.2658559999982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>
        <v>4</v>
      </c>
      <c r="K21" s="1">
        <f t="shared" si="3"/>
        <v>0</v>
      </c>
      <c r="L21" s="105">
        <f t="shared" si="4"/>
        <v>581.12</v>
      </c>
      <c r="M21" s="118">
        <f t="shared" si="5"/>
        <v>5230.08</v>
      </c>
      <c r="N21" s="118">
        <f t="shared" si="0"/>
        <v>1214.5408</v>
      </c>
      <c r="O21" s="119">
        <f t="shared" si="6"/>
        <v>32.223103999999999</v>
      </c>
      <c r="P21" s="120">
        <f t="shared" si="1"/>
        <v>6476.8439039999994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640</v>
      </c>
      <c r="I25" s="137">
        <f t="shared" si="9"/>
        <v>40032.799999999996</v>
      </c>
      <c r="J25" s="138"/>
      <c r="K25" s="139">
        <f t="shared" si="9"/>
        <v>0</v>
      </c>
      <c r="L25" s="140">
        <f t="shared" si="9"/>
        <v>4003.2799999999997</v>
      </c>
      <c r="M25" s="141">
        <f t="shared" si="9"/>
        <v>36029.519999999997</v>
      </c>
      <c r="N25" s="142">
        <f>SUM(N16:N24)</f>
        <v>8366.8552</v>
      </c>
      <c r="O25" s="143">
        <f>SUM(O16:O24)</f>
        <v>221.981876</v>
      </c>
      <c r="P25" s="144">
        <f>SUM(P16:P24)</f>
        <v>44618.357075999993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40032.799999999996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4003.2799999999997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36029.519999999997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8366.8552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44396.375199999995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221.98187599999997</v>
      </c>
    </row>
    <row r="35" spans="2:16" ht="15.75" customHeight="1" thickBot="1" x14ac:dyDescent="0.4">
      <c r="N35" s="204" t="s">
        <v>92</v>
      </c>
      <c r="O35" s="205"/>
      <c r="P35" s="160">
        <f>P33+P34</f>
        <v>44618.357075999993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abSelected="1" workbookViewId="0">
      <selection activeCell="N8" sqref="N8:P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7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80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2026-06-29T06:06:10Z</dcterms:modified>
</cp:coreProperties>
</file>