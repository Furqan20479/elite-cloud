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F264EA49-32E9-441B-B6F9-5F923491E6E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U17" i="15" l="1"/>
  <c r="U16" i="15"/>
  <c r="T17" i="15"/>
  <c r="T16" i="1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P20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<sst xmlns="http://schemas.openxmlformats.org/spreadsheetml/2006/main" count="1581" uniqueCount="108">
  <si>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</si>
  <si>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</si>
  <si>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</si>
  <si>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</si>
  <si>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</si>
  <si>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</si>
  <si>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</si>
  <si>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</si>
  <si>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</si>
  <si>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</si>
  <si>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</si>
  <si>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</si>
  <si>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</si>
  <si>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</si>
  <si>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</si>
  <si>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</si>
  <si>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</si>
  <si>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</si>
  <si>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</si>
  <si>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</si>
  <si>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</si>
  <si>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</si>
  <si>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</si>
  <si>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</si>
  <si>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</si>
  <si>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</si>
  <si>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</si>
  <si>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</si>
  <si>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</si>
  <si>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</si>
  <si>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</si>
  <si>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</si>
  <si>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</si>
  <si>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</si>
  <si>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</si>
  <si>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</si>
  <si>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</si>
  <si>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</si>
  <si>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</si>
  <si>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</si>
  <si>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</si>
  <si>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</si>
  <si>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</si>
  <si>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</si>
  <si>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</si>
  <si>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</si>
  <si>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</si>
  <si>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</si>
  <si>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</si>
  <si>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</si>
  <si>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</si>
  <si>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</si>
  <si>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</si>
  <si>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</si>
  <si>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</si>
  <si>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</si>
  <si>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</si>
  <si>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</si>
  <si>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</si>
  <si>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</si>
  <si>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</si>
  <si>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</si>
  <si>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</si>
  <si>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</si>
  <si>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</si>
  <si>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</si>
  <si>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</si>
  <si>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</si>
  <si>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</si>
  <si>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</si>
  <si>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</si>
  <si>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</si>
  <si>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</si>
  <si>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</si>
  <si>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</si>
  <si>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</si>
  <si>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</si>
  <si>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</si>
  <si>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</si>
  <si>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</si>
  <si>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</si>
  <si>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</si>
  <si>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</si>
  <si>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</si>
  <si>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</si>
  <si>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</si>
  <si>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</si>
  <si>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</si>
  <si>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</si>
  <si>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</si>
  <si>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</si>
  <si>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</si>
  <si>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</si>
  <si>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</si>
  <si>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</si>
  <si>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</si>
  <si>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</si>
  <si>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</si>
  <si>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</si>
  <si>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</si>
  <si>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</si>
  <si>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</si>
  <si>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</si>
  <si>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</si>
  <si>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</si>
  <si>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</si>
  <si>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Umer</t>
  </si>
  <si>
    <t>Shop Bill Summary (Umer Nawaz)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</si>
</sst>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10" zoomScale="70" zoomScaleNormal="70" workbookViewId="0">
      <selection activeCell="R16" sqref="R1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customWidth="1"/>
    <col min="6" max="6" width="6.54296875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customWidth="1"/>
    <col min="12" max="12" width="7.453125" customWidth="1"/>
    <col min="13" max="13" width="8" customWidth="1"/>
    <col min="14" max="14" width="10" style="69" customWidth="1"/>
    <col min="15" max="15" width="9.54296875" customWidth="1"/>
    <col min="16" max="16" width="9.7265625" customWidth="1"/>
    <col min="17" max="17" width="4.54296875" customWidth="1"/>
    <col min="18" max="18" width="7.26953125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9" t="s">
        <v>45</v>
      </c>
      <c r="B2" s="199"/>
      <c r="C2" s="199"/>
    </row>
    <row r="3" spans="1:21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04" t="s">
        <v>106</v>
      </c>
      <c r="B5" s="204"/>
      <c r="C5" s="204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21 16383:16384" ht="15" customHeight="1" x14ac:dyDescent="0.35">
      <c r="A6" s="204"/>
      <c r="B6" s="204"/>
      <c r="C6" s="204"/>
      <c r="F6" s="70"/>
      <c r="G6" s="74"/>
      <c r="K6" s="201" t="s">
        <v>52</v>
      </c>
      <c r="L6" s="201"/>
      <c r="M6" s="201"/>
      <c r="N6" s="203" t="s">
        <v>42</v>
      </c>
      <c r="O6" s="203"/>
      <c r="P6" s="20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21 16383:16384" hidden="1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21 16383:16384" x14ac:dyDescent="0.35">
      <c r="A10" s="206"/>
      <c r="B10" s="75"/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21 16383:16384" ht="15" thickBot="1" x14ac:dyDescent="0.4">
      <c r="A11" s="206"/>
      <c r="B11" s="76"/>
      <c r="C11" s="77"/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21 16383:16384" ht="14.65" customHeight="1" x14ac:dyDescent="0.35">
      <c r="A12" s="206"/>
      <c r="B12" s="76"/>
      <c r="C12" s="77"/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T12" s="215" t="s">
        <v>107</v>
      </c>
      <c r="U12" s="216"/>
      <c r="XFD12" t="s">
        <v>62</v>
      </c>
    </row>
    <row r="13" spans="1:21 16383:16384" ht="15" thickBot="1" x14ac:dyDescent="0.4">
      <c r="A13" s="243"/>
      <c r="J13" s="78"/>
      <c r="K13" s="78"/>
      <c r="L13" s="79">
        <v>0.05</v>
      </c>
      <c r="T13" s="217"/>
      <c r="U13" s="218"/>
      <c r="XFD13" t="s">
        <v>63</v>
      </c>
    </row>
    <row r="14" spans="1:21 16383:16384" ht="29.25" customHeight="1" x14ac:dyDescent="0.6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09" t="s">
        <v>68</v>
      </c>
      <c r="H14" s="210"/>
      <c r="I14" s="210" t="s">
        <v>69</v>
      </c>
      <c r="J14" s="210" t="s">
        <v>70</v>
      </c>
      <c r="K14" s="210"/>
      <c r="L14" s="212"/>
      <c r="M14" s="21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</v>
      </c>
      <c r="U14" s="164">
        <f>+'1'!P35</f>
        <v>0</v>
      </c>
      <c r="XFD14" t="s">
        <v>75</v>
      </c>
    </row>
    <row r="15" spans="1:21 16383:16384" ht="29.25" customHeight="1" thickBot="1" x14ac:dyDescent="0.65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11"/>
      <c r="J15" s="171" t="s">
        <v>78</v>
      </c>
      <c r="K15" s="171" t="s">
        <v>79</v>
      </c>
      <c r="L15" s="174" t="s">
        <v>80</v>
      </c>
      <c r="M15" s="21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 xml:space="preserve">Customer Name : </v>
      </c>
      <c r="U15" s="164">
        <f>+'2'!P35</f>
        <v>0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 xml:space="preserve">Customer Name : </v>
      </c>
      <c r="U16" s="164">
        <f>+'3'!P35</f>
        <v>0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0</v>
      </c>
      <c r="I19" s="1">
        <f t="shared" si="1"/>
        <v>0</v>
      </c>
      <c r="J19" s="172">
        <f>+'1'!J19+'2'!J19+'4'!J19+'3'!J19+'5'!J19+'6'!J19+'7'!J19+'8'!J19+'9'!J19+'10'!J19+'11'!J19+'12'!J19+'13'!J19+'14'!J19+'15'!J19+'16'!J19+'17'!J19+'18'!J19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0</v>
      </c>
      <c r="M19" s="118">
        <f t="shared" si="2"/>
        <v>0</v>
      </c>
      <c r="N19" s="101">
        <f>+'1'!N19+'2'!N19+'4'!N19+'3'!N19+'5'!N19+'6'!N19+'7'!N19+'8'!N19+'9'!N19+'10'!N19</f>
        <v>0</v>
      </c>
      <c r="O19" s="101">
        <f>+'1'!O19+'2'!O19+'4'!O19+'3'!O19+'5'!O19+'6'!O19+'7'!O19+'8'!O19+'9'!O19+'10'!O19</f>
        <v>0</v>
      </c>
      <c r="P19" s="120">
        <f t="shared" si="0"/>
        <v>0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0</v>
      </c>
      <c r="I20" s="1">
        <f t="shared" si="1"/>
        <v>0</v>
      </c>
      <c r="J20" s="172">
        <f>+'1'!J20+'2'!J20+'4'!J20+'3'!J20+'5'!J20+'6'!J20+'7'!J20+'8'!J20+'9'!J20+'10'!J20+'11'!J20+'12'!J20+'13'!J20+'14'!J20+'15'!J20+'16'!J20+'17'!J20+'18'!J20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0</v>
      </c>
      <c r="M20" s="118">
        <f t="shared" si="2"/>
        <v>0</v>
      </c>
      <c r="N20" s="101">
        <f>+'1'!N20+'2'!N20+'4'!N20+'3'!N20+'5'!N20+'6'!N20+'7'!N20+'8'!N20+'9'!N20+'10'!N20</f>
        <v>0</v>
      </c>
      <c r="O20" s="101">
        <f>+'1'!O20+'2'!O20+'4'!O20+'3'!O20+'5'!O20+'6'!O20+'7'!O20+'8'!O20+'9'!O20+'10'!O20</f>
        <v>0</v>
      </c>
      <c r="P20" s="120">
        <f t="shared" si="0"/>
        <v>0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0</v>
      </c>
      <c r="I21" s="1">
        <f t="shared" si="1"/>
        <v>0</v>
      </c>
      <c r="J21" s="172">
        <f>+'1'!J21+'2'!J21+'4'!J21+'3'!J21+'5'!J21+'6'!J21+'7'!J21+'8'!J21+'9'!J21+'10'!J21+'11'!J21+'12'!J21+'13'!J21+'14'!J21+'15'!J21+'16'!J21+'17'!J21+'18'!J21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0</v>
      </c>
      <c r="M21" s="118">
        <f t="shared" si="2"/>
        <v>0</v>
      </c>
      <c r="N21" s="101">
        <f>+'1'!N21+'2'!N21+'4'!N21+'3'!N21+'5'!N21+'6'!N21+'7'!N21+'8'!N21+'9'!N21+'10'!N21</f>
        <v>0</v>
      </c>
      <c r="O21" s="101">
        <f>+'1'!O21+'2'!O21+'4'!O21+'3'!O21+'5'!O21+'6'!O21+'7'!O21+'8'!O21+'9'!O21+'10'!O21</f>
        <v>0</v>
      </c>
      <c r="P21" s="120">
        <f t="shared" si="0"/>
        <v>0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0</v>
      </c>
      <c r="L22" s="175">
        <f>+'1'!L22+'2'!L22+'4'!L22+'3'!L22+'5'!L22+'6'!L22+'7'!L22+'8'!L22+'9'!L22+'10'!L22</f>
        <v>0</v>
      </c>
      <c r="M22" s="118">
        <f t="shared" si="2"/>
        <v>0</v>
      </c>
      <c r="N22" s="101">
        <f>+'1'!N22+'2'!N22+'4'!N22+'3'!N22+'5'!N22+'6'!N22+'7'!N22+'8'!N22+'9'!N22+'10'!N22</f>
        <v>0</v>
      </c>
      <c r="O22" s="101">
        <f>+'1'!O22+'2'!O22+'4'!O22+'3'!O22+'5'!O22+'6'!O22+'7'!O22+'8'!O22+'9'!O22+'10'!O22</f>
        <v>0</v>
      </c>
      <c r="P22" s="120">
        <f t="shared" si="0"/>
        <v>0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25" t="s">
        <v>84</v>
      </c>
      <c r="B25" s="226"/>
      <c r="C25" s="227">
        <f>H25/40</f>
        <v>0</v>
      </c>
      <c r="D25" s="221"/>
      <c r="E25" s="221"/>
      <c r="F25" s="221"/>
      <c r="G25" s="176">
        <f t="shared" ref="G25:M25" si="3">SUM(G16:G24)</f>
        <v>0</v>
      </c>
      <c r="H25" s="177">
        <f t="shared" si="3"/>
        <v>0</v>
      </c>
      <c r="I25" s="178">
        <f t="shared" si="3"/>
        <v>0</v>
      </c>
      <c r="J25" s="177">
        <f t="shared" si="3"/>
        <v>0</v>
      </c>
      <c r="K25" s="178">
        <f t="shared" si="3"/>
        <v>0</v>
      </c>
      <c r="L25" s="179">
        <f t="shared" si="3"/>
        <v>0</v>
      </c>
      <c r="M25" s="141">
        <f t="shared" si="3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0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28" t="s">
        <v>85</v>
      </c>
      <c r="C32" s="229"/>
      <c r="D32" s="229"/>
      <c r="E32" s="229"/>
      <c r="F32" s="229"/>
      <c r="G32" s="229"/>
      <c r="H32" s="229"/>
      <c r="I32" s="229"/>
      <c r="J32" s="229"/>
      <c r="K32" s="229"/>
      <c r="L32" s="230"/>
      <c r="N32" s="237" t="s">
        <v>86</v>
      </c>
      <c r="O32" s="238"/>
      <c r="P32" s="152">
        <f>I25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N33" s="239" t="s">
        <v>87</v>
      </c>
      <c r="O33" s="240"/>
      <c r="P33" s="153">
        <f>L25</f>
        <v>0</v>
      </c>
    </row>
    <row r="34" spans="2:16" ht="15" customHeight="1" x14ac:dyDescent="0.35">
      <c r="B34" s="231"/>
      <c r="C34" s="232"/>
      <c r="D34" s="232"/>
      <c r="E34" s="232"/>
      <c r="F34" s="232"/>
      <c r="G34" s="232"/>
      <c r="H34" s="232"/>
      <c r="I34" s="232"/>
      <c r="J34" s="232"/>
      <c r="K34" s="232"/>
      <c r="L34" s="233"/>
      <c r="N34" s="239" t="s">
        <v>4</v>
      </c>
      <c r="O34" s="240"/>
      <c r="P34" s="154">
        <f>K25</f>
        <v>0</v>
      </c>
    </row>
    <row r="35" spans="2:16" ht="15" customHeight="1" x14ac:dyDescent="0.35">
      <c r="B35" s="231"/>
      <c r="C35" s="232"/>
      <c r="D35" s="232"/>
      <c r="E35" s="232"/>
      <c r="F35" s="232"/>
      <c r="G35" s="232"/>
      <c r="H35" s="232"/>
      <c r="I35" s="232"/>
      <c r="J35" s="232"/>
      <c r="K35" s="232"/>
      <c r="L35" s="233"/>
      <c r="M35" s="2"/>
      <c r="N35" s="239" t="s">
        <v>88</v>
      </c>
      <c r="O35" s="240"/>
      <c r="P35" s="153">
        <f>P32-P33-P34</f>
        <v>0</v>
      </c>
    </row>
    <row r="36" spans="2:16" ht="15" customHeight="1" x14ac:dyDescent="0.35">
      <c r="B36" s="231"/>
      <c r="C36" s="232"/>
      <c r="D36" s="232"/>
      <c r="E36" s="232"/>
      <c r="F36" s="232"/>
      <c r="G36" s="232"/>
      <c r="H36" s="232"/>
      <c r="I36" s="232"/>
      <c r="J36" s="232"/>
      <c r="K36" s="232"/>
      <c r="L36" s="233"/>
      <c r="M36" s="2"/>
      <c r="N36" s="155" t="s">
        <v>89</v>
      </c>
      <c r="O36" s="156">
        <f>IF(B12="Registered",18%,22%)</f>
        <v>0.22</v>
      </c>
      <c r="P36" s="153">
        <f>N25</f>
        <v>0</v>
      </c>
    </row>
    <row r="37" spans="2:16" ht="15" customHeight="1" x14ac:dyDescent="0.35">
      <c r="B37" s="231"/>
      <c r="C37" s="232"/>
      <c r="D37" s="232"/>
      <c r="E37" s="232"/>
      <c r="F37" s="232"/>
      <c r="G37" s="232"/>
      <c r="H37" s="232"/>
      <c r="I37" s="232"/>
      <c r="J37" s="232"/>
      <c r="K37" s="232"/>
      <c r="L37" s="233"/>
      <c r="M37" s="2"/>
      <c r="N37" s="241" t="s">
        <v>90</v>
      </c>
      <c r="O37" s="242"/>
      <c r="P37" s="153">
        <f>P35+P36</f>
        <v>0</v>
      </c>
    </row>
    <row r="38" spans="2:16" ht="15" customHeight="1" thickBot="1" x14ac:dyDescent="0.4">
      <c r="B38" s="234"/>
      <c r="C38" s="235"/>
      <c r="D38" s="235"/>
      <c r="E38" s="235"/>
      <c r="F38" s="235"/>
      <c r="G38" s="235"/>
      <c r="H38" s="235"/>
      <c r="I38" s="235"/>
      <c r="J38" s="235"/>
      <c r="K38" s="235"/>
      <c r="L38" s="236"/>
      <c r="M38" s="157"/>
      <c r="N38" s="158" t="s">
        <v>91</v>
      </c>
      <c r="O38" s="159">
        <f>IF(B11="Filer",0.5%,2.5%)</f>
        <v>2.5000000000000001E-2</v>
      </c>
      <c r="P38" s="153">
        <f>O38*P37</f>
        <v>0</v>
      </c>
    </row>
    <row r="39" spans="2:16" ht="15.75" customHeight="1" thickBot="1" x14ac:dyDescent="0.4">
      <c r="N39" s="219" t="s">
        <v>92</v>
      </c>
      <c r="O39" s="220"/>
      <c r="P39" s="160">
        <f>P37+P38</f>
        <v>0</v>
      </c>
    </row>
    <row r="40" spans="2:16" ht="15" thickBot="1" x14ac:dyDescent="0.4">
      <c r="B40" s="161" t="s">
        <v>93</v>
      </c>
      <c r="C40" s="221"/>
      <c r="D40" s="221"/>
      <c r="E40" s="221"/>
      <c r="F40" s="221"/>
      <c r="G40" s="221"/>
      <c r="H40" s="221"/>
      <c r="I40" s="222"/>
      <c r="J40" s="223"/>
      <c r="K40" s="224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104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2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0.18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4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48</v>
      </c>
      <c r="C11" s="77" t="str">
        <f>IF($O34&gt;2.49%,"No","Yes")</f>
        <v>Yes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5.0000000000000001E-3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3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5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6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7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9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8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9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67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41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180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9" t="s">
        <v>45</v>
      </c>
      <c r="B2" s="199"/>
      <c r="C2" s="199"/>
    </row>
    <row r="3" spans="1:19 16383:16384" ht="15" customHeight="1" x14ac:dyDescent="0.35">
      <c r="A3" s="200" t="s">
        <v>46</v>
      </c>
      <c r="B3" s="200"/>
      <c r="C3" s="200"/>
      <c r="F3" s="70"/>
      <c r="G3" s="71"/>
      <c r="K3" s="201" t="s">
        <v>47</v>
      </c>
      <c r="L3" s="201"/>
      <c r="M3" s="201"/>
      <c r="N3" s="200">
        <v>10</v>
      </c>
      <c r="O3" s="200"/>
      <c r="P3" s="20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00" t="s">
        <v>94</v>
      </c>
      <c r="B4" s="200"/>
      <c r="C4" s="200"/>
      <c r="F4" s="70"/>
      <c r="G4" s="71"/>
      <c r="K4" s="201" t="s">
        <v>49</v>
      </c>
      <c r="L4" s="201"/>
      <c r="M4" s="201"/>
      <c r="N4" s="202">
        <f ca="1">TODAY()</f>
        <v>46197</v>
      </c>
      <c r="O4" s="202"/>
      <c r="P4" s="20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6" t="s">
        <v>102</v>
      </c>
      <c r="B5" s="246"/>
      <c r="C5" s="246"/>
      <c r="F5" s="70"/>
      <c r="G5" s="71"/>
      <c r="K5" s="201" t="s">
        <v>51</v>
      </c>
      <c r="L5" s="201"/>
      <c r="M5" s="201"/>
      <c r="N5" s="202">
        <f ca="1">N4-1</f>
        <v>46196</v>
      </c>
      <c r="O5" s="200"/>
      <c r="P5" s="200"/>
      <c r="R5" s="70"/>
      <c r="S5" s="71"/>
    </row>
    <row r="6" spans="1:19 16383:16384" ht="15" customHeight="1" x14ac:dyDescent="0.35">
      <c r="A6" s="201" t="s">
        <v>103</v>
      </c>
      <c r="B6" s="201"/>
      <c r="C6" s="201"/>
      <c r="F6" s="70"/>
      <c r="G6" s="74"/>
      <c r="K6" s="201" t="s">
        <v>52</v>
      </c>
      <c r="L6" s="201"/>
      <c r="M6" s="201"/>
      <c r="N6" s="203" t="s">
        <v>97</v>
      </c>
      <c r="O6" s="203"/>
      <c r="P6" s="20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1"/>
      <c r="B7" s="201"/>
      <c r="C7" s="201"/>
      <c r="F7" s="70"/>
      <c r="G7" s="74"/>
      <c r="K7" s="201"/>
      <c r="L7" s="201"/>
      <c r="M7" s="201"/>
      <c r="N7" s="203"/>
      <c r="O7" s="203"/>
      <c r="P7" s="20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5"/>
      <c r="B8" s="205"/>
      <c r="C8" s="205"/>
      <c r="F8" s="70"/>
      <c r="G8" s="74"/>
      <c r="K8" s="201"/>
      <c r="L8" s="201"/>
      <c r="M8" s="201"/>
      <c r="N8" s="203"/>
      <c r="O8" s="203"/>
      <c r="P8" s="203"/>
      <c r="R8" s="70"/>
      <c r="S8" s="74"/>
    </row>
    <row r="9" spans="1:19 16383:16384" x14ac:dyDescent="0.35">
      <c r="A9" s="205"/>
      <c r="B9" s="205"/>
      <c r="C9" s="205"/>
      <c r="F9" s="70"/>
      <c r="G9" s="74"/>
      <c r="K9" s="201"/>
      <c r="L9" s="201"/>
      <c r="M9" s="201"/>
      <c r="N9" s="203"/>
      <c r="O9" s="203"/>
      <c r="P9" s="203"/>
      <c r="R9" s="70"/>
      <c r="S9" s="74"/>
      <c r="XFD9" t="s">
        <v>55</v>
      </c>
    </row>
    <row r="10" spans="1:19 16383:16384" x14ac:dyDescent="0.35">
      <c r="A10" s="206" t="s">
        <v>95</v>
      </c>
      <c r="B10" s="75">
        <v>0</v>
      </c>
      <c r="C10" s="75"/>
      <c r="F10" s="70"/>
      <c r="G10" s="71"/>
      <c r="K10" s="201" t="s">
        <v>56</v>
      </c>
      <c r="L10" s="201"/>
      <c r="M10" s="201"/>
      <c r="N10" s="200" t="s">
        <v>57</v>
      </c>
      <c r="O10" s="200"/>
      <c r="P10" s="200"/>
      <c r="R10" s="70"/>
      <c r="S10" s="71"/>
      <c r="XFD10" t="s">
        <v>58</v>
      </c>
    </row>
    <row r="11" spans="1:19 16383:16384" x14ac:dyDescent="0.35">
      <c r="A11" s="206"/>
      <c r="B11" s="76" t="s">
        <v>50</v>
      </c>
      <c r="C11" s="77" t="str">
        <f>IF($O34&gt;2.49%,"No","Yes")</f>
        <v>No</v>
      </c>
      <c r="F11" s="70"/>
      <c r="G11" s="71"/>
      <c r="K11" s="201" t="s">
        <v>59</v>
      </c>
      <c r="L11" s="201"/>
      <c r="M11" s="201"/>
      <c r="N11" s="200" t="s">
        <v>55</v>
      </c>
      <c r="O11" s="200"/>
      <c r="P11" s="200"/>
      <c r="R11" s="70"/>
      <c r="S11" s="71"/>
    </row>
    <row r="12" spans="1:19 16383:16384" ht="14.65" customHeight="1" x14ac:dyDescent="0.35">
      <c r="A12" s="206" t="s">
        <v>60</v>
      </c>
      <c r="B12" s="76" t="s">
        <v>54</v>
      </c>
      <c r="C12" s="77" t="str">
        <f>IF($O32&gt;21.99%,"No","Yes")</f>
        <v>No</v>
      </c>
      <c r="F12" s="70"/>
      <c r="G12" s="71"/>
      <c r="K12" s="201" t="s">
        <v>61</v>
      </c>
      <c r="L12" s="201"/>
      <c r="M12" s="201"/>
      <c r="N12" s="200"/>
      <c r="O12" s="200"/>
      <c r="P12" s="200"/>
      <c r="R12" s="70"/>
      <c r="S12" s="71"/>
      <c r="XFD12" t="s">
        <v>62</v>
      </c>
    </row>
    <row r="13" spans="1:19 16383:16384" ht="15" thickBot="1" x14ac:dyDescent="0.4">
      <c r="A13" s="24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4" t="s">
        <v>64</v>
      </c>
      <c r="B14" s="213"/>
      <c r="C14" s="207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5"/>
      <c r="B15" s="214"/>
      <c r="C15" s="20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25" t="s">
        <v>84</v>
      </c>
      <c r="B25" s="226"/>
      <c r="C25" s="227"/>
      <c r="D25" s="221"/>
      <c r="E25" s="221"/>
      <c r="F25" s="25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28" t="s">
        <v>85</v>
      </c>
      <c r="C28" s="229"/>
      <c r="D28" s="229"/>
      <c r="E28" s="229"/>
      <c r="F28" s="229"/>
      <c r="G28" s="229"/>
      <c r="H28" s="229"/>
      <c r="I28" s="229"/>
      <c r="J28" s="229"/>
      <c r="K28" s="229"/>
      <c r="L28" s="230"/>
      <c r="N28" s="237" t="s">
        <v>86</v>
      </c>
      <c r="O28" s="238"/>
      <c r="P28" s="152">
        <f>I25</f>
        <v>0</v>
      </c>
    </row>
    <row r="29" spans="1:19 16384:16384" ht="15" customHeight="1" x14ac:dyDescent="0.35">
      <c r="B29" s="231"/>
      <c r="C29" s="232"/>
      <c r="D29" s="232"/>
      <c r="E29" s="232"/>
      <c r="F29" s="232"/>
      <c r="G29" s="232"/>
      <c r="H29" s="232"/>
      <c r="I29" s="232"/>
      <c r="J29" s="232"/>
      <c r="K29" s="232"/>
      <c r="L29" s="233"/>
      <c r="N29" s="239" t="s">
        <v>87</v>
      </c>
      <c r="O29" s="240"/>
      <c r="P29" s="153">
        <f>L25</f>
        <v>0</v>
      </c>
    </row>
    <row r="30" spans="1:19 16384:16384" ht="15" customHeight="1" x14ac:dyDescent="0.35">
      <c r="B30" s="231"/>
      <c r="C30" s="232"/>
      <c r="D30" s="232"/>
      <c r="E30" s="232"/>
      <c r="F30" s="232"/>
      <c r="G30" s="232"/>
      <c r="H30" s="232"/>
      <c r="I30" s="232"/>
      <c r="J30" s="232"/>
      <c r="K30" s="232"/>
      <c r="L30" s="233"/>
      <c r="N30" s="239" t="s">
        <v>4</v>
      </c>
      <c r="O30" s="240"/>
      <c r="P30" s="154">
        <f>K25</f>
        <v>0</v>
      </c>
    </row>
    <row r="31" spans="1:19 16384:16384" ht="15" customHeight="1" x14ac:dyDescent="0.35">
      <c r="B31" s="231"/>
      <c r="C31" s="232"/>
      <c r="D31" s="232"/>
      <c r="E31" s="232"/>
      <c r="F31" s="232"/>
      <c r="G31" s="232"/>
      <c r="H31" s="232"/>
      <c r="I31" s="232"/>
      <c r="J31" s="232"/>
      <c r="K31" s="232"/>
      <c r="L31" s="233"/>
      <c r="M31" s="2"/>
      <c r="N31" s="239" t="s">
        <v>88</v>
      </c>
      <c r="O31" s="240"/>
      <c r="P31" s="153">
        <f>P28-P29-P30</f>
        <v>0</v>
      </c>
    </row>
    <row r="32" spans="1:19 16384:16384" ht="15" customHeight="1" x14ac:dyDescent="0.35">
      <c r="B32" s="231"/>
      <c r="C32" s="232"/>
      <c r="D32" s="232"/>
      <c r="E32" s="232"/>
      <c r="F32" s="232"/>
      <c r="G32" s="232"/>
      <c r="H32" s="232"/>
      <c r="I32" s="232"/>
      <c r="J32" s="232"/>
      <c r="K32" s="232"/>
      <c r="L32" s="23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31"/>
      <c r="C33" s="232"/>
      <c r="D33" s="232"/>
      <c r="E33" s="232"/>
      <c r="F33" s="232"/>
      <c r="G33" s="232"/>
      <c r="H33" s="232"/>
      <c r="I33" s="232"/>
      <c r="J33" s="232"/>
      <c r="K33" s="232"/>
      <c r="L33" s="233"/>
      <c r="M33" s="2"/>
      <c r="N33" s="241" t="s">
        <v>90</v>
      </c>
      <c r="O33" s="242"/>
      <c r="P33" s="153">
        <f>P31+P32</f>
        <v>0</v>
      </c>
    </row>
    <row r="34" spans="2:16" ht="15" customHeight="1" thickBot="1" x14ac:dyDescent="0.4">
      <c r="B34" s="234"/>
      <c r="C34" s="235"/>
      <c r="D34" s="235"/>
      <c r="E34" s="235"/>
      <c r="F34" s="235"/>
      <c r="G34" s="235"/>
      <c r="H34" s="235"/>
      <c r="I34" s="235"/>
      <c r="J34" s="235"/>
      <c r="K34" s="235"/>
      <c r="L34" s="23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19" t="s">
        <v>92</v>
      </c>
      <c r="O35" s="220"/>
      <c r="P35" s="160">
        <f>P33+P34</f>
        <v>0</v>
      </c>
    </row>
    <row r="36" spans="2:16" ht="15" thickBot="1" x14ac:dyDescent="0.4">
      <c r="B36" s="161" t="s">
        <v>93</v>
      </c>
      <c r="C36" s="221"/>
      <c r="D36" s="221"/>
      <c r="E36" s="221"/>
      <c r="F36" s="221"/>
      <c r="G36" s="221"/>
      <c r="H36" s="221"/>
      <c r="I36" s="222"/>
      <c r="J36" s="223"/>
      <c r="K36" s="22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2026-06-24T06:00:26Z</dcterms:modified>
</cp:coreProperties>
</file>