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8E57202-E239-42B8-A8F0-2994AAD9B3E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M18" i="17" s="1"/>
  <c r="N18" i="17" s="1"/>
  <c r="O18" i="17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<sst xmlns="http://schemas.openxmlformats.org/spreadsheetml/2006/main" count="1582" uniqueCount="116">
  <si>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</si>
  <si>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</si>
  <si>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</si>
  <si>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</si>
  <si>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</si>
  <si>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</si>
  <si>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</si>
  <si>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</si>
  <si>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</si>
  <si>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</si>
  <si>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</si>
  <si>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</si>
  <si>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</si>
  <si>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</si>
  <si>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</si>
  <si>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</si>
  <si>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</si>
  <si>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</si>
  <si>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</si>
  <si>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</si>
  <si>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</si>
  <si>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</si>
  <si>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</si>
  <si>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</si>
  <si>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</si>
  <si>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</si>
  <si>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</si>
  <si>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</si>
  <si>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</si>
  <si>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</si>
  <si>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</si>
  <si>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</si>
  <si>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</si>
  <si>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</si>
  <si>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</si>
  <si>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</si>
  <si>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</si>
  <si>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</si>
  <si>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</si>
  <si>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</si>
  <si>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</si>
  <si>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</si>
  <si>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</si>
  <si>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</si>
  <si>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</si>
  <si>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</si>
  <si>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</si>
  <si>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</si>
  <si>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</si>
  <si>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</si>
  <si>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</si>
  <si>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</si>
  <si>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</si>
  <si>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</si>
  <si>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</si>
  <si>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</si>
  <si>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</si>
  <si>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</si>
  <si>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</si>
  <si>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</si>
  <si>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</si>
  <si>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</si>
  <si>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</si>
  <si>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</si>
  <si>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</si>
  <si>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</si>
  <si>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</si>
  <si>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</si>
  <si>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</si>
  <si>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</si>
  <si>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</si>
  <si>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</si>
  <si>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</si>
  <si>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</si>
  <si>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</si>
  <si>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</si>
  <si>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</si>
  <si>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</si>
  <si>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</si>
  <si>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</si>
  <si>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</si>
  <si>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</si>
  <si>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</si>
  <si>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</si>
  <si>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</si>
  <si>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</si>
  <si>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</si>
  <si>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</si>
  <si>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</si>
  <si>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</si>
  <si>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</si>
  <si>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</si>
  <si>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</si>
  <si>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</si>
  <si>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</si>
  <si>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</si>
  <si>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</si>
  <si>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</si>
  <si>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</si>
  <si>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</si>
  <si>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</si>
  <si>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</si>
  <si>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</si>
  <si>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</si>
  <si>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</si>
  <si>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</si>
  <si>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Shop Bill Summary (Furqan)</t>
  </si>
  <si>
    <t>Customer Name : Chaudry Store</t>
  </si>
  <si>
    <t>Address: Lawrence Road</t>
  </si>
  <si>
    <t>Customer Name : Sohna Departmental Store</t>
  </si>
  <si>
    <t>Address: Mason Road</t>
  </si>
  <si>
    <t xml:space="preserve">Customer Name : Ghous Bakery </t>
  </si>
  <si>
    <t>Address: Temple Road</t>
  </si>
  <si>
    <t>0162016-9</t>
  </si>
  <si>
    <t xml:space="preserve">Customer Name : Awan Pan Shop </t>
  </si>
  <si>
    <t>Address: Devis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</si>
</sst>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4" zoomScale="70" zoomScaleNormal="70" workbookViewId="0">
      <selection activeCell="T33" sqref="T3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106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Chaudry Store</v>
      </c>
      <c r="U14" s="164">
        <f>+'1'!P35</f>
        <v>868.31093550000014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Sohna Departmental Store</v>
      </c>
      <c r="U15" s="164">
        <f>+'2'!P35</f>
        <v>3656.85134625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100</v>
      </c>
      <c r="I16" s="1">
        <f>(G16*D16)*F16+H16*F16</f>
        <v>5246.25</v>
      </c>
      <c r="J16" s="172">
        <f>+'1'!J16+'2'!J16+'4'!J16+'3'!J16+'5'!J16+'6'!J16+'7'!J16+'8'!J16+'9'!J16+'10'!J16+'11'!J16+'12'!J16+'13'!J16+'14'!J16+'15'!J16+'16'!J16+'17'!J16+'18'!J16</f>
        <v>5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419.7</v>
      </c>
      <c r="M16" s="106">
        <f>I16-K16-L16</f>
        <v>4826.55</v>
      </c>
      <c r="N16" s="101">
        <f>+'1'!N16+'2'!N16+'4'!N16+'3'!N16+'5'!N16+'6'!N16+'7'!N16+'8'!N16+'9'!N16+'10'!N16</f>
        <v>1119.5497500000001</v>
      </c>
      <c r="O16" s="101">
        <f>+'1'!O16+'2'!O16+'4'!O16+'3'!O16+'5'!O16+'6'!O16+'7'!O16+'8'!O16+'9'!O16+'10'!O16</f>
        <v>53.514897750000003</v>
      </c>
      <c r="P16" s="105">
        <f t="shared" ref="P16:P24" si="0">M16+N16+O16</f>
        <v>5999.6146477500006</v>
      </c>
      <c r="Q16" s="108"/>
      <c r="T16" s="163" t="str">
        <f>+'3'!A5</f>
        <v xml:space="preserve">Customer Name : Ghous Bakery </v>
      </c>
      <c r="U16" s="164">
        <f>+'3'!P35</f>
        <v>25190.352798300002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2895.93</v>
      </c>
      <c r="N17" s="101">
        <f>+'1'!N17+'2'!N17+'4'!N17+'3'!N17+'5'!N17+'6'!N17+'7'!N17+'8'!N17+'9'!N17+'10'!N17</f>
        <v>671.72985000000006</v>
      </c>
      <c r="O17" s="101">
        <f>+'1'!O17+'2'!O17+'4'!O17+'3'!O17+'5'!O17+'6'!O17+'7'!O17+'8'!O17+'9'!O17+'10'!O17</f>
        <v>41.622698249999999</v>
      </c>
      <c r="P17" s="120">
        <f t="shared" si="0"/>
        <v>3609.2825482500002</v>
      </c>
      <c r="S17" s="64"/>
      <c r="T17" s="163" t="str">
        <f>+'4'!A5</f>
        <v xml:space="preserve">Customer Name : Awan Pan Shop </v>
      </c>
      <c r="U17" s="164">
        <f>+'4'!P35</f>
        <v>1795.4904090000002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100</v>
      </c>
      <c r="I18" s="1">
        <f t="shared" si="1"/>
        <v>5246.25</v>
      </c>
      <c r="J18" s="172">
        <f>+'1'!J18+'2'!J18+'4'!J18+'3'!J18+'5'!J18+'6'!J18+'7'!J18+'8'!J18+'9'!J18+'10'!J18+'11'!J18+'12'!J18+'13'!J18+'14'!J18+'15'!J18+'16'!J18+'17'!J18+'18'!J18</f>
        <v>5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419.7</v>
      </c>
      <c r="M18" s="118">
        <f t="shared" si="2"/>
        <v>4826.55</v>
      </c>
      <c r="N18" s="101">
        <f>+'1'!N18+'2'!N18+'4'!N18+'3'!N18+'5'!N18+'6'!N18+'7'!N18+'8'!N18+'9'!N18+'10'!N18</f>
        <v>1119.5497500000001</v>
      </c>
      <c r="O18" s="101">
        <f>+'1'!O18+'2'!O18+'4'!O18+'3'!O18+'5'!O18+'6'!O18+'7'!O18+'8'!O18+'9'!O18+'10'!O18</f>
        <v>53.514897750000003</v>
      </c>
      <c r="P18" s="120">
        <f t="shared" si="0"/>
        <v>5999.6146477500006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232.44800000000001</v>
      </c>
      <c r="M19" s="118">
        <f t="shared" si="2"/>
        <v>2673.152</v>
      </c>
      <c r="N19" s="101">
        <f>+'1'!N19+'2'!N19+'4'!N19+'3'!N19+'5'!N19+'6'!N19+'7'!N19+'8'!N19+'9'!N19+'10'!N19</f>
        <v>620.05503999999996</v>
      </c>
      <c r="O19" s="101">
        <f>+'1'!O19+'2'!O19+'4'!O19+'3'!O19+'5'!O19+'6'!O19+'7'!O19+'8'!O19+'9'!O19+'10'!O19</f>
        <v>16.4660352</v>
      </c>
      <c r="P19" s="120">
        <f t="shared" si="0"/>
        <v>3309.6730752000003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620.05503999999996</v>
      </c>
      <c r="O20" s="101">
        <f>+'1'!O20+'2'!O20+'4'!O20+'3'!O20+'5'!O20+'6'!O20+'7'!O20+'8'!O20+'9'!O20+'10'!O20</f>
        <v>16.4660352</v>
      </c>
      <c r="P20" s="120">
        <f t="shared" si="0"/>
        <v>3309.6730752000003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464.89600000000002</v>
      </c>
      <c r="M21" s="118">
        <f t="shared" si="2"/>
        <v>5346.3040000000001</v>
      </c>
      <c r="N21" s="101">
        <f>+'1'!N21+'2'!N21+'4'!N21+'3'!N21+'5'!N21+'6'!N21+'7'!N21+'8'!N21+'9'!N21+'10'!N21</f>
        <v>1240.1100799999999</v>
      </c>
      <c r="O21" s="101">
        <f>+'1'!O21+'2'!O21+'4'!O21+'3'!O21+'5'!O21+'6'!O21+'7'!O21+'8'!O21+'9'!O21+'10'!O21</f>
        <v>32.932070400000001</v>
      </c>
      <c r="P21" s="120">
        <f t="shared" si="0"/>
        <v>6619.3461504000006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82.38300000000001</v>
      </c>
      <c r="L22" s="175">
        <f>+'1'!L22+'2'!L22+'4'!L22+'3'!L22+'5'!L22+'6'!L22+'7'!L22+'8'!L22+'9'!L22+'10'!L22</f>
        <v>117.69000000000003</v>
      </c>
      <c r="M22" s="118">
        <f t="shared" si="2"/>
        <v>2153.7270000000003</v>
      </c>
      <c r="N22" s="101">
        <f>+'1'!N22+'2'!N22+'4'!N22+'3'!N22+'5'!N22+'6'!N22+'7'!N22+'8'!N22+'9'!N22+'10'!N22</f>
        <v>445.10358000000008</v>
      </c>
      <c r="O22" s="101">
        <f>+'1'!O22+'2'!O22+'4'!O22+'3'!O22+'5'!O22+'6'!O22+'7'!O22+'8'!O22+'9'!O22+'10'!O22</f>
        <v>64.970764500000001</v>
      </c>
      <c r="P22" s="120">
        <f t="shared" si="0"/>
        <v>2663.8013445000001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12</v>
      </c>
      <c r="D25" s="221"/>
      <c r="E25" s="221"/>
      <c r="F25" s="221"/>
      <c r="G25" s="176">
        <f t="shared" ref="G25:M25" si="3">SUM(G16:G24)</f>
        <v>0</v>
      </c>
      <c r="H25" s="177">
        <f t="shared" si="3"/>
        <v>480</v>
      </c>
      <c r="I25" s="178">
        <f t="shared" si="3"/>
        <v>27616.449999999997</v>
      </c>
      <c r="J25" s="177">
        <f t="shared" si="3"/>
        <v>21</v>
      </c>
      <c r="K25" s="178">
        <f t="shared" si="3"/>
        <v>82.38300000000001</v>
      </c>
      <c r="L25" s="179">
        <f t="shared" si="3"/>
        <v>2138.7020000000002</v>
      </c>
      <c r="M25" s="141">
        <f t="shared" si="3"/>
        <v>25395.364999999998</v>
      </c>
      <c r="N25" s="142">
        <f>SUM(N16:N24)</f>
        <v>5836.1530900000007</v>
      </c>
      <c r="O25" s="143">
        <f>SUM(O16:O24)</f>
        <v>279.48739905000002</v>
      </c>
      <c r="P25" s="144">
        <f>SUM(P16:P24)</f>
        <v>31511.005489050003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31511.005489050003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27616.449999999997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2138.7020000000002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82.38300000000001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25395.364999999994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5836.1530900000007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31231.518089999994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780.78795224999988</v>
      </c>
    </row>
    <row r="39" spans="2:16" ht="15.75" customHeight="1" thickBot="1" x14ac:dyDescent="0.4">
      <c r="N39" s="219" t="s">
        <v>92</v>
      </c>
      <c r="O39" s="220"/>
      <c r="P39" s="160">
        <f>P37+P38</f>
        <v>32012.306042249995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6"/>
        <v>717.90900000000011</v>
      </c>
      <c r="N22" s="118">
        <f t="shared" si="0"/>
        <v>129.22362000000001</v>
      </c>
      <c r="O22" s="119">
        <f t="shared" si="1"/>
        <v>21.178315500000004</v>
      </c>
      <c r="P22" s="120">
        <f t="shared" si="2"/>
        <v>868.31093550000014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129.22362000000001</v>
      </c>
      <c r="O25" s="143">
        <f>SUM(O16:O24)</f>
        <v>21.178315500000004</v>
      </c>
      <c r="P25" s="144">
        <f>SUM(P16:P24)</f>
        <v>868.31093550000014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784.60000000000014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39.230000000000011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717.90900000000011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129.22362000000001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847.13262000000009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21.178315500000004</v>
      </c>
    </row>
    <row r="35" spans="2:16" ht="15.75" customHeight="1" thickBot="1" x14ac:dyDescent="0.4">
      <c r="N35" s="219" t="s">
        <v>92</v>
      </c>
      <c r="O35" s="220"/>
      <c r="P35" s="160">
        <f>P33+P34</f>
        <v>868.31093550000014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60</v>
      </c>
      <c r="I25" s="137">
        <f t="shared" si="9"/>
        <v>3147.75</v>
      </c>
      <c r="J25" s="138"/>
      <c r="K25" s="139">
        <f t="shared" si="9"/>
        <v>0</v>
      </c>
      <c r="L25" s="140">
        <f t="shared" si="9"/>
        <v>251.82</v>
      </c>
      <c r="M25" s="141">
        <f t="shared" si="9"/>
        <v>2895.93</v>
      </c>
      <c r="N25" s="142">
        <f>SUM(N16:N24)</f>
        <v>671.72985000000006</v>
      </c>
      <c r="O25" s="143">
        <f>SUM(O16:O24)</f>
        <v>89.19149625</v>
      </c>
      <c r="P25" s="144">
        <f>SUM(P16:P24)</f>
        <v>3656.8513462499996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3147.75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251.82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2895.93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671.72985000000006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3567.65985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89.19149625</v>
      </c>
    </row>
    <row r="35" spans="2:16" ht="15.75" customHeight="1" thickBot="1" x14ac:dyDescent="0.4">
      <c r="N35" s="219" t="s">
        <v>92</v>
      </c>
      <c r="O35" s="220"/>
      <c r="P35" s="160">
        <f>P33+P34</f>
        <v>3656.85134625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895.63980000000004</v>
      </c>
      <c r="O16" s="107">
        <f>(N16+M16)*$O$15</f>
        <v>23.784399000000001</v>
      </c>
      <c r="P16" s="105">
        <f t="shared" ref="P16:P24" si="1">M16+N16+O16</f>
        <v>4780.6641989999998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>
        <v>4</v>
      </c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895.63980000000004</v>
      </c>
      <c r="O18" s="119">
        <f t="shared" si="6"/>
        <v>23.784399000000001</v>
      </c>
      <c r="P18" s="120">
        <f t="shared" si="1"/>
        <v>4780.6641989999998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1240.1100799999999</v>
      </c>
      <c r="O21" s="119">
        <f t="shared" si="6"/>
        <v>32.932070400000001</v>
      </c>
      <c r="P21" s="120">
        <f t="shared" si="1"/>
        <v>6619.3461504000006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360</v>
      </c>
      <c r="I25" s="137">
        <f t="shared" si="9"/>
        <v>22114.9</v>
      </c>
      <c r="J25" s="138"/>
      <c r="K25" s="139">
        <f t="shared" si="9"/>
        <v>0</v>
      </c>
      <c r="L25" s="140">
        <f t="shared" si="9"/>
        <v>1769.192</v>
      </c>
      <c r="M25" s="141">
        <f t="shared" si="9"/>
        <v>20345.707999999999</v>
      </c>
      <c r="N25" s="142">
        <f>SUM(N16:N24)</f>
        <v>4719.319660000001</v>
      </c>
      <c r="O25" s="143">
        <f>SUM(O16:O24)</f>
        <v>125.32513830000001</v>
      </c>
      <c r="P25" s="144">
        <f>SUM(P16:P24)</f>
        <v>25190.352798300002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22114.9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1769.192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20345.708000000002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4719.319660000001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25065.027660000003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125.32513830000002</v>
      </c>
    </row>
    <row r="35" spans="2:16" ht="15.75" customHeight="1" thickBot="1" x14ac:dyDescent="0.4">
      <c r="N35" s="219" t="s">
        <v>92</v>
      </c>
      <c r="O35" s="220"/>
      <c r="P35" s="160">
        <f>P33+P34</f>
        <v>25190.352798300002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9" t="s">
        <v>92</v>
      </c>
      <c r="O35" s="220"/>
      <c r="P35" s="160">
        <f>P33+P34</f>
        <v>1795.4904090000002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2026-06-23T12:22:53Z</dcterms:modified>
</cp:coreProperties>
</file>