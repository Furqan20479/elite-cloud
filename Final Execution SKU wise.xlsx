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DCAE4F30-E0EA-4D71-915B-FA2B1D3EEED4}" xr6:coauthVersionLast="47" xr6:coauthVersionMax="47" xr10:uidLastSave="{00000000-0000-0000-0000-000000000000}"/>
  <bookViews>
    <workbookView xWindow="-110" yWindow="-110" windowWidth="19420" windowHeight="10420" tabRatio="887" firstSheet="1" activeTab="27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25" l="1"/>
  <c r="G10" i="25"/>
  <c r="G11" i="25"/>
  <c r="G12" i="25"/>
  <c r="K9" i="25"/>
  <c r="K10" i="25"/>
  <c r="K11" i="25"/>
  <c r="K12" i="25"/>
  <c r="X14" i="24" l="1"/>
  <c r="X15" i="24" s="1"/>
  <c r="X16" i="24" s="1"/>
  <c r="W14" i="24"/>
  <c r="W15" i="24" s="1"/>
  <c r="W16" i="24" s="1"/>
  <c r="V14" i="24"/>
  <c r="V17" i="24" s="1"/>
  <c r="T14" i="24"/>
  <c r="T17" i="24" s="1"/>
  <c r="S14" i="24"/>
  <c r="S15" i="24" s="1"/>
  <c r="S16" i="24" s="1"/>
  <c r="R14" i="24"/>
  <c r="R15" i="24" s="1"/>
  <c r="R16" i="24" s="1"/>
  <c r="Q14" i="24"/>
  <c r="Q16" i="24" s="1"/>
  <c r="Z12" i="24"/>
  <c r="Y12" i="24"/>
  <c r="U12" i="24"/>
  <c r="Z11" i="24"/>
  <c r="Y11" i="24"/>
  <c r="U11" i="24"/>
  <c r="Z10" i="24"/>
  <c r="Y10" i="24"/>
  <c r="U10" i="24"/>
  <c r="Z9" i="24"/>
  <c r="Y9" i="24"/>
  <c r="U9" i="24"/>
  <c r="Z8" i="24"/>
  <c r="Y8" i="24"/>
  <c r="U8" i="24"/>
  <c r="K9" i="24"/>
  <c r="K10" i="24"/>
  <c r="K11" i="24"/>
  <c r="K12" i="24"/>
  <c r="G9" i="24"/>
  <c r="G10" i="24"/>
  <c r="G11" i="24"/>
  <c r="G12" i="24"/>
  <c r="Z12" i="21"/>
  <c r="Y12" i="21"/>
  <c r="U12" i="21"/>
  <c r="Z11" i="21"/>
  <c r="Y11" i="21"/>
  <c r="U11" i="21"/>
  <c r="Z10" i="21"/>
  <c r="Y10" i="21"/>
  <c r="U10" i="21"/>
  <c r="Z9" i="21"/>
  <c r="Y9" i="21"/>
  <c r="U9" i="21"/>
  <c r="Z8" i="21"/>
  <c r="Y8" i="21"/>
  <c r="U8" i="21"/>
  <c r="X9" i="20"/>
  <c r="X10" i="20"/>
  <c r="X11" i="20"/>
  <c r="X12" i="20"/>
  <c r="X8" i="20"/>
  <c r="W9" i="20"/>
  <c r="W10" i="20"/>
  <c r="W11" i="20"/>
  <c r="W12" i="20"/>
  <c r="W8" i="20"/>
  <c r="U14" i="24" l="1"/>
  <c r="Y14" i="24"/>
  <c r="X17" i="24"/>
  <c r="S17" i="24"/>
  <c r="V15" i="24"/>
  <c r="V16" i="24" s="1"/>
  <c r="Q17" i="24"/>
  <c r="Z14" i="24"/>
  <c r="T15" i="24"/>
  <c r="T16" i="24" s="1"/>
  <c r="R17" i="24"/>
  <c r="W17" i="24"/>
  <c r="K9" i="21"/>
  <c r="K10" i="21"/>
  <c r="K11" i="21"/>
  <c r="K12" i="21"/>
  <c r="G9" i="21"/>
  <c r="G10" i="21"/>
  <c r="G11" i="21"/>
  <c r="G12" i="21"/>
  <c r="Z17" i="24" l="1"/>
  <c r="G9" i="20"/>
  <c r="G10" i="20"/>
  <c r="G11" i="20"/>
  <c r="G12" i="20"/>
  <c r="K9" i="20"/>
  <c r="K10" i="20"/>
  <c r="K11" i="20"/>
  <c r="K12" i="20"/>
  <c r="K13" i="17" l="1"/>
  <c r="L13" i="17"/>
  <c r="G13" i="17"/>
  <c r="K9" i="19" l="1"/>
  <c r="K10" i="19"/>
  <c r="K11" i="19"/>
  <c r="K12" i="19"/>
  <c r="G9" i="19"/>
  <c r="G10" i="19"/>
  <c r="G11" i="19"/>
  <c r="G12" i="19"/>
  <c r="G9" i="16" l="1"/>
  <c r="G10" i="16"/>
  <c r="K9" i="16"/>
  <c r="K10" i="16"/>
  <c r="G9" i="17" l="1"/>
  <c r="G10" i="17"/>
  <c r="G11" i="17"/>
  <c r="G12" i="17"/>
  <c r="K9" i="17"/>
  <c r="K10" i="17"/>
  <c r="K11" i="17"/>
  <c r="K12" i="17"/>
  <c r="K12" i="15"/>
  <c r="G12" i="15"/>
  <c r="G9" i="15"/>
  <c r="G10" i="15"/>
  <c r="G11" i="15"/>
  <c r="K9" i="15"/>
  <c r="K10" i="15"/>
  <c r="K11" i="15"/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8"/>
  <c r="L17" i="22"/>
  <c r="L17" i="23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8"/>
  <c r="L14" i="22"/>
  <c r="L14" i="23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8"/>
  <c r="E16" i="18"/>
  <c r="F16" i="18"/>
  <c r="H16" i="18"/>
  <c r="I16" i="18"/>
  <c r="J16" i="18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8"/>
  <c r="C16" i="22"/>
  <c r="C16" i="23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8"/>
  <c r="F15" i="18"/>
  <c r="H15" i="18"/>
  <c r="I15" i="18"/>
  <c r="J15" i="18"/>
  <c r="E15" i="22"/>
  <c r="F15" i="22"/>
  <c r="H15" i="22"/>
  <c r="I15" i="22"/>
  <c r="J15" i="22"/>
  <c r="E15" i="23"/>
  <c r="F15" i="23"/>
  <c r="H15" i="23"/>
  <c r="I15" i="23"/>
  <c r="J15" i="23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8"/>
  <c r="D15" i="22"/>
  <c r="D15" i="23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K14" i="25"/>
  <c r="J14" i="25"/>
  <c r="I14" i="25"/>
  <c r="H14" i="25"/>
  <c r="G14" i="25"/>
  <c r="F14" i="25"/>
  <c r="E14" i="25"/>
  <c r="D14" i="25"/>
  <c r="C14" i="25"/>
  <c r="K14" i="24"/>
  <c r="J14" i="24"/>
  <c r="I14" i="24"/>
  <c r="H14" i="24"/>
  <c r="G14" i="24"/>
  <c r="F14" i="24"/>
  <c r="E14" i="24"/>
  <c r="D14" i="24"/>
  <c r="C14" i="24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F17" i="25" l="1"/>
  <c r="F15" i="25"/>
  <c r="F16" i="25" s="1"/>
  <c r="E17" i="25"/>
  <c r="E15" i="25"/>
  <c r="E16" i="25" s="1"/>
  <c r="D17" i="25"/>
  <c r="D15" i="25"/>
  <c r="D16" i="25" s="1"/>
  <c r="C17" i="25"/>
  <c r="C16" i="25"/>
  <c r="J17" i="25"/>
  <c r="J15" i="25"/>
  <c r="J16" i="25" s="1"/>
  <c r="I17" i="25"/>
  <c r="I15" i="25"/>
  <c r="I16" i="25" s="1"/>
  <c r="H15" i="25"/>
  <c r="H16" i="25" s="1"/>
  <c r="L14" i="25"/>
  <c r="H17" i="25"/>
  <c r="E17" i="24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L17" i="25" l="1"/>
  <c r="L17" i="24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6" l="1"/>
  <c r="L17" i="17"/>
  <c r="L17" i="15"/>
  <c r="L17" i="14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<sst xmlns="http://schemas.openxmlformats.org/spreadsheetml/2006/main" count="820" uniqueCount="81">
  <si>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</si>
  <si>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</si>
  <si>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</si>
  <si>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</si>
  <si>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</si>
  <si>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</si>
  <si>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</si>
  <si>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</si>
  <si>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</si>
  <si>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</si>
  <si>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</si>
  <si>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</si>
  <si>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</si>
  <si>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</si>
  <si>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</si>
  <si>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</si>
  <si>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</si>
  <si>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</si>
  <si>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</si>
  <si>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</si>
  <si>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</si>
  <si>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</si>
  <si>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</si>
  <si>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</si>
  <si>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</si>
  <si>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</si>
  <si>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</si>
  <si>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</si>
  <si>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</si>
  <si>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</si>
  <si>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</si>
  <si>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</si>
  <si>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</si>
  <si>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</si>
  <si>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</si>
  <si>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</si>
  <si>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</si>
  <si>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</si>
  <si>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</si>
  <si>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</si>
  <si>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</si>
  <si>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</si>
  <si>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</si>
  <si>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</si>
  <si>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</si>
  <si>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</si>
  <si>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</si>
  <si>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</si>
  <si>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</si>
  <si>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</si>
  <si>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</si>
  <si>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</si>
  <si>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</si>
  <si>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</si>
  <si>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</si>
  <si>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</si>
  <si>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</si>
  <si>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</si>
  <si>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</si>
  <si>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</si>
  <si>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</si>
  <si>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</si>
  <si>
    <t>ok</t>
  </si>
  <si>
    <t>opening</t>
  </si>
  <si>
    <t>meat 70</t>
  </si>
  <si>
    <t>Rambo Jameel</t>
  </si>
  <si>
    <t>Rambo me</t>
  </si>
  <si>
    <t xml:space="preserve">Executed </t>
  </si>
  <si>
    <t xml:space="preserve">Umair </t>
  </si>
  <si>
    <t>Executed</t>
  </si>
  <si>
    <t>Zeshan</t>
  </si>
  <si>
    <t>Umair</t>
  </si>
  <si>
    <t xml:space="preserve">Shakoor </t>
  </si>
  <si>
    <t>Bilal</t>
  </si>
  <si>
    <t xml:space="preserve">Aslam </t>
  </si>
  <si>
    <t>Booking</t>
  </si>
  <si>
    <t>Umer</t>
  </si>
  <si>
    <t xml:space="preserve">Sum </t>
  </si>
  <si>
    <t>Supply</t>
  </si>
  <si>
    <t>Execution</t>
  </si>
  <si>
    <t xml:space="preserve">Shops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</si>
</sst>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7" borderId="15" xfId="0" applyFill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L11" sqref="L11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1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1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1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1" ht="15" thickBot="1" x14ac:dyDescent="0.4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32</v>
      </c>
    </row>
    <row r="23" spans="1:11" x14ac:dyDescent="0.35">
      <c r="B23" t="s">
        <v>71</v>
      </c>
    </row>
    <row r="24" spans="1:11" x14ac:dyDescent="0.35">
      <c r="B24" t="s">
        <v>70</v>
      </c>
    </row>
    <row r="25" spans="1:11" x14ac:dyDescent="0.35">
      <c r="B25" t="s">
        <v>15</v>
      </c>
    </row>
    <row r="26" spans="1:11" x14ac:dyDescent="0.35">
      <c r="B26" t="s">
        <v>34</v>
      </c>
    </row>
    <row r="27" spans="1:11" x14ac:dyDescent="0.35">
      <c r="B27" t="s">
        <v>72</v>
      </c>
    </row>
    <row r="28" spans="1:11" x14ac:dyDescent="0.35">
      <c r="B28" t="s">
        <v>73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ht="14.5" customHeight="1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4.5" customHeight="1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ht="14.5" customHeight="1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8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8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8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8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0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0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20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0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8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8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8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8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8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  <c r="R8" t="s">
        <v>62</v>
      </c>
    </row>
    <row r="9" spans="1:18" x14ac:dyDescent="0.35">
      <c r="A9" s="27"/>
      <c r="B9" s="10" t="s">
        <v>11</v>
      </c>
      <c r="C9" s="12"/>
      <c r="D9" s="12">
        <v>12</v>
      </c>
      <c r="E9" s="12">
        <v>12</v>
      </c>
      <c r="F9" s="12">
        <v>12</v>
      </c>
      <c r="G9" s="28">
        <f t="shared" ref="G9:G10" si="0">SUM(D9:F9)/20</f>
        <v>1.8</v>
      </c>
      <c r="H9" s="12">
        <v>14</v>
      </c>
      <c r="I9" s="12">
        <v>27</v>
      </c>
      <c r="J9" s="12">
        <v>74</v>
      </c>
      <c r="K9" s="28">
        <f t="shared" ref="K9:K10" si="1">SUM(H9:J9)/20</f>
        <v>5.75</v>
      </c>
      <c r="L9">
        <f t="shared" ref="L9:L12" si="2">SUM(C9:F9,H9,I9,J9)/40</f>
        <v>3.7749999999999999</v>
      </c>
      <c r="M9" s="49">
        <v>9</v>
      </c>
      <c r="O9" s="41" t="s">
        <v>11</v>
      </c>
      <c r="P9" s="41">
        <v>5</v>
      </c>
      <c r="Q9" s="41">
        <v>8.9</v>
      </c>
      <c r="R9" t="s">
        <v>62</v>
      </c>
    </row>
    <row r="10" spans="1:18" x14ac:dyDescent="0.35">
      <c r="A10" s="27"/>
      <c r="B10" s="10" t="s">
        <v>60</v>
      </c>
      <c r="C10" s="12">
        <v>24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8</v>
      </c>
      <c r="I10" s="12">
        <v>5</v>
      </c>
      <c r="J10" s="12">
        <v>7</v>
      </c>
      <c r="K10" s="28">
        <f t="shared" si="1"/>
        <v>1</v>
      </c>
      <c r="L10">
        <f t="shared" si="2"/>
        <v>5.4</v>
      </c>
      <c r="M10" s="49">
        <v>6</v>
      </c>
      <c r="O10" s="41" t="s">
        <v>60</v>
      </c>
      <c r="P10" s="41">
        <v>3</v>
      </c>
      <c r="Q10" s="41">
        <v>7.5</v>
      </c>
      <c r="R10" t="s">
        <v>62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168</v>
      </c>
      <c r="D14" s="14">
        <f t="shared" si="3"/>
        <v>148</v>
      </c>
      <c r="E14" s="14">
        <f t="shared" si="3"/>
        <v>148</v>
      </c>
      <c r="F14" s="14">
        <f t="shared" si="3"/>
        <v>72</v>
      </c>
      <c r="G14" s="14">
        <f t="shared" si="3"/>
        <v>18.399999999999999</v>
      </c>
      <c r="H14" s="14">
        <f t="shared" si="3"/>
        <v>117</v>
      </c>
      <c r="I14" s="14">
        <f t="shared" si="3"/>
        <v>102</v>
      </c>
      <c r="J14" s="14">
        <f t="shared" si="3"/>
        <v>156</v>
      </c>
      <c r="K14" s="14">
        <f t="shared" si="3"/>
        <v>18.75</v>
      </c>
      <c r="L14" s="36">
        <f>C14+D14+E14+F14+H14+I14+J14</f>
        <v>911</v>
      </c>
    </row>
    <row r="15" spans="1:18" x14ac:dyDescent="0.35">
      <c r="A15" s="13"/>
      <c r="B15" s="10" t="s">
        <v>40</v>
      </c>
      <c r="C15" s="13"/>
      <c r="D15" s="13">
        <f>D14/20</f>
        <v>7.4</v>
      </c>
      <c r="E15" s="13">
        <f t="shared" ref="E15:J15" si="4">E14/20</f>
        <v>7.4</v>
      </c>
      <c r="F15" s="13">
        <f t="shared" si="4"/>
        <v>3.6</v>
      </c>
      <c r="G15" s="13"/>
      <c r="H15" s="13">
        <f t="shared" si="4"/>
        <v>5.85</v>
      </c>
      <c r="I15" s="13">
        <f t="shared" si="4"/>
        <v>5.0999999999999996</v>
      </c>
      <c r="J15" s="13">
        <f t="shared" si="4"/>
        <v>7.8</v>
      </c>
      <c r="K15" s="13"/>
    </row>
    <row r="16" spans="1:18" x14ac:dyDescent="0.35">
      <c r="A16" s="13"/>
      <c r="B16" s="10" t="s">
        <v>39</v>
      </c>
      <c r="C16" s="37">
        <f>C15+C14</f>
        <v>168</v>
      </c>
      <c r="D16" s="37">
        <f t="shared" ref="D16:J16" si="5">D15+D14</f>
        <v>155.4</v>
      </c>
      <c r="E16" s="37">
        <f t="shared" si="5"/>
        <v>155.4</v>
      </c>
      <c r="F16" s="37">
        <f t="shared" si="5"/>
        <v>75.599999999999994</v>
      </c>
      <c r="G16" s="37"/>
      <c r="H16" s="37">
        <f t="shared" si="5"/>
        <v>122.85</v>
      </c>
      <c r="I16" s="37">
        <f t="shared" si="5"/>
        <v>107.1</v>
      </c>
      <c r="J16" s="37">
        <f t="shared" si="5"/>
        <v>163.80000000000001</v>
      </c>
      <c r="K16" s="37"/>
    </row>
    <row r="17" spans="1:12" x14ac:dyDescent="0.35">
      <c r="A17" s="13"/>
      <c r="B17" s="40" t="s">
        <v>41</v>
      </c>
      <c r="C17" s="37">
        <f>C14/40</f>
        <v>4.2</v>
      </c>
      <c r="D17" s="37">
        <f t="shared" ref="D17:J17" si="6">D14/40</f>
        <v>3.7</v>
      </c>
      <c r="E17" s="37">
        <f t="shared" si="6"/>
        <v>3.7</v>
      </c>
      <c r="F17" s="37">
        <f t="shared" si="6"/>
        <v>1.8</v>
      </c>
      <c r="G17" s="37"/>
      <c r="H17" s="37">
        <f t="shared" si="6"/>
        <v>2.9249999999999998</v>
      </c>
      <c r="I17" s="37">
        <f t="shared" si="6"/>
        <v>2.5499999999999998</v>
      </c>
      <c r="J17" s="37">
        <f t="shared" si="6"/>
        <v>3.9</v>
      </c>
      <c r="K17" s="37"/>
      <c r="L17" s="36">
        <f>SUM(C17:J17)</f>
        <v>22.775000000000002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S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9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9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9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9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9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9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R6" t="s">
        <v>63</v>
      </c>
      <c r="S6" t="s">
        <v>64</v>
      </c>
    </row>
    <row r="7" spans="1:19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9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96</v>
      </c>
      <c r="I8" s="12">
        <v>61</v>
      </c>
      <c r="J8" s="12">
        <v>101</v>
      </c>
      <c r="K8" s="28">
        <f>SUM(H8:J8)/20</f>
        <v>12.9</v>
      </c>
      <c r="L8" s="51">
        <f>SUM(C8:F8,H8,I8,J8)/40</f>
        <v>9.65</v>
      </c>
      <c r="M8" s="51">
        <v>7</v>
      </c>
      <c r="N8" t="s">
        <v>62</v>
      </c>
      <c r="Q8" t="s">
        <v>61</v>
      </c>
    </row>
    <row r="9" spans="1:19" x14ac:dyDescent="0.35">
      <c r="A9" s="27"/>
      <c r="B9" s="10" t="s">
        <v>9</v>
      </c>
      <c r="C9" s="12">
        <v>114</v>
      </c>
      <c r="D9" s="12">
        <v>40</v>
      </c>
      <c r="E9" s="12">
        <v>45</v>
      </c>
      <c r="F9" s="12">
        <v>45</v>
      </c>
      <c r="G9" s="28">
        <f t="shared" ref="G9:G10" si="0">SUM(D9:F9)/20</f>
        <v>6.5</v>
      </c>
      <c r="H9" s="12">
        <v>20</v>
      </c>
      <c r="I9" s="12">
        <v>10</v>
      </c>
      <c r="J9" s="12">
        <v>10</v>
      </c>
      <c r="K9" s="28">
        <f t="shared" ref="K9:K10" si="1">SUM(H9:J9)/20</f>
        <v>2</v>
      </c>
      <c r="L9" s="51">
        <f t="shared" ref="L9:L12" si="2">SUM(C9:F9,H9,I9,J9)/40</f>
        <v>7.1</v>
      </c>
      <c r="M9" s="51">
        <v>9</v>
      </c>
      <c r="N9" t="s">
        <v>62</v>
      </c>
    </row>
    <row r="10" spans="1:19" x14ac:dyDescent="0.35">
      <c r="A10" s="27"/>
      <c r="B10" s="10" t="s">
        <v>16</v>
      </c>
      <c r="C10" s="12">
        <v>120</v>
      </c>
      <c r="D10" s="12">
        <v>220</v>
      </c>
      <c r="E10" s="12">
        <v>240</v>
      </c>
      <c r="F10" s="12">
        <v>160</v>
      </c>
      <c r="G10" s="28">
        <f t="shared" si="0"/>
        <v>31</v>
      </c>
      <c r="H10" s="12">
        <v>295</v>
      </c>
      <c r="I10" s="12">
        <v>250</v>
      </c>
      <c r="J10" s="12">
        <v>415</v>
      </c>
      <c r="K10" s="28">
        <f t="shared" si="1"/>
        <v>48</v>
      </c>
      <c r="L10" s="51">
        <f t="shared" si="2"/>
        <v>42.5</v>
      </c>
      <c r="M10" s="51">
        <v>17</v>
      </c>
      <c r="N10" t="s">
        <v>62</v>
      </c>
    </row>
    <row r="11" spans="1:19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9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9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9" x14ac:dyDescent="0.35">
      <c r="A14" s="13"/>
      <c r="B14" s="10"/>
      <c r="C14" s="14">
        <f t="shared" ref="C14:K14" si="3">SUM(C8:C13)</f>
        <v>258</v>
      </c>
      <c r="D14" s="14">
        <f t="shared" si="3"/>
        <v>314</v>
      </c>
      <c r="E14" s="14">
        <f t="shared" si="3"/>
        <v>310</v>
      </c>
      <c r="F14" s="14">
        <f t="shared" si="3"/>
        <v>230</v>
      </c>
      <c r="G14" s="14">
        <f t="shared" si="3"/>
        <v>42.7</v>
      </c>
      <c r="H14" s="14">
        <f t="shared" si="3"/>
        <v>411</v>
      </c>
      <c r="I14" s="14">
        <f t="shared" si="3"/>
        <v>321</v>
      </c>
      <c r="J14" s="14">
        <f t="shared" si="3"/>
        <v>526</v>
      </c>
      <c r="K14" s="14">
        <f t="shared" si="3"/>
        <v>62.9</v>
      </c>
      <c r="L14" s="36">
        <f>C14+D14+E14+F14+H14+I14+J14</f>
        <v>2370</v>
      </c>
    </row>
    <row r="15" spans="1:19" x14ac:dyDescent="0.35">
      <c r="A15" s="13"/>
      <c r="B15" s="10" t="s">
        <v>40</v>
      </c>
      <c r="C15" s="13"/>
      <c r="D15" s="13">
        <f>D14/20</f>
        <v>15.7</v>
      </c>
      <c r="E15" s="13">
        <f t="shared" ref="E15:J15" si="4">E14/20</f>
        <v>15.5</v>
      </c>
      <c r="F15" s="13">
        <f t="shared" si="4"/>
        <v>11.5</v>
      </c>
      <c r="G15" s="13"/>
      <c r="H15" s="13">
        <f t="shared" si="4"/>
        <v>20.55</v>
      </c>
      <c r="I15" s="13">
        <f t="shared" si="4"/>
        <v>16.05</v>
      </c>
      <c r="J15" s="13">
        <f t="shared" si="4"/>
        <v>26.3</v>
      </c>
      <c r="K15" s="13"/>
    </row>
    <row r="16" spans="1:19" x14ac:dyDescent="0.35">
      <c r="A16" s="13"/>
      <c r="B16" s="10" t="s">
        <v>39</v>
      </c>
      <c r="C16" s="37">
        <f>C15+C14</f>
        <v>258</v>
      </c>
      <c r="D16" s="37">
        <f t="shared" ref="D16:J16" si="5">D15+D14</f>
        <v>329.7</v>
      </c>
      <c r="E16" s="37">
        <f t="shared" si="5"/>
        <v>325.5</v>
      </c>
      <c r="F16" s="37">
        <f t="shared" si="5"/>
        <v>241.5</v>
      </c>
      <c r="G16" s="37"/>
      <c r="H16" s="37">
        <f t="shared" si="5"/>
        <v>431.55</v>
      </c>
      <c r="I16" s="37">
        <f t="shared" si="5"/>
        <v>337.05</v>
      </c>
      <c r="J16" s="37">
        <f t="shared" si="5"/>
        <v>552.29999999999995</v>
      </c>
      <c r="K16" s="37"/>
    </row>
    <row r="17" spans="1:12" x14ac:dyDescent="0.35">
      <c r="A17" s="13"/>
      <c r="B17" s="40" t="s">
        <v>41</v>
      </c>
      <c r="C17" s="37">
        <f>C14/40</f>
        <v>6.45</v>
      </c>
      <c r="D17" s="37">
        <f t="shared" ref="D17:J17" si="6">D14/40</f>
        <v>7.85</v>
      </c>
      <c r="E17" s="37">
        <f t="shared" si="6"/>
        <v>7.75</v>
      </c>
      <c r="F17" s="37">
        <f t="shared" si="6"/>
        <v>5.75</v>
      </c>
      <c r="G17" s="37"/>
      <c r="H17" s="37">
        <f t="shared" si="6"/>
        <v>10.275</v>
      </c>
      <c r="I17" s="37">
        <f t="shared" si="6"/>
        <v>8.0250000000000004</v>
      </c>
      <c r="J17" s="37">
        <f t="shared" si="6"/>
        <v>13.15</v>
      </c>
      <c r="K17" s="37"/>
      <c r="L17" s="36">
        <f>SUM(C17:J17)</f>
        <v>59.25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32</v>
      </c>
      <c r="C8" s="12">
        <v>64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60</v>
      </c>
      <c r="I8" s="12">
        <v>40</v>
      </c>
      <c r="J8" s="12">
        <v>60</v>
      </c>
      <c r="K8" s="28">
        <f>SUM(H8:J8)/20</f>
        <v>8</v>
      </c>
      <c r="L8">
        <f>SUM(C8:F8,H8,I8,J8)/40</f>
        <v>5.6</v>
      </c>
      <c r="M8" t="s">
        <v>67</v>
      </c>
    </row>
    <row r="9" spans="1:13" x14ac:dyDescent="0.35">
      <c r="A9" s="27"/>
      <c r="B9" s="10" t="s">
        <v>11</v>
      </c>
      <c r="C9" s="12">
        <v>100</v>
      </c>
      <c r="D9" s="12">
        <v>67</v>
      </c>
      <c r="E9" s="12">
        <v>57</v>
      </c>
      <c r="F9" s="12">
        <v>54</v>
      </c>
      <c r="G9" s="28">
        <f t="shared" ref="G9:G12" si="0">SUM(D9:F9)/20</f>
        <v>8.9</v>
      </c>
      <c r="H9" s="12">
        <v>132</v>
      </c>
      <c r="I9" s="12">
        <v>112</v>
      </c>
      <c r="J9" s="12">
        <v>126</v>
      </c>
      <c r="K9" s="28">
        <f t="shared" ref="K9:K12" si="1">SUM(H9:J9)/20</f>
        <v>18.5</v>
      </c>
      <c r="L9">
        <f t="shared" ref="L9:L12" si="2">SUM(C9:F9,H9,I9,J9)/40</f>
        <v>16.2</v>
      </c>
      <c r="M9" t="s">
        <v>67</v>
      </c>
    </row>
    <row r="10" spans="1:13" x14ac:dyDescent="0.35">
      <c r="A10" s="27"/>
      <c r="B10" s="10" t="s">
        <v>9</v>
      </c>
      <c r="C10" s="12">
        <v>90</v>
      </c>
      <c r="D10" s="12">
        <v>196</v>
      </c>
      <c r="E10" s="12">
        <v>193</v>
      </c>
      <c r="F10" s="12">
        <v>154</v>
      </c>
      <c r="G10" s="28">
        <f t="shared" si="0"/>
        <v>27.15</v>
      </c>
      <c r="H10" s="12">
        <v>170</v>
      </c>
      <c r="I10" s="12">
        <v>145</v>
      </c>
      <c r="J10" s="12">
        <v>145</v>
      </c>
      <c r="K10" s="28">
        <f t="shared" si="1"/>
        <v>23</v>
      </c>
      <c r="L10">
        <f t="shared" si="2"/>
        <v>27.324999999999999</v>
      </c>
      <c r="M10" t="s">
        <v>67</v>
      </c>
    </row>
    <row r="11" spans="1:13" x14ac:dyDescent="0.35">
      <c r="A11" s="11"/>
      <c r="B11" s="11" t="s">
        <v>65</v>
      </c>
      <c r="C11" s="12"/>
      <c r="D11" s="12">
        <v>240</v>
      </c>
      <c r="E11" s="12">
        <v>520</v>
      </c>
      <c r="F11" s="12">
        <v>480</v>
      </c>
      <c r="G11" s="28">
        <f t="shared" si="0"/>
        <v>62</v>
      </c>
      <c r="H11" s="12">
        <v>440</v>
      </c>
      <c r="I11" s="12">
        <v>680</v>
      </c>
      <c r="J11" s="12">
        <v>680</v>
      </c>
      <c r="K11" s="28">
        <f t="shared" si="1"/>
        <v>90</v>
      </c>
      <c r="L11">
        <f t="shared" si="2"/>
        <v>76</v>
      </c>
      <c r="M11" t="s">
        <v>67</v>
      </c>
    </row>
    <row r="12" spans="1:13" x14ac:dyDescent="0.35">
      <c r="A12" s="11"/>
      <c r="B12" s="11" t="s">
        <v>66</v>
      </c>
      <c r="C12" s="12"/>
      <c r="D12" s="12">
        <v>40</v>
      </c>
      <c r="E12" s="12">
        <v>80</v>
      </c>
      <c r="F12" s="12">
        <v>120</v>
      </c>
      <c r="G12" s="28">
        <f t="shared" si="0"/>
        <v>12</v>
      </c>
      <c r="H12" s="12">
        <v>80</v>
      </c>
      <c r="I12" s="12">
        <v>80</v>
      </c>
      <c r="J12" s="12">
        <v>80</v>
      </c>
      <c r="K12" s="28">
        <f t="shared" si="1"/>
        <v>12</v>
      </c>
      <c r="L12">
        <f t="shared" si="2"/>
        <v>12</v>
      </c>
      <c r="M12" t="s">
        <v>67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254</v>
      </c>
      <c r="D14" s="14">
        <f t="shared" si="3"/>
        <v>543</v>
      </c>
      <c r="E14" s="14">
        <f t="shared" si="3"/>
        <v>850</v>
      </c>
      <c r="F14" s="14">
        <f t="shared" si="3"/>
        <v>808</v>
      </c>
      <c r="G14" s="14">
        <f t="shared" si="3"/>
        <v>110.05</v>
      </c>
      <c r="H14" s="14">
        <f t="shared" si="3"/>
        <v>882</v>
      </c>
      <c r="I14" s="14">
        <f t="shared" si="3"/>
        <v>1057</v>
      </c>
      <c r="J14" s="14">
        <f t="shared" si="3"/>
        <v>1091</v>
      </c>
      <c r="K14" s="14">
        <f t="shared" si="3"/>
        <v>151.5</v>
      </c>
      <c r="L14" s="36">
        <f>C14+D14+E14+F14+H14+I14+J14</f>
        <v>5485</v>
      </c>
    </row>
    <row r="15" spans="1:13" x14ac:dyDescent="0.35">
      <c r="A15" s="13"/>
      <c r="B15" s="10" t="s">
        <v>40</v>
      </c>
      <c r="C15" s="13"/>
      <c r="D15" s="13">
        <f>D14/20</f>
        <v>27.15</v>
      </c>
      <c r="E15" s="13">
        <f t="shared" ref="E15:J15" si="4">E14/20</f>
        <v>42.5</v>
      </c>
      <c r="F15" s="13">
        <f t="shared" si="4"/>
        <v>40.4</v>
      </c>
      <c r="G15" s="13"/>
      <c r="H15" s="13">
        <f t="shared" si="4"/>
        <v>44.1</v>
      </c>
      <c r="I15" s="13">
        <f t="shared" si="4"/>
        <v>52.85</v>
      </c>
      <c r="J15" s="13">
        <f t="shared" si="4"/>
        <v>54.55</v>
      </c>
      <c r="K15" s="13"/>
      <c r="M15" t="s">
        <v>61</v>
      </c>
    </row>
    <row r="16" spans="1:13" x14ac:dyDescent="0.35">
      <c r="A16" s="13"/>
      <c r="B16" s="10" t="s">
        <v>39</v>
      </c>
      <c r="C16" s="37">
        <f>C15+C14</f>
        <v>254</v>
      </c>
      <c r="D16" s="37">
        <f t="shared" ref="D16:J16" si="5">D15+D14</f>
        <v>570.15</v>
      </c>
      <c r="E16" s="37">
        <f t="shared" si="5"/>
        <v>892.5</v>
      </c>
      <c r="F16" s="37">
        <f t="shared" si="5"/>
        <v>848.4</v>
      </c>
      <c r="G16" s="37"/>
      <c r="H16" s="37">
        <f t="shared" si="5"/>
        <v>926.1</v>
      </c>
      <c r="I16" s="37">
        <f t="shared" si="5"/>
        <v>1109.8499999999999</v>
      </c>
      <c r="J16" s="37">
        <f t="shared" si="5"/>
        <v>1145.55</v>
      </c>
      <c r="K16" s="37"/>
    </row>
    <row r="17" spans="1:12" x14ac:dyDescent="0.35">
      <c r="A17" s="13"/>
      <c r="B17" s="40" t="s">
        <v>41</v>
      </c>
      <c r="C17" s="37">
        <f>C14/40</f>
        <v>6.35</v>
      </c>
      <c r="D17" s="37">
        <f t="shared" ref="D17:J17" si="6">D14/40</f>
        <v>13.574999999999999</v>
      </c>
      <c r="E17" s="37">
        <f t="shared" si="6"/>
        <v>21.25</v>
      </c>
      <c r="F17" s="37">
        <f t="shared" si="6"/>
        <v>20.2</v>
      </c>
      <c r="G17" s="37"/>
      <c r="H17" s="37">
        <f t="shared" si="6"/>
        <v>22.05</v>
      </c>
      <c r="I17" s="37">
        <f t="shared" si="6"/>
        <v>26.425000000000001</v>
      </c>
      <c r="J17" s="37">
        <f t="shared" si="6"/>
        <v>27.274999999999999</v>
      </c>
      <c r="K17" s="37"/>
      <c r="L17" s="36">
        <f>SUM(C17:J17)</f>
        <v>137.125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/>
    </row>
    <row r="8" spans="1:13" x14ac:dyDescent="0.35">
      <c r="A8" s="27"/>
      <c r="B8" s="10" t="s">
        <v>32</v>
      </c>
      <c r="C8" s="12"/>
      <c r="D8" s="12">
        <v>25</v>
      </c>
      <c r="E8" s="12">
        <v>10</v>
      </c>
      <c r="F8" s="12">
        <v>25</v>
      </c>
      <c r="G8" s="28">
        <f>SUM(D8:F8)/20</f>
        <v>3</v>
      </c>
      <c r="H8" s="12"/>
      <c r="I8" s="12"/>
      <c r="J8" s="12"/>
      <c r="K8" s="28">
        <f>SUM(H8:J8)/20</f>
        <v>0</v>
      </c>
      <c r="L8">
        <f>SUM(C8:F8,H8,I8,J8)/40</f>
        <v>1.5</v>
      </c>
      <c r="M8" t="s">
        <v>69</v>
      </c>
    </row>
    <row r="9" spans="1:13" x14ac:dyDescent="0.35">
      <c r="A9" s="27"/>
      <c r="B9" s="10" t="s">
        <v>34</v>
      </c>
      <c r="C9" s="12">
        <v>12</v>
      </c>
      <c r="D9" s="12">
        <v>46</v>
      </c>
      <c r="E9" s="12">
        <v>86</v>
      </c>
      <c r="F9" s="12">
        <v>46</v>
      </c>
      <c r="G9" s="28">
        <f t="shared" ref="G9:G10" si="0">SUM(D9:F9)/20</f>
        <v>8.9</v>
      </c>
      <c r="H9" s="12">
        <v>116</v>
      </c>
      <c r="I9" s="12">
        <v>66</v>
      </c>
      <c r="J9" s="12">
        <v>76</v>
      </c>
      <c r="K9" s="28">
        <f t="shared" ref="K9:K10" si="1">SUM(H9:J9)/20</f>
        <v>12.9</v>
      </c>
      <c r="L9">
        <f t="shared" ref="L9:L12" si="2">SUM(C9:F9,H9,I9,J9)/40</f>
        <v>11.2</v>
      </c>
      <c r="M9" t="s">
        <v>69</v>
      </c>
    </row>
    <row r="10" spans="1:13" x14ac:dyDescent="0.35">
      <c r="A10" s="27"/>
      <c r="B10" s="10" t="s">
        <v>70</v>
      </c>
      <c r="C10" s="12"/>
      <c r="D10" s="12"/>
      <c r="E10" s="12"/>
      <c r="F10" s="12"/>
      <c r="G10" s="28">
        <f t="shared" si="0"/>
        <v>0</v>
      </c>
      <c r="H10" s="12">
        <v>800</v>
      </c>
      <c r="I10" s="12">
        <v>400</v>
      </c>
      <c r="J10" s="12">
        <v>800</v>
      </c>
      <c r="K10" s="28">
        <f t="shared" si="1"/>
        <v>100</v>
      </c>
      <c r="L10">
        <f t="shared" si="2"/>
        <v>50</v>
      </c>
      <c r="M10" t="s">
        <v>69</v>
      </c>
    </row>
    <row r="11" spans="1:13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12</v>
      </c>
      <c r="D14" s="14">
        <f t="shared" si="3"/>
        <v>71</v>
      </c>
      <c r="E14" s="14">
        <f t="shared" si="3"/>
        <v>96</v>
      </c>
      <c r="F14" s="14">
        <f t="shared" si="3"/>
        <v>71</v>
      </c>
      <c r="G14" s="14">
        <f t="shared" si="3"/>
        <v>11.9</v>
      </c>
      <c r="H14" s="14">
        <f t="shared" si="3"/>
        <v>916</v>
      </c>
      <c r="I14" s="14">
        <f t="shared" si="3"/>
        <v>466</v>
      </c>
      <c r="J14" s="14">
        <f t="shared" si="3"/>
        <v>876</v>
      </c>
      <c r="K14" s="14">
        <f t="shared" si="3"/>
        <v>112.9</v>
      </c>
      <c r="L14" s="36">
        <f>C14+D14+E14+F14+H14+I14+J14</f>
        <v>2508</v>
      </c>
    </row>
    <row r="15" spans="1:13" x14ac:dyDescent="0.35">
      <c r="A15" s="13"/>
      <c r="B15" s="10" t="s">
        <v>40</v>
      </c>
      <c r="C15" s="13"/>
      <c r="D15" s="13">
        <f>D14/20</f>
        <v>3.55</v>
      </c>
      <c r="E15" s="13">
        <f t="shared" ref="E15:J15" si="4">E14/20</f>
        <v>4.8</v>
      </c>
      <c r="F15" s="13">
        <f t="shared" si="4"/>
        <v>3.55</v>
      </c>
      <c r="G15" s="13"/>
      <c r="H15" s="13">
        <f t="shared" si="4"/>
        <v>45.8</v>
      </c>
      <c r="I15" s="13">
        <f t="shared" si="4"/>
        <v>23.3</v>
      </c>
      <c r="J15" s="13">
        <f t="shared" si="4"/>
        <v>43.8</v>
      </c>
      <c r="K15" s="13"/>
    </row>
    <row r="16" spans="1:13" x14ac:dyDescent="0.35">
      <c r="A16" s="13"/>
      <c r="B16" s="10" t="s">
        <v>39</v>
      </c>
      <c r="C16" s="37">
        <f>C15+C14</f>
        <v>12</v>
      </c>
      <c r="D16" s="37">
        <f t="shared" ref="D16:J16" si="5">D15+D14</f>
        <v>74.55</v>
      </c>
      <c r="E16" s="37">
        <f t="shared" si="5"/>
        <v>100.8</v>
      </c>
      <c r="F16" s="37">
        <f t="shared" si="5"/>
        <v>74.55</v>
      </c>
      <c r="G16" s="37"/>
      <c r="H16" s="37">
        <f t="shared" si="5"/>
        <v>961.8</v>
      </c>
      <c r="I16" s="37">
        <f t="shared" si="5"/>
        <v>489.3</v>
      </c>
      <c r="J16" s="37">
        <f t="shared" si="5"/>
        <v>919.8</v>
      </c>
      <c r="K16" s="37"/>
    </row>
    <row r="17" spans="1:12" x14ac:dyDescent="0.35">
      <c r="A17" s="13"/>
      <c r="B17" s="40" t="s">
        <v>41</v>
      </c>
      <c r="C17" s="37">
        <f>C14/40</f>
        <v>0.3</v>
      </c>
      <c r="D17" s="37">
        <f t="shared" ref="D17:J17" si="6">D14/40</f>
        <v>1.7749999999999999</v>
      </c>
      <c r="E17" s="37">
        <f t="shared" si="6"/>
        <v>2.4</v>
      </c>
      <c r="F17" s="37">
        <f t="shared" si="6"/>
        <v>1.7749999999999999</v>
      </c>
      <c r="G17" s="37"/>
      <c r="H17" s="37">
        <f t="shared" si="6"/>
        <v>22.9</v>
      </c>
      <c r="I17" s="37">
        <f t="shared" si="6"/>
        <v>11.65</v>
      </c>
      <c r="J17" s="37">
        <f t="shared" si="6"/>
        <v>21.9</v>
      </c>
      <c r="K17" s="37"/>
      <c r="L17" s="36">
        <f>SUM(C17:J17)</f>
        <v>62.699999999999996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M19"/>
  <sheetViews>
    <sheetView workbookViewId="0">
      <selection activeCell="Q14" sqref="Q1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16</v>
      </c>
      <c r="C8" s="12">
        <v>200</v>
      </c>
      <c r="D8" s="12">
        <v>60</v>
      </c>
      <c r="E8" s="12">
        <v>60</v>
      </c>
      <c r="F8" s="12"/>
      <c r="G8" s="28">
        <f>SUM(D8:F8)/20</f>
        <v>6</v>
      </c>
      <c r="H8" s="12">
        <v>80</v>
      </c>
      <c r="I8" s="12">
        <v>80</v>
      </c>
      <c r="J8" s="12">
        <v>150</v>
      </c>
      <c r="K8" s="28">
        <f>SUM(H8:J8)/20</f>
        <v>15.5</v>
      </c>
      <c r="L8">
        <f>SUM(C8:F8,H8,I8,J8)/40</f>
        <v>15.75</v>
      </c>
      <c r="M8" s="49" t="s">
        <v>62</v>
      </c>
    </row>
    <row r="9" spans="1:13" x14ac:dyDescent="0.35">
      <c r="A9" s="27"/>
      <c r="B9" s="10" t="s">
        <v>68</v>
      </c>
      <c r="C9" s="12">
        <v>212</v>
      </c>
      <c r="D9" s="12">
        <v>32</v>
      </c>
      <c r="E9" s="12">
        <v>32</v>
      </c>
      <c r="F9" s="12">
        <v>12</v>
      </c>
      <c r="G9" s="28">
        <f t="shared" ref="G9:G13" si="0">SUM(D9:F9)/20</f>
        <v>3.8</v>
      </c>
      <c r="H9" s="12">
        <v>66</v>
      </c>
      <c r="I9" s="12">
        <v>36</v>
      </c>
      <c r="J9" s="12">
        <v>37</v>
      </c>
      <c r="K9" s="28">
        <f t="shared" ref="K9:K13" si="1">SUM(H9:J9)/20</f>
        <v>6.95</v>
      </c>
      <c r="L9">
        <f t="shared" ref="L9:L13" si="2">SUM(C9:F9,H9,I9,J9)/40</f>
        <v>10.675000000000001</v>
      </c>
      <c r="M9" s="49" t="s">
        <v>62</v>
      </c>
    </row>
    <row r="10" spans="1:13" x14ac:dyDescent="0.35">
      <c r="A10" s="27"/>
      <c r="B10" s="10" t="s">
        <v>34</v>
      </c>
      <c r="C10" s="12">
        <v>80</v>
      </c>
      <c r="D10" s="12">
        <v>15</v>
      </c>
      <c r="E10" s="12">
        <v>10</v>
      </c>
      <c r="F10" s="12">
        <v>15</v>
      </c>
      <c r="G10" s="28">
        <f t="shared" si="0"/>
        <v>2</v>
      </c>
      <c r="H10" s="12">
        <v>80</v>
      </c>
      <c r="I10" s="12">
        <v>80</v>
      </c>
      <c r="J10" s="12">
        <v>80</v>
      </c>
      <c r="K10" s="28">
        <f t="shared" si="1"/>
        <v>12</v>
      </c>
      <c r="L10">
        <f t="shared" si="2"/>
        <v>9</v>
      </c>
      <c r="M10" s="49" t="s">
        <v>62</v>
      </c>
    </row>
    <row r="11" spans="1:13" x14ac:dyDescent="0.35">
      <c r="A11" s="11"/>
      <c r="B11" s="11" t="s">
        <v>32</v>
      </c>
      <c r="C11" s="12">
        <v>12</v>
      </c>
      <c r="D11" s="12">
        <v>6</v>
      </c>
      <c r="E11" s="12">
        <v>6</v>
      </c>
      <c r="F11" s="12">
        <v>6</v>
      </c>
      <c r="G11" s="28">
        <f t="shared" si="0"/>
        <v>0.9</v>
      </c>
      <c r="H11" s="12">
        <v>115</v>
      </c>
      <c r="I11" s="12">
        <v>50</v>
      </c>
      <c r="J11" s="12">
        <v>115</v>
      </c>
      <c r="K11" s="28">
        <f t="shared" si="1"/>
        <v>14</v>
      </c>
      <c r="L11">
        <f t="shared" si="2"/>
        <v>7.75</v>
      </c>
      <c r="M11" s="42" t="s">
        <v>62</v>
      </c>
    </row>
    <row r="12" spans="1:13" x14ac:dyDescent="0.35">
      <c r="A12" s="11"/>
      <c r="B12" s="11" t="s">
        <v>9</v>
      </c>
      <c r="C12" s="12"/>
      <c r="D12" s="12">
        <v>54</v>
      </c>
      <c r="E12" s="12">
        <v>57</v>
      </c>
      <c r="F12" s="12">
        <v>75</v>
      </c>
      <c r="G12" s="28">
        <f t="shared" si="0"/>
        <v>9.3000000000000007</v>
      </c>
      <c r="H12" s="12">
        <v>27</v>
      </c>
      <c r="I12" s="12">
        <v>23</v>
      </c>
      <c r="J12" s="12">
        <v>28</v>
      </c>
      <c r="K12" s="28">
        <f t="shared" si="1"/>
        <v>3.9</v>
      </c>
      <c r="L12">
        <f t="shared" si="2"/>
        <v>6.6</v>
      </c>
      <c r="M12" s="42" t="s">
        <v>62</v>
      </c>
    </row>
    <row r="13" spans="1:13" x14ac:dyDescent="0.35">
      <c r="A13" s="11"/>
      <c r="B13" s="11" t="s">
        <v>74</v>
      </c>
      <c r="C13" s="12"/>
      <c r="D13" s="12">
        <v>314</v>
      </c>
      <c r="E13" s="12">
        <v>353</v>
      </c>
      <c r="F13" s="12">
        <v>388</v>
      </c>
      <c r="G13" s="12">
        <f t="shared" si="0"/>
        <v>52.75</v>
      </c>
      <c r="H13" s="12">
        <v>350</v>
      </c>
      <c r="I13" s="12">
        <v>311</v>
      </c>
      <c r="J13" s="12">
        <v>396</v>
      </c>
      <c r="K13" s="12">
        <f t="shared" si="1"/>
        <v>52.85</v>
      </c>
      <c r="L13">
        <f t="shared" si="2"/>
        <v>52.8</v>
      </c>
      <c r="M13" s="42" t="s">
        <v>62</v>
      </c>
    </row>
    <row r="14" spans="1:13" x14ac:dyDescent="0.35">
      <c r="A14" s="13"/>
      <c r="B14" s="10"/>
      <c r="C14" s="14">
        <f t="shared" ref="C14:K14" si="3">SUM(C8:C13)</f>
        <v>504</v>
      </c>
      <c r="D14" s="14">
        <f t="shared" si="3"/>
        <v>481</v>
      </c>
      <c r="E14" s="14">
        <f t="shared" si="3"/>
        <v>518</v>
      </c>
      <c r="F14" s="14">
        <f t="shared" si="3"/>
        <v>496</v>
      </c>
      <c r="G14" s="14">
        <f t="shared" si="3"/>
        <v>74.75</v>
      </c>
      <c r="H14" s="14">
        <f t="shared" si="3"/>
        <v>718</v>
      </c>
      <c r="I14" s="14">
        <f t="shared" si="3"/>
        <v>580</v>
      </c>
      <c r="J14" s="14">
        <f t="shared" si="3"/>
        <v>806</v>
      </c>
      <c r="K14" s="14">
        <f t="shared" si="3"/>
        <v>105.2</v>
      </c>
      <c r="L14" s="36">
        <f>C14+D14+E14+F14+H14+I14+J14</f>
        <v>4103</v>
      </c>
    </row>
    <row r="15" spans="1:13" x14ac:dyDescent="0.35">
      <c r="A15" s="13"/>
      <c r="B15" s="10" t="s">
        <v>40</v>
      </c>
      <c r="C15" s="13"/>
      <c r="D15" s="13">
        <f>D14/20</f>
        <v>24.05</v>
      </c>
      <c r="E15" s="13">
        <f t="shared" ref="E15:J15" si="4">E14/20</f>
        <v>25.9</v>
      </c>
      <c r="F15" s="13">
        <f t="shared" si="4"/>
        <v>24.8</v>
      </c>
      <c r="G15" s="13"/>
      <c r="H15" s="13">
        <f t="shared" si="4"/>
        <v>35.9</v>
      </c>
      <c r="I15" s="13">
        <f t="shared" si="4"/>
        <v>29</v>
      </c>
      <c r="J15" s="13">
        <f t="shared" si="4"/>
        <v>40.299999999999997</v>
      </c>
      <c r="K15" s="13"/>
    </row>
    <row r="16" spans="1:13" x14ac:dyDescent="0.35">
      <c r="A16" s="13"/>
      <c r="B16" s="10" t="s">
        <v>39</v>
      </c>
      <c r="C16" s="37">
        <f>C15+C14</f>
        <v>504</v>
      </c>
      <c r="D16" s="37">
        <f t="shared" ref="D16:J16" si="5">D15+D14</f>
        <v>505.05</v>
      </c>
      <c r="E16" s="37">
        <f t="shared" si="5"/>
        <v>543.9</v>
      </c>
      <c r="F16" s="37">
        <f t="shared" si="5"/>
        <v>520.79999999999995</v>
      </c>
      <c r="G16" s="37"/>
      <c r="H16" s="37">
        <f t="shared" si="5"/>
        <v>753.9</v>
      </c>
      <c r="I16" s="37">
        <f t="shared" si="5"/>
        <v>609</v>
      </c>
      <c r="J16" s="37">
        <f t="shared" si="5"/>
        <v>846.3</v>
      </c>
      <c r="K16" s="37"/>
    </row>
    <row r="17" spans="1:12" x14ac:dyDescent="0.35">
      <c r="A17" s="13"/>
      <c r="B17" s="40" t="s">
        <v>41</v>
      </c>
      <c r="C17" s="37">
        <f>C14/40</f>
        <v>12.6</v>
      </c>
      <c r="D17" s="37">
        <f t="shared" ref="D17:J17" si="6">D14/40</f>
        <v>12.025</v>
      </c>
      <c r="E17" s="37">
        <f t="shared" si="6"/>
        <v>12.95</v>
      </c>
      <c r="F17" s="37">
        <f t="shared" si="6"/>
        <v>12.4</v>
      </c>
      <c r="G17" s="37"/>
      <c r="H17" s="37">
        <f t="shared" si="6"/>
        <v>17.95</v>
      </c>
      <c r="I17" s="37">
        <f t="shared" si="6"/>
        <v>14.5</v>
      </c>
      <c r="J17" s="37">
        <f t="shared" si="6"/>
        <v>20.149999999999999</v>
      </c>
      <c r="K17" s="37"/>
      <c r="L17" s="36">
        <f>SUM(C17:J17)</f>
        <v>102.57499999999999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M19"/>
  <sheetViews>
    <sheetView workbookViewId="0">
      <selection activeCell="L10" sqref="L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2" t="s">
        <v>59</v>
      </c>
      <c r="M7" s="52" t="s">
        <v>58</v>
      </c>
    </row>
    <row r="8" spans="1:13" x14ac:dyDescent="0.35">
      <c r="A8" s="27"/>
      <c r="B8" s="10" t="s">
        <v>71</v>
      </c>
      <c r="C8" s="12"/>
      <c r="D8" s="12">
        <v>118</v>
      </c>
      <c r="E8" s="12">
        <v>124</v>
      </c>
      <c r="F8" s="12">
        <v>104</v>
      </c>
      <c r="G8" s="28">
        <f>SUM(D8:F8)/20</f>
        <v>17.3</v>
      </c>
      <c r="H8" s="12">
        <v>115</v>
      </c>
      <c r="I8" s="12">
        <v>120</v>
      </c>
      <c r="J8" s="12">
        <v>110</v>
      </c>
      <c r="K8" s="28">
        <f>SUM(H8:J8)/20</f>
        <v>17.25</v>
      </c>
      <c r="L8">
        <f>SUM(C8:F8,H8,I8,J8)/40</f>
        <v>17.274999999999999</v>
      </c>
      <c r="M8" s="52">
        <v>6</v>
      </c>
    </row>
    <row r="9" spans="1:13" x14ac:dyDescent="0.35">
      <c r="A9" s="27"/>
      <c r="B9" s="10" t="s">
        <v>34</v>
      </c>
      <c r="C9" s="12">
        <v>40</v>
      </c>
      <c r="D9" s="12">
        <v>50</v>
      </c>
      <c r="E9" s="12">
        <v>40</v>
      </c>
      <c r="F9" s="12">
        <v>50</v>
      </c>
      <c r="G9" s="28">
        <f t="shared" ref="G9:G12" si="0">SUM(D9:F9)/20</f>
        <v>7</v>
      </c>
      <c r="H9" s="12">
        <v>110</v>
      </c>
      <c r="I9" s="12">
        <v>100</v>
      </c>
      <c r="J9" s="12">
        <v>90</v>
      </c>
      <c r="K9" s="28">
        <f t="shared" ref="K9:K12" si="1">SUM(H9:J9)/20</f>
        <v>15</v>
      </c>
      <c r="L9">
        <f t="shared" ref="L9:L12" si="2">SUM(C9:F9,H9,I9,J9)/40</f>
        <v>12</v>
      </c>
      <c r="M9" s="52">
        <v>8</v>
      </c>
    </row>
    <row r="10" spans="1:13" x14ac:dyDescent="0.35">
      <c r="A10" s="27"/>
      <c r="B10" s="10" t="s">
        <v>32</v>
      </c>
      <c r="C10" s="12"/>
      <c r="D10" s="12">
        <v>135</v>
      </c>
      <c r="E10" s="12">
        <v>130</v>
      </c>
      <c r="F10" s="12">
        <v>147</v>
      </c>
      <c r="G10" s="28">
        <f t="shared" si="0"/>
        <v>20.6</v>
      </c>
      <c r="H10" s="12">
        <v>126</v>
      </c>
      <c r="I10" s="12">
        <v>80</v>
      </c>
      <c r="J10" s="12">
        <v>86</v>
      </c>
      <c r="K10" s="28">
        <f t="shared" si="1"/>
        <v>14.6</v>
      </c>
      <c r="L10">
        <f t="shared" si="2"/>
        <v>17.600000000000001</v>
      </c>
      <c r="M10" s="52">
        <v>3</v>
      </c>
    </row>
    <row r="11" spans="1:13" x14ac:dyDescent="0.35">
      <c r="A11" s="11"/>
      <c r="B11" s="10" t="s">
        <v>70</v>
      </c>
      <c r="C11" s="12">
        <v>130</v>
      </c>
      <c r="D11" s="12">
        <v>40</v>
      </c>
      <c r="E11" s="12">
        <v>46</v>
      </c>
      <c r="F11" s="12">
        <v>80</v>
      </c>
      <c r="G11" s="28">
        <f t="shared" si="0"/>
        <v>8.3000000000000007</v>
      </c>
      <c r="H11" s="12">
        <v>55</v>
      </c>
      <c r="I11" s="12">
        <v>50</v>
      </c>
      <c r="J11" s="12">
        <v>55</v>
      </c>
      <c r="K11" s="28">
        <f t="shared" si="1"/>
        <v>8</v>
      </c>
      <c r="L11">
        <f t="shared" si="2"/>
        <v>11.4</v>
      </c>
      <c r="M11" s="52">
        <v>8</v>
      </c>
    </row>
    <row r="12" spans="1:13" x14ac:dyDescent="0.35">
      <c r="A12" s="11"/>
      <c r="B12" s="10" t="s">
        <v>15</v>
      </c>
      <c r="C12" s="12">
        <v>60</v>
      </c>
      <c r="D12" s="12">
        <v>20</v>
      </c>
      <c r="E12" s="12">
        <v>20</v>
      </c>
      <c r="F12" s="12">
        <v>20</v>
      </c>
      <c r="G12" s="28">
        <f t="shared" si="0"/>
        <v>3</v>
      </c>
      <c r="H12" s="12">
        <v>13</v>
      </c>
      <c r="I12" s="12">
        <v>13</v>
      </c>
      <c r="J12" s="12">
        <v>14</v>
      </c>
      <c r="K12" s="28">
        <f t="shared" si="1"/>
        <v>2</v>
      </c>
      <c r="L12">
        <f t="shared" si="2"/>
        <v>4</v>
      </c>
      <c r="M12" s="52">
        <v>4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230</v>
      </c>
      <c r="D14" s="14">
        <f t="shared" si="3"/>
        <v>363</v>
      </c>
      <c r="E14" s="14">
        <f t="shared" si="3"/>
        <v>360</v>
      </c>
      <c r="F14" s="14">
        <f t="shared" si="3"/>
        <v>401</v>
      </c>
      <c r="G14" s="14">
        <f t="shared" si="3"/>
        <v>56.2</v>
      </c>
      <c r="H14" s="14">
        <f t="shared" si="3"/>
        <v>419</v>
      </c>
      <c r="I14" s="14">
        <f t="shared" si="3"/>
        <v>363</v>
      </c>
      <c r="J14" s="14">
        <f t="shared" si="3"/>
        <v>355</v>
      </c>
      <c r="K14" s="14">
        <f t="shared" si="3"/>
        <v>56.85</v>
      </c>
      <c r="L14" s="36">
        <f>C14+D14+E14+F14+H14+I14+J14</f>
        <v>2491</v>
      </c>
    </row>
    <row r="15" spans="1:13" x14ac:dyDescent="0.35">
      <c r="A15" s="13"/>
      <c r="B15" s="10" t="s">
        <v>40</v>
      </c>
      <c r="C15" s="13"/>
      <c r="D15" s="13">
        <f>D14/20</f>
        <v>18.149999999999999</v>
      </c>
      <c r="E15" s="13">
        <f t="shared" ref="E15:J15" si="4">E14/20</f>
        <v>18</v>
      </c>
      <c r="F15" s="13">
        <f t="shared" si="4"/>
        <v>20.05</v>
      </c>
      <c r="G15" s="13"/>
      <c r="H15" s="13">
        <f t="shared" si="4"/>
        <v>20.95</v>
      </c>
      <c r="I15" s="13">
        <f t="shared" si="4"/>
        <v>18.149999999999999</v>
      </c>
      <c r="J15" s="13">
        <f t="shared" si="4"/>
        <v>17.75</v>
      </c>
      <c r="K15" s="13"/>
    </row>
    <row r="16" spans="1:13" x14ac:dyDescent="0.35">
      <c r="A16" s="13"/>
      <c r="B16" s="10" t="s">
        <v>39</v>
      </c>
      <c r="C16" s="37">
        <f>C15+C14</f>
        <v>230</v>
      </c>
      <c r="D16" s="37">
        <f t="shared" ref="D16:J16" si="5">D15+D14</f>
        <v>381.15</v>
      </c>
      <c r="E16" s="37">
        <f t="shared" si="5"/>
        <v>378</v>
      </c>
      <c r="F16" s="37">
        <f t="shared" si="5"/>
        <v>421.05</v>
      </c>
      <c r="G16" s="37"/>
      <c r="H16" s="37">
        <f t="shared" si="5"/>
        <v>439.95</v>
      </c>
      <c r="I16" s="37">
        <f t="shared" si="5"/>
        <v>381.15</v>
      </c>
      <c r="J16" s="37">
        <f t="shared" si="5"/>
        <v>372.75</v>
      </c>
      <c r="K16" s="37"/>
    </row>
    <row r="17" spans="1:12" x14ac:dyDescent="0.35">
      <c r="A17" s="13"/>
      <c r="B17" s="40" t="s">
        <v>41</v>
      </c>
      <c r="C17" s="37">
        <f>C14/40</f>
        <v>5.75</v>
      </c>
      <c r="D17" s="37">
        <f t="shared" ref="D17:J17" si="6">D14/40</f>
        <v>9.0749999999999993</v>
      </c>
      <c r="E17" s="37">
        <f t="shared" si="6"/>
        <v>9</v>
      </c>
      <c r="F17" s="37">
        <f t="shared" si="6"/>
        <v>10.025</v>
      </c>
      <c r="G17" s="37"/>
      <c r="H17" s="37">
        <f t="shared" si="6"/>
        <v>10.475</v>
      </c>
      <c r="I17" s="37">
        <f t="shared" si="6"/>
        <v>9.0749999999999993</v>
      </c>
      <c r="J17" s="37">
        <f t="shared" si="6"/>
        <v>8.875</v>
      </c>
      <c r="K17" s="37"/>
      <c r="L17" s="36">
        <f>SUM(C17:J17)</f>
        <v>62.275000000000006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4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4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4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  <c r="S4" t="s">
        <v>75</v>
      </c>
    </row>
    <row r="5" spans="1:24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4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P6" s="45">
        <v>60</v>
      </c>
      <c r="Q6" s="45">
        <v>70</v>
      </c>
      <c r="R6" s="45">
        <v>70</v>
      </c>
      <c r="S6" s="45">
        <v>70</v>
      </c>
      <c r="T6" s="45">
        <v>120</v>
      </c>
      <c r="U6" s="45">
        <v>120</v>
      </c>
      <c r="V6" s="45">
        <v>120</v>
      </c>
      <c r="W6" t="s">
        <v>77</v>
      </c>
      <c r="X6" t="s">
        <v>59</v>
      </c>
    </row>
    <row r="7" spans="1:24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3" t="s">
        <v>59</v>
      </c>
      <c r="M7" s="49" t="s">
        <v>58</v>
      </c>
      <c r="P7" s="41" t="s">
        <v>6</v>
      </c>
      <c r="Q7" s="41" t="s">
        <v>14</v>
      </c>
      <c r="R7" s="41" t="s">
        <v>12</v>
      </c>
      <c r="S7" s="41" t="s">
        <v>13</v>
      </c>
      <c r="T7" s="41" t="s">
        <v>14</v>
      </c>
      <c r="U7" s="41" t="s">
        <v>7</v>
      </c>
      <c r="V7" s="41" t="s">
        <v>13</v>
      </c>
    </row>
    <row r="8" spans="1:24" x14ac:dyDescent="0.35">
      <c r="A8" s="27"/>
      <c r="B8" s="10" t="s">
        <v>71</v>
      </c>
      <c r="C8" s="12">
        <v>40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82</v>
      </c>
      <c r="I8" s="12">
        <v>82</v>
      </c>
      <c r="J8" s="12">
        <v>76</v>
      </c>
      <c r="K8" s="28">
        <f>SUM(H8:J8)/20</f>
        <v>12</v>
      </c>
      <c r="L8" s="53">
        <f>SUM(C8:F8,H8,I8,J8)/40</f>
        <v>7</v>
      </c>
      <c r="M8" s="49">
        <v>4</v>
      </c>
      <c r="O8" t="s">
        <v>71</v>
      </c>
      <c r="P8" s="41">
        <v>60</v>
      </c>
      <c r="Q8" s="41">
        <v>21</v>
      </c>
      <c r="R8" s="41">
        <v>21</v>
      </c>
      <c r="S8" s="41">
        <v>19</v>
      </c>
      <c r="T8" s="41">
        <v>82</v>
      </c>
      <c r="U8" s="41">
        <v>82</v>
      </c>
      <c r="V8" s="41">
        <v>76</v>
      </c>
      <c r="W8">
        <f>SUM(P8:V8)</f>
        <v>361</v>
      </c>
      <c r="X8">
        <f>W8/40</f>
        <v>9.0250000000000004</v>
      </c>
    </row>
    <row r="9" spans="1:24" x14ac:dyDescent="0.35">
      <c r="A9" s="27"/>
      <c r="B9" s="10" t="s">
        <v>32</v>
      </c>
      <c r="C9" s="12">
        <v>20</v>
      </c>
      <c r="D9" s="12">
        <v>100</v>
      </c>
      <c r="E9" s="12">
        <v>60</v>
      </c>
      <c r="F9" s="12">
        <v>100</v>
      </c>
      <c r="G9" s="28">
        <f t="shared" ref="G9:G12" si="0">SUM(D9:F9)/20</f>
        <v>13</v>
      </c>
      <c r="H9" s="12">
        <v>40</v>
      </c>
      <c r="I9" s="12">
        <v>40</v>
      </c>
      <c r="J9" s="12">
        <v>80</v>
      </c>
      <c r="K9" s="28">
        <f t="shared" ref="K9:K12" si="1">SUM(H9:J9)/20</f>
        <v>8</v>
      </c>
      <c r="L9" s="53">
        <f t="shared" ref="L9:L12" si="2">SUM(C9:F9,H9,I9,J9)/40</f>
        <v>11</v>
      </c>
      <c r="M9" s="49">
        <v>3</v>
      </c>
      <c r="O9" t="s">
        <v>32</v>
      </c>
      <c r="P9" s="41">
        <v>60</v>
      </c>
      <c r="Q9" s="41">
        <v>100</v>
      </c>
      <c r="R9" s="41">
        <v>60</v>
      </c>
      <c r="S9" s="41">
        <v>100</v>
      </c>
      <c r="T9" s="41">
        <v>40</v>
      </c>
      <c r="U9" s="41">
        <v>40</v>
      </c>
      <c r="V9" s="41">
        <v>80</v>
      </c>
      <c r="W9">
        <f t="shared" ref="W9:W12" si="3">SUM(P9:V9)</f>
        <v>480</v>
      </c>
      <c r="X9">
        <f t="shared" ref="X9:X12" si="4">W9/40</f>
        <v>12</v>
      </c>
    </row>
    <row r="10" spans="1:24" x14ac:dyDescent="0.35">
      <c r="A10" s="27"/>
      <c r="B10" s="10" t="s">
        <v>16</v>
      </c>
      <c r="C10" s="12">
        <v>120</v>
      </c>
      <c r="D10" s="12">
        <v>105</v>
      </c>
      <c r="E10" s="12">
        <v>65</v>
      </c>
      <c r="F10" s="12">
        <v>10</v>
      </c>
      <c r="G10" s="28">
        <f t="shared" si="0"/>
        <v>9</v>
      </c>
      <c r="H10" s="12">
        <v>70</v>
      </c>
      <c r="I10" s="12">
        <v>50</v>
      </c>
      <c r="J10" s="12">
        <v>80</v>
      </c>
      <c r="K10" s="28">
        <f t="shared" si="1"/>
        <v>10</v>
      </c>
      <c r="L10" s="53">
        <f t="shared" si="2"/>
        <v>12.5</v>
      </c>
      <c r="M10" s="49">
        <v>8</v>
      </c>
      <c r="O10" t="s">
        <v>16</v>
      </c>
      <c r="P10" s="41">
        <v>120</v>
      </c>
      <c r="Q10" s="41">
        <v>105</v>
      </c>
      <c r="R10" s="41">
        <v>65</v>
      </c>
      <c r="S10" s="41">
        <v>10</v>
      </c>
      <c r="T10" s="41">
        <v>70</v>
      </c>
      <c r="U10" s="41">
        <v>50</v>
      </c>
      <c r="V10" s="41">
        <v>80</v>
      </c>
      <c r="W10">
        <f t="shared" si="3"/>
        <v>500</v>
      </c>
      <c r="X10">
        <f t="shared" si="4"/>
        <v>12.5</v>
      </c>
    </row>
    <row r="11" spans="1:24" x14ac:dyDescent="0.35">
      <c r="A11" s="11"/>
      <c r="B11" s="11" t="s">
        <v>9</v>
      </c>
      <c r="C11" s="12"/>
      <c r="D11" s="12">
        <v>120</v>
      </c>
      <c r="E11" s="12">
        <v>120</v>
      </c>
      <c r="F11" s="12">
        <v>80</v>
      </c>
      <c r="G11" s="28">
        <f t="shared" si="0"/>
        <v>16</v>
      </c>
      <c r="H11" s="12">
        <v>133</v>
      </c>
      <c r="I11" s="12">
        <v>133</v>
      </c>
      <c r="J11" s="12">
        <v>94</v>
      </c>
      <c r="K11" s="28">
        <f t="shared" si="1"/>
        <v>18</v>
      </c>
      <c r="L11" s="53">
        <f t="shared" si="2"/>
        <v>17</v>
      </c>
      <c r="M11" s="42">
        <v>2</v>
      </c>
      <c r="O11" t="s">
        <v>9</v>
      </c>
      <c r="P11" s="41"/>
      <c r="Q11" s="41">
        <v>120</v>
      </c>
      <c r="R11" s="41">
        <v>120</v>
      </c>
      <c r="S11" s="41">
        <v>80</v>
      </c>
      <c r="T11" s="41">
        <v>133</v>
      </c>
      <c r="U11" s="41">
        <v>143</v>
      </c>
      <c r="V11" s="41">
        <v>124</v>
      </c>
      <c r="W11">
        <f t="shared" si="3"/>
        <v>720</v>
      </c>
      <c r="X11">
        <f t="shared" si="4"/>
        <v>18</v>
      </c>
    </row>
    <row r="12" spans="1:24" x14ac:dyDescent="0.35">
      <c r="A12" s="11"/>
      <c r="B12" s="11" t="s">
        <v>34</v>
      </c>
      <c r="C12" s="12"/>
      <c r="D12" s="12">
        <v>0</v>
      </c>
      <c r="E12" s="12">
        <v>0</v>
      </c>
      <c r="F12" s="12">
        <v>0</v>
      </c>
      <c r="G12" s="28">
        <f t="shared" si="0"/>
        <v>0</v>
      </c>
      <c r="H12" s="12">
        <v>0</v>
      </c>
      <c r="I12" s="12">
        <v>24</v>
      </c>
      <c r="J12" s="12">
        <v>40</v>
      </c>
      <c r="K12" s="28">
        <f t="shared" si="1"/>
        <v>3.2</v>
      </c>
      <c r="L12" s="53">
        <f t="shared" si="2"/>
        <v>1.6</v>
      </c>
      <c r="M12" s="42">
        <v>2</v>
      </c>
      <c r="O12" t="s">
        <v>34</v>
      </c>
      <c r="P12" s="41">
        <v>0</v>
      </c>
      <c r="Q12" s="41">
        <v>0</v>
      </c>
      <c r="R12" s="41">
        <v>10</v>
      </c>
      <c r="S12" s="41">
        <v>10</v>
      </c>
      <c r="T12" s="41">
        <v>0</v>
      </c>
      <c r="U12" s="41">
        <v>34</v>
      </c>
      <c r="V12" s="41">
        <v>74</v>
      </c>
      <c r="W12">
        <f t="shared" si="3"/>
        <v>128</v>
      </c>
      <c r="X12">
        <f t="shared" si="4"/>
        <v>3.2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24" x14ac:dyDescent="0.35">
      <c r="A14" s="13"/>
      <c r="B14" s="10"/>
      <c r="C14" s="14">
        <f t="shared" ref="C14:K14" si="5">SUM(C8:C13)</f>
        <v>180</v>
      </c>
      <c r="D14" s="14">
        <f t="shared" si="5"/>
        <v>325</v>
      </c>
      <c r="E14" s="14">
        <f t="shared" si="5"/>
        <v>245</v>
      </c>
      <c r="F14" s="14">
        <f t="shared" si="5"/>
        <v>190</v>
      </c>
      <c r="G14" s="14">
        <f t="shared" si="5"/>
        <v>38</v>
      </c>
      <c r="H14" s="14">
        <f t="shared" si="5"/>
        <v>325</v>
      </c>
      <c r="I14" s="14">
        <f t="shared" si="5"/>
        <v>329</v>
      </c>
      <c r="J14" s="14">
        <f t="shared" si="5"/>
        <v>370</v>
      </c>
      <c r="K14" s="14">
        <f t="shared" si="5"/>
        <v>51.2</v>
      </c>
      <c r="L14" s="36">
        <f>C14+D14+E14+F14+H14+I14+J14</f>
        <v>1964</v>
      </c>
    </row>
    <row r="15" spans="1:24" x14ac:dyDescent="0.35">
      <c r="A15" s="13"/>
      <c r="B15" s="10" t="s">
        <v>40</v>
      </c>
      <c r="C15" s="13"/>
      <c r="D15" s="13">
        <f>D14/20</f>
        <v>16.25</v>
      </c>
      <c r="E15" s="13">
        <f t="shared" ref="E15:J15" si="6">E14/20</f>
        <v>12.25</v>
      </c>
      <c r="F15" s="13">
        <f t="shared" si="6"/>
        <v>9.5</v>
      </c>
      <c r="G15" s="13"/>
      <c r="H15" s="13">
        <f t="shared" si="6"/>
        <v>16.25</v>
      </c>
      <c r="I15" s="13">
        <f t="shared" si="6"/>
        <v>16.45</v>
      </c>
      <c r="J15" s="13">
        <f t="shared" si="6"/>
        <v>18.5</v>
      </c>
      <c r="K15" s="13"/>
    </row>
    <row r="16" spans="1:24" x14ac:dyDescent="0.35">
      <c r="A16" s="13"/>
      <c r="B16" s="10" t="s">
        <v>39</v>
      </c>
      <c r="C16" s="37">
        <f>C15+C14</f>
        <v>180</v>
      </c>
      <c r="D16" s="37">
        <f t="shared" ref="D16:J16" si="7">D15+D14</f>
        <v>341.25</v>
      </c>
      <c r="E16" s="37">
        <f t="shared" si="7"/>
        <v>257.25</v>
      </c>
      <c r="F16" s="37">
        <f t="shared" si="7"/>
        <v>199.5</v>
      </c>
      <c r="G16" s="37"/>
      <c r="H16" s="37">
        <f t="shared" si="7"/>
        <v>341.25</v>
      </c>
      <c r="I16" s="37">
        <f t="shared" si="7"/>
        <v>345.45</v>
      </c>
      <c r="J16" s="37">
        <f t="shared" si="7"/>
        <v>388.5</v>
      </c>
      <c r="K16" s="37"/>
    </row>
    <row r="17" spans="1:12" x14ac:dyDescent="0.35">
      <c r="A17" s="13"/>
      <c r="B17" s="40" t="s">
        <v>41</v>
      </c>
      <c r="C17" s="37">
        <f>C14/40</f>
        <v>4.5</v>
      </c>
      <c r="D17" s="37">
        <f t="shared" ref="D17:J17" si="8">D14/40</f>
        <v>8.125</v>
      </c>
      <c r="E17" s="37">
        <f t="shared" si="8"/>
        <v>6.125</v>
      </c>
      <c r="F17" s="37">
        <f t="shared" si="8"/>
        <v>4.75</v>
      </c>
      <c r="G17" s="37"/>
      <c r="H17" s="37">
        <f t="shared" si="8"/>
        <v>8.125</v>
      </c>
      <c r="I17" s="37">
        <f t="shared" si="8"/>
        <v>8.2249999999999996</v>
      </c>
      <c r="J17" s="37">
        <f t="shared" si="8"/>
        <v>9.25</v>
      </c>
      <c r="K17" s="37"/>
      <c r="L17" s="36">
        <f>SUM(C17:J17)</f>
        <v>49.1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workbookViewId="0">
      <selection activeCell="T17" sqref="T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5" max="15" width="3.54296875" bestFit="1" customWidth="1"/>
    <col min="16" max="16" width="5.81640625" bestFit="1" customWidth="1"/>
    <col min="17" max="17" width="4" bestFit="1" customWidth="1"/>
    <col min="18" max="18" width="3.906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75</v>
      </c>
      <c r="F1" s="1"/>
      <c r="G1" s="1"/>
      <c r="H1" s="1"/>
      <c r="I1" s="1"/>
      <c r="J1" s="1"/>
      <c r="K1" s="1"/>
      <c r="U1" t="s">
        <v>78</v>
      </c>
    </row>
    <row r="2" spans="1:27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7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7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27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7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O6" s="1"/>
      <c r="P6" s="2"/>
      <c r="Q6" s="3" t="s">
        <v>1</v>
      </c>
      <c r="R6" s="64" t="s">
        <v>2</v>
      </c>
      <c r="S6" s="65"/>
      <c r="T6" s="65"/>
      <c r="U6" s="66"/>
      <c r="V6" s="65" t="s">
        <v>3</v>
      </c>
      <c r="W6" s="65"/>
      <c r="X6" s="65"/>
      <c r="Y6" s="66"/>
    </row>
    <row r="7" spans="1:27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1" t="s">
        <v>59</v>
      </c>
      <c r="M7" s="12" t="s">
        <v>58</v>
      </c>
      <c r="O7" s="10" t="s">
        <v>4</v>
      </c>
      <c r="P7" s="10" t="s">
        <v>5</v>
      </c>
      <c r="Q7" s="38" t="s">
        <v>6</v>
      </c>
      <c r="R7" s="12" t="s">
        <v>14</v>
      </c>
      <c r="S7" s="12" t="s">
        <v>12</v>
      </c>
      <c r="T7" s="12" t="s">
        <v>13</v>
      </c>
      <c r="U7" s="12" t="s">
        <v>8</v>
      </c>
      <c r="V7" s="12" t="s">
        <v>14</v>
      </c>
      <c r="W7" s="12" t="s">
        <v>7</v>
      </c>
      <c r="X7" s="12" t="s">
        <v>13</v>
      </c>
      <c r="Y7" s="12" t="s">
        <v>8</v>
      </c>
      <c r="Z7" t="s">
        <v>59</v>
      </c>
      <c r="AA7" s="49" t="s">
        <v>58</v>
      </c>
    </row>
    <row r="8" spans="1:27" x14ac:dyDescent="0.35">
      <c r="A8" s="27"/>
      <c r="B8" s="10" t="s">
        <v>76</v>
      </c>
      <c r="C8" s="12">
        <v>118</v>
      </c>
      <c r="D8" s="12"/>
      <c r="E8" s="12"/>
      <c r="F8" s="12"/>
      <c r="G8" s="28">
        <f>SUM(D8:F8)/20</f>
        <v>0</v>
      </c>
      <c r="H8" s="12">
        <v>30</v>
      </c>
      <c r="I8" s="12">
        <v>10</v>
      </c>
      <c r="J8" s="12">
        <v>44</v>
      </c>
      <c r="K8" s="28">
        <f>SUM(H8:J8)/20</f>
        <v>4.2</v>
      </c>
      <c r="L8" s="54">
        <f>SUM(C8:F8,H8,I8,J8)/40</f>
        <v>5.05</v>
      </c>
      <c r="M8" s="51">
        <v>6</v>
      </c>
      <c r="O8" s="27"/>
      <c r="P8" s="10" t="s">
        <v>76</v>
      </c>
      <c r="Q8" s="12">
        <v>72</v>
      </c>
      <c r="R8" s="12"/>
      <c r="S8" s="12"/>
      <c r="T8" s="12"/>
      <c r="U8" s="28">
        <f>SUM(R8:T8)/20</f>
        <v>0</v>
      </c>
      <c r="V8" s="12">
        <v>30</v>
      </c>
      <c r="W8" s="12">
        <v>10</v>
      </c>
      <c r="X8" s="12">
        <v>26</v>
      </c>
      <c r="Y8" s="28">
        <f>SUM(V8:X8)/20</f>
        <v>3.3</v>
      </c>
      <c r="Z8">
        <f>SUM(Q8:T8,V8,W8,X8)/40</f>
        <v>3.45</v>
      </c>
      <c r="AA8" s="49">
        <v>3</v>
      </c>
    </row>
    <row r="9" spans="1:27" x14ac:dyDescent="0.35">
      <c r="A9" s="27"/>
      <c r="B9" s="10" t="s">
        <v>34</v>
      </c>
      <c r="C9" s="12"/>
      <c r="D9" s="12">
        <v>30</v>
      </c>
      <c r="E9" s="12">
        <v>20</v>
      </c>
      <c r="F9" s="12">
        <v>0</v>
      </c>
      <c r="G9" s="28">
        <f t="shared" ref="G9:G12" si="0">SUM(D9:F9)/20</f>
        <v>2.5</v>
      </c>
      <c r="H9" s="12">
        <v>83</v>
      </c>
      <c r="I9" s="12">
        <v>66</v>
      </c>
      <c r="J9" s="12">
        <v>95</v>
      </c>
      <c r="K9" s="28">
        <f t="shared" ref="K9:K12" si="1">SUM(H9:J9)/20</f>
        <v>12.2</v>
      </c>
      <c r="L9" s="54">
        <f t="shared" ref="L9:L12" si="2">SUM(C9:F9,H9,I9,J9)/40</f>
        <v>7.35</v>
      </c>
      <c r="M9" s="51">
        <v>6</v>
      </c>
      <c r="O9" s="27"/>
      <c r="P9" s="10" t="s">
        <v>34</v>
      </c>
      <c r="Q9" s="12">
        <v>0</v>
      </c>
      <c r="R9" s="12">
        <v>0</v>
      </c>
      <c r="S9" s="12">
        <v>0</v>
      </c>
      <c r="T9" s="12">
        <v>0</v>
      </c>
      <c r="U9" s="28">
        <f t="shared" ref="U9:U12" si="3">SUM(R9:T9)/20</f>
        <v>0</v>
      </c>
      <c r="V9" s="12">
        <v>0</v>
      </c>
      <c r="W9" s="12">
        <v>0</v>
      </c>
      <c r="X9" s="12">
        <v>0</v>
      </c>
      <c r="Y9" s="28">
        <f t="shared" ref="Y9:Y12" si="4">SUM(V9:X9)/20</f>
        <v>0</v>
      </c>
      <c r="Z9">
        <f t="shared" ref="Z9:Z12" si="5">SUM(Q9:T9,V9,W9,X9)/40</f>
        <v>0</v>
      </c>
      <c r="AA9" s="49">
        <v>0</v>
      </c>
    </row>
    <row r="10" spans="1:27" x14ac:dyDescent="0.35">
      <c r="A10" s="27"/>
      <c r="B10" s="10" t="s">
        <v>9</v>
      </c>
      <c r="C10" s="12">
        <v>90</v>
      </c>
      <c r="D10" s="12">
        <v>55</v>
      </c>
      <c r="E10" s="12">
        <v>45</v>
      </c>
      <c r="F10" s="12">
        <v>0</v>
      </c>
      <c r="G10" s="28">
        <f t="shared" si="0"/>
        <v>5</v>
      </c>
      <c r="H10" s="12">
        <v>39</v>
      </c>
      <c r="I10" s="12">
        <v>18</v>
      </c>
      <c r="J10" s="12">
        <v>53</v>
      </c>
      <c r="K10" s="28">
        <f t="shared" si="1"/>
        <v>5.5</v>
      </c>
      <c r="L10" s="54">
        <f t="shared" si="2"/>
        <v>7.5</v>
      </c>
      <c r="M10" s="51">
        <v>7</v>
      </c>
      <c r="O10" s="27"/>
      <c r="P10" s="10" t="s">
        <v>9</v>
      </c>
      <c r="Q10" s="12">
        <v>90</v>
      </c>
      <c r="R10" s="12">
        <v>40</v>
      </c>
      <c r="S10" s="12">
        <v>40</v>
      </c>
      <c r="T10" s="12">
        <v>0</v>
      </c>
      <c r="U10" s="28">
        <f t="shared" si="3"/>
        <v>4</v>
      </c>
      <c r="V10" s="12">
        <v>34</v>
      </c>
      <c r="W10" s="12">
        <v>13</v>
      </c>
      <c r="X10" s="12">
        <v>43</v>
      </c>
      <c r="Y10" s="28">
        <f t="shared" si="4"/>
        <v>4.5</v>
      </c>
      <c r="Z10">
        <f t="shared" si="5"/>
        <v>6.5</v>
      </c>
      <c r="AA10" s="49">
        <v>5</v>
      </c>
    </row>
    <row r="11" spans="1:27" x14ac:dyDescent="0.35">
      <c r="A11" s="11"/>
      <c r="B11" s="11" t="s">
        <v>71</v>
      </c>
      <c r="C11" s="12">
        <v>120</v>
      </c>
      <c r="D11" s="12">
        <v>60</v>
      </c>
      <c r="E11" s="12">
        <v>120</v>
      </c>
      <c r="F11" s="12">
        <v>0</v>
      </c>
      <c r="G11" s="28">
        <f t="shared" si="0"/>
        <v>9</v>
      </c>
      <c r="H11" s="12">
        <v>122</v>
      </c>
      <c r="I11" s="12">
        <v>112</v>
      </c>
      <c r="J11" s="12">
        <v>112</v>
      </c>
      <c r="K11" s="28">
        <f t="shared" si="1"/>
        <v>17.3</v>
      </c>
      <c r="L11" s="54">
        <f t="shared" si="2"/>
        <v>16.149999999999999</v>
      </c>
      <c r="M11" s="51">
        <v>6</v>
      </c>
      <c r="O11" s="11"/>
      <c r="P11" s="11" t="s">
        <v>71</v>
      </c>
      <c r="Q11" s="12">
        <v>40</v>
      </c>
      <c r="R11" s="12">
        <v>20</v>
      </c>
      <c r="S11" s="12">
        <v>40</v>
      </c>
      <c r="T11" s="12">
        <v>0</v>
      </c>
      <c r="U11" s="28">
        <f t="shared" si="3"/>
        <v>3</v>
      </c>
      <c r="V11" s="12">
        <v>80</v>
      </c>
      <c r="W11" s="12">
        <v>70</v>
      </c>
      <c r="X11" s="12">
        <v>70</v>
      </c>
      <c r="Y11" s="28">
        <f t="shared" si="4"/>
        <v>11</v>
      </c>
      <c r="Z11">
        <f t="shared" si="5"/>
        <v>8</v>
      </c>
      <c r="AA11" s="42">
        <v>3</v>
      </c>
    </row>
    <row r="12" spans="1:27" x14ac:dyDescent="0.35">
      <c r="A12" s="11"/>
      <c r="B12" s="11" t="s">
        <v>70</v>
      </c>
      <c r="C12" s="12">
        <v>70</v>
      </c>
      <c r="D12" s="12">
        <v>10</v>
      </c>
      <c r="E12" s="12">
        <v>10</v>
      </c>
      <c r="F12" s="12">
        <v>0</v>
      </c>
      <c r="G12" s="28">
        <f t="shared" si="0"/>
        <v>1</v>
      </c>
      <c r="H12" s="12">
        <v>70</v>
      </c>
      <c r="I12" s="12">
        <v>80</v>
      </c>
      <c r="J12" s="12">
        <v>150</v>
      </c>
      <c r="K12" s="28">
        <f t="shared" si="1"/>
        <v>15</v>
      </c>
      <c r="L12" s="54">
        <f t="shared" si="2"/>
        <v>9.75</v>
      </c>
      <c r="M12" s="51">
        <v>11</v>
      </c>
      <c r="O12" s="11"/>
      <c r="P12" s="11" t="s">
        <v>70</v>
      </c>
      <c r="Q12" s="12">
        <v>60</v>
      </c>
      <c r="R12" s="12">
        <v>10</v>
      </c>
      <c r="S12" s="12">
        <v>10</v>
      </c>
      <c r="T12" s="12">
        <v>0</v>
      </c>
      <c r="U12" s="28">
        <f t="shared" si="3"/>
        <v>1</v>
      </c>
      <c r="V12" s="12">
        <v>70</v>
      </c>
      <c r="W12" s="12">
        <v>40</v>
      </c>
      <c r="X12" s="12">
        <v>110</v>
      </c>
      <c r="Y12" s="28">
        <f t="shared" si="4"/>
        <v>11</v>
      </c>
      <c r="Z12">
        <f t="shared" si="5"/>
        <v>7.5</v>
      </c>
      <c r="AA12" s="42">
        <v>9</v>
      </c>
    </row>
    <row r="13" spans="1:27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27" x14ac:dyDescent="0.35">
      <c r="A14" s="13"/>
      <c r="B14" s="10"/>
      <c r="C14" s="14">
        <f t="shared" ref="C14:K14" si="6">SUM(C8:C13)</f>
        <v>398</v>
      </c>
      <c r="D14" s="14">
        <f t="shared" si="6"/>
        <v>155</v>
      </c>
      <c r="E14" s="14">
        <f t="shared" si="6"/>
        <v>195</v>
      </c>
      <c r="F14" s="14">
        <f t="shared" si="6"/>
        <v>0</v>
      </c>
      <c r="G14" s="14">
        <f t="shared" si="6"/>
        <v>17.5</v>
      </c>
      <c r="H14" s="14">
        <f t="shared" si="6"/>
        <v>344</v>
      </c>
      <c r="I14" s="14">
        <f t="shared" si="6"/>
        <v>286</v>
      </c>
      <c r="J14" s="14">
        <f t="shared" si="6"/>
        <v>454</v>
      </c>
      <c r="K14" s="14">
        <f t="shared" si="6"/>
        <v>54.2</v>
      </c>
      <c r="L14" s="36">
        <f>C14+D14+E14+F14+H14+I14+J14</f>
        <v>1832</v>
      </c>
    </row>
    <row r="15" spans="1:27" x14ac:dyDescent="0.35">
      <c r="A15" s="13"/>
      <c r="B15" s="10" t="s">
        <v>40</v>
      </c>
      <c r="C15" s="13"/>
      <c r="D15" s="13">
        <f>D14/20</f>
        <v>7.75</v>
      </c>
      <c r="E15" s="13">
        <f t="shared" ref="E15:J15" si="7">E14/20</f>
        <v>9.75</v>
      </c>
      <c r="F15" s="13">
        <f t="shared" si="7"/>
        <v>0</v>
      </c>
      <c r="G15" s="13"/>
      <c r="H15" s="13">
        <f t="shared" si="7"/>
        <v>17.2</v>
      </c>
      <c r="I15" s="13">
        <f t="shared" si="7"/>
        <v>14.3</v>
      </c>
      <c r="J15" s="13">
        <f t="shared" si="7"/>
        <v>22.7</v>
      </c>
      <c r="K15" s="13"/>
    </row>
    <row r="16" spans="1:27" x14ac:dyDescent="0.35">
      <c r="A16" s="13"/>
      <c r="B16" s="10" t="s">
        <v>39</v>
      </c>
      <c r="C16" s="37">
        <f>C15+C14</f>
        <v>398</v>
      </c>
      <c r="D16" s="37">
        <f t="shared" ref="D16:J16" si="8">D15+D14</f>
        <v>162.75</v>
      </c>
      <c r="E16" s="37">
        <f t="shared" si="8"/>
        <v>204.75</v>
      </c>
      <c r="F16" s="37">
        <f t="shared" si="8"/>
        <v>0</v>
      </c>
      <c r="G16" s="37"/>
      <c r="H16" s="37">
        <f t="shared" si="8"/>
        <v>361.2</v>
      </c>
      <c r="I16" s="37">
        <f t="shared" si="8"/>
        <v>300.3</v>
      </c>
      <c r="J16" s="37">
        <f t="shared" si="8"/>
        <v>476.7</v>
      </c>
      <c r="K16" s="37"/>
    </row>
    <row r="17" spans="1:12" x14ac:dyDescent="0.35">
      <c r="A17" s="13"/>
      <c r="B17" s="40" t="s">
        <v>41</v>
      </c>
      <c r="C17" s="37">
        <f>C14/40</f>
        <v>9.9499999999999993</v>
      </c>
      <c r="D17" s="37">
        <f t="shared" ref="D17:J17" si="9">D14/40</f>
        <v>3.875</v>
      </c>
      <c r="E17" s="37">
        <f t="shared" si="9"/>
        <v>4.875</v>
      </c>
      <c r="F17" s="37">
        <f t="shared" si="9"/>
        <v>0</v>
      </c>
      <c r="G17" s="37"/>
      <c r="H17" s="37">
        <f t="shared" si="9"/>
        <v>8.6</v>
      </c>
      <c r="I17" s="37">
        <f t="shared" si="9"/>
        <v>7.15</v>
      </c>
      <c r="J17" s="37">
        <f t="shared" si="9"/>
        <v>11.35</v>
      </c>
      <c r="K17" s="37"/>
      <c r="L17" s="36">
        <f>SUM(C17:J17)</f>
        <v>45.8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5">
    <mergeCell ref="B2:K5"/>
    <mergeCell ref="D6:G6"/>
    <mergeCell ref="H6:K6"/>
    <mergeCell ref="R6:U6"/>
    <mergeCell ref="V6:Y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S17" sqref="S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AA19"/>
  <sheetViews>
    <sheetView tabSelected="1" workbookViewId="0">
      <selection activeCell="V8" sqref="V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5" max="15" width="4.26953125" bestFit="1" customWidth="1"/>
    <col min="16" max="16" width="6.453125" bestFit="1" customWidth="1"/>
    <col min="17" max="17" width="3.90625" bestFit="1" customWidth="1"/>
    <col min="18" max="18" width="4.6328125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7" ht="15" thickBot="1" x14ac:dyDescent="0.4">
      <c r="A1" s="1"/>
      <c r="B1" s="1"/>
      <c r="C1" s="1"/>
      <c r="D1" s="1"/>
      <c r="E1" s="1"/>
      <c r="F1" s="52"/>
      <c r="G1" s="1"/>
      <c r="H1" s="1"/>
      <c r="I1" s="1"/>
      <c r="J1" s="1"/>
      <c r="K1" s="1"/>
      <c r="Q1" s="67"/>
      <c r="R1" s="67"/>
    </row>
    <row r="2" spans="1:27" x14ac:dyDescent="0.35">
      <c r="A2" s="1"/>
      <c r="B2" s="55" t="s">
        <v>75</v>
      </c>
      <c r="C2" s="56"/>
      <c r="D2" s="56"/>
      <c r="E2" s="56"/>
      <c r="F2" s="56"/>
      <c r="G2" s="56"/>
      <c r="H2" s="56"/>
      <c r="I2" s="56"/>
      <c r="J2" s="56"/>
      <c r="K2" s="57"/>
      <c r="O2" s="1"/>
      <c r="P2" s="55" t="s">
        <v>79</v>
      </c>
      <c r="Q2" s="56"/>
      <c r="R2" s="56"/>
      <c r="S2" s="56"/>
      <c r="T2" s="56"/>
      <c r="U2" s="56"/>
      <c r="V2" s="56"/>
      <c r="W2" s="56"/>
      <c r="X2" s="56"/>
      <c r="Y2" s="57"/>
    </row>
    <row r="3" spans="1:27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  <c r="O3" s="1"/>
      <c r="P3" s="58"/>
      <c r="Q3" s="59"/>
      <c r="R3" s="59"/>
      <c r="S3" s="59"/>
      <c r="T3" s="59"/>
      <c r="U3" s="59"/>
      <c r="V3" s="59"/>
      <c r="W3" s="59"/>
      <c r="X3" s="59"/>
      <c r="Y3" s="60"/>
    </row>
    <row r="4" spans="1:27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  <c r="O4" s="1"/>
      <c r="P4" s="58"/>
      <c r="Q4" s="59"/>
      <c r="R4" s="59"/>
      <c r="S4" s="59"/>
      <c r="T4" s="59"/>
      <c r="U4" s="59"/>
      <c r="V4" s="59"/>
      <c r="W4" s="59"/>
      <c r="X4" s="59"/>
      <c r="Y4" s="60"/>
    </row>
    <row r="5" spans="1:27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  <c r="O5" s="1"/>
      <c r="P5" s="61"/>
      <c r="Q5" s="62"/>
      <c r="R5" s="62"/>
      <c r="S5" s="62"/>
      <c r="T5" s="62"/>
      <c r="U5" s="62"/>
      <c r="V5" s="62"/>
      <c r="W5" s="62"/>
      <c r="X5" s="62"/>
      <c r="Y5" s="63"/>
    </row>
    <row r="6" spans="1:27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O6" s="1"/>
      <c r="P6" s="2"/>
      <c r="Q6" s="3" t="s">
        <v>1</v>
      </c>
      <c r="R6" s="64" t="s">
        <v>2</v>
      </c>
      <c r="S6" s="65"/>
      <c r="T6" s="65"/>
      <c r="U6" s="66"/>
      <c r="V6" s="65" t="s">
        <v>3</v>
      </c>
      <c r="W6" s="65"/>
      <c r="X6" s="65"/>
      <c r="Y6" s="66"/>
    </row>
    <row r="7" spans="1:27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  <c r="O7" s="10" t="s">
        <v>4</v>
      </c>
      <c r="P7" s="10" t="s">
        <v>5</v>
      </c>
      <c r="Q7" s="38" t="s">
        <v>6</v>
      </c>
      <c r="R7" s="12" t="s">
        <v>14</v>
      </c>
      <c r="S7" s="12" t="s">
        <v>12</v>
      </c>
      <c r="T7" s="12" t="s">
        <v>13</v>
      </c>
      <c r="U7" s="12" t="s">
        <v>8</v>
      </c>
      <c r="V7" s="12" t="s">
        <v>14</v>
      </c>
      <c r="W7" s="12" t="s">
        <v>7</v>
      </c>
      <c r="X7" s="12" t="s">
        <v>13</v>
      </c>
      <c r="Y7" s="12" t="s">
        <v>8</v>
      </c>
      <c r="Z7" t="s">
        <v>59</v>
      </c>
      <c r="AA7" s="49" t="s">
        <v>58</v>
      </c>
    </row>
    <row r="8" spans="1:27" x14ac:dyDescent="0.35">
      <c r="A8" s="27"/>
      <c r="B8" s="10" t="s">
        <v>16</v>
      </c>
      <c r="C8" s="12">
        <v>190</v>
      </c>
      <c r="D8" s="12">
        <v>80</v>
      </c>
      <c r="E8" s="12">
        <v>40</v>
      </c>
      <c r="F8" s="12">
        <v>0</v>
      </c>
      <c r="G8" s="28">
        <f>SUM(D8:F8)/20</f>
        <v>6</v>
      </c>
      <c r="H8" s="12">
        <v>106</v>
      </c>
      <c r="I8" s="12">
        <v>16</v>
      </c>
      <c r="J8" s="12">
        <v>138</v>
      </c>
      <c r="K8" s="28">
        <f>SUM(H8:J8)/20</f>
        <v>13</v>
      </c>
      <c r="L8">
        <f>SUM(C8:F8,H8,I8,J8)/40</f>
        <v>14.25</v>
      </c>
      <c r="M8" s="49">
        <v>7</v>
      </c>
      <c r="O8" s="27"/>
      <c r="P8" s="10" t="s">
        <v>16</v>
      </c>
      <c r="Q8" s="12">
        <v>40</v>
      </c>
      <c r="R8" s="12">
        <v>0</v>
      </c>
      <c r="S8" s="12">
        <v>40</v>
      </c>
      <c r="T8" s="12">
        <v>0</v>
      </c>
      <c r="U8" s="28">
        <f>SUM(R8:T8)/20</f>
        <v>2</v>
      </c>
      <c r="V8" s="12">
        <v>60</v>
      </c>
      <c r="W8" s="12">
        <v>10</v>
      </c>
      <c r="X8" s="12">
        <v>10</v>
      </c>
      <c r="Y8" s="28">
        <f>SUM(V8:X8)/20</f>
        <v>4</v>
      </c>
      <c r="Z8">
        <f>SUM(Q8:T8,V8,W8,X8)/40</f>
        <v>4</v>
      </c>
      <c r="AA8" s="49">
        <v>2</v>
      </c>
    </row>
    <row r="9" spans="1:27" x14ac:dyDescent="0.35">
      <c r="A9" s="27"/>
      <c r="B9" s="10" t="s">
        <v>68</v>
      </c>
      <c r="C9" s="12"/>
      <c r="D9" s="12">
        <v>60</v>
      </c>
      <c r="E9" s="12">
        <v>100</v>
      </c>
      <c r="F9" s="12"/>
      <c r="G9" s="28">
        <f t="shared" ref="G9:G12" si="0">SUM(D9:F9)/20</f>
        <v>8</v>
      </c>
      <c r="H9" s="12">
        <v>247</v>
      </c>
      <c r="I9" s="12">
        <v>247</v>
      </c>
      <c r="J9" s="12">
        <v>258</v>
      </c>
      <c r="K9" s="28">
        <f t="shared" ref="K9:K12" si="1">SUM(H9:J9)/20</f>
        <v>37.6</v>
      </c>
      <c r="L9">
        <f t="shared" ref="L9:L12" si="2">SUM(C9:F9,H9,I9,J9)/40</f>
        <v>22.8</v>
      </c>
      <c r="M9" s="49">
        <v>8</v>
      </c>
      <c r="O9" s="27"/>
      <c r="P9" s="10" t="s">
        <v>68</v>
      </c>
      <c r="Q9" s="12"/>
      <c r="R9" s="12">
        <v>60</v>
      </c>
      <c r="S9" s="12">
        <v>60</v>
      </c>
      <c r="T9" s="12">
        <v>0</v>
      </c>
      <c r="U9" s="28">
        <f t="shared" ref="U9:U12" si="3">SUM(R9:T9)/20</f>
        <v>6</v>
      </c>
      <c r="V9" s="12">
        <v>247</v>
      </c>
      <c r="W9" s="12">
        <v>247</v>
      </c>
      <c r="X9" s="12">
        <v>258</v>
      </c>
      <c r="Y9" s="28">
        <f t="shared" ref="Y9:Y12" si="4">SUM(V9:X9)/20</f>
        <v>37.6</v>
      </c>
      <c r="Z9">
        <f t="shared" ref="Z9:Z12" si="5">SUM(Q9:T9,V9,W9,X9)/40</f>
        <v>21.8</v>
      </c>
      <c r="AA9" s="49">
        <v>8</v>
      </c>
    </row>
    <row r="10" spans="1:27" x14ac:dyDescent="0.35">
      <c r="A10" s="27"/>
      <c r="B10" s="10" t="s">
        <v>11</v>
      </c>
      <c r="C10" s="12"/>
      <c r="D10" s="12">
        <v>20</v>
      </c>
      <c r="E10" s="12">
        <v>40</v>
      </c>
      <c r="F10" s="12">
        <v>0</v>
      </c>
      <c r="G10" s="28">
        <f t="shared" si="0"/>
        <v>3</v>
      </c>
      <c r="H10" s="12">
        <v>70</v>
      </c>
      <c r="I10" s="12">
        <v>55</v>
      </c>
      <c r="J10" s="12">
        <v>75</v>
      </c>
      <c r="K10" s="28">
        <f t="shared" si="1"/>
        <v>10</v>
      </c>
      <c r="L10">
        <f t="shared" si="2"/>
        <v>6.5</v>
      </c>
      <c r="M10" s="49">
        <v>4</v>
      </c>
      <c r="O10" s="27"/>
      <c r="P10" s="10" t="s">
        <v>11</v>
      </c>
      <c r="Q10" s="12"/>
      <c r="R10" s="12"/>
      <c r="S10" s="12"/>
      <c r="T10" s="12"/>
      <c r="U10" s="28">
        <f t="shared" si="3"/>
        <v>0</v>
      </c>
      <c r="V10" s="12"/>
      <c r="W10" s="12"/>
      <c r="X10" s="12"/>
      <c r="Y10" s="28">
        <f t="shared" si="4"/>
        <v>0</v>
      </c>
      <c r="Z10">
        <f t="shared" si="5"/>
        <v>0</v>
      </c>
      <c r="AA10" s="49"/>
    </row>
    <row r="11" spans="1:27" x14ac:dyDescent="0.35">
      <c r="A11" s="11"/>
      <c r="B11" s="11" t="s">
        <v>15</v>
      </c>
      <c r="C11" s="12">
        <v>60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16</v>
      </c>
      <c r="I11" s="12">
        <v>40</v>
      </c>
      <c r="J11" s="12">
        <v>72</v>
      </c>
      <c r="K11" s="28">
        <f t="shared" si="1"/>
        <v>6.4</v>
      </c>
      <c r="L11">
        <f t="shared" si="2"/>
        <v>5.7</v>
      </c>
      <c r="M11" s="42">
        <v>5</v>
      </c>
      <c r="O11" s="11"/>
      <c r="P11" s="11" t="s">
        <v>15</v>
      </c>
      <c r="Q11" s="12">
        <v>60</v>
      </c>
      <c r="R11" s="12">
        <v>0</v>
      </c>
      <c r="S11" s="12">
        <v>0</v>
      </c>
      <c r="T11" s="12">
        <v>0</v>
      </c>
      <c r="U11" s="28">
        <f t="shared" si="3"/>
        <v>0</v>
      </c>
      <c r="V11" s="12">
        <v>16</v>
      </c>
      <c r="W11" s="12">
        <v>40</v>
      </c>
      <c r="X11" s="12">
        <v>72</v>
      </c>
      <c r="Y11" s="28">
        <f t="shared" si="4"/>
        <v>6.4</v>
      </c>
      <c r="Z11">
        <f t="shared" si="5"/>
        <v>4.7</v>
      </c>
      <c r="AA11" s="42">
        <v>3</v>
      </c>
    </row>
    <row r="12" spans="1:27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O12" s="11"/>
      <c r="P12" s="11"/>
      <c r="Q12" s="12"/>
      <c r="R12" s="12"/>
      <c r="S12" s="12"/>
      <c r="T12" s="12"/>
      <c r="U12" s="28">
        <f t="shared" si="3"/>
        <v>0</v>
      </c>
      <c r="V12" s="12"/>
      <c r="W12" s="12"/>
      <c r="X12" s="12"/>
      <c r="Y12" s="28">
        <f t="shared" si="4"/>
        <v>0</v>
      </c>
      <c r="Z12">
        <f t="shared" si="5"/>
        <v>0</v>
      </c>
    </row>
    <row r="13" spans="1:27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O13" s="11"/>
      <c r="P13" s="11"/>
      <c r="Q13" s="12"/>
      <c r="R13" s="12"/>
      <c r="S13" s="12"/>
      <c r="T13" s="12"/>
      <c r="U13" s="12"/>
      <c r="V13" s="12"/>
      <c r="W13" s="12"/>
      <c r="X13" s="12"/>
      <c r="Y13" s="12"/>
    </row>
    <row r="14" spans="1:27" x14ac:dyDescent="0.35">
      <c r="A14" s="13"/>
      <c r="B14" s="10"/>
      <c r="C14" s="14">
        <f t="shared" ref="C14:K14" si="6">SUM(C8:C13)</f>
        <v>250</v>
      </c>
      <c r="D14" s="14">
        <f t="shared" si="6"/>
        <v>180</v>
      </c>
      <c r="E14" s="14">
        <f t="shared" si="6"/>
        <v>200</v>
      </c>
      <c r="F14" s="14">
        <f t="shared" si="6"/>
        <v>0</v>
      </c>
      <c r="G14" s="14">
        <f t="shared" si="6"/>
        <v>19</v>
      </c>
      <c r="H14" s="14">
        <f t="shared" si="6"/>
        <v>439</v>
      </c>
      <c r="I14" s="14">
        <f t="shared" si="6"/>
        <v>358</v>
      </c>
      <c r="J14" s="14">
        <f t="shared" si="6"/>
        <v>543</v>
      </c>
      <c r="K14" s="14">
        <f t="shared" si="6"/>
        <v>67</v>
      </c>
      <c r="L14" s="36">
        <f>C14+D14+E14+F14+H14+I14+J14</f>
        <v>1970</v>
      </c>
      <c r="O14" s="13"/>
      <c r="P14" s="10"/>
      <c r="Q14" s="14">
        <f t="shared" ref="Q14:Y14" si="7">SUM(Q8:Q13)</f>
        <v>100</v>
      </c>
      <c r="R14" s="14">
        <f t="shared" si="7"/>
        <v>60</v>
      </c>
      <c r="S14" s="14">
        <f t="shared" si="7"/>
        <v>100</v>
      </c>
      <c r="T14" s="14">
        <f t="shared" si="7"/>
        <v>0</v>
      </c>
      <c r="U14" s="14">
        <f t="shared" si="7"/>
        <v>8</v>
      </c>
      <c r="V14" s="14">
        <f t="shared" si="7"/>
        <v>323</v>
      </c>
      <c r="W14" s="14">
        <f t="shared" si="7"/>
        <v>297</v>
      </c>
      <c r="X14" s="14">
        <f t="shared" si="7"/>
        <v>340</v>
      </c>
      <c r="Y14" s="14">
        <f t="shared" si="7"/>
        <v>48</v>
      </c>
      <c r="Z14" s="36">
        <f>Q14+R14+S14+T14+V14+W14+X14</f>
        <v>1220</v>
      </c>
    </row>
    <row r="15" spans="1:27" x14ac:dyDescent="0.35">
      <c r="A15" s="13"/>
      <c r="B15" s="10" t="s">
        <v>40</v>
      </c>
      <c r="C15" s="13"/>
      <c r="D15" s="13">
        <f>D14/20</f>
        <v>9</v>
      </c>
      <c r="E15" s="13">
        <f t="shared" ref="E15:J15" si="8">E14/20</f>
        <v>10</v>
      </c>
      <c r="F15" s="13">
        <f t="shared" si="8"/>
        <v>0</v>
      </c>
      <c r="G15" s="13"/>
      <c r="H15" s="13">
        <f t="shared" si="8"/>
        <v>21.95</v>
      </c>
      <c r="I15" s="13">
        <f t="shared" si="8"/>
        <v>17.899999999999999</v>
      </c>
      <c r="J15" s="13">
        <f t="shared" si="8"/>
        <v>27.15</v>
      </c>
      <c r="K15" s="13"/>
      <c r="O15" s="13"/>
      <c r="P15" s="10" t="s">
        <v>40</v>
      </c>
      <c r="Q15" s="13"/>
      <c r="R15" s="13">
        <f>R14/20</f>
        <v>3</v>
      </c>
      <c r="S15" s="13">
        <f t="shared" ref="S15:T15" si="9">S14/20</f>
        <v>5</v>
      </c>
      <c r="T15" s="13">
        <f t="shared" si="9"/>
        <v>0</v>
      </c>
      <c r="U15" s="13"/>
      <c r="V15" s="13">
        <f t="shared" ref="V15:X15" si="10">V14/20</f>
        <v>16.149999999999999</v>
      </c>
      <c r="W15" s="13">
        <f t="shared" si="10"/>
        <v>14.85</v>
      </c>
      <c r="X15" s="13">
        <f t="shared" si="10"/>
        <v>17</v>
      </c>
      <c r="Y15" s="13"/>
    </row>
    <row r="16" spans="1:27" x14ac:dyDescent="0.35">
      <c r="A16" s="13"/>
      <c r="B16" s="10" t="s">
        <v>39</v>
      </c>
      <c r="C16" s="37">
        <f>C15+C14</f>
        <v>250</v>
      </c>
      <c r="D16" s="37">
        <f t="shared" ref="D16:J16" si="11">D15+D14</f>
        <v>189</v>
      </c>
      <c r="E16" s="37">
        <f t="shared" si="11"/>
        <v>210</v>
      </c>
      <c r="F16" s="37">
        <f t="shared" si="11"/>
        <v>0</v>
      </c>
      <c r="G16" s="37"/>
      <c r="H16" s="37">
        <f t="shared" si="11"/>
        <v>460.95</v>
      </c>
      <c r="I16" s="37">
        <f t="shared" si="11"/>
        <v>375.9</v>
      </c>
      <c r="J16" s="37">
        <f t="shared" si="11"/>
        <v>570.15</v>
      </c>
      <c r="K16" s="37"/>
      <c r="O16" s="13"/>
      <c r="P16" s="10" t="s">
        <v>39</v>
      </c>
      <c r="Q16" s="37">
        <f>Q15+Q14</f>
        <v>100</v>
      </c>
      <c r="R16" s="37">
        <f t="shared" ref="R16:T16" si="12">R15+R14</f>
        <v>63</v>
      </c>
      <c r="S16" s="37">
        <f t="shared" si="12"/>
        <v>105</v>
      </c>
      <c r="T16" s="37">
        <f t="shared" si="12"/>
        <v>0</v>
      </c>
      <c r="U16" s="37"/>
      <c r="V16" s="37">
        <f t="shared" ref="V16:X16" si="13">V15+V14</f>
        <v>339.15</v>
      </c>
      <c r="W16" s="37">
        <f t="shared" si="13"/>
        <v>311.85000000000002</v>
      </c>
      <c r="X16" s="37">
        <f t="shared" si="13"/>
        <v>357</v>
      </c>
      <c r="Y16" s="37"/>
    </row>
    <row r="17" spans="1:26" x14ac:dyDescent="0.35">
      <c r="A17" s="13"/>
      <c r="B17" s="40" t="s">
        <v>41</v>
      </c>
      <c r="C17" s="37">
        <f>C14/40</f>
        <v>6.25</v>
      </c>
      <c r="D17" s="37">
        <f t="shared" ref="D17:J17" si="14">D14/40</f>
        <v>4.5</v>
      </c>
      <c r="E17" s="37">
        <f t="shared" si="14"/>
        <v>5</v>
      </c>
      <c r="F17" s="37">
        <f t="shared" si="14"/>
        <v>0</v>
      </c>
      <c r="G17" s="37"/>
      <c r="H17" s="37">
        <f t="shared" si="14"/>
        <v>10.975</v>
      </c>
      <c r="I17" s="37">
        <f t="shared" si="14"/>
        <v>8.9499999999999993</v>
      </c>
      <c r="J17" s="37">
        <f t="shared" si="14"/>
        <v>13.574999999999999</v>
      </c>
      <c r="K17" s="37"/>
      <c r="L17" s="36">
        <f>SUM(C17:J17)</f>
        <v>49.25</v>
      </c>
      <c r="O17" s="13"/>
      <c r="P17" s="40" t="s">
        <v>41</v>
      </c>
      <c r="Q17" s="37">
        <f>Q14/40</f>
        <v>2.5</v>
      </c>
      <c r="R17" s="37">
        <f t="shared" ref="R17:T17" si="15">R14/40</f>
        <v>1.5</v>
      </c>
      <c r="S17" s="37">
        <f t="shared" si="15"/>
        <v>2.5</v>
      </c>
      <c r="T17" s="37">
        <f t="shared" si="15"/>
        <v>0</v>
      </c>
      <c r="U17" s="37"/>
      <c r="V17" s="37">
        <f t="shared" ref="V17:X17" si="16">V14/40</f>
        <v>8.0749999999999993</v>
      </c>
      <c r="W17" s="37">
        <f t="shared" si="16"/>
        <v>7.4249999999999998</v>
      </c>
      <c r="X17" s="37">
        <f t="shared" si="16"/>
        <v>8.5</v>
      </c>
      <c r="Y17" s="37"/>
      <c r="Z17" s="36">
        <f>SUM(Q17:X17)</f>
        <v>30.5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7">
    <mergeCell ref="Q1:R1"/>
    <mergeCell ref="P2:Y5"/>
    <mergeCell ref="R6:U6"/>
    <mergeCell ref="V6:Y6"/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M19"/>
  <sheetViews>
    <sheetView workbookViewId="0">
      <selection activeCell="P4" sqref="P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75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3" t="s">
        <v>59</v>
      </c>
      <c r="M7" s="49" t="s">
        <v>80</v>
      </c>
    </row>
    <row r="8" spans="1:13" x14ac:dyDescent="0.35">
      <c r="A8" s="27"/>
      <c r="B8" s="10" t="s">
        <v>60</v>
      </c>
      <c r="C8" s="12">
        <v>48</v>
      </c>
      <c r="D8" s="12"/>
      <c r="E8" s="12"/>
      <c r="F8" s="12"/>
      <c r="G8" s="28">
        <f>SUM(D8:F8)/20</f>
        <v>0</v>
      </c>
      <c r="H8" s="12">
        <v>19</v>
      </c>
      <c r="I8" s="12">
        <v>7</v>
      </c>
      <c r="J8" s="12">
        <v>31</v>
      </c>
      <c r="K8" s="28">
        <f>SUM(H8:J8)/20</f>
        <v>2.85</v>
      </c>
      <c r="L8" s="53">
        <f>SUM(C8:F8,H8,I8,J8)/40</f>
        <v>2.625</v>
      </c>
      <c r="M8" s="53">
        <v>4</v>
      </c>
    </row>
    <row r="9" spans="1:13" x14ac:dyDescent="0.35">
      <c r="A9" s="27"/>
      <c r="B9" s="10" t="s">
        <v>11</v>
      </c>
      <c r="C9" s="12">
        <v>36</v>
      </c>
      <c r="D9" s="12">
        <v>26</v>
      </c>
      <c r="E9" s="12">
        <v>26</v>
      </c>
      <c r="F9" s="12">
        <v>0</v>
      </c>
      <c r="G9" s="28">
        <f t="shared" ref="G9:G12" si="0">SUM(D9:F9)/20</f>
        <v>2.6</v>
      </c>
      <c r="H9" s="12">
        <v>169</v>
      </c>
      <c r="I9" s="12">
        <v>64</v>
      </c>
      <c r="J9" s="12">
        <v>129</v>
      </c>
      <c r="K9" s="28">
        <f t="shared" ref="K9:K12" si="1">SUM(H9:J9)/20</f>
        <v>18.100000000000001</v>
      </c>
      <c r="L9" s="53">
        <f t="shared" ref="L9:L12" si="2">SUM(C9:F9,H9,I9,J9)/40</f>
        <v>11.25</v>
      </c>
      <c r="M9" s="53">
        <v>8</v>
      </c>
    </row>
    <row r="10" spans="1:13" x14ac:dyDescent="0.35">
      <c r="A10" s="27"/>
      <c r="B10" s="10" t="s">
        <v>71</v>
      </c>
      <c r="C10" s="12">
        <v>352</v>
      </c>
      <c r="D10" s="12">
        <v>35</v>
      </c>
      <c r="E10" s="12">
        <v>35</v>
      </c>
      <c r="F10" s="12">
        <v>0</v>
      </c>
      <c r="G10" s="28">
        <f t="shared" si="0"/>
        <v>3.5</v>
      </c>
      <c r="H10" s="12">
        <v>20</v>
      </c>
      <c r="I10" s="12">
        <v>20</v>
      </c>
      <c r="J10" s="12">
        <v>20</v>
      </c>
      <c r="K10" s="28">
        <f t="shared" si="1"/>
        <v>3</v>
      </c>
      <c r="L10" s="53">
        <f t="shared" si="2"/>
        <v>12.05</v>
      </c>
      <c r="M10" s="53">
        <v>10</v>
      </c>
    </row>
    <row r="11" spans="1:13" x14ac:dyDescent="0.35">
      <c r="A11" s="11"/>
      <c r="B11" s="11" t="s">
        <v>16</v>
      </c>
      <c r="C11" s="12">
        <v>340</v>
      </c>
      <c r="D11" s="12">
        <v>106</v>
      </c>
      <c r="E11" s="12">
        <v>106</v>
      </c>
      <c r="F11" s="12">
        <v>0</v>
      </c>
      <c r="G11" s="28">
        <f t="shared" si="0"/>
        <v>10.6</v>
      </c>
      <c r="H11" s="12">
        <v>111</v>
      </c>
      <c r="I11" s="12">
        <v>96</v>
      </c>
      <c r="J11" s="12">
        <v>133</v>
      </c>
      <c r="K11" s="28">
        <f t="shared" si="1"/>
        <v>17</v>
      </c>
      <c r="L11" s="53">
        <f t="shared" si="2"/>
        <v>22.3</v>
      </c>
      <c r="M11" s="53">
        <v>20</v>
      </c>
    </row>
    <row r="12" spans="1:13" x14ac:dyDescent="0.35">
      <c r="A12" s="11"/>
      <c r="B12" s="11" t="s">
        <v>9</v>
      </c>
      <c r="C12" s="12">
        <v>22</v>
      </c>
      <c r="D12" s="12">
        <v>50</v>
      </c>
      <c r="E12" s="12">
        <v>30</v>
      </c>
      <c r="F12" s="12">
        <v>0</v>
      </c>
      <c r="G12" s="28">
        <f t="shared" si="0"/>
        <v>4</v>
      </c>
      <c r="H12" s="12">
        <v>10</v>
      </c>
      <c r="I12" s="12">
        <v>10</v>
      </c>
      <c r="J12" s="12">
        <v>30</v>
      </c>
      <c r="K12" s="28">
        <f t="shared" si="1"/>
        <v>2.5</v>
      </c>
      <c r="L12" s="53">
        <f t="shared" si="2"/>
        <v>3.8</v>
      </c>
      <c r="M12" s="53">
        <v>5</v>
      </c>
    </row>
    <row r="13" spans="1:13" x14ac:dyDescent="0.35">
      <c r="A13" s="11"/>
      <c r="B13" s="11"/>
      <c r="C13" s="12"/>
      <c r="D13" s="12"/>
      <c r="E13" s="12">
        <v>0</v>
      </c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798</v>
      </c>
      <c r="D14" s="14">
        <f t="shared" si="3"/>
        <v>217</v>
      </c>
      <c r="E14" s="14">
        <f t="shared" si="3"/>
        <v>197</v>
      </c>
      <c r="F14" s="14">
        <f t="shared" si="3"/>
        <v>0</v>
      </c>
      <c r="G14" s="14">
        <f t="shared" si="3"/>
        <v>20.7</v>
      </c>
      <c r="H14" s="14">
        <f t="shared" si="3"/>
        <v>329</v>
      </c>
      <c r="I14" s="14">
        <f t="shared" si="3"/>
        <v>197</v>
      </c>
      <c r="J14" s="14">
        <f t="shared" si="3"/>
        <v>343</v>
      </c>
      <c r="K14" s="14">
        <f t="shared" si="3"/>
        <v>43.45</v>
      </c>
      <c r="L14" s="36">
        <f>C14+D14+E14+F14+H14+I14+J14</f>
        <v>2081</v>
      </c>
    </row>
    <row r="15" spans="1:13" x14ac:dyDescent="0.35">
      <c r="A15" s="13"/>
      <c r="B15" s="10" t="s">
        <v>40</v>
      </c>
      <c r="C15" s="13"/>
      <c r="D15" s="13">
        <f>D14/20</f>
        <v>10.85</v>
      </c>
      <c r="E15" s="13">
        <f t="shared" ref="E15:J15" si="4">E14/20</f>
        <v>9.85</v>
      </c>
      <c r="F15" s="13">
        <f t="shared" si="4"/>
        <v>0</v>
      </c>
      <c r="G15" s="13"/>
      <c r="H15" s="13">
        <f t="shared" si="4"/>
        <v>16.45</v>
      </c>
      <c r="I15" s="13">
        <f t="shared" si="4"/>
        <v>9.85</v>
      </c>
      <c r="J15" s="13">
        <f t="shared" si="4"/>
        <v>17.149999999999999</v>
      </c>
      <c r="K15" s="13"/>
    </row>
    <row r="16" spans="1:13" x14ac:dyDescent="0.35">
      <c r="A16" s="13"/>
      <c r="B16" s="10" t="s">
        <v>39</v>
      </c>
      <c r="C16" s="37">
        <f>C15+C14</f>
        <v>798</v>
      </c>
      <c r="D16" s="37">
        <f t="shared" ref="D16:J16" si="5">D15+D14</f>
        <v>227.85</v>
      </c>
      <c r="E16" s="37">
        <f t="shared" si="5"/>
        <v>206.85</v>
      </c>
      <c r="F16" s="37">
        <f t="shared" si="5"/>
        <v>0</v>
      </c>
      <c r="G16" s="37"/>
      <c r="H16" s="37">
        <f t="shared" si="5"/>
        <v>345.45</v>
      </c>
      <c r="I16" s="37">
        <f t="shared" si="5"/>
        <v>206.85</v>
      </c>
      <c r="J16" s="37">
        <f t="shared" si="5"/>
        <v>360.15</v>
      </c>
      <c r="K16" s="37"/>
    </row>
    <row r="17" spans="1:12" x14ac:dyDescent="0.35">
      <c r="A17" s="13"/>
      <c r="B17" s="40" t="s">
        <v>41</v>
      </c>
      <c r="C17" s="37">
        <f>C14/40</f>
        <v>19.95</v>
      </c>
      <c r="D17" s="37">
        <f t="shared" ref="D17:J17" si="6">D14/40</f>
        <v>5.4249999999999998</v>
      </c>
      <c r="E17" s="37">
        <f t="shared" si="6"/>
        <v>4.9249999999999998</v>
      </c>
      <c r="F17" s="37">
        <f t="shared" si="6"/>
        <v>0</v>
      </c>
      <c r="G17" s="37"/>
      <c r="H17" s="37">
        <f t="shared" si="6"/>
        <v>8.2249999999999996</v>
      </c>
      <c r="I17" s="37">
        <f t="shared" si="6"/>
        <v>4.9249999999999998</v>
      </c>
      <c r="J17" s="37">
        <f t="shared" si="6"/>
        <v>8.5749999999999993</v>
      </c>
      <c r="K17" s="37"/>
      <c r="L17" s="36">
        <f>SUM(C17:J17)</f>
        <v>52.024999999999991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2026-06-30T06:35:35Z</dcterms:modified>
</cp:coreProperties>
</file>