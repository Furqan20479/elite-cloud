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05A20FBA-256D-497A-93DA-C6B3DA5703FB}" xr6:coauthVersionLast="47" xr6:coauthVersionMax="47" xr10:uidLastSave="{00000000-0000-0000-0000-000000000000}"/>
  <bookViews>
    <workbookView xWindow="-110" yWindow="-110" windowWidth="19420" windowHeight="10420" tabRatio="887" activeTab="14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2"/>
  <c r="L17" i="13"/>
  <c r="L17" i="14"/>
  <c r="L17" i="15"/>
  <c r="L17" i="16"/>
  <c r="L17" i="17"/>
  <c r="L17" i="18"/>
  <c r="L17" i="19"/>
  <c r="L17" i="20"/>
  <c r="L17" i="21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2"/>
  <c r="L14" i="13"/>
  <c r="L14" i="14"/>
  <c r="L14" i="15"/>
  <c r="L14" i="16"/>
  <c r="L14" i="17"/>
  <c r="L14" i="18"/>
  <c r="L14" i="19"/>
  <c r="L14" i="20"/>
  <c r="L14" i="21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2"/>
  <c r="E16" i="12"/>
  <c r="F16" i="12"/>
  <c r="H16" i="12"/>
  <c r="I16" i="12"/>
  <c r="J16" i="12"/>
  <c r="D16" i="13"/>
  <c r="E16" i="13"/>
  <c r="F16" i="13"/>
  <c r="H16" i="13"/>
  <c r="I16" i="13"/>
  <c r="J16" i="13"/>
  <c r="D16" i="14"/>
  <c r="E16" i="14"/>
  <c r="F16" i="14"/>
  <c r="H16" i="14"/>
  <c r="I16" i="14"/>
  <c r="J16" i="14"/>
  <c r="D16" i="15"/>
  <c r="E16" i="15"/>
  <c r="F16" i="15"/>
  <c r="H16" i="15"/>
  <c r="I16" i="15"/>
  <c r="J16" i="15"/>
  <c r="D16" i="16"/>
  <c r="E16" i="16"/>
  <c r="F16" i="16"/>
  <c r="H16" i="16"/>
  <c r="I16" i="16"/>
  <c r="J16" i="16"/>
  <c r="D16" i="17"/>
  <c r="E16" i="17"/>
  <c r="F16" i="17"/>
  <c r="H16" i="17"/>
  <c r="I16" i="17"/>
  <c r="J16" i="17"/>
  <c r="D16" i="18"/>
  <c r="E16" i="18"/>
  <c r="F16" i="18"/>
  <c r="H16" i="18"/>
  <c r="I16" i="18"/>
  <c r="J16" i="18"/>
  <c r="D16" i="19"/>
  <c r="E16" i="19"/>
  <c r="F16" i="19"/>
  <c r="H16" i="19"/>
  <c r="I16" i="19"/>
  <c r="J16" i="19"/>
  <c r="D16" i="20"/>
  <c r="E16" i="20"/>
  <c r="F16" i="20"/>
  <c r="H16" i="20"/>
  <c r="I16" i="20"/>
  <c r="J16" i="20"/>
  <c r="D16" i="21"/>
  <c r="E16" i="21"/>
  <c r="F16" i="21"/>
  <c r="H16" i="21"/>
  <c r="I16" i="21"/>
  <c r="J16" i="21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2"/>
  <c r="C16" i="13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2"/>
  <c r="F15" i="12"/>
  <c r="H15" i="12"/>
  <c r="I15" i="12"/>
  <c r="J15" i="12"/>
  <c r="E15" i="13"/>
  <c r="F15" i="13"/>
  <c r="H15" i="13"/>
  <c r="I15" i="13"/>
  <c r="J15" i="13"/>
  <c r="E15" i="14"/>
  <c r="F15" i="14"/>
  <c r="H15" i="14"/>
  <c r="I15" i="14"/>
  <c r="J15" i="14"/>
  <c r="E15" i="15"/>
  <c r="F15" i="15"/>
  <c r="H15" i="15"/>
  <c r="I15" i="15"/>
  <c r="J15" i="15"/>
  <c r="E15" i="16"/>
  <c r="F15" i="16"/>
  <c r="H15" i="16"/>
  <c r="I15" i="16"/>
  <c r="J15" i="16"/>
  <c r="E15" i="17"/>
  <c r="F15" i="17"/>
  <c r="H15" i="17"/>
  <c r="I15" i="17"/>
  <c r="J15" i="17"/>
  <c r="E15" i="18"/>
  <c r="F15" i="18"/>
  <c r="H15" i="18"/>
  <c r="I15" i="18"/>
  <c r="J15" i="18"/>
  <c r="E15" i="19"/>
  <c r="F15" i="19"/>
  <c r="H15" i="19"/>
  <c r="I15" i="19"/>
  <c r="J15" i="19"/>
  <c r="E15" i="20"/>
  <c r="F15" i="20"/>
  <c r="H15" i="20"/>
  <c r="I15" i="20"/>
  <c r="J15" i="20"/>
  <c r="E15" i="21"/>
  <c r="F15" i="21"/>
  <c r="H15" i="21"/>
  <c r="I15" i="21"/>
  <c r="J15" i="21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2"/>
  <c r="D15" i="13"/>
  <c r="D15" i="14"/>
  <c r="D15" i="15"/>
  <c r="D15" i="16"/>
  <c r="D15" i="17"/>
  <c r="D15" i="18"/>
  <c r="D15" i="19"/>
  <c r="D15" i="20"/>
  <c r="D15" i="21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J17" i="21"/>
  <c r="F17" i="21"/>
  <c r="K14" i="21"/>
  <c r="J14" i="21"/>
  <c r="I14" i="21"/>
  <c r="I17" i="21" s="1"/>
  <c r="H14" i="21"/>
  <c r="H17" i="21" s="1"/>
  <c r="G14" i="21"/>
  <c r="F14" i="21"/>
  <c r="E14" i="21"/>
  <c r="E17" i="21" s="1"/>
  <c r="D14" i="21"/>
  <c r="D17" i="21" s="1"/>
  <c r="C14" i="21"/>
  <c r="C17" i="21" s="1"/>
  <c r="H17" i="20"/>
  <c r="K14" i="20"/>
  <c r="J14" i="20"/>
  <c r="J17" i="20" s="1"/>
  <c r="I14" i="20"/>
  <c r="I17" i="20" s="1"/>
  <c r="H14" i="20"/>
  <c r="G14" i="20"/>
  <c r="F14" i="20"/>
  <c r="F17" i="20" s="1"/>
  <c r="E14" i="20"/>
  <c r="E17" i="20" s="1"/>
  <c r="D14" i="20"/>
  <c r="D17" i="20" s="1"/>
  <c r="C14" i="20"/>
  <c r="C17" i="20" s="1"/>
  <c r="K14" i="19"/>
  <c r="J14" i="19"/>
  <c r="J17" i="19" s="1"/>
  <c r="I14" i="19"/>
  <c r="I17" i="19" s="1"/>
  <c r="H14" i="19"/>
  <c r="H17" i="19" s="1"/>
  <c r="G14" i="19"/>
  <c r="F14" i="19"/>
  <c r="F17" i="19" s="1"/>
  <c r="E14" i="19"/>
  <c r="E17" i="19" s="1"/>
  <c r="D14" i="19"/>
  <c r="D17" i="19" s="1"/>
  <c r="C14" i="19"/>
  <c r="C17" i="19" s="1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K14" i="17" l="1"/>
  <c r="J14" i="17"/>
  <c r="J17" i="17" s="1"/>
  <c r="I14" i="17"/>
  <c r="I17" i="17" s="1"/>
  <c r="H14" i="17"/>
  <c r="H17" i="17" s="1"/>
  <c r="G14" i="17"/>
  <c r="F14" i="17"/>
  <c r="F17" i="17" s="1"/>
  <c r="E14" i="17"/>
  <c r="E17" i="17" s="1"/>
  <c r="D14" i="17"/>
  <c r="D17" i="17" s="1"/>
  <c r="C14" i="17"/>
  <c r="C17" i="17" s="1"/>
  <c r="H17" i="16"/>
  <c r="K14" i="16"/>
  <c r="J14" i="16"/>
  <c r="J17" i="16" s="1"/>
  <c r="I14" i="16"/>
  <c r="I17" i="16" s="1"/>
  <c r="H14" i="16"/>
  <c r="G14" i="16"/>
  <c r="F14" i="16"/>
  <c r="F17" i="16" s="1"/>
  <c r="E14" i="16"/>
  <c r="E17" i="16" s="1"/>
  <c r="D14" i="16"/>
  <c r="D17" i="16" s="1"/>
  <c r="C14" i="16"/>
  <c r="C17" i="16" s="1"/>
  <c r="K14" i="15"/>
  <c r="J14" i="15"/>
  <c r="J17" i="15" s="1"/>
  <c r="I14" i="15"/>
  <c r="I17" i="15" s="1"/>
  <c r="H14" i="15"/>
  <c r="H17" i="15" s="1"/>
  <c r="G14" i="15"/>
  <c r="F14" i="15"/>
  <c r="F17" i="15" s="1"/>
  <c r="E14" i="15"/>
  <c r="E17" i="15" s="1"/>
  <c r="D14" i="15"/>
  <c r="D17" i="15" s="1"/>
  <c r="C14" i="15"/>
  <c r="C17" i="15" s="1"/>
  <c r="K14" i="14"/>
  <c r="J14" i="14"/>
  <c r="J17" i="14" s="1"/>
  <c r="I14" i="14"/>
  <c r="I17" i="14" s="1"/>
  <c r="H14" i="14"/>
  <c r="H17" i="14" s="1"/>
  <c r="G14" i="14"/>
  <c r="F14" i="14"/>
  <c r="F17" i="14" s="1"/>
  <c r="E14" i="14"/>
  <c r="E17" i="14" s="1"/>
  <c r="D14" i="14"/>
  <c r="D17" i="14" s="1"/>
  <c r="C14" i="14"/>
  <c r="C17" i="14" s="1"/>
  <c r="H17" i="13"/>
  <c r="K14" i="13"/>
  <c r="J14" i="13"/>
  <c r="J17" i="13" s="1"/>
  <c r="I14" i="13"/>
  <c r="I17" i="13" s="1"/>
  <c r="H14" i="13"/>
  <c r="G14" i="13"/>
  <c r="F14" i="13"/>
  <c r="F17" i="13" s="1"/>
  <c r="E14" i="13"/>
  <c r="E17" i="13" s="1"/>
  <c r="D14" i="13"/>
  <c r="D17" i="13" s="1"/>
  <c r="C14" i="13"/>
  <c r="C17" i="13" s="1"/>
  <c r="K14" i="12"/>
  <c r="J14" i="12"/>
  <c r="J17" i="12" s="1"/>
  <c r="I14" i="12"/>
  <c r="I17" i="12" s="1"/>
  <c r="H14" i="12"/>
  <c r="H17" i="12" s="1"/>
  <c r="G14" i="12"/>
  <c r="F14" i="12"/>
  <c r="F17" i="12" s="1"/>
  <c r="E14" i="12"/>
  <c r="E17" i="12" s="1"/>
  <c r="D14" i="12"/>
  <c r="D17" i="12" s="1"/>
  <c r="C14" i="12"/>
  <c r="C17" i="12" s="1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C17" i="10" l="1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0" l="1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<sst xmlns="http://schemas.openxmlformats.org/spreadsheetml/2006/main" count="637" uniqueCount="58">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</sst>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19"/>
  <sheetViews>
    <sheetView topLeftCell="A2" zoomScale="115" zoomScaleNormal="115" workbookViewId="0">
      <selection activeCell="N17" sqref="N17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1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1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1" ht="15" thickBot="1" x14ac:dyDescent="0.4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H11" sqref="H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190</v>
      </c>
      <c r="D14" s="14">
        <f t="shared" si="0"/>
        <v>32</v>
      </c>
      <c r="E14" s="14">
        <f t="shared" si="0"/>
        <v>20</v>
      </c>
      <c r="F14" s="14">
        <f t="shared" si="0"/>
        <v>20</v>
      </c>
      <c r="G14" s="14">
        <f t="shared" si="0"/>
        <v>3.6</v>
      </c>
      <c r="H14" s="14">
        <f t="shared" si="0"/>
        <v>50</v>
      </c>
      <c r="I14" s="14">
        <f t="shared" si="0"/>
        <v>34</v>
      </c>
      <c r="J14" s="14">
        <f t="shared" si="0"/>
        <v>41</v>
      </c>
      <c r="K14" s="14">
        <f t="shared" si="0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1">E14/20</f>
        <v>1</v>
      </c>
      <c r="F15" s="13">
        <f t="shared" si="1"/>
        <v>1</v>
      </c>
      <c r="G15" s="13"/>
      <c r="H15" s="13">
        <f t="shared" si="1"/>
        <v>2.5</v>
      </c>
      <c r="I15" s="13">
        <f t="shared" si="1"/>
        <v>1.7</v>
      </c>
      <c r="J15" s="13">
        <f t="shared" si="1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2">D15+D14</f>
        <v>33.6</v>
      </c>
      <c r="E16" s="37">
        <f t="shared" si="2"/>
        <v>21</v>
      </c>
      <c r="F16" s="37">
        <f t="shared" si="2"/>
        <v>21</v>
      </c>
      <c r="G16" s="37"/>
      <c r="H16" s="37">
        <f t="shared" si="2"/>
        <v>52.5</v>
      </c>
      <c r="I16" s="37">
        <f t="shared" si="2"/>
        <v>35.700000000000003</v>
      </c>
      <c r="J16" s="37">
        <f t="shared" si="2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3">D14/40</f>
        <v>0.8</v>
      </c>
      <c r="E17" s="37">
        <f t="shared" si="3"/>
        <v>0.5</v>
      </c>
      <c r="F17" s="37">
        <f t="shared" si="3"/>
        <v>0.5</v>
      </c>
      <c r="G17" s="37"/>
      <c r="H17" s="37">
        <f t="shared" si="3"/>
        <v>1.25</v>
      </c>
      <c r="I17" s="37">
        <f t="shared" si="3"/>
        <v>0.85</v>
      </c>
      <c r="J17" s="37">
        <f t="shared" si="3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H10" sqref="H10:J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40</v>
      </c>
      <c r="D14" s="14">
        <f t="shared" si="2"/>
        <v>84</v>
      </c>
      <c r="E14" s="14">
        <f t="shared" si="2"/>
        <v>84</v>
      </c>
      <c r="F14" s="14">
        <f t="shared" si="2"/>
        <v>42</v>
      </c>
      <c r="G14" s="14">
        <f t="shared" si="2"/>
        <v>10.5</v>
      </c>
      <c r="H14" s="14">
        <f t="shared" si="2"/>
        <v>57</v>
      </c>
      <c r="I14" s="14">
        <f t="shared" si="2"/>
        <v>52</v>
      </c>
      <c r="J14" s="14">
        <f t="shared" si="2"/>
        <v>71</v>
      </c>
      <c r="K14" s="14">
        <f t="shared" si="2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3">E14/20</f>
        <v>4.2</v>
      </c>
      <c r="F15" s="13">
        <f t="shared" si="3"/>
        <v>2.1</v>
      </c>
      <c r="G15" s="13"/>
      <c r="H15" s="13">
        <f t="shared" si="3"/>
        <v>2.85</v>
      </c>
      <c r="I15" s="13">
        <f t="shared" si="3"/>
        <v>2.6</v>
      </c>
      <c r="J15" s="13">
        <f t="shared" si="3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4">D15+D14</f>
        <v>88.2</v>
      </c>
      <c r="E16" s="37">
        <f t="shared" si="4"/>
        <v>88.2</v>
      </c>
      <c r="F16" s="37">
        <f t="shared" si="4"/>
        <v>44.1</v>
      </c>
      <c r="G16" s="37"/>
      <c r="H16" s="37">
        <f t="shared" si="4"/>
        <v>59.85</v>
      </c>
      <c r="I16" s="37">
        <f t="shared" si="4"/>
        <v>54.6</v>
      </c>
      <c r="J16" s="37">
        <f t="shared" si="4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5">D14/40</f>
        <v>2.1</v>
      </c>
      <c r="E17" s="37">
        <f t="shared" si="5"/>
        <v>2.1</v>
      </c>
      <c r="F17" s="37">
        <f t="shared" si="5"/>
        <v>1.05</v>
      </c>
      <c r="G17" s="37"/>
      <c r="H17" s="37">
        <f t="shared" si="5"/>
        <v>1.425</v>
      </c>
      <c r="I17" s="37">
        <f t="shared" si="5"/>
        <v>1.3</v>
      </c>
      <c r="J17" s="37">
        <f t="shared" si="5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J12" sqref="J12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2">SUM(C8:C13)</f>
        <v>200</v>
      </c>
      <c r="D14" s="14">
        <f t="shared" si="2"/>
        <v>48</v>
      </c>
      <c r="E14" s="14">
        <f t="shared" si="2"/>
        <v>111</v>
      </c>
      <c r="F14" s="14">
        <f t="shared" si="2"/>
        <v>84</v>
      </c>
      <c r="G14" s="14">
        <f t="shared" si="2"/>
        <v>12.15</v>
      </c>
      <c r="H14" s="14">
        <f t="shared" si="2"/>
        <v>324</v>
      </c>
      <c r="I14" s="14">
        <f t="shared" si="2"/>
        <v>288</v>
      </c>
      <c r="J14" s="14">
        <f t="shared" si="2"/>
        <v>370</v>
      </c>
      <c r="K14" s="14">
        <f t="shared" si="2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3">E14/20</f>
        <v>5.55</v>
      </c>
      <c r="F15" s="13">
        <f t="shared" si="3"/>
        <v>4.2</v>
      </c>
      <c r="G15" s="13"/>
      <c r="H15" s="13">
        <f t="shared" si="3"/>
        <v>16.2</v>
      </c>
      <c r="I15" s="13">
        <f t="shared" si="3"/>
        <v>14.4</v>
      </c>
      <c r="J15" s="13">
        <f t="shared" si="3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4">D15+D14</f>
        <v>50.4</v>
      </c>
      <c r="E16" s="37">
        <f t="shared" si="4"/>
        <v>116.55</v>
      </c>
      <c r="F16" s="37">
        <f t="shared" si="4"/>
        <v>88.2</v>
      </c>
      <c r="G16" s="37"/>
      <c r="H16" s="37">
        <f t="shared" si="4"/>
        <v>340.2</v>
      </c>
      <c r="I16" s="37">
        <f t="shared" si="4"/>
        <v>302.39999999999998</v>
      </c>
      <c r="J16" s="37">
        <f t="shared" si="4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5">D14/40</f>
        <v>1.2</v>
      </c>
      <c r="E17" s="37">
        <f t="shared" si="5"/>
        <v>2.7749999999999999</v>
      </c>
      <c r="F17" s="37">
        <f t="shared" si="5"/>
        <v>2.1</v>
      </c>
      <c r="G17" s="37"/>
      <c r="H17" s="37">
        <f t="shared" si="5"/>
        <v>8.1</v>
      </c>
      <c r="I17" s="37">
        <f t="shared" si="5"/>
        <v>7.2</v>
      </c>
      <c r="J17" s="37">
        <f t="shared" si="5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H12" sqref="H12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2">SUM(C8:C13)</f>
        <v>399</v>
      </c>
      <c r="D14" s="14">
        <f t="shared" si="2"/>
        <v>298</v>
      </c>
      <c r="E14" s="14">
        <f t="shared" si="2"/>
        <v>210</v>
      </c>
      <c r="F14" s="14">
        <f t="shared" si="2"/>
        <v>264</v>
      </c>
      <c r="G14" s="14">
        <f t="shared" si="2"/>
        <v>38.6</v>
      </c>
      <c r="H14" s="14">
        <f t="shared" si="2"/>
        <v>236</v>
      </c>
      <c r="I14" s="14">
        <f t="shared" si="2"/>
        <v>330</v>
      </c>
      <c r="J14" s="14">
        <f t="shared" si="2"/>
        <v>356</v>
      </c>
      <c r="K14" s="14">
        <f t="shared" si="2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3">E14/20</f>
        <v>10.5</v>
      </c>
      <c r="F15" s="13">
        <f t="shared" si="3"/>
        <v>13.2</v>
      </c>
      <c r="G15" s="13"/>
      <c r="H15" s="13">
        <f t="shared" si="3"/>
        <v>11.8</v>
      </c>
      <c r="I15" s="13">
        <f t="shared" si="3"/>
        <v>16.5</v>
      </c>
      <c r="J15" s="13">
        <f t="shared" si="3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4">D15+D14</f>
        <v>312.89999999999998</v>
      </c>
      <c r="E16" s="37">
        <f t="shared" si="4"/>
        <v>220.5</v>
      </c>
      <c r="F16" s="37">
        <f t="shared" si="4"/>
        <v>277.2</v>
      </c>
      <c r="G16" s="37"/>
      <c r="H16" s="37">
        <f t="shared" si="4"/>
        <v>247.8</v>
      </c>
      <c r="I16" s="37">
        <f t="shared" si="4"/>
        <v>346.5</v>
      </c>
      <c r="J16" s="37">
        <f t="shared" si="4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5">D14/40</f>
        <v>7.45</v>
      </c>
      <c r="E17" s="37">
        <f t="shared" si="5"/>
        <v>5.25</v>
      </c>
      <c r="F17" s="37">
        <f t="shared" si="5"/>
        <v>6.6</v>
      </c>
      <c r="G17" s="37"/>
      <c r="H17" s="37">
        <f t="shared" si="5"/>
        <v>5.9</v>
      </c>
      <c r="I17" s="37">
        <f t="shared" si="5"/>
        <v>8.25</v>
      </c>
      <c r="J17" s="37">
        <f t="shared" si="5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H10" sqref="H10:J10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ht="14.5" customHeight="1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4.5" customHeight="1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ht="14.5" customHeight="1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0">SUM(C8:C14)</f>
        <v>178</v>
      </c>
      <c r="D15" s="14">
        <f>D14/20</f>
        <v>0</v>
      </c>
      <c r="E15" s="14">
        <f t="shared" ref="E15:J15" si="1">E14/20</f>
        <v>0</v>
      </c>
      <c r="F15" s="14">
        <f t="shared" si="1"/>
        <v>0</v>
      </c>
      <c r="G15" s="14"/>
      <c r="H15" s="14">
        <f t="shared" si="1"/>
        <v>0</v>
      </c>
      <c r="I15" s="14">
        <f t="shared" si="1"/>
        <v>0</v>
      </c>
      <c r="J15" s="14">
        <f t="shared" si="1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2">D15+D14</f>
        <v>0</v>
      </c>
      <c r="E16" s="13">
        <f t="shared" si="2"/>
        <v>0</v>
      </c>
      <c r="F16" s="13">
        <f t="shared" si="2"/>
        <v>0</v>
      </c>
      <c r="G16" s="13"/>
      <c r="H16" s="13">
        <f t="shared" si="2"/>
        <v>0</v>
      </c>
      <c r="I16" s="13">
        <f t="shared" si="2"/>
        <v>0</v>
      </c>
      <c r="J16" s="13">
        <f t="shared" si="2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3">D15/40</f>
        <v>0</v>
      </c>
      <c r="E18" s="26">
        <f t="shared" si="3"/>
        <v>0</v>
      </c>
      <c r="F18" s="26">
        <f t="shared" si="3"/>
        <v>0</v>
      </c>
      <c r="G18" s="26">
        <f t="shared" si="3"/>
        <v>0</v>
      </c>
      <c r="H18" s="26">
        <f t="shared" si="3"/>
        <v>0</v>
      </c>
      <c r="I18" s="26">
        <f t="shared" si="3"/>
        <v>0</v>
      </c>
      <c r="J18" s="26">
        <f t="shared" si="3"/>
        <v>0</v>
      </c>
      <c r="K18" s="26">
        <f t="shared" si="3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H10" sqref="H10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3"/>
      <c r="B13" s="10"/>
      <c r="C13" s="14">
        <f t="shared" ref="C13:K13" si="0">SUM(C8:C12)</f>
        <v>290</v>
      </c>
      <c r="D13" s="14">
        <f t="shared" si="0"/>
        <v>110</v>
      </c>
      <c r="E13" s="14">
        <f t="shared" si="0"/>
        <v>110</v>
      </c>
      <c r="F13" s="14">
        <f t="shared" si="0"/>
        <v>100</v>
      </c>
      <c r="G13" s="14">
        <f t="shared" si="0"/>
        <v>16</v>
      </c>
      <c r="H13" s="14">
        <f t="shared" si="0"/>
        <v>270</v>
      </c>
      <c r="I13" s="14">
        <f t="shared" si="0"/>
        <v>225</v>
      </c>
      <c r="J13" s="14">
        <f t="shared" si="0"/>
        <v>285</v>
      </c>
      <c r="K13" s="14">
        <f t="shared" si="0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1">E14/20</f>
        <v>0</v>
      </c>
      <c r="F15" s="37">
        <f t="shared" si="1"/>
        <v>0</v>
      </c>
      <c r="G15" s="37"/>
      <c r="H15" s="37">
        <f t="shared" si="1"/>
        <v>0</v>
      </c>
      <c r="I15" s="37">
        <f t="shared" si="1"/>
        <v>0</v>
      </c>
      <c r="J15" s="37">
        <f t="shared" si="1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H11" sqref="H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172</v>
      </c>
      <c r="D14" s="14">
        <f t="shared" si="0"/>
        <v>411</v>
      </c>
      <c r="E14" s="14">
        <f t="shared" si="0"/>
        <v>280</v>
      </c>
      <c r="F14" s="14">
        <f t="shared" si="0"/>
        <v>259</v>
      </c>
      <c r="G14" s="14">
        <f t="shared" si="0"/>
        <v>47</v>
      </c>
      <c r="H14" s="14">
        <f t="shared" si="0"/>
        <v>308</v>
      </c>
      <c r="I14" s="14">
        <f t="shared" si="0"/>
        <v>230</v>
      </c>
      <c r="J14" s="14">
        <f t="shared" si="0"/>
        <v>394</v>
      </c>
      <c r="K14" s="14">
        <f t="shared" si="0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1">E14/20</f>
        <v>14</v>
      </c>
      <c r="F15" s="13">
        <f t="shared" si="1"/>
        <v>12.95</v>
      </c>
      <c r="G15" s="13"/>
      <c r="H15" s="13">
        <f t="shared" si="1"/>
        <v>15.4</v>
      </c>
      <c r="I15" s="13">
        <f t="shared" si="1"/>
        <v>11.5</v>
      </c>
      <c r="J15" s="13">
        <f t="shared" si="1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2">D15+D14</f>
        <v>431.55</v>
      </c>
      <c r="E16" s="37">
        <f t="shared" si="2"/>
        <v>294</v>
      </c>
      <c r="F16" s="37">
        <f t="shared" si="2"/>
        <v>271.95</v>
      </c>
      <c r="G16" s="37"/>
      <c r="H16" s="37">
        <f t="shared" si="2"/>
        <v>323.39999999999998</v>
      </c>
      <c r="I16" s="37">
        <f t="shared" si="2"/>
        <v>241.5</v>
      </c>
      <c r="J16" s="37">
        <f t="shared" si="2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3">D14/40</f>
        <v>10.275</v>
      </c>
      <c r="E17" s="37">
        <f t="shared" si="3"/>
        <v>7</v>
      </c>
      <c r="F17" s="37">
        <f t="shared" si="3"/>
        <v>6.4749999999999996</v>
      </c>
      <c r="G17" s="37"/>
      <c r="H17" s="37">
        <f t="shared" si="3"/>
        <v>7.7</v>
      </c>
      <c r="I17" s="37">
        <f t="shared" si="3"/>
        <v>5.75</v>
      </c>
      <c r="J17" s="37">
        <f t="shared" si="3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G13" sqref="G13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2">SUM(C8:C13)</f>
        <v>248</v>
      </c>
      <c r="D14" s="14">
        <f t="shared" si="2"/>
        <v>138</v>
      </c>
      <c r="E14" s="14">
        <f t="shared" si="2"/>
        <v>157</v>
      </c>
      <c r="F14" s="14">
        <f t="shared" si="2"/>
        <v>205</v>
      </c>
      <c r="G14" s="31">
        <f t="shared" si="2"/>
        <v>25</v>
      </c>
      <c r="H14" s="14">
        <f t="shared" si="2"/>
        <v>149</v>
      </c>
      <c r="I14" s="14">
        <f t="shared" si="2"/>
        <v>124</v>
      </c>
      <c r="J14" s="14">
        <f t="shared" si="2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3">E14/20</f>
        <v>7.85</v>
      </c>
      <c r="F15" s="13">
        <f t="shared" si="3"/>
        <v>10.25</v>
      </c>
      <c r="G15" s="13"/>
      <c r="H15" s="13">
        <f t="shared" si="3"/>
        <v>7.45</v>
      </c>
      <c r="I15" s="13">
        <f t="shared" si="3"/>
        <v>6.2</v>
      </c>
      <c r="J15" s="13">
        <f t="shared" si="3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4">D15+D14</f>
        <v>144.9</v>
      </c>
      <c r="E16" s="37">
        <f t="shared" si="4"/>
        <v>164.85</v>
      </c>
      <c r="F16" s="37">
        <f t="shared" si="4"/>
        <v>215.25</v>
      </c>
      <c r="G16" s="37"/>
      <c r="H16" s="37">
        <f t="shared" si="4"/>
        <v>156.44999999999999</v>
      </c>
      <c r="I16" s="37">
        <f t="shared" si="4"/>
        <v>130.19999999999999</v>
      </c>
      <c r="J16" s="37">
        <f t="shared" si="4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5">D14/40</f>
        <v>3.45</v>
      </c>
      <c r="E17" s="37">
        <f t="shared" si="5"/>
        <v>3.9249999999999998</v>
      </c>
      <c r="F17" s="37">
        <f t="shared" si="5"/>
        <v>5.125</v>
      </c>
      <c r="G17" s="37"/>
      <c r="H17" s="37">
        <f t="shared" si="5"/>
        <v>3.7250000000000001</v>
      </c>
      <c r="I17" s="37">
        <f t="shared" si="5"/>
        <v>3.1</v>
      </c>
      <c r="J17" s="37">
        <f t="shared" si="5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J9" sqref="J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80</v>
      </c>
      <c r="D14" s="14">
        <f t="shared" si="0"/>
        <v>115</v>
      </c>
      <c r="E14" s="14">
        <f t="shared" si="0"/>
        <v>122</v>
      </c>
      <c r="F14" s="14">
        <f t="shared" si="0"/>
        <v>95</v>
      </c>
      <c r="G14" s="14">
        <f t="shared" si="0"/>
        <v>6</v>
      </c>
      <c r="H14" s="14">
        <f t="shared" si="0"/>
        <v>160</v>
      </c>
      <c r="I14" s="14">
        <f t="shared" si="0"/>
        <v>209</v>
      </c>
      <c r="J14" s="14">
        <f t="shared" si="0"/>
        <v>30</v>
      </c>
      <c r="K14" s="14">
        <f t="shared" si="0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1">E14/20</f>
        <v>6.1</v>
      </c>
      <c r="F15" s="13">
        <f t="shared" si="1"/>
        <v>4.75</v>
      </c>
      <c r="G15" s="13"/>
      <c r="H15" s="13">
        <f t="shared" si="1"/>
        <v>8</v>
      </c>
      <c r="I15" s="13">
        <f t="shared" si="1"/>
        <v>10.45</v>
      </c>
      <c r="J15" s="13">
        <f t="shared" si="1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2">D15+D14</f>
        <v>120.75</v>
      </c>
      <c r="E16" s="37">
        <f t="shared" si="2"/>
        <v>128.1</v>
      </c>
      <c r="F16" s="37">
        <f t="shared" si="2"/>
        <v>99.75</v>
      </c>
      <c r="G16" s="37"/>
      <c r="H16" s="37">
        <f t="shared" si="2"/>
        <v>168</v>
      </c>
      <c r="I16" s="37">
        <f t="shared" si="2"/>
        <v>219.45</v>
      </c>
      <c r="J16" s="37">
        <f t="shared" si="2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3">D14/40</f>
        <v>2.875</v>
      </c>
      <c r="E17" s="37">
        <f t="shared" si="3"/>
        <v>3.05</v>
      </c>
      <c r="F17" s="37">
        <f t="shared" si="3"/>
        <v>2.375</v>
      </c>
      <c r="G17" s="37"/>
      <c r="H17" s="37">
        <f t="shared" si="3"/>
        <v>4</v>
      </c>
      <c r="I17" s="37">
        <f t="shared" si="3"/>
        <v>5.2249999999999996</v>
      </c>
      <c r="J17" s="37">
        <f t="shared" si="3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I10" sqref="I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8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8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8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8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2">SUM(C8:C13)</f>
        <v>200</v>
      </c>
      <c r="D14" s="14">
        <f t="shared" si="2"/>
        <v>115</v>
      </c>
      <c r="E14" s="14">
        <f t="shared" si="2"/>
        <v>130</v>
      </c>
      <c r="F14" s="14">
        <f t="shared" si="2"/>
        <v>121</v>
      </c>
      <c r="G14" s="14">
        <f t="shared" si="2"/>
        <v>18.3</v>
      </c>
      <c r="H14" s="14">
        <f t="shared" si="2"/>
        <v>413</v>
      </c>
      <c r="I14" s="14">
        <f t="shared" si="2"/>
        <v>346</v>
      </c>
      <c r="J14" s="14">
        <f t="shared" si="2"/>
        <v>455</v>
      </c>
      <c r="K14" s="14">
        <f t="shared" si="2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3">E14/20</f>
        <v>6.5</v>
      </c>
      <c r="F15" s="13">
        <f t="shared" si="3"/>
        <v>6.05</v>
      </c>
      <c r="G15" s="13"/>
      <c r="H15" s="13">
        <f t="shared" si="3"/>
        <v>20.65</v>
      </c>
      <c r="I15" s="13">
        <f t="shared" si="3"/>
        <v>17.3</v>
      </c>
      <c r="J15" s="13">
        <f t="shared" si="3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4">D15+D14</f>
        <v>120.75</v>
      </c>
      <c r="E16" s="37">
        <f t="shared" si="4"/>
        <v>136.5</v>
      </c>
      <c r="F16" s="37">
        <f t="shared" si="4"/>
        <v>127.05</v>
      </c>
      <c r="G16" s="37"/>
      <c r="H16" s="37">
        <f t="shared" si="4"/>
        <v>433.65</v>
      </c>
      <c r="I16" s="37">
        <f t="shared" si="4"/>
        <v>363.3</v>
      </c>
      <c r="J16" s="37">
        <f t="shared" si="4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5">D14/40</f>
        <v>2.875</v>
      </c>
      <c r="E17" s="37">
        <f t="shared" si="5"/>
        <v>3.25</v>
      </c>
      <c r="F17" s="37">
        <f t="shared" si="5"/>
        <v>3.0249999999999999</v>
      </c>
      <c r="G17" s="37"/>
      <c r="H17" s="37">
        <f t="shared" si="5"/>
        <v>10.324999999999999</v>
      </c>
      <c r="I17" s="37">
        <f t="shared" si="5"/>
        <v>8.65</v>
      </c>
      <c r="J17" s="37">
        <f t="shared" si="5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H10" sqref="H10:J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3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3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3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3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0">SUM(C8:C13)</f>
        <v>102</v>
      </c>
      <c r="D14" s="34">
        <f t="shared" si="0"/>
        <v>100</v>
      </c>
      <c r="E14" s="34">
        <f t="shared" si="0"/>
        <v>120</v>
      </c>
      <c r="F14" s="34">
        <f t="shared" si="0"/>
        <v>60</v>
      </c>
      <c r="G14" s="34">
        <f t="shared" si="0"/>
        <v>14</v>
      </c>
      <c r="H14" s="34">
        <f t="shared" si="0"/>
        <v>273</v>
      </c>
      <c r="I14" s="34">
        <f t="shared" si="0"/>
        <v>231</v>
      </c>
      <c r="J14" s="34">
        <f t="shared" si="0"/>
        <v>242</v>
      </c>
      <c r="K14" s="34">
        <f t="shared" si="0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1">E14/20</f>
        <v>6</v>
      </c>
      <c r="F15" s="30">
        <f t="shared" si="1"/>
        <v>3</v>
      </c>
      <c r="G15" s="30"/>
      <c r="H15" s="30">
        <f t="shared" si="1"/>
        <v>13.65</v>
      </c>
      <c r="I15" s="30">
        <f t="shared" si="1"/>
        <v>11.55</v>
      </c>
      <c r="J15" s="30">
        <f t="shared" si="1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2">D15+D14</f>
        <v>105</v>
      </c>
      <c r="E16" s="39">
        <f t="shared" si="2"/>
        <v>126</v>
      </c>
      <c r="F16" s="39">
        <f t="shared" si="2"/>
        <v>63</v>
      </c>
      <c r="G16" s="39"/>
      <c r="H16" s="39">
        <f t="shared" si="2"/>
        <v>286.64999999999998</v>
      </c>
      <c r="I16" s="39">
        <f t="shared" si="2"/>
        <v>242.55</v>
      </c>
      <c r="J16" s="39">
        <f t="shared" si="2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3">D14/40</f>
        <v>2.5</v>
      </c>
      <c r="E17" s="37">
        <f t="shared" si="3"/>
        <v>3</v>
      </c>
      <c r="F17" s="37">
        <f t="shared" si="3"/>
        <v>1.5</v>
      </c>
      <c r="G17" s="37"/>
      <c r="H17" s="37">
        <f t="shared" si="3"/>
        <v>6.8250000000000002</v>
      </c>
      <c r="I17" s="37">
        <f t="shared" si="3"/>
        <v>5.7750000000000004</v>
      </c>
      <c r="J17" s="37">
        <f t="shared" si="3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R9" sqref="R9:T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20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20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20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20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2">SUM(C8:C13)</f>
        <v>40</v>
      </c>
      <c r="D14" s="14">
        <f t="shared" si="2"/>
        <v>387</v>
      </c>
      <c r="E14" s="14">
        <f t="shared" si="2"/>
        <v>422</v>
      </c>
      <c r="F14" s="14">
        <f t="shared" si="2"/>
        <v>407</v>
      </c>
      <c r="G14" s="14">
        <f t="shared" si="2"/>
        <v>60.8</v>
      </c>
      <c r="H14" s="14">
        <f t="shared" si="2"/>
        <v>457</v>
      </c>
      <c r="I14" s="14">
        <f t="shared" si="2"/>
        <v>462</v>
      </c>
      <c r="J14" s="14">
        <f t="shared" si="2"/>
        <v>457</v>
      </c>
      <c r="K14" s="14">
        <f t="shared" si="2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3">E14/20</f>
        <v>21.1</v>
      </c>
      <c r="F15" s="13">
        <f t="shared" si="3"/>
        <v>20.350000000000001</v>
      </c>
      <c r="G15" s="13"/>
      <c r="H15" s="13">
        <f t="shared" si="3"/>
        <v>22.85</v>
      </c>
      <c r="I15" s="13">
        <f t="shared" si="3"/>
        <v>23.1</v>
      </c>
      <c r="J15" s="13">
        <f t="shared" si="3"/>
        <v>22.85</v>
      </c>
      <c r="K15" s="13"/>
      <c r="N15" s="46" t="s">
        <v>31</v>
      </c>
      <c r="O15" s="46">
        <f>SUM(O9:O14)</f>
        <v>300</v>
      </c>
      <c r="P15" s="46">
        <f t="shared" ref="P15:T15" si="4">SUM(P9:P14)</f>
        <v>300</v>
      </c>
      <c r="Q15" s="46">
        <f t="shared" si="4"/>
        <v>300</v>
      </c>
      <c r="R15" s="46">
        <f t="shared" si="4"/>
        <v>300</v>
      </c>
      <c r="S15" s="46">
        <f t="shared" si="4"/>
        <v>300</v>
      </c>
      <c r="T15" s="46">
        <f t="shared" si="4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5">D15+D14</f>
        <v>406.35</v>
      </c>
      <c r="E16" s="39">
        <f t="shared" si="5"/>
        <v>443.1</v>
      </c>
      <c r="F16" s="39">
        <f t="shared" si="5"/>
        <v>427.35</v>
      </c>
      <c r="G16" s="39"/>
      <c r="H16" s="39">
        <f t="shared" si="5"/>
        <v>479.85</v>
      </c>
      <c r="I16" s="39">
        <f t="shared" si="5"/>
        <v>485.1</v>
      </c>
      <c r="J16" s="39">
        <f t="shared" si="5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9.6750000000000007</v>
      </c>
      <c r="E17" s="37">
        <f t="shared" si="6"/>
        <v>10.55</v>
      </c>
      <c r="F17" s="37">
        <f t="shared" si="6"/>
        <v>10.175000000000001</v>
      </c>
      <c r="G17" s="37"/>
      <c r="H17" s="37">
        <f t="shared" si="6"/>
        <v>11.425000000000001</v>
      </c>
      <c r="I17" s="37">
        <f t="shared" si="6"/>
        <v>11.55</v>
      </c>
      <c r="J17" s="37">
        <f t="shared" si="6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tabSelected="1"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O16" sqref="O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O16" sqref="O16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47" t="s">
        <v>0</v>
      </c>
      <c r="C2" s="48"/>
      <c r="D2" s="48"/>
      <c r="E2" s="48"/>
      <c r="F2" s="48"/>
      <c r="G2" s="48"/>
      <c r="H2" s="48"/>
      <c r="I2" s="48"/>
      <c r="J2" s="48"/>
      <c r="K2" s="49"/>
    </row>
    <row r="3" spans="1:12" x14ac:dyDescent="0.35">
      <c r="A3" s="1"/>
      <c r="B3" s="50"/>
      <c r="C3" s="51"/>
      <c r="D3" s="51"/>
      <c r="E3" s="51"/>
      <c r="F3" s="51"/>
      <c r="G3" s="51"/>
      <c r="H3" s="51"/>
      <c r="I3" s="51"/>
      <c r="J3" s="51"/>
      <c r="K3" s="52"/>
    </row>
    <row r="4" spans="1:12" x14ac:dyDescent="0.35">
      <c r="A4" s="1"/>
      <c r="B4" s="50"/>
      <c r="C4" s="51"/>
      <c r="D4" s="51"/>
      <c r="E4" s="51"/>
      <c r="F4" s="51"/>
      <c r="G4" s="51"/>
      <c r="H4" s="51"/>
      <c r="I4" s="51"/>
      <c r="J4" s="51"/>
      <c r="K4" s="52"/>
    </row>
    <row r="5" spans="1:12" ht="15" thickBot="1" x14ac:dyDescent="0.4">
      <c r="A5" s="1"/>
      <c r="B5" s="53"/>
      <c r="C5" s="54"/>
      <c r="D5" s="54"/>
      <c r="E5" s="54"/>
      <c r="F5" s="54"/>
      <c r="G5" s="54"/>
      <c r="H5" s="54"/>
      <c r="I5" s="54"/>
      <c r="J5" s="54"/>
      <c r="K5" s="55"/>
    </row>
    <row r="6" spans="1:12" x14ac:dyDescent="0.35">
      <c r="A6" s="1"/>
      <c r="B6" s="2"/>
      <c r="C6" s="3" t="s">
        <v>1</v>
      </c>
      <c r="D6" s="56" t="s">
        <v>2</v>
      </c>
      <c r="E6" s="57"/>
      <c r="F6" s="57"/>
      <c r="G6" s="58"/>
      <c r="H6" s="57" t="s">
        <v>3</v>
      </c>
      <c r="I6" s="57"/>
      <c r="J6" s="57"/>
      <c r="K6" s="58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0">SUM(C8:C13)</f>
        <v>0</v>
      </c>
      <c r="D14" s="14">
        <f t="shared" si="0"/>
        <v>0</v>
      </c>
      <c r="E14" s="14">
        <f t="shared" si="0"/>
        <v>0</v>
      </c>
      <c r="F14" s="14">
        <f t="shared" si="0"/>
        <v>0</v>
      </c>
      <c r="G14" s="14">
        <f t="shared" si="0"/>
        <v>0</v>
      </c>
      <c r="H14" s="14">
        <f t="shared" si="0"/>
        <v>0</v>
      </c>
      <c r="I14" s="14">
        <f t="shared" si="0"/>
        <v>0</v>
      </c>
      <c r="J14" s="14">
        <f t="shared" si="0"/>
        <v>0</v>
      </c>
      <c r="K14" s="14">
        <f t="shared" si="0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1">E14/20</f>
        <v>0</v>
      </c>
      <c r="F15" s="13">
        <f t="shared" si="1"/>
        <v>0</v>
      </c>
      <c r="G15" s="13"/>
      <c r="H15" s="13">
        <f t="shared" si="1"/>
        <v>0</v>
      </c>
      <c r="I15" s="13">
        <f t="shared" si="1"/>
        <v>0</v>
      </c>
      <c r="J15" s="13">
        <f t="shared" si="1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2">D15+D14</f>
        <v>0</v>
      </c>
      <c r="E16" s="37">
        <f t="shared" si="2"/>
        <v>0</v>
      </c>
      <c r="F16" s="37">
        <f t="shared" si="2"/>
        <v>0</v>
      </c>
      <c r="G16" s="37"/>
      <c r="H16" s="37">
        <f t="shared" si="2"/>
        <v>0</v>
      </c>
      <c r="I16" s="37">
        <f t="shared" si="2"/>
        <v>0</v>
      </c>
      <c r="J16" s="37">
        <f t="shared" si="2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3">D14/40</f>
        <v>0</v>
      </c>
      <c r="E17" s="37">
        <f t="shared" si="3"/>
        <v>0</v>
      </c>
      <c r="F17" s="37">
        <f t="shared" si="3"/>
        <v>0</v>
      </c>
      <c r="G17" s="37"/>
      <c r="H17" s="37">
        <f t="shared" si="3"/>
        <v>0</v>
      </c>
      <c r="I17" s="37">
        <f t="shared" si="3"/>
        <v>0</v>
      </c>
      <c r="J17" s="37">
        <f t="shared" si="3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2026-06-16T09:16:49Z</dcterms:modified>
</cp:coreProperties>
</file>