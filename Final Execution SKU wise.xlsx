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6F925AB3-0FE4-4242-9ACE-4E8DCA6A65CD}" xr6:coauthVersionLast="47" xr6:coauthVersionMax="47" xr10:uidLastSave="{00000000-0000-0000-0000-000000000000}"/>
  <bookViews>
    <workbookView xWindow="-110" yWindow="-110" windowWidth="19420" windowHeight="10420" tabRatio="887" activeTab="11" xr2:uid="{6D56E189-8B51-44FA-B14F-5373D35B2784}"/>
  </bookViews>
  <sheets>
    <sheet name="last month" sheetId="1" r:id="rId1"/>
    <sheet name="01" sheetId="31" r:id="rId2"/>
    <sheet name="02" sheetId="30" r:id="rId3"/>
    <sheet name="03" sheetId="29" r:id="rId4"/>
    <sheet name="04" sheetId="28" r:id="rId5"/>
    <sheet name="05" sheetId="2" r:id="rId6"/>
    <sheet name="06" sheetId="3" r:id="rId7"/>
    <sheet name="07" sheetId="4" r:id="rId8"/>
    <sheet name="08" sheetId="5" r:id="rId9"/>
    <sheet name="09" sheetId="6" r:id="rId10"/>
    <sheet name="10" sheetId="7" r:id="rId11"/>
    <sheet name="11" sheetId="8" r:id="rId12"/>
    <sheet name="12" sheetId="9" r:id="rId13"/>
    <sheet name="13" sheetId="10" r:id="rId14"/>
    <sheet name="14" sheetId="11" r:id="rId15"/>
    <sheet name="15" sheetId="12" r:id="rId16"/>
    <sheet name="16" sheetId="13" r:id="rId17"/>
    <sheet name="17" sheetId="14" r:id="rId18"/>
    <sheet name="18" sheetId="15" r:id="rId19"/>
    <sheet name="19" sheetId="16" r:id="rId20"/>
    <sheet name="20" sheetId="17" r:id="rId21"/>
    <sheet name="21" sheetId="18" r:id="rId22"/>
    <sheet name="22" sheetId="19" r:id="rId23"/>
    <sheet name="23" sheetId="20" r:id="rId24"/>
    <sheet name="24" sheetId="21" r:id="rId25"/>
    <sheet name="25" sheetId="22" r:id="rId26"/>
    <sheet name="26" sheetId="23" r:id="rId27"/>
    <sheet name="27" sheetId="24" r:id="rId28"/>
    <sheet name="28" sheetId="25" r:id="rId29"/>
    <sheet name="29" sheetId="26" r:id="rId30"/>
    <sheet name="30" sheetId="27" r:id="rId31"/>
    <sheet name="31" sheetId="32" r:id="rId3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9" i="8" l="1"/>
  <c r="K10" i="8"/>
  <c r="G9" i="8"/>
  <c r="G10" i="8"/>
  <c r="B16" i="1" l="1"/>
  <c r="J14" i="1"/>
  <c r="J17" i="1" s="1"/>
  <c r="I14" i="1"/>
  <c r="I17" i="1" s="1"/>
  <c r="H14" i="1"/>
  <c r="H17" i="1" s="1"/>
  <c r="F14" i="1"/>
  <c r="F17" i="1" s="1"/>
  <c r="E14" i="1"/>
  <c r="E17" i="1" s="1"/>
  <c r="D14" i="1"/>
  <c r="D17" i="1" s="1"/>
  <c r="C14" i="1"/>
  <c r="C17" i="1" s="1"/>
  <c r="K8" i="1"/>
  <c r="K14" i="1" s="1"/>
  <c r="K17" i="1" s="1"/>
  <c r="G8" i="1"/>
  <c r="G14" i="1" s="1"/>
  <c r="G17" i="1" s="1"/>
  <c r="B16" i="30"/>
  <c r="B16" i="29"/>
  <c r="B16" i="28"/>
  <c r="B12" i="2"/>
  <c r="B16" i="3"/>
  <c r="B16" i="4"/>
  <c r="B16" i="5"/>
  <c r="B16" i="6"/>
  <c r="B16" i="7"/>
  <c r="B16" i="8"/>
  <c r="B16" i="9"/>
  <c r="B16" i="10"/>
  <c r="B16" i="11"/>
  <c r="B16" i="12"/>
  <c r="B16" i="13"/>
  <c r="B16" i="14"/>
  <c r="B16" i="15"/>
  <c r="B16" i="16"/>
  <c r="B16" i="17"/>
  <c r="B16" i="18"/>
  <c r="B16" i="19"/>
  <c r="B16" i="20"/>
  <c r="B16" i="21"/>
  <c r="B16" i="22"/>
  <c r="B16" i="23"/>
  <c r="B16" i="24"/>
  <c r="B16" i="25"/>
  <c r="B16" i="26"/>
  <c r="B16" i="27"/>
  <c r="B16" i="32"/>
  <c r="B16" i="31"/>
  <c r="K9" i="6" l="1"/>
  <c r="K10" i="6"/>
  <c r="K11" i="6"/>
  <c r="K12" i="6"/>
  <c r="K13" i="6"/>
  <c r="G9" i="6"/>
  <c r="G10" i="6"/>
  <c r="G11" i="6"/>
  <c r="G12" i="6"/>
  <c r="G13" i="6"/>
  <c r="K8" i="7"/>
  <c r="K8" i="8"/>
  <c r="K8" i="9"/>
  <c r="K8" i="10"/>
  <c r="K8" i="11"/>
  <c r="K8" i="12"/>
  <c r="K8" i="13"/>
  <c r="K8" i="14"/>
  <c r="K8" i="15"/>
  <c r="K8" i="16"/>
  <c r="K8" i="17"/>
  <c r="K8" i="18"/>
  <c r="K8" i="19"/>
  <c r="K8" i="20"/>
  <c r="K8" i="21"/>
  <c r="K8" i="22"/>
  <c r="K8" i="23"/>
  <c r="K8" i="24"/>
  <c r="K8" i="25"/>
  <c r="K8" i="26"/>
  <c r="K8" i="27"/>
  <c r="K8" i="32"/>
  <c r="K8" i="6"/>
  <c r="G8" i="7"/>
  <c r="G8" i="8"/>
  <c r="G8" i="9"/>
  <c r="G8" i="10"/>
  <c r="G8" i="11"/>
  <c r="G8" i="12"/>
  <c r="G8" i="13"/>
  <c r="G8" i="14"/>
  <c r="G8" i="15"/>
  <c r="G8" i="16"/>
  <c r="G8" i="17"/>
  <c r="G8" i="18"/>
  <c r="G8" i="19"/>
  <c r="G8" i="20"/>
  <c r="G8" i="21"/>
  <c r="G8" i="22"/>
  <c r="G8" i="23"/>
  <c r="G8" i="24"/>
  <c r="G8" i="25"/>
  <c r="G8" i="26"/>
  <c r="G8" i="27"/>
  <c r="G8" i="32"/>
  <c r="G8" i="6"/>
  <c r="K9" i="28" l="1"/>
  <c r="K10" i="28"/>
  <c r="K11" i="28"/>
  <c r="K12" i="28"/>
  <c r="K13" i="28"/>
  <c r="K8" i="28"/>
  <c r="G9" i="28"/>
  <c r="G10" i="28"/>
  <c r="G11" i="28"/>
  <c r="G12" i="28"/>
  <c r="G13" i="28"/>
  <c r="G8" i="28"/>
  <c r="K9" i="29"/>
  <c r="K10" i="29"/>
  <c r="K11" i="29"/>
  <c r="K12" i="29"/>
  <c r="K8" i="29"/>
  <c r="G9" i="29"/>
  <c r="G10" i="29"/>
  <c r="G11" i="29"/>
  <c r="G12" i="29"/>
  <c r="G8" i="29"/>
  <c r="K9" i="30"/>
  <c r="K10" i="30"/>
  <c r="K8" i="30"/>
  <c r="G9" i="30"/>
  <c r="G10" i="30"/>
  <c r="G8" i="30"/>
  <c r="K10" i="31"/>
  <c r="K9" i="31"/>
  <c r="K8" i="31"/>
  <c r="G10" i="31"/>
  <c r="G9" i="31"/>
  <c r="G8" i="31"/>
  <c r="H17" i="32" l="1"/>
  <c r="D17" i="32"/>
  <c r="K14" i="32"/>
  <c r="K17" i="32" s="1"/>
  <c r="J14" i="32"/>
  <c r="J17" i="32" s="1"/>
  <c r="I14" i="32"/>
  <c r="I17" i="32" s="1"/>
  <c r="H14" i="32"/>
  <c r="G14" i="32"/>
  <c r="G17" i="32" s="1"/>
  <c r="F14" i="32"/>
  <c r="F17" i="32" s="1"/>
  <c r="E14" i="32"/>
  <c r="E17" i="32" s="1"/>
  <c r="D14" i="32"/>
  <c r="C14" i="32"/>
  <c r="C17" i="32" s="1"/>
  <c r="K14" i="31"/>
  <c r="K17" i="31" s="1"/>
  <c r="J14" i="31"/>
  <c r="J17" i="31" s="1"/>
  <c r="I14" i="31"/>
  <c r="I17" i="31" s="1"/>
  <c r="H14" i="31"/>
  <c r="H17" i="31" s="1"/>
  <c r="G14" i="31"/>
  <c r="G17" i="31" s="1"/>
  <c r="F14" i="31"/>
  <c r="F17" i="31" s="1"/>
  <c r="E14" i="31"/>
  <c r="E17" i="31" s="1"/>
  <c r="D14" i="31"/>
  <c r="D17" i="31" s="1"/>
  <c r="C14" i="31"/>
  <c r="C17" i="31" s="1"/>
  <c r="K14" i="30"/>
  <c r="K17" i="30" s="1"/>
  <c r="J14" i="30"/>
  <c r="J17" i="30" s="1"/>
  <c r="I14" i="30"/>
  <c r="I17" i="30" s="1"/>
  <c r="H14" i="30"/>
  <c r="H17" i="30" s="1"/>
  <c r="G14" i="30"/>
  <c r="G17" i="30" s="1"/>
  <c r="F14" i="30"/>
  <c r="F17" i="30" s="1"/>
  <c r="E14" i="30"/>
  <c r="E17" i="30" s="1"/>
  <c r="D14" i="30"/>
  <c r="D17" i="30" s="1"/>
  <c r="C14" i="30"/>
  <c r="C17" i="30" s="1"/>
  <c r="K14" i="29"/>
  <c r="K17" i="29" s="1"/>
  <c r="J14" i="29"/>
  <c r="J17" i="29" s="1"/>
  <c r="I14" i="29"/>
  <c r="I17" i="29" s="1"/>
  <c r="H14" i="29"/>
  <c r="H17" i="29" s="1"/>
  <c r="G14" i="29"/>
  <c r="G17" i="29" s="1"/>
  <c r="F14" i="29"/>
  <c r="F17" i="29" s="1"/>
  <c r="E14" i="29"/>
  <c r="E17" i="29" s="1"/>
  <c r="D14" i="29"/>
  <c r="D17" i="29" s="1"/>
  <c r="C14" i="29"/>
  <c r="C17" i="29" s="1"/>
  <c r="K14" i="28"/>
  <c r="K17" i="28" s="1"/>
  <c r="J14" i="28"/>
  <c r="J17" i="28" s="1"/>
  <c r="I14" i="28"/>
  <c r="I17" i="28" s="1"/>
  <c r="H14" i="28"/>
  <c r="H17" i="28" s="1"/>
  <c r="G14" i="28"/>
  <c r="G17" i="28" s="1"/>
  <c r="F14" i="28"/>
  <c r="F17" i="28" s="1"/>
  <c r="E14" i="28"/>
  <c r="E17" i="28" s="1"/>
  <c r="D14" i="28"/>
  <c r="D17" i="28" s="1"/>
  <c r="C14" i="28"/>
  <c r="C17" i="28" s="1"/>
  <c r="K14" i="27"/>
  <c r="K17" i="27" s="1"/>
  <c r="J14" i="27"/>
  <c r="J17" i="27" s="1"/>
  <c r="I14" i="27"/>
  <c r="I17" i="27" s="1"/>
  <c r="H14" i="27"/>
  <c r="H17" i="27" s="1"/>
  <c r="G14" i="27"/>
  <c r="G17" i="27" s="1"/>
  <c r="F14" i="27"/>
  <c r="F17" i="27" s="1"/>
  <c r="E14" i="27"/>
  <c r="E17" i="27" s="1"/>
  <c r="D14" i="27"/>
  <c r="D17" i="27" s="1"/>
  <c r="C14" i="27"/>
  <c r="C17" i="27" s="1"/>
  <c r="K14" i="26"/>
  <c r="K17" i="26" s="1"/>
  <c r="J14" i="26"/>
  <c r="J17" i="26" s="1"/>
  <c r="I14" i="26"/>
  <c r="I17" i="26" s="1"/>
  <c r="H14" i="26"/>
  <c r="H17" i="26" s="1"/>
  <c r="G14" i="26"/>
  <c r="G17" i="26" s="1"/>
  <c r="F14" i="26"/>
  <c r="F17" i="26" s="1"/>
  <c r="E14" i="26"/>
  <c r="E17" i="26" s="1"/>
  <c r="D14" i="26"/>
  <c r="D17" i="26" s="1"/>
  <c r="C14" i="26"/>
  <c r="C17" i="26" s="1"/>
  <c r="H17" i="25"/>
  <c r="K14" i="25"/>
  <c r="K17" i="25" s="1"/>
  <c r="J14" i="25"/>
  <c r="J17" i="25" s="1"/>
  <c r="I14" i="25"/>
  <c r="I17" i="25" s="1"/>
  <c r="H14" i="25"/>
  <c r="G14" i="25"/>
  <c r="G17" i="25" s="1"/>
  <c r="F14" i="25"/>
  <c r="F17" i="25" s="1"/>
  <c r="E14" i="25"/>
  <c r="E17" i="25" s="1"/>
  <c r="D14" i="25"/>
  <c r="D17" i="25" s="1"/>
  <c r="C14" i="25"/>
  <c r="C17" i="25" s="1"/>
  <c r="K14" i="24"/>
  <c r="K17" i="24" s="1"/>
  <c r="J14" i="24"/>
  <c r="J17" i="24" s="1"/>
  <c r="I14" i="24"/>
  <c r="I17" i="24" s="1"/>
  <c r="H14" i="24"/>
  <c r="H17" i="24" s="1"/>
  <c r="G14" i="24"/>
  <c r="G17" i="24" s="1"/>
  <c r="F14" i="24"/>
  <c r="F17" i="24" s="1"/>
  <c r="E14" i="24"/>
  <c r="E17" i="24" s="1"/>
  <c r="D14" i="24"/>
  <c r="D17" i="24" s="1"/>
  <c r="C14" i="24"/>
  <c r="C17" i="24" s="1"/>
  <c r="H17" i="23"/>
  <c r="K14" i="23"/>
  <c r="K17" i="23" s="1"/>
  <c r="J14" i="23"/>
  <c r="J17" i="23" s="1"/>
  <c r="I14" i="23"/>
  <c r="I17" i="23" s="1"/>
  <c r="H14" i="23"/>
  <c r="G14" i="23"/>
  <c r="G17" i="23" s="1"/>
  <c r="F14" i="23"/>
  <c r="F17" i="23" s="1"/>
  <c r="E14" i="23"/>
  <c r="E17" i="23" s="1"/>
  <c r="D14" i="23"/>
  <c r="D17" i="23" s="1"/>
  <c r="C14" i="23"/>
  <c r="C17" i="23" s="1"/>
  <c r="K14" i="22"/>
  <c r="K17" i="22" s="1"/>
  <c r="J14" i="22"/>
  <c r="J17" i="22" s="1"/>
  <c r="I14" i="22"/>
  <c r="I17" i="22" s="1"/>
  <c r="H14" i="22"/>
  <c r="H17" i="22" s="1"/>
  <c r="G14" i="22"/>
  <c r="G17" i="22" s="1"/>
  <c r="F14" i="22"/>
  <c r="F17" i="22" s="1"/>
  <c r="E14" i="22"/>
  <c r="E17" i="22" s="1"/>
  <c r="D14" i="22"/>
  <c r="D17" i="22" s="1"/>
  <c r="C14" i="22"/>
  <c r="C17" i="22" s="1"/>
  <c r="J17" i="21"/>
  <c r="F17" i="21"/>
  <c r="K14" i="21"/>
  <c r="K17" i="21" s="1"/>
  <c r="J14" i="21"/>
  <c r="I14" i="21"/>
  <c r="I17" i="21" s="1"/>
  <c r="H14" i="21"/>
  <c r="H17" i="21" s="1"/>
  <c r="G14" i="21"/>
  <c r="G17" i="21" s="1"/>
  <c r="F14" i="21"/>
  <c r="E14" i="21"/>
  <c r="E17" i="21" s="1"/>
  <c r="D14" i="21"/>
  <c r="D17" i="21" s="1"/>
  <c r="C14" i="21"/>
  <c r="C17" i="21" s="1"/>
  <c r="H17" i="20"/>
  <c r="K14" i="20"/>
  <c r="K17" i="20" s="1"/>
  <c r="J14" i="20"/>
  <c r="J17" i="20" s="1"/>
  <c r="I14" i="20"/>
  <c r="I17" i="20" s="1"/>
  <c r="H14" i="20"/>
  <c r="G14" i="20"/>
  <c r="G17" i="20" s="1"/>
  <c r="F14" i="20"/>
  <c r="F17" i="20" s="1"/>
  <c r="E14" i="20"/>
  <c r="E17" i="20" s="1"/>
  <c r="D14" i="20"/>
  <c r="D17" i="20" s="1"/>
  <c r="C14" i="20"/>
  <c r="C17" i="20" s="1"/>
  <c r="K14" i="19"/>
  <c r="K17" i="19" s="1"/>
  <c r="J14" i="19"/>
  <c r="J17" i="19" s="1"/>
  <c r="I14" i="19"/>
  <c r="I17" i="19" s="1"/>
  <c r="H14" i="19"/>
  <c r="H17" i="19" s="1"/>
  <c r="G14" i="19"/>
  <c r="G17" i="19" s="1"/>
  <c r="F14" i="19"/>
  <c r="F17" i="19" s="1"/>
  <c r="E14" i="19"/>
  <c r="E17" i="19" s="1"/>
  <c r="D14" i="19"/>
  <c r="D17" i="19" s="1"/>
  <c r="C14" i="19"/>
  <c r="C17" i="19" s="1"/>
  <c r="K14" i="18"/>
  <c r="K17" i="18" s="1"/>
  <c r="J14" i="18"/>
  <c r="J17" i="18" s="1"/>
  <c r="I14" i="18"/>
  <c r="I17" i="18" s="1"/>
  <c r="H14" i="18"/>
  <c r="H17" i="18" s="1"/>
  <c r="G14" i="18"/>
  <c r="G17" i="18" s="1"/>
  <c r="F14" i="18"/>
  <c r="F17" i="18" s="1"/>
  <c r="E14" i="18"/>
  <c r="E17" i="18" s="1"/>
  <c r="D14" i="18"/>
  <c r="D17" i="18" s="1"/>
  <c r="C14" i="18"/>
  <c r="C17" i="18" s="1"/>
  <c r="K14" i="17" l="1"/>
  <c r="K17" i="17" s="1"/>
  <c r="J14" i="17"/>
  <c r="J17" i="17" s="1"/>
  <c r="I14" i="17"/>
  <c r="I17" i="17" s="1"/>
  <c r="H14" i="17"/>
  <c r="H17" i="17" s="1"/>
  <c r="G14" i="17"/>
  <c r="G17" i="17" s="1"/>
  <c r="F14" i="17"/>
  <c r="F17" i="17" s="1"/>
  <c r="E14" i="17"/>
  <c r="E17" i="17" s="1"/>
  <c r="D14" i="17"/>
  <c r="D17" i="17" s="1"/>
  <c r="C14" i="17"/>
  <c r="C17" i="17" s="1"/>
  <c r="H17" i="16"/>
  <c r="K14" i="16"/>
  <c r="K17" i="16" s="1"/>
  <c r="J14" i="16"/>
  <c r="J17" i="16" s="1"/>
  <c r="I14" i="16"/>
  <c r="I17" i="16" s="1"/>
  <c r="H14" i="16"/>
  <c r="G14" i="16"/>
  <c r="G17" i="16" s="1"/>
  <c r="F14" i="16"/>
  <c r="F17" i="16" s="1"/>
  <c r="E14" i="16"/>
  <c r="E17" i="16" s="1"/>
  <c r="D14" i="16"/>
  <c r="D17" i="16" s="1"/>
  <c r="C14" i="16"/>
  <c r="C17" i="16" s="1"/>
  <c r="K14" i="15"/>
  <c r="K17" i="15" s="1"/>
  <c r="J14" i="15"/>
  <c r="J17" i="15" s="1"/>
  <c r="I14" i="15"/>
  <c r="I17" i="15" s="1"/>
  <c r="H14" i="15"/>
  <c r="H17" i="15" s="1"/>
  <c r="G14" i="15"/>
  <c r="G17" i="15" s="1"/>
  <c r="F14" i="15"/>
  <c r="F17" i="15" s="1"/>
  <c r="E14" i="15"/>
  <c r="E17" i="15" s="1"/>
  <c r="D14" i="15"/>
  <c r="D17" i="15" s="1"/>
  <c r="C14" i="15"/>
  <c r="C17" i="15" s="1"/>
  <c r="K14" i="14"/>
  <c r="K17" i="14" s="1"/>
  <c r="J14" i="14"/>
  <c r="J17" i="14" s="1"/>
  <c r="I14" i="14"/>
  <c r="I17" i="14" s="1"/>
  <c r="H14" i="14"/>
  <c r="H17" i="14" s="1"/>
  <c r="G14" i="14"/>
  <c r="G17" i="14" s="1"/>
  <c r="F14" i="14"/>
  <c r="F17" i="14" s="1"/>
  <c r="E14" i="14"/>
  <c r="E17" i="14" s="1"/>
  <c r="D14" i="14"/>
  <c r="D17" i="14" s="1"/>
  <c r="C14" i="14"/>
  <c r="C17" i="14" s="1"/>
  <c r="H17" i="13"/>
  <c r="K14" i="13"/>
  <c r="K17" i="13" s="1"/>
  <c r="J14" i="13"/>
  <c r="J17" i="13" s="1"/>
  <c r="I14" i="13"/>
  <c r="I17" i="13" s="1"/>
  <c r="H14" i="13"/>
  <c r="G14" i="13"/>
  <c r="G17" i="13" s="1"/>
  <c r="F14" i="13"/>
  <c r="F17" i="13" s="1"/>
  <c r="E14" i="13"/>
  <c r="E17" i="13" s="1"/>
  <c r="D14" i="13"/>
  <c r="D17" i="13" s="1"/>
  <c r="C14" i="13"/>
  <c r="C17" i="13" s="1"/>
  <c r="K14" i="12"/>
  <c r="K17" i="12" s="1"/>
  <c r="J14" i="12"/>
  <c r="J17" i="12" s="1"/>
  <c r="I14" i="12"/>
  <c r="I17" i="12" s="1"/>
  <c r="H14" i="12"/>
  <c r="H17" i="12" s="1"/>
  <c r="G14" i="12"/>
  <c r="G17" i="12" s="1"/>
  <c r="F14" i="12"/>
  <c r="F17" i="12" s="1"/>
  <c r="E14" i="12"/>
  <c r="E17" i="12" s="1"/>
  <c r="D14" i="12"/>
  <c r="D17" i="12" s="1"/>
  <c r="C14" i="12"/>
  <c r="C17" i="12" s="1"/>
  <c r="H17" i="11"/>
  <c r="K14" i="11"/>
  <c r="K17" i="11" s="1"/>
  <c r="J14" i="11"/>
  <c r="J17" i="11" s="1"/>
  <c r="I14" i="11"/>
  <c r="I17" i="11" s="1"/>
  <c r="H14" i="11"/>
  <c r="G14" i="11"/>
  <c r="G17" i="11" s="1"/>
  <c r="F14" i="11"/>
  <c r="F17" i="11" s="1"/>
  <c r="E14" i="11"/>
  <c r="E17" i="11" s="1"/>
  <c r="D14" i="11"/>
  <c r="D17" i="11" s="1"/>
  <c r="C14" i="11"/>
  <c r="C17" i="11" s="1"/>
  <c r="H17" i="10"/>
  <c r="K14" i="10"/>
  <c r="K17" i="10" s="1"/>
  <c r="J14" i="10"/>
  <c r="J17" i="10" s="1"/>
  <c r="I14" i="10"/>
  <c r="I17" i="10" s="1"/>
  <c r="H14" i="10"/>
  <c r="G14" i="10"/>
  <c r="G17" i="10" s="1"/>
  <c r="F14" i="10"/>
  <c r="F17" i="10" s="1"/>
  <c r="E14" i="10"/>
  <c r="E17" i="10" s="1"/>
  <c r="D14" i="10"/>
  <c r="D17" i="10" s="1"/>
  <c r="C14" i="10"/>
  <c r="C17" i="10" s="1"/>
  <c r="K14" i="9"/>
  <c r="K17" i="9" s="1"/>
  <c r="J14" i="9"/>
  <c r="J17" i="9" s="1"/>
  <c r="I14" i="9"/>
  <c r="I17" i="9" s="1"/>
  <c r="H14" i="9"/>
  <c r="H17" i="9" s="1"/>
  <c r="G14" i="9"/>
  <c r="G17" i="9" s="1"/>
  <c r="F14" i="9"/>
  <c r="F17" i="9" s="1"/>
  <c r="E14" i="9"/>
  <c r="E17" i="9" s="1"/>
  <c r="D14" i="9"/>
  <c r="D17" i="9" s="1"/>
  <c r="C14" i="9"/>
  <c r="C17" i="9" s="1"/>
  <c r="K14" i="8"/>
  <c r="K17" i="8" s="1"/>
  <c r="J14" i="8"/>
  <c r="J17" i="8" s="1"/>
  <c r="I14" i="8"/>
  <c r="I17" i="8" s="1"/>
  <c r="H14" i="8"/>
  <c r="H17" i="8" s="1"/>
  <c r="G14" i="8"/>
  <c r="G17" i="8" s="1"/>
  <c r="F14" i="8"/>
  <c r="F17" i="8" s="1"/>
  <c r="E14" i="8"/>
  <c r="E17" i="8" s="1"/>
  <c r="D14" i="8"/>
  <c r="D17" i="8" s="1"/>
  <c r="C14" i="8"/>
  <c r="C17" i="8" s="1"/>
  <c r="K14" i="7"/>
  <c r="K17" i="7" s="1"/>
  <c r="J14" i="7"/>
  <c r="J17" i="7" s="1"/>
  <c r="I14" i="7"/>
  <c r="I17" i="7" s="1"/>
  <c r="H14" i="7"/>
  <c r="H17" i="7" s="1"/>
  <c r="G14" i="7"/>
  <c r="G17" i="7" s="1"/>
  <c r="F14" i="7"/>
  <c r="F17" i="7" s="1"/>
  <c r="E14" i="7"/>
  <c r="E17" i="7" s="1"/>
  <c r="D14" i="7"/>
  <c r="D17" i="7" s="1"/>
  <c r="C14" i="7"/>
  <c r="C17" i="7" s="1"/>
  <c r="J14" i="6"/>
  <c r="J17" i="6" s="1"/>
  <c r="I14" i="6"/>
  <c r="I17" i="6" s="1"/>
  <c r="H14" i="6"/>
  <c r="G14" i="6"/>
  <c r="G17" i="6" s="1"/>
  <c r="F14" i="6"/>
  <c r="F17" i="6" s="1"/>
  <c r="E14" i="6"/>
  <c r="E17" i="6" s="1"/>
  <c r="D14" i="6"/>
  <c r="D17" i="6" s="1"/>
  <c r="C14" i="6"/>
  <c r="C17" i="6" s="1"/>
  <c r="H17" i="5"/>
  <c r="D17" i="5"/>
  <c r="K14" i="5"/>
  <c r="K17" i="5" s="1"/>
  <c r="J14" i="5"/>
  <c r="J17" i="5" s="1"/>
  <c r="I14" i="5"/>
  <c r="I17" i="5" s="1"/>
  <c r="H14" i="5"/>
  <c r="G14" i="5"/>
  <c r="G17" i="5" s="1"/>
  <c r="F14" i="5"/>
  <c r="F17" i="5" s="1"/>
  <c r="E14" i="5"/>
  <c r="E17" i="5" s="1"/>
  <c r="D14" i="5"/>
  <c r="C14" i="5"/>
  <c r="C17" i="5" s="1"/>
  <c r="H17" i="6" l="1"/>
  <c r="K14" i="6"/>
  <c r="K17" i="6" s="1"/>
  <c r="K14" i="4"/>
  <c r="K17" i="4" s="1"/>
  <c r="J14" i="4"/>
  <c r="J17" i="4" s="1"/>
  <c r="I14" i="4"/>
  <c r="I17" i="4" s="1"/>
  <c r="H14" i="4"/>
  <c r="H17" i="4" s="1"/>
  <c r="G14" i="4"/>
  <c r="G17" i="4" s="1"/>
  <c r="F14" i="4"/>
  <c r="F17" i="4" s="1"/>
  <c r="E14" i="4"/>
  <c r="E17" i="4" s="1"/>
  <c r="D14" i="4"/>
  <c r="D17" i="4" s="1"/>
  <c r="C14" i="4"/>
  <c r="C17" i="4" s="1"/>
  <c r="K13" i="3" l="1"/>
  <c r="K16" i="3" s="1"/>
  <c r="J13" i="3"/>
  <c r="J16" i="3" s="1"/>
  <c r="I13" i="3"/>
  <c r="I16" i="3" s="1"/>
  <c r="H13" i="3"/>
  <c r="H16" i="3" s="1"/>
  <c r="G13" i="3"/>
  <c r="G16" i="3" s="1"/>
  <c r="F13" i="3"/>
  <c r="F16" i="3" s="1"/>
  <c r="E13" i="3"/>
  <c r="E16" i="3" s="1"/>
  <c r="D13" i="3"/>
  <c r="D16" i="3" s="1"/>
  <c r="C13" i="3"/>
  <c r="C16" i="3" s="1"/>
  <c r="K15" i="2" l="1"/>
  <c r="K18" i="2" s="1"/>
  <c r="J15" i="2"/>
  <c r="J18" i="2" s="1"/>
  <c r="I15" i="2"/>
  <c r="I18" i="2" s="1"/>
  <c r="H15" i="2"/>
  <c r="H18" i="2" s="1"/>
  <c r="G15" i="2"/>
  <c r="G18" i="2" s="1"/>
  <c r="F15" i="2"/>
  <c r="F18" i="2" s="1"/>
  <c r="E15" i="2"/>
  <c r="E18" i="2" s="1"/>
  <c r="D15" i="2"/>
  <c r="D18" i="2" s="1"/>
  <c r="C15" i="2"/>
  <c r="C18" i="2" s="1"/>
</calcChain>
</file>

<file path=xl/sharedStrings.xml><?xml version="1.0" encoding="utf-8"?>
<sst xmlns="http://schemas.openxmlformats.org/spreadsheetml/2006/main" count="519" uniqueCount="37">
  <si>
    <t>Gate Pass</t>
  </si>
  <si>
    <t>60gm</t>
  </si>
  <si>
    <t>70 Gmm</t>
  </si>
  <si>
    <t>120Gm</t>
  </si>
  <si>
    <t>Date</t>
  </si>
  <si>
    <t>Name</t>
  </si>
  <si>
    <t xml:space="preserve">CHK  </t>
  </si>
  <si>
    <t xml:space="preserve">LEM </t>
  </si>
  <si>
    <t>CHK FOC</t>
  </si>
  <si>
    <t xml:space="preserve">Salman </t>
  </si>
  <si>
    <t xml:space="preserve">Zahid </t>
  </si>
  <si>
    <t xml:space="preserve">Mubeen </t>
  </si>
  <si>
    <t>LEM</t>
  </si>
  <si>
    <t>CHK</t>
  </si>
  <si>
    <t>Meat</t>
  </si>
  <si>
    <t>Salman</t>
  </si>
  <si>
    <t xml:space="preserve">Zeshan </t>
  </si>
  <si>
    <t>Zahid</t>
  </si>
  <si>
    <t>Salman aslam</t>
  </si>
  <si>
    <t>zeshan</t>
  </si>
  <si>
    <t>zahid</t>
  </si>
  <si>
    <t>salman</t>
  </si>
  <si>
    <t>mubeen</t>
  </si>
  <si>
    <t>furqan</t>
  </si>
  <si>
    <t xml:space="preserve">zahid </t>
  </si>
  <si>
    <t>salman butt</t>
  </si>
  <si>
    <t>Zahid Rafique</t>
  </si>
  <si>
    <t>zeeshan</t>
  </si>
  <si>
    <t>Furqan Ali</t>
  </si>
  <si>
    <t>Salman Butt</t>
  </si>
  <si>
    <t xml:space="preserve">Mobeen </t>
  </si>
  <si>
    <t xml:space="preserve">Total </t>
  </si>
  <si>
    <t>Furqan</t>
  </si>
  <si>
    <t xml:space="preserve">Last Month </t>
  </si>
  <si>
    <t>Mubeen</t>
  </si>
  <si>
    <t>shops</t>
  </si>
  <si>
    <t>ctns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</si>
</sst>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1" fillId="0" borderId="9" xfId="0" applyFont="1" applyBorder="1"/>
    <xf numFmtId="0" fontId="2" fillId="0" borderId="10" xfId="0" applyFont="1" applyBorder="1" applyAlignment="1">
      <alignment horizontal="center"/>
    </xf>
    <xf numFmtId="0" fontId="2" fillId="0" borderId="11" xfId="0" applyFont="1" applyBorder="1"/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/>
    <xf numFmtId="0" fontId="2" fillId="0" borderId="15" xfId="0" applyFont="1" applyBorder="1" applyAlignment="1">
      <alignment horizontal="left"/>
    </xf>
    <xf numFmtId="0" fontId="2" fillId="0" borderId="15" xfId="0" applyFont="1" applyBorder="1" applyAlignment="1">
      <alignment horizontal="center" vertical="center"/>
    </xf>
    <xf numFmtId="0" fontId="1" fillId="0" borderId="15" xfId="0" applyFont="1" applyBorder="1"/>
    <xf numFmtId="0" fontId="2" fillId="2" borderId="15" xfId="0" applyFont="1" applyFill="1" applyBorder="1" applyAlignment="1">
      <alignment horizontal="center"/>
    </xf>
    <xf numFmtId="0" fontId="2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0" xfId="0" applyFont="1" applyAlignment="1">
      <alignment horizontal="center"/>
    </xf>
    <xf numFmtId="16" fontId="2" fillId="0" borderId="15" xfId="0" applyNumberFormat="1" applyFont="1" applyBorder="1"/>
    <xf numFmtId="0" fontId="2" fillId="3" borderId="15" xfId="0" applyFont="1" applyFill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0" fontId="2" fillId="4" borderId="27" xfId="0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A86E-F402-4488-8063-E587A4C46F24}">
  <dimension ref="A1:K19"/>
  <sheetViews>
    <sheetView topLeftCell="A2" zoomScale="115" zoomScaleNormal="115" workbookViewId="0">
      <selection activeCell="M8" sqref="M8"/>
    </sheetView>
  </sheetViews>
  <sheetFormatPr defaultRowHeight="14.5" x14ac:dyDescent="0.35"/>
  <cols>
    <col min="1" max="1" width="4.6328125" bestFit="1" customWidth="1"/>
    <col min="2" max="2" width="8.08984375" bestFit="1" customWidth="1"/>
    <col min="3" max="3" width="5.453125" bestFit="1" customWidth="1"/>
    <col min="4" max="4" width="4.90625" bestFit="1" customWidth="1"/>
    <col min="5" max="5" width="4.7265625" bestFit="1" customWidth="1"/>
    <col min="6" max="6" width="4.6328125" bestFit="1" customWidth="1"/>
    <col min="7" max="7" width="8.6328125" bestFit="1" customWidth="1"/>
    <col min="8" max="8" width="4.90625" bestFit="1" customWidth="1"/>
    <col min="9" max="9" width="5.26953125" bestFit="1" customWidth="1"/>
    <col min="10" max="10" width="4.6328125" bestFit="1" customWidth="1"/>
    <col min="11" max="11" width="8.63281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 t="s">
        <v>33</v>
      </c>
      <c r="C8" s="12">
        <v>1003</v>
      </c>
      <c r="D8" s="12">
        <v>1613</v>
      </c>
      <c r="E8" s="12">
        <v>2442</v>
      </c>
      <c r="F8" s="12">
        <v>1036</v>
      </c>
      <c r="G8" s="28">
        <f>SUM(D8:F8)/20</f>
        <v>254.55</v>
      </c>
      <c r="H8" s="12">
        <v>5269</v>
      </c>
      <c r="I8" s="12">
        <v>3838</v>
      </c>
      <c r="J8" s="12">
        <v>4835</v>
      </c>
      <c r="K8" s="28">
        <f>SUM(H8:J8)/20</f>
        <v>697.1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1003</v>
      </c>
      <c r="D14" s="14">
        <f t="shared" si="0"/>
        <v>1613</v>
      </c>
      <c r="E14" s="14">
        <f t="shared" si="0"/>
        <v>2442</v>
      </c>
      <c r="F14" s="14">
        <f t="shared" si="0"/>
        <v>1036</v>
      </c>
      <c r="G14" s="14">
        <f t="shared" si="0"/>
        <v>254.55</v>
      </c>
      <c r="H14" s="14">
        <f t="shared" si="0"/>
        <v>5269</v>
      </c>
      <c r="I14" s="14">
        <f t="shared" si="0"/>
        <v>3838</v>
      </c>
      <c r="J14" s="14">
        <f t="shared" si="0"/>
        <v>4835</v>
      </c>
      <c r="K14" s="14">
        <f t="shared" si="0"/>
        <v>697.1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500.9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25.074999999999999</v>
      </c>
      <c r="D17" s="26">
        <f t="shared" ref="D17:K17" si="1">D14/40</f>
        <v>40.325000000000003</v>
      </c>
      <c r="E17" s="26">
        <f t="shared" si="1"/>
        <v>61.05</v>
      </c>
      <c r="F17" s="26">
        <f t="shared" si="1"/>
        <v>25.9</v>
      </c>
      <c r="G17" s="26">
        <f t="shared" si="1"/>
        <v>6.3637500000000005</v>
      </c>
      <c r="H17" s="26">
        <f t="shared" si="1"/>
        <v>131.72499999999999</v>
      </c>
      <c r="I17" s="26">
        <f t="shared" si="1"/>
        <v>95.95</v>
      </c>
      <c r="J17" s="26">
        <f t="shared" si="1"/>
        <v>120.875</v>
      </c>
      <c r="K17" s="26">
        <f t="shared" si="1"/>
        <v>17.427500000000002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CAA6-5F18-4A8B-941D-0A495D324550}">
  <dimension ref="A1:K19"/>
  <sheetViews>
    <sheetView topLeftCell="A4" zoomScale="130" zoomScaleNormal="130" workbookViewId="0">
      <selection activeCell="D19" sqref="D19"/>
    </sheetView>
  </sheetViews>
  <sheetFormatPr defaultRowHeight="14.5" x14ac:dyDescent="0.35"/>
  <cols>
    <col min="1" max="1" width="3.90625" bestFit="1" customWidth="1"/>
    <col min="2" max="2" width="9.089843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>
        <v>46174</v>
      </c>
      <c r="B8" s="10" t="s">
        <v>17</v>
      </c>
      <c r="C8" s="12">
        <v>110</v>
      </c>
      <c r="D8" s="12">
        <v>16</v>
      </c>
      <c r="E8" s="12">
        <v>10</v>
      </c>
      <c r="F8" s="12">
        <v>10</v>
      </c>
      <c r="G8" s="28">
        <f>SUM(D8:F8)/20</f>
        <v>1.8</v>
      </c>
      <c r="H8" s="12">
        <v>25</v>
      </c>
      <c r="I8" s="12">
        <v>17</v>
      </c>
      <c r="J8" s="12">
        <v>21</v>
      </c>
      <c r="K8" s="28">
        <f>SUM(H8:J8)/20</f>
        <v>3.15</v>
      </c>
    </row>
    <row r="9" spans="1:11" x14ac:dyDescent="0.35">
      <c r="A9" s="27">
        <v>46174</v>
      </c>
      <c r="B9" s="10" t="s">
        <v>18</v>
      </c>
      <c r="C9" s="12">
        <v>80</v>
      </c>
      <c r="D9" s="12">
        <v>16</v>
      </c>
      <c r="E9" s="12">
        <v>10</v>
      </c>
      <c r="F9" s="12">
        <v>10</v>
      </c>
      <c r="G9" s="28">
        <f>SUM(D9:F9)/20</f>
        <v>1.8</v>
      </c>
      <c r="H9" s="12">
        <v>25</v>
      </c>
      <c r="I9" s="12">
        <v>17</v>
      </c>
      <c r="J9" s="12">
        <v>20</v>
      </c>
      <c r="K9" s="28">
        <f>SUM(H9:J9)/20</f>
        <v>3.1</v>
      </c>
    </row>
    <row r="10" spans="1:11" x14ac:dyDescent="0.35">
      <c r="A10" s="27"/>
      <c r="B10" s="10"/>
      <c r="C10" s="12"/>
      <c r="D10" s="12"/>
      <c r="E10" s="12"/>
      <c r="F10" s="12"/>
      <c r="G10" s="28">
        <f>SUM(D10:F10)/20</f>
        <v>0</v>
      </c>
      <c r="H10" s="12"/>
      <c r="I10" s="12"/>
      <c r="J10" s="12"/>
      <c r="K10" s="28">
        <f>SUM(H10:J10)/20</f>
        <v>0</v>
      </c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190</v>
      </c>
      <c r="D14" s="14">
        <f t="shared" si="0"/>
        <v>32</v>
      </c>
      <c r="E14" s="14">
        <f t="shared" si="0"/>
        <v>20</v>
      </c>
      <c r="F14" s="14">
        <f t="shared" si="0"/>
        <v>20</v>
      </c>
      <c r="G14" s="14">
        <f t="shared" si="0"/>
        <v>3.6</v>
      </c>
      <c r="H14" s="14">
        <f t="shared" si="0"/>
        <v>50</v>
      </c>
      <c r="I14" s="14">
        <f t="shared" si="0"/>
        <v>34</v>
      </c>
      <c r="J14" s="14">
        <f t="shared" si="0"/>
        <v>41</v>
      </c>
      <c r="K14" s="14">
        <f t="shared" si="0"/>
        <v>6.25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9.6750000000000007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4.75</v>
      </c>
      <c r="D17" s="26">
        <f t="shared" ref="D17:K17" si="1">D14/40</f>
        <v>0.8</v>
      </c>
      <c r="E17" s="26">
        <f t="shared" si="1"/>
        <v>0.5</v>
      </c>
      <c r="F17" s="26">
        <f t="shared" si="1"/>
        <v>0.5</v>
      </c>
      <c r="G17" s="26">
        <f t="shared" si="1"/>
        <v>0.09</v>
      </c>
      <c r="H17" s="26">
        <f t="shared" si="1"/>
        <v>1.25</v>
      </c>
      <c r="I17" s="26">
        <f t="shared" si="1"/>
        <v>0.85</v>
      </c>
      <c r="J17" s="26">
        <f t="shared" si="1"/>
        <v>1.0249999999999999</v>
      </c>
      <c r="K17" s="26">
        <f t="shared" si="1"/>
        <v>0.15625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83036-5829-41EE-A523-B54FFD02B91C}">
  <dimension ref="A1:K19"/>
  <sheetViews>
    <sheetView topLeftCell="A2" zoomScale="115" zoomScaleNormal="115" workbookViewId="0">
      <selection activeCell="B16" sqref="B16"/>
    </sheetView>
  </sheetViews>
  <sheetFormatPr defaultRowHeight="14.5" x14ac:dyDescent="0.35"/>
  <cols>
    <col min="1" max="1" width="3.90625" bestFit="1" customWidth="1"/>
    <col min="2" max="2" width="6.17968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>
        <v>46175</v>
      </c>
      <c r="B8" s="10" t="s">
        <v>16</v>
      </c>
      <c r="C8" s="12">
        <v>40</v>
      </c>
      <c r="D8" s="12">
        <v>40</v>
      </c>
      <c r="E8" s="12">
        <v>44</v>
      </c>
      <c r="F8" s="12">
        <v>22</v>
      </c>
      <c r="G8" s="28">
        <f>SUM(D8:F8)/20</f>
        <v>5.3</v>
      </c>
      <c r="H8" s="12">
        <v>27</v>
      </c>
      <c r="I8" s="12">
        <v>30</v>
      </c>
      <c r="J8" s="12">
        <v>40</v>
      </c>
      <c r="K8" s="28">
        <f>SUM(H8:J8)/20</f>
        <v>4.8499999999999996</v>
      </c>
    </row>
    <row r="9" spans="1:11" x14ac:dyDescent="0.35">
      <c r="A9" s="27">
        <v>46175</v>
      </c>
      <c r="B9" s="10" t="s">
        <v>10</v>
      </c>
      <c r="C9" s="12">
        <v>0</v>
      </c>
      <c r="D9" s="12">
        <v>24</v>
      </c>
      <c r="E9" s="12">
        <v>20</v>
      </c>
      <c r="F9" s="12">
        <v>10</v>
      </c>
      <c r="G9" s="28">
        <f t="shared" ref="G9:G10" si="0">SUM(D9:F9)/20</f>
        <v>2.7</v>
      </c>
      <c r="H9" s="12">
        <v>15</v>
      </c>
      <c r="I9" s="12">
        <v>10</v>
      </c>
      <c r="J9" s="12">
        <v>20</v>
      </c>
      <c r="K9" s="28">
        <f t="shared" ref="K9:K10" si="1">SUM(H9:J9)/20</f>
        <v>2.25</v>
      </c>
    </row>
    <row r="10" spans="1:11" x14ac:dyDescent="0.35">
      <c r="A10" s="27"/>
      <c r="B10" s="10" t="s">
        <v>23</v>
      </c>
      <c r="C10" s="12"/>
      <c r="D10" s="12">
        <v>20</v>
      </c>
      <c r="E10" s="12">
        <v>20</v>
      </c>
      <c r="F10" s="12">
        <v>10</v>
      </c>
      <c r="G10" s="28">
        <f t="shared" si="0"/>
        <v>2.5</v>
      </c>
      <c r="H10" s="12">
        <v>15</v>
      </c>
      <c r="I10" s="12">
        <v>12</v>
      </c>
      <c r="J10" s="12">
        <v>11</v>
      </c>
      <c r="K10" s="28">
        <f t="shared" si="1"/>
        <v>1.9</v>
      </c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2">SUM(C8:C13)</f>
        <v>40</v>
      </c>
      <c r="D14" s="14">
        <f t="shared" si="2"/>
        <v>84</v>
      </c>
      <c r="E14" s="14">
        <f t="shared" si="2"/>
        <v>84</v>
      </c>
      <c r="F14" s="14">
        <f t="shared" si="2"/>
        <v>42</v>
      </c>
      <c r="G14" s="14">
        <f t="shared" si="2"/>
        <v>10.5</v>
      </c>
      <c r="H14" s="14">
        <f t="shared" si="2"/>
        <v>57</v>
      </c>
      <c r="I14" s="14">
        <f t="shared" si="2"/>
        <v>52</v>
      </c>
      <c r="J14" s="14">
        <f t="shared" si="2"/>
        <v>71</v>
      </c>
      <c r="K14" s="14">
        <f t="shared" si="2"/>
        <v>9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10.75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1</v>
      </c>
      <c r="D17" s="26">
        <f t="shared" ref="D17:K17" si="3">D14/40</f>
        <v>2.1</v>
      </c>
      <c r="E17" s="26">
        <f t="shared" si="3"/>
        <v>2.1</v>
      </c>
      <c r="F17" s="26">
        <f t="shared" si="3"/>
        <v>1.05</v>
      </c>
      <c r="G17" s="26">
        <f t="shared" si="3"/>
        <v>0.26250000000000001</v>
      </c>
      <c r="H17" s="26">
        <f t="shared" si="3"/>
        <v>1.425</v>
      </c>
      <c r="I17" s="26">
        <f t="shared" si="3"/>
        <v>1.3</v>
      </c>
      <c r="J17" s="26">
        <f t="shared" si="3"/>
        <v>1.7749999999999999</v>
      </c>
      <c r="K17" s="26">
        <f t="shared" si="3"/>
        <v>0.22500000000000001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31AB-53C0-488D-AEDE-3DDA36DACCDC}">
  <dimension ref="A1:K19"/>
  <sheetViews>
    <sheetView topLeftCell="A3" zoomScale="130" zoomScaleNormal="130" workbookViewId="0">
      <selection activeCell="B16" sqref="B16"/>
    </sheetView>
  </sheetViews>
  <sheetFormatPr defaultRowHeight="14.5" x14ac:dyDescent="0.35"/>
  <cols>
    <col min="1" max="1" width="4.36328125" bestFit="1" customWidth="1"/>
    <col min="2" max="2" width="6.17968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>
        <v>46176</v>
      </c>
      <c r="B8" s="10" t="s">
        <v>19</v>
      </c>
      <c r="C8" s="12">
        <v>50</v>
      </c>
      <c r="D8" s="12">
        <v>10</v>
      </c>
      <c r="E8" s="12">
        <v>20</v>
      </c>
      <c r="F8" s="12">
        <v>20</v>
      </c>
      <c r="G8" s="28">
        <f>SUM(D8:F8)/20</f>
        <v>2.5</v>
      </c>
      <c r="H8" s="12">
        <v>80</v>
      </c>
      <c r="I8" s="12">
        <v>58</v>
      </c>
      <c r="J8" s="12">
        <v>61</v>
      </c>
      <c r="K8" s="28">
        <f>SUM(H8:J8)/20</f>
        <v>9.9499999999999993</v>
      </c>
    </row>
    <row r="9" spans="1:11" x14ac:dyDescent="0.35">
      <c r="A9" s="27">
        <v>46176</v>
      </c>
      <c r="B9" s="10" t="s">
        <v>20</v>
      </c>
      <c r="C9" s="12">
        <v>50</v>
      </c>
      <c r="D9" s="12">
        <v>10</v>
      </c>
      <c r="E9" s="12">
        <v>30</v>
      </c>
      <c r="F9" s="12">
        <v>20</v>
      </c>
      <c r="G9" s="28">
        <f t="shared" ref="G9:G12" si="0">SUM(D9:F9)/20</f>
        <v>3</v>
      </c>
      <c r="H9" s="12">
        <v>60</v>
      </c>
      <c r="I9" s="12">
        <v>62</v>
      </c>
      <c r="J9" s="12">
        <v>82</v>
      </c>
      <c r="K9" s="28">
        <f t="shared" ref="K9:K12" si="1">SUM(H9:J9)/20</f>
        <v>10.199999999999999</v>
      </c>
    </row>
    <row r="10" spans="1:11" x14ac:dyDescent="0.35">
      <c r="A10" s="27">
        <v>46176</v>
      </c>
      <c r="B10" s="10" t="s">
        <v>21</v>
      </c>
      <c r="C10" s="12">
        <v>30</v>
      </c>
      <c r="D10" s="12">
        <v>20</v>
      </c>
      <c r="E10" s="12">
        <v>30</v>
      </c>
      <c r="F10" s="12">
        <v>10</v>
      </c>
      <c r="G10" s="28">
        <f t="shared" si="0"/>
        <v>3</v>
      </c>
      <c r="H10" s="12">
        <v>60</v>
      </c>
      <c r="I10" s="12">
        <v>62</v>
      </c>
      <c r="J10" s="12">
        <v>63</v>
      </c>
      <c r="K10" s="28">
        <f t="shared" si="1"/>
        <v>9.25</v>
      </c>
    </row>
    <row r="11" spans="1:11" x14ac:dyDescent="0.35">
      <c r="A11" s="27">
        <v>46176</v>
      </c>
      <c r="B11" s="11" t="s">
        <v>22</v>
      </c>
      <c r="C11" s="12">
        <v>20</v>
      </c>
      <c r="D11" s="12">
        <v>8</v>
      </c>
      <c r="E11" s="12">
        <v>20</v>
      </c>
      <c r="F11" s="12">
        <v>10</v>
      </c>
      <c r="G11" s="28">
        <f t="shared" si="0"/>
        <v>1.9</v>
      </c>
      <c r="H11" s="12">
        <v>80</v>
      </c>
      <c r="I11" s="12">
        <v>46</v>
      </c>
      <c r="J11" s="12">
        <v>81</v>
      </c>
      <c r="K11" s="28">
        <f t="shared" si="1"/>
        <v>10.35</v>
      </c>
    </row>
    <row r="12" spans="1:11" x14ac:dyDescent="0.35">
      <c r="A12" s="27">
        <v>46176</v>
      </c>
      <c r="B12" s="11" t="s">
        <v>23</v>
      </c>
      <c r="C12" s="12">
        <v>50</v>
      </c>
      <c r="D12" s="12">
        <v>0</v>
      </c>
      <c r="E12" s="12">
        <v>11</v>
      </c>
      <c r="F12" s="12">
        <v>24</v>
      </c>
      <c r="G12" s="28">
        <f t="shared" si="0"/>
        <v>1.75</v>
      </c>
      <c r="H12" s="12">
        <v>44</v>
      </c>
      <c r="I12" s="12">
        <v>60</v>
      </c>
      <c r="J12" s="12">
        <v>83</v>
      </c>
      <c r="K12" s="28">
        <f t="shared" si="1"/>
        <v>9.35</v>
      </c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2">SUM(C8:C13)</f>
        <v>200</v>
      </c>
      <c r="D14" s="14">
        <f t="shared" si="2"/>
        <v>48</v>
      </c>
      <c r="E14" s="14">
        <f t="shared" si="2"/>
        <v>111</v>
      </c>
      <c r="F14" s="14">
        <f t="shared" si="2"/>
        <v>84</v>
      </c>
      <c r="G14" s="14">
        <f t="shared" si="2"/>
        <v>12.15</v>
      </c>
      <c r="H14" s="14">
        <f t="shared" si="2"/>
        <v>324</v>
      </c>
      <c r="I14" s="14">
        <f t="shared" si="2"/>
        <v>288</v>
      </c>
      <c r="J14" s="14">
        <f t="shared" si="2"/>
        <v>370</v>
      </c>
      <c r="K14" s="14">
        <f t="shared" si="2"/>
        <v>49.1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35.625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5</v>
      </c>
      <c r="D17" s="26">
        <f t="shared" ref="D17:K17" si="3">D14/40</f>
        <v>1.2</v>
      </c>
      <c r="E17" s="26">
        <f t="shared" si="3"/>
        <v>2.7749999999999999</v>
      </c>
      <c r="F17" s="26">
        <f t="shared" si="3"/>
        <v>2.1</v>
      </c>
      <c r="G17" s="26">
        <f t="shared" si="3"/>
        <v>0.30375000000000002</v>
      </c>
      <c r="H17" s="26">
        <f t="shared" si="3"/>
        <v>8.1</v>
      </c>
      <c r="I17" s="26">
        <f t="shared" si="3"/>
        <v>7.2</v>
      </c>
      <c r="J17" s="26">
        <f t="shared" si="3"/>
        <v>9.25</v>
      </c>
      <c r="K17" s="26">
        <f t="shared" si="3"/>
        <v>1.2275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81DDC-9601-404C-9ED5-19F19508529B}">
  <dimension ref="A1:K19"/>
  <sheetViews>
    <sheetView topLeftCell="A4" zoomScale="145" zoomScaleNormal="145" workbookViewId="0">
      <selection activeCell="F16" sqref="F16"/>
    </sheetView>
  </sheetViews>
  <sheetFormatPr defaultRowHeight="14.5" x14ac:dyDescent="0.35"/>
  <cols>
    <col min="1" max="1" width="4.08984375" bestFit="1" customWidth="1"/>
    <col min="2" max="2" width="8.089843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>
        <v>46177</v>
      </c>
      <c r="B8" s="10" t="s">
        <v>24</v>
      </c>
      <c r="C8" s="12">
        <v>130</v>
      </c>
      <c r="D8" s="12">
        <v>97</v>
      </c>
      <c r="E8" s="12">
        <v>80</v>
      </c>
      <c r="F8" s="12">
        <v>80</v>
      </c>
      <c r="G8" s="28">
        <f>SUM(D8:F8)/20</f>
        <v>12.85</v>
      </c>
      <c r="H8" s="12">
        <v>105</v>
      </c>
      <c r="I8" s="12">
        <v>130</v>
      </c>
      <c r="J8" s="12">
        <v>118</v>
      </c>
      <c r="K8" s="28">
        <f>SUM(H8:J8)/20</f>
        <v>17.649999999999999</v>
      </c>
    </row>
    <row r="9" spans="1:11" x14ac:dyDescent="0.35">
      <c r="A9" s="27">
        <v>46177</v>
      </c>
      <c r="B9" s="10" t="s">
        <v>25</v>
      </c>
      <c r="C9" s="12">
        <v>140</v>
      </c>
      <c r="D9" s="12">
        <v>98</v>
      </c>
      <c r="E9" s="12">
        <v>70</v>
      </c>
      <c r="F9" s="12">
        <v>84</v>
      </c>
      <c r="G9" s="28">
        <f t="shared" ref="G9:G13" si="0">SUM(D9:F9)/20</f>
        <v>12.6</v>
      </c>
      <c r="H9" s="12">
        <v>80</v>
      </c>
      <c r="I9" s="12">
        <v>100</v>
      </c>
      <c r="J9" s="12">
        <v>116</v>
      </c>
      <c r="K9" s="28">
        <f t="shared" ref="K9:K13" si="1">SUM(H9:J9)/20</f>
        <v>14.8</v>
      </c>
    </row>
    <row r="10" spans="1:11" x14ac:dyDescent="0.35">
      <c r="A10" s="27">
        <v>46177</v>
      </c>
      <c r="B10" s="10" t="s">
        <v>22</v>
      </c>
      <c r="C10" s="12">
        <v>129</v>
      </c>
      <c r="D10" s="12">
        <v>103</v>
      </c>
      <c r="E10" s="12">
        <v>60</v>
      </c>
      <c r="F10" s="12">
        <v>100</v>
      </c>
      <c r="G10" s="28">
        <f t="shared" si="0"/>
        <v>13.15</v>
      </c>
      <c r="H10" s="12">
        <v>51</v>
      </c>
      <c r="I10" s="12">
        <v>100</v>
      </c>
      <c r="J10" s="12">
        <v>122</v>
      </c>
      <c r="K10" s="28">
        <f t="shared" si="1"/>
        <v>13.65</v>
      </c>
    </row>
    <row r="11" spans="1:11" x14ac:dyDescent="0.35">
      <c r="A11" s="27">
        <v>46177</v>
      </c>
      <c r="B11" s="11"/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</row>
    <row r="12" spans="1:11" x14ac:dyDescent="0.35">
      <c r="A12" s="11"/>
      <c r="B12" s="11"/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</row>
    <row r="13" spans="1:11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</row>
    <row r="14" spans="1:11" x14ac:dyDescent="0.35">
      <c r="A14" s="13"/>
      <c r="B14" s="10"/>
      <c r="C14" s="14">
        <f t="shared" ref="C14:K14" si="2">SUM(C8:C13)</f>
        <v>399</v>
      </c>
      <c r="D14" s="14">
        <f t="shared" si="2"/>
        <v>298</v>
      </c>
      <c r="E14" s="14">
        <f t="shared" si="2"/>
        <v>210</v>
      </c>
      <c r="F14" s="14">
        <f t="shared" si="2"/>
        <v>264</v>
      </c>
      <c r="G14" s="14">
        <f t="shared" si="2"/>
        <v>38.6</v>
      </c>
      <c r="H14" s="14">
        <f t="shared" si="2"/>
        <v>236</v>
      </c>
      <c r="I14" s="14">
        <f t="shared" si="2"/>
        <v>330</v>
      </c>
      <c r="J14" s="14">
        <f t="shared" si="2"/>
        <v>356</v>
      </c>
      <c r="K14" s="14">
        <f t="shared" si="2"/>
        <v>46.1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52.325000000000003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9.9749999999999996</v>
      </c>
      <c r="D17" s="26">
        <f t="shared" ref="D17:K17" si="3">D14/40</f>
        <v>7.45</v>
      </c>
      <c r="E17" s="26">
        <f t="shared" si="3"/>
        <v>5.25</v>
      </c>
      <c r="F17" s="26">
        <f t="shared" si="3"/>
        <v>6.6</v>
      </c>
      <c r="G17" s="26">
        <f t="shared" si="3"/>
        <v>0.96500000000000008</v>
      </c>
      <c r="H17" s="26">
        <f t="shared" si="3"/>
        <v>5.9</v>
      </c>
      <c r="I17" s="26">
        <f t="shared" si="3"/>
        <v>8.25</v>
      </c>
      <c r="J17" s="26">
        <f t="shared" si="3"/>
        <v>8.9</v>
      </c>
      <c r="K17" s="26">
        <f t="shared" si="3"/>
        <v>1.1525000000000001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8521-756B-4914-AF48-26369E7F1A59}">
  <dimension ref="A1:K20"/>
  <sheetViews>
    <sheetView zoomScale="130" zoomScaleNormal="130" workbookViewId="0">
      <selection activeCell="F13" sqref="F13"/>
    </sheetView>
  </sheetViews>
  <sheetFormatPr defaultRowHeight="14.5" x14ac:dyDescent="0.35"/>
  <cols>
    <col min="1" max="1" width="4.54296875" bestFit="1" customWidth="1"/>
    <col min="2" max="2" width="5.54296875" bestFit="1" customWidth="1"/>
    <col min="3" max="3" width="4" bestFit="1" customWidth="1"/>
    <col min="4" max="4" width="3.36328125" bestFit="1" customWidth="1"/>
    <col min="5" max="5" width="3.6328125" bestFit="1" customWidth="1"/>
    <col min="6" max="6" width="4.26953125" bestFit="1" customWidth="1"/>
    <col min="7" max="7" width="5.81640625" bestFit="1" customWidth="1"/>
    <col min="8" max="8" width="3.36328125" bestFit="1" customWidth="1"/>
    <col min="9" max="9" width="3.6328125" bestFit="1" customWidth="1"/>
    <col min="10" max="10" width="4.2695312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ht="14.5" customHeight="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4.5" customHeight="1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4.5" customHeight="1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ht="15" customHeight="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>
        <v>46178</v>
      </c>
      <c r="B8" s="10" t="s">
        <v>9</v>
      </c>
      <c r="C8" s="12">
        <v>62</v>
      </c>
      <c r="D8" s="12">
        <v>142</v>
      </c>
      <c r="E8" s="12">
        <v>102</v>
      </c>
      <c r="F8" s="12">
        <v>168</v>
      </c>
      <c r="G8" s="28">
        <v>20</v>
      </c>
      <c r="H8" s="12">
        <v>51</v>
      </c>
      <c r="I8" s="12">
        <v>43</v>
      </c>
      <c r="J8" s="12">
        <v>46</v>
      </c>
      <c r="K8" s="28">
        <v>7</v>
      </c>
    </row>
    <row r="9" spans="1:11" x14ac:dyDescent="0.35">
      <c r="A9" s="27">
        <v>46178</v>
      </c>
      <c r="B9" s="10" t="s">
        <v>10</v>
      </c>
      <c r="C9" s="12">
        <v>36</v>
      </c>
      <c r="D9" s="12">
        <v>57</v>
      </c>
      <c r="E9" s="12">
        <v>27</v>
      </c>
      <c r="F9" s="12">
        <v>0</v>
      </c>
      <c r="G9" s="28">
        <v>3</v>
      </c>
      <c r="H9" s="12">
        <v>80</v>
      </c>
      <c r="I9" s="12">
        <v>90</v>
      </c>
      <c r="J9" s="12">
        <v>110</v>
      </c>
      <c r="K9" s="28">
        <v>14</v>
      </c>
    </row>
    <row r="10" spans="1:11" x14ac:dyDescent="0.35">
      <c r="A10" s="27">
        <v>46178</v>
      </c>
      <c r="B10" s="10" t="s">
        <v>11</v>
      </c>
      <c r="C10" s="12">
        <v>80</v>
      </c>
      <c r="D10" s="12">
        <v>0</v>
      </c>
      <c r="E10" s="12">
        <v>0</v>
      </c>
      <c r="F10" s="12">
        <v>0</v>
      </c>
      <c r="G10" s="28">
        <v>0</v>
      </c>
      <c r="H10" s="12">
        <v>16</v>
      </c>
      <c r="I10" s="12">
        <v>16</v>
      </c>
      <c r="J10" s="12">
        <v>26</v>
      </c>
      <c r="K10" s="28">
        <v>2</v>
      </c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3"/>
      <c r="B12" s="11">
        <f>SUM(C8:F11,H8:J11)/40</f>
        <v>28.8</v>
      </c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3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1"/>
      <c r="C14" s="12"/>
      <c r="D14" s="12"/>
      <c r="E14" s="12"/>
      <c r="F14" s="12"/>
      <c r="G14" s="12"/>
      <c r="H14" s="12"/>
      <c r="I14" s="12"/>
      <c r="J14" s="12"/>
      <c r="K14" s="12"/>
    </row>
    <row r="15" spans="1:11" x14ac:dyDescent="0.35">
      <c r="A15" s="13"/>
      <c r="B15" s="10"/>
      <c r="C15" s="14">
        <f t="shared" ref="C15:K15" si="0">SUM(C8:C14)</f>
        <v>178</v>
      </c>
      <c r="D15" s="14">
        <f t="shared" si="0"/>
        <v>199</v>
      </c>
      <c r="E15" s="14">
        <f t="shared" si="0"/>
        <v>129</v>
      </c>
      <c r="F15" s="14">
        <f t="shared" si="0"/>
        <v>168</v>
      </c>
      <c r="G15" s="14">
        <f t="shared" si="0"/>
        <v>23</v>
      </c>
      <c r="H15" s="14">
        <f t="shared" si="0"/>
        <v>147</v>
      </c>
      <c r="I15" s="14">
        <f t="shared" si="0"/>
        <v>149</v>
      </c>
      <c r="J15" s="14">
        <f t="shared" si="0"/>
        <v>182</v>
      </c>
      <c r="K15" s="14">
        <f t="shared" si="0"/>
        <v>23</v>
      </c>
    </row>
    <row r="16" spans="1:11" x14ac:dyDescent="0.35">
      <c r="A16" s="1"/>
      <c r="B16" s="15"/>
      <c r="C16" s="16"/>
      <c r="D16" s="17"/>
      <c r="E16" s="18"/>
      <c r="F16" s="18"/>
      <c r="G16" s="19"/>
      <c r="H16" s="20"/>
      <c r="I16" s="18"/>
      <c r="J16" s="18"/>
      <c r="K16" s="19"/>
    </row>
    <row r="17" spans="1:11" ht="15" thickBot="1" x14ac:dyDescent="0.4">
      <c r="A17" s="1"/>
      <c r="B17" s="15"/>
      <c r="C17" s="21"/>
      <c r="D17" s="22"/>
      <c r="E17" s="23"/>
      <c r="F17" s="23"/>
      <c r="G17" s="24"/>
      <c r="H17" s="25"/>
      <c r="I17" s="23"/>
      <c r="J17" s="23"/>
      <c r="K17" s="24"/>
    </row>
    <row r="18" spans="1:11" x14ac:dyDescent="0.35">
      <c r="A18" s="1"/>
      <c r="B18" s="1"/>
      <c r="C18" s="26">
        <f>C15/40</f>
        <v>4.45</v>
      </c>
      <c r="D18" s="26">
        <f t="shared" ref="D18:K18" si="1">D15/40</f>
        <v>4.9749999999999996</v>
      </c>
      <c r="E18" s="26">
        <f t="shared" si="1"/>
        <v>3.2250000000000001</v>
      </c>
      <c r="F18" s="26">
        <f t="shared" si="1"/>
        <v>4.2</v>
      </c>
      <c r="G18" s="26">
        <f t="shared" si="1"/>
        <v>0.57499999999999996</v>
      </c>
      <c r="H18" s="26">
        <f t="shared" si="1"/>
        <v>3.6749999999999998</v>
      </c>
      <c r="I18" s="26">
        <f t="shared" si="1"/>
        <v>3.7250000000000001</v>
      </c>
      <c r="J18" s="26">
        <f t="shared" si="1"/>
        <v>4.55</v>
      </c>
      <c r="K18" s="26">
        <f t="shared" si="1"/>
        <v>0.57499999999999996</v>
      </c>
    </row>
    <row r="20" spans="1:11" x14ac:dyDescent="0.35">
      <c r="A20" s="1"/>
      <c r="B20" s="1"/>
      <c r="C20" s="26"/>
      <c r="D20" s="26"/>
      <c r="E20" s="26"/>
      <c r="F20" s="26"/>
      <c r="G20" s="26"/>
      <c r="H20" s="26"/>
      <c r="I20" s="26"/>
      <c r="J20" s="26"/>
      <c r="K20" s="26"/>
    </row>
  </sheetData>
  <mergeCells count="3">
    <mergeCell ref="B2:K5"/>
    <mergeCell ref="D6:G6"/>
    <mergeCell ref="H6:K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48983-DFD1-42F5-92B9-CF9CEA191FF7}">
  <dimension ref="A1:K16"/>
  <sheetViews>
    <sheetView topLeftCell="A4" zoomScale="130" zoomScaleNormal="130" workbookViewId="0">
      <selection activeCell="F18" sqref="F18"/>
    </sheetView>
  </sheetViews>
  <sheetFormatPr defaultRowHeight="14.5" x14ac:dyDescent="0.35"/>
  <cols>
    <col min="1" max="1" width="4.54296875" bestFit="1" customWidth="1"/>
    <col min="2" max="2" width="6.1796875" bestFit="1" customWidth="1"/>
    <col min="3" max="3" width="4" bestFit="1" customWidth="1"/>
    <col min="4" max="4" width="3.36328125" bestFit="1" customWidth="1"/>
    <col min="5" max="6" width="4.26953125" bestFit="1" customWidth="1"/>
    <col min="7" max="7" width="5.81640625" bestFit="1" customWidth="1"/>
    <col min="8" max="8" width="3.54296875" bestFit="1" customWidth="1"/>
    <col min="9" max="10" width="4.2695312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7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>
        <v>46179</v>
      </c>
      <c r="B8" s="10" t="s">
        <v>15</v>
      </c>
      <c r="C8" s="12">
        <v>170</v>
      </c>
      <c r="D8" s="12">
        <v>70</v>
      </c>
      <c r="E8" s="12">
        <v>70</v>
      </c>
      <c r="F8" s="12">
        <v>100</v>
      </c>
      <c r="G8" s="28">
        <v>12</v>
      </c>
      <c r="H8" s="12">
        <v>215</v>
      </c>
      <c r="I8" s="12">
        <v>215</v>
      </c>
      <c r="J8" s="12">
        <v>230</v>
      </c>
      <c r="K8" s="28">
        <v>33</v>
      </c>
    </row>
    <row r="9" spans="1:11" x14ac:dyDescent="0.35">
      <c r="A9" s="27">
        <v>46179</v>
      </c>
      <c r="B9" s="10" t="s">
        <v>16</v>
      </c>
      <c r="C9" s="12">
        <v>120</v>
      </c>
      <c r="D9" s="12">
        <v>40</v>
      </c>
      <c r="E9" s="12">
        <v>40</v>
      </c>
      <c r="F9" s="12">
        <v>0</v>
      </c>
      <c r="G9" s="28">
        <v>4</v>
      </c>
      <c r="H9" s="12">
        <v>55</v>
      </c>
      <c r="I9" s="12">
        <v>10</v>
      </c>
      <c r="J9" s="12">
        <v>55</v>
      </c>
      <c r="K9" s="28">
        <v>6</v>
      </c>
    </row>
    <row r="10" spans="1:11" x14ac:dyDescent="0.35">
      <c r="A10" s="27"/>
      <c r="B10" s="10"/>
      <c r="C10" s="12"/>
      <c r="D10" s="12"/>
      <c r="E10" s="12"/>
      <c r="F10" s="12"/>
      <c r="G10" s="12"/>
      <c r="H10" s="12"/>
      <c r="I10" s="12"/>
      <c r="J10" s="12"/>
      <c r="K10" s="12"/>
    </row>
    <row r="11" spans="1:11" x14ac:dyDescent="0.35">
      <c r="A11" s="10"/>
      <c r="B11" s="10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0"/>
      <c r="B12" s="10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3"/>
      <c r="B13" s="10"/>
      <c r="C13" s="14">
        <f t="shared" ref="C13:K13" si="0">SUM(C8:C12)</f>
        <v>290</v>
      </c>
      <c r="D13" s="14">
        <f t="shared" si="0"/>
        <v>110</v>
      </c>
      <c r="E13" s="14">
        <f t="shared" si="0"/>
        <v>110</v>
      </c>
      <c r="F13" s="14">
        <f t="shared" si="0"/>
        <v>100</v>
      </c>
      <c r="G13" s="14">
        <f t="shared" si="0"/>
        <v>16</v>
      </c>
      <c r="H13" s="14">
        <f t="shared" si="0"/>
        <v>270</v>
      </c>
      <c r="I13" s="14">
        <f t="shared" si="0"/>
        <v>225</v>
      </c>
      <c r="J13" s="14">
        <f t="shared" si="0"/>
        <v>285</v>
      </c>
      <c r="K13" s="14">
        <f t="shared" si="0"/>
        <v>39</v>
      </c>
    </row>
    <row r="14" spans="1:11" x14ac:dyDescent="0.35">
      <c r="A14" s="1"/>
      <c r="B14" s="15"/>
      <c r="C14" s="16"/>
      <c r="D14" s="17"/>
      <c r="E14" s="18"/>
      <c r="F14" s="18"/>
      <c r="G14" s="19"/>
      <c r="H14" s="20"/>
      <c r="I14" s="18"/>
      <c r="J14" s="18"/>
      <c r="K14" s="19"/>
    </row>
    <row r="15" spans="1:11" ht="15" thickBot="1" x14ac:dyDescent="0.4">
      <c r="A15" s="1"/>
      <c r="B15" s="15"/>
      <c r="C15" s="21"/>
      <c r="D15" s="22"/>
      <c r="E15" s="23"/>
      <c r="F15" s="23"/>
      <c r="G15" s="24"/>
      <c r="H15" s="25"/>
      <c r="I15" s="23"/>
      <c r="J15" s="23"/>
      <c r="K15" s="24"/>
    </row>
    <row r="16" spans="1:11" x14ac:dyDescent="0.35">
      <c r="A16" s="1"/>
      <c r="B16" s="1">
        <f>SUM(C8:F13,H8:J13)/40</f>
        <v>69.5</v>
      </c>
      <c r="C16" s="26">
        <f>C13/40</f>
        <v>7.25</v>
      </c>
      <c r="D16" s="26">
        <f t="shared" ref="D16:K16" si="1">D13/40</f>
        <v>2.75</v>
      </c>
      <c r="E16" s="26">
        <f t="shared" si="1"/>
        <v>2.75</v>
      </c>
      <c r="F16" s="26">
        <f t="shared" si="1"/>
        <v>2.5</v>
      </c>
      <c r="G16" s="26">
        <f t="shared" si="1"/>
        <v>0.4</v>
      </c>
      <c r="H16" s="26">
        <f t="shared" si="1"/>
        <v>6.75</v>
      </c>
      <c r="I16" s="26">
        <f t="shared" si="1"/>
        <v>5.625</v>
      </c>
      <c r="J16" s="26">
        <f t="shared" si="1"/>
        <v>7.125</v>
      </c>
      <c r="K16" s="26">
        <f t="shared" si="1"/>
        <v>0.97499999999999998</v>
      </c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E887-BC98-4559-8BEC-EE3EB22B9941}">
  <dimension ref="A1:K19"/>
  <sheetViews>
    <sheetView topLeftCell="A4" zoomScale="130" zoomScaleNormal="130" workbookViewId="0">
      <selection activeCell="B16" sqref="B16"/>
    </sheetView>
  </sheetViews>
  <sheetFormatPr defaultRowHeight="14.5" x14ac:dyDescent="0.35"/>
  <cols>
    <col min="1" max="1" width="3.90625" bestFit="1" customWidth="1"/>
    <col min="2" max="2" width="6.17968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/>
      <c r="C8" s="30"/>
      <c r="D8" s="30"/>
      <c r="E8" s="30"/>
      <c r="F8" s="30"/>
      <c r="G8" s="30"/>
      <c r="H8" s="30"/>
      <c r="I8" s="30"/>
      <c r="J8" s="30"/>
      <c r="K8" s="30"/>
    </row>
    <row r="9" spans="1:11" x14ac:dyDescent="0.35">
      <c r="A9" s="27"/>
      <c r="B9" s="10"/>
      <c r="C9" s="30"/>
      <c r="D9" s="30"/>
      <c r="E9" s="30"/>
      <c r="F9" s="30"/>
      <c r="G9" s="30"/>
      <c r="H9" s="30"/>
      <c r="I9" s="30"/>
      <c r="J9" s="30"/>
      <c r="K9" s="30"/>
    </row>
    <row r="10" spans="1:11" x14ac:dyDescent="0.35">
      <c r="A10" s="27"/>
      <c r="B10" s="10"/>
      <c r="C10" s="30"/>
      <c r="D10" s="30"/>
      <c r="E10" s="30"/>
      <c r="F10" s="30"/>
      <c r="G10" s="30"/>
      <c r="H10" s="30"/>
      <c r="I10" s="30"/>
      <c r="J10" s="30"/>
      <c r="K10" s="30"/>
    </row>
    <row r="11" spans="1:11" x14ac:dyDescent="0.35">
      <c r="A11" s="11"/>
      <c r="B11" s="11"/>
      <c r="C11" s="30"/>
      <c r="D11" s="30"/>
      <c r="E11" s="30"/>
      <c r="F11" s="30"/>
      <c r="G11" s="30"/>
      <c r="H11" s="30"/>
      <c r="I11" s="30"/>
      <c r="J11" s="30"/>
      <c r="K11" s="30"/>
    </row>
    <row r="12" spans="1:11" ht="15" thickBot="1" x14ac:dyDescent="0.4">
      <c r="A12" s="11"/>
      <c r="B12" s="11"/>
      <c r="C12" s="31"/>
      <c r="D12" s="31"/>
      <c r="E12" s="31"/>
      <c r="F12" s="31"/>
      <c r="G12" s="31"/>
      <c r="H12" s="31"/>
      <c r="I12" s="31"/>
      <c r="J12" s="31"/>
      <c r="K12" s="31"/>
    </row>
    <row r="13" spans="1:11" ht="15" thickTop="1" x14ac:dyDescent="0.35">
      <c r="A13" s="11"/>
      <c r="B13" s="11"/>
      <c r="C13" s="29"/>
      <c r="D13" s="29"/>
      <c r="E13" s="29"/>
      <c r="F13" s="29"/>
      <c r="G13" s="29"/>
      <c r="H13" s="29"/>
      <c r="I13" s="29"/>
      <c r="J13" s="29"/>
      <c r="K13" s="29"/>
    </row>
    <row r="14" spans="1:11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0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0</v>
      </c>
      <c r="D17" s="26">
        <f t="shared" ref="D17:K17" si="1">D14/40</f>
        <v>0</v>
      </c>
      <c r="E17" s="26">
        <f t="shared" si="1"/>
        <v>0</v>
      </c>
      <c r="F17" s="26">
        <f t="shared" si="1"/>
        <v>0</v>
      </c>
      <c r="G17" s="26">
        <f t="shared" si="1"/>
        <v>0</v>
      </c>
      <c r="H17" s="26">
        <f t="shared" si="1"/>
        <v>0</v>
      </c>
      <c r="I17" s="26">
        <f t="shared" si="1"/>
        <v>0</v>
      </c>
      <c r="J17" s="26">
        <f t="shared" si="1"/>
        <v>0</v>
      </c>
      <c r="K17" s="26">
        <f t="shared" si="1"/>
        <v>0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1F27D-AAC1-4CD7-811C-DDA5804758A4}">
  <dimension ref="A1:K19"/>
  <sheetViews>
    <sheetView topLeftCell="A4" zoomScale="130" zoomScaleNormal="130" workbookViewId="0">
      <selection activeCell="M13" sqref="M13"/>
    </sheetView>
  </sheetViews>
  <sheetFormatPr defaultRowHeight="14.5" x14ac:dyDescent="0.35"/>
  <cols>
    <col min="1" max="1" width="3.90625" bestFit="1" customWidth="1"/>
    <col min="2" max="2" width="6.17968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>
        <v>46181</v>
      </c>
      <c r="B8" s="10" t="s">
        <v>11</v>
      </c>
      <c r="C8" s="12"/>
      <c r="D8" s="12">
        <v>70</v>
      </c>
      <c r="E8" s="12">
        <v>70</v>
      </c>
      <c r="F8" s="12">
        <v>80</v>
      </c>
      <c r="G8" s="28">
        <v>11</v>
      </c>
      <c r="H8" s="12">
        <v>60</v>
      </c>
      <c r="I8" s="12">
        <v>52</v>
      </c>
      <c r="J8" s="12">
        <v>70</v>
      </c>
      <c r="K8" s="28">
        <v>9</v>
      </c>
    </row>
    <row r="9" spans="1:11" x14ac:dyDescent="0.35">
      <c r="A9" s="27">
        <v>46181</v>
      </c>
      <c r="B9" s="10" t="s">
        <v>9</v>
      </c>
      <c r="C9" s="12">
        <v>52</v>
      </c>
      <c r="D9" s="12">
        <v>118</v>
      </c>
      <c r="E9" s="12">
        <v>87</v>
      </c>
      <c r="F9" s="12">
        <v>115</v>
      </c>
      <c r="G9" s="28">
        <v>16</v>
      </c>
      <c r="H9" s="12">
        <v>95</v>
      </c>
      <c r="I9" s="12">
        <v>70</v>
      </c>
      <c r="J9" s="12">
        <v>95</v>
      </c>
      <c r="K9" s="28">
        <v>13</v>
      </c>
    </row>
    <row r="10" spans="1:11" x14ac:dyDescent="0.35">
      <c r="A10" s="27">
        <v>46181</v>
      </c>
      <c r="B10" s="10" t="s">
        <v>16</v>
      </c>
      <c r="C10" s="12">
        <v>120</v>
      </c>
      <c r="D10" s="12">
        <v>223</v>
      </c>
      <c r="E10" s="12">
        <v>123</v>
      </c>
      <c r="F10" s="12">
        <v>64</v>
      </c>
      <c r="G10" s="28">
        <v>20</v>
      </c>
      <c r="H10" s="12">
        <v>153</v>
      </c>
      <c r="I10" s="12">
        <v>108</v>
      </c>
      <c r="J10" s="12">
        <v>229</v>
      </c>
      <c r="K10" s="28">
        <v>24</v>
      </c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172</v>
      </c>
      <c r="D14" s="14">
        <f t="shared" si="0"/>
        <v>411</v>
      </c>
      <c r="E14" s="14">
        <f t="shared" si="0"/>
        <v>280</v>
      </c>
      <c r="F14" s="14">
        <f t="shared" si="0"/>
        <v>259</v>
      </c>
      <c r="G14" s="14">
        <f t="shared" si="0"/>
        <v>47</v>
      </c>
      <c r="H14" s="14">
        <f t="shared" si="0"/>
        <v>308</v>
      </c>
      <c r="I14" s="14">
        <f t="shared" si="0"/>
        <v>230</v>
      </c>
      <c r="J14" s="14">
        <f t="shared" si="0"/>
        <v>394</v>
      </c>
      <c r="K14" s="14">
        <f t="shared" si="0"/>
        <v>46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51.35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4.3</v>
      </c>
      <c r="D17" s="26">
        <f t="shared" ref="D17:K17" si="1">D14/40</f>
        <v>10.275</v>
      </c>
      <c r="E17" s="26">
        <f t="shared" si="1"/>
        <v>7</v>
      </c>
      <c r="F17" s="26">
        <f t="shared" si="1"/>
        <v>6.4749999999999996</v>
      </c>
      <c r="G17" s="26">
        <f t="shared" si="1"/>
        <v>1.175</v>
      </c>
      <c r="H17" s="26">
        <f t="shared" si="1"/>
        <v>7.7</v>
      </c>
      <c r="I17" s="26">
        <f t="shared" si="1"/>
        <v>5.75</v>
      </c>
      <c r="J17" s="26">
        <f t="shared" si="1"/>
        <v>9.85</v>
      </c>
      <c r="K17" s="26">
        <f t="shared" si="1"/>
        <v>1.1499999999999999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E5825-E10C-4C60-8B8A-1DECB641A0BB}">
  <dimension ref="A1:K19"/>
  <sheetViews>
    <sheetView zoomScale="115" zoomScaleNormal="115" workbookViewId="0">
      <selection activeCell="M13" sqref="M13"/>
    </sheetView>
  </sheetViews>
  <sheetFormatPr defaultRowHeight="14.5" x14ac:dyDescent="0.35"/>
  <cols>
    <col min="1" max="1" width="3.90625" bestFit="1" customWidth="1"/>
    <col min="2" max="2" width="9.17968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 t="s">
        <v>26</v>
      </c>
      <c r="C8" s="12"/>
      <c r="D8" s="12"/>
      <c r="E8" s="12"/>
      <c r="F8" s="12"/>
      <c r="G8" s="32">
        <f>SUM(D8:F8)/20</f>
        <v>0</v>
      </c>
      <c r="H8" s="12">
        <v>6</v>
      </c>
      <c r="I8" s="12">
        <v>7</v>
      </c>
      <c r="J8" s="12">
        <v>7</v>
      </c>
      <c r="K8" s="32">
        <f>SUM(H8:J8)/20</f>
        <v>1</v>
      </c>
    </row>
    <row r="9" spans="1:11" x14ac:dyDescent="0.35">
      <c r="A9" s="27"/>
      <c r="B9" s="10" t="s">
        <v>21</v>
      </c>
      <c r="C9" s="12">
        <v>4</v>
      </c>
      <c r="D9" s="12">
        <v>33</v>
      </c>
      <c r="E9" s="12">
        <v>32</v>
      </c>
      <c r="F9" s="12">
        <v>55</v>
      </c>
      <c r="G9" s="32">
        <f t="shared" ref="G9:G13" si="0">SUM(D9:F9)/20</f>
        <v>6</v>
      </c>
      <c r="H9" s="12">
        <v>13</v>
      </c>
      <c r="I9" s="12">
        <v>12</v>
      </c>
      <c r="J9" s="12">
        <v>0</v>
      </c>
      <c r="K9" s="32">
        <f t="shared" ref="K9:K14" si="1">SUM(H9:J9)/20</f>
        <v>1.25</v>
      </c>
    </row>
    <row r="10" spans="1:11" x14ac:dyDescent="0.35">
      <c r="A10" s="27"/>
      <c r="B10" s="10" t="s">
        <v>27</v>
      </c>
      <c r="C10" s="12">
        <v>130</v>
      </c>
      <c r="D10" s="12">
        <v>20</v>
      </c>
      <c r="E10" s="12">
        <v>20</v>
      </c>
      <c r="F10" s="12">
        <v>80</v>
      </c>
      <c r="G10" s="32">
        <f t="shared" si="0"/>
        <v>6</v>
      </c>
      <c r="H10" s="12">
        <v>10</v>
      </c>
      <c r="I10" s="12">
        <v>5</v>
      </c>
      <c r="J10" s="12">
        <v>6</v>
      </c>
      <c r="K10" s="32">
        <f t="shared" si="1"/>
        <v>1.05</v>
      </c>
    </row>
    <row r="11" spans="1:11" x14ac:dyDescent="0.35">
      <c r="A11" s="11"/>
      <c r="B11" s="11" t="s">
        <v>28</v>
      </c>
      <c r="C11" s="12">
        <v>64</v>
      </c>
      <c r="D11" s="12">
        <v>55</v>
      </c>
      <c r="E11" s="12">
        <v>55</v>
      </c>
      <c r="F11" s="12">
        <v>10</v>
      </c>
      <c r="G11" s="32">
        <f t="shared" si="0"/>
        <v>6</v>
      </c>
      <c r="H11" s="12">
        <v>90</v>
      </c>
      <c r="I11" s="12">
        <v>80</v>
      </c>
      <c r="J11" s="12">
        <v>110</v>
      </c>
      <c r="K11" s="32">
        <f t="shared" si="1"/>
        <v>14</v>
      </c>
    </row>
    <row r="12" spans="1:11" x14ac:dyDescent="0.35">
      <c r="A12" s="11"/>
      <c r="B12" s="11" t="s">
        <v>29</v>
      </c>
      <c r="C12" s="12"/>
      <c r="D12" s="12"/>
      <c r="E12" s="12"/>
      <c r="F12" s="12"/>
      <c r="G12" s="32">
        <f t="shared" si="0"/>
        <v>0</v>
      </c>
      <c r="H12" s="12"/>
      <c r="I12" s="12"/>
      <c r="J12" s="12"/>
      <c r="K12" s="32">
        <f t="shared" si="1"/>
        <v>0</v>
      </c>
    </row>
    <row r="13" spans="1:11" x14ac:dyDescent="0.35">
      <c r="A13" s="11"/>
      <c r="B13" s="11" t="s">
        <v>30</v>
      </c>
      <c r="C13" s="12">
        <v>50</v>
      </c>
      <c r="D13" s="12">
        <v>30</v>
      </c>
      <c r="E13" s="12">
        <v>50</v>
      </c>
      <c r="F13" s="12">
        <v>60</v>
      </c>
      <c r="G13" s="32">
        <f t="shared" si="0"/>
        <v>7</v>
      </c>
      <c r="H13" s="12">
        <v>30</v>
      </c>
      <c r="I13" s="12">
        <v>20</v>
      </c>
      <c r="J13" s="12">
        <v>32</v>
      </c>
      <c r="K13" s="32">
        <f t="shared" si="1"/>
        <v>4.0999999999999996</v>
      </c>
    </row>
    <row r="14" spans="1:11" x14ac:dyDescent="0.35">
      <c r="A14" s="13"/>
      <c r="B14" s="10" t="s">
        <v>31</v>
      </c>
      <c r="C14" s="14">
        <f t="shared" ref="C14:J14" si="2">SUM(C8:C13)</f>
        <v>248</v>
      </c>
      <c r="D14" s="14">
        <f t="shared" si="2"/>
        <v>138</v>
      </c>
      <c r="E14" s="14">
        <f t="shared" si="2"/>
        <v>157</v>
      </c>
      <c r="F14" s="14">
        <f t="shared" si="2"/>
        <v>205</v>
      </c>
      <c r="G14" s="33">
        <f t="shared" si="2"/>
        <v>25</v>
      </c>
      <c r="H14" s="14">
        <f t="shared" si="2"/>
        <v>149</v>
      </c>
      <c r="I14" s="14">
        <f t="shared" si="2"/>
        <v>124</v>
      </c>
      <c r="J14" s="14">
        <f t="shared" si="2"/>
        <v>155</v>
      </c>
      <c r="K14" s="32">
        <f t="shared" si="1"/>
        <v>21.4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29.4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6.2</v>
      </c>
      <c r="D17" s="26">
        <f t="shared" ref="D17:K17" si="3">D14/40</f>
        <v>3.45</v>
      </c>
      <c r="E17" s="26">
        <f t="shared" si="3"/>
        <v>3.9249999999999998</v>
      </c>
      <c r="F17" s="26">
        <f t="shared" si="3"/>
        <v>5.125</v>
      </c>
      <c r="G17" s="26">
        <f t="shared" si="3"/>
        <v>0.625</v>
      </c>
      <c r="H17" s="26">
        <f t="shared" si="3"/>
        <v>3.7250000000000001</v>
      </c>
      <c r="I17" s="26">
        <f t="shared" si="3"/>
        <v>3.1</v>
      </c>
      <c r="J17" s="26">
        <f t="shared" si="3"/>
        <v>3.875</v>
      </c>
      <c r="K17" s="26">
        <f t="shared" si="3"/>
        <v>0.53499999999999992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BBA6-E6CB-45EB-B741-EF1A3D434FE9}">
  <dimension ref="A1:K19"/>
  <sheetViews>
    <sheetView workbookViewId="0">
      <selection activeCell="N11" sqref="N11"/>
    </sheetView>
  </sheetViews>
  <sheetFormatPr defaultRowHeight="14.5" x14ac:dyDescent="0.35"/>
  <cols>
    <col min="1" max="1" width="3.90625" bestFit="1" customWidth="1"/>
    <col min="2" max="2" width="6.17968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 t="s">
        <v>32</v>
      </c>
      <c r="C8" s="12"/>
      <c r="D8" s="12">
        <v>40</v>
      </c>
      <c r="E8" s="12">
        <v>40</v>
      </c>
      <c r="F8" s="12">
        <v>40</v>
      </c>
      <c r="G8" s="28">
        <f>SUM(D8:F8)/20</f>
        <v>6</v>
      </c>
      <c r="H8" s="12">
        <v>60</v>
      </c>
      <c r="I8" s="12">
        <v>70</v>
      </c>
      <c r="J8" s="12">
        <v>30</v>
      </c>
      <c r="K8" s="28">
        <f>SUM(H8:J8)/20</f>
        <v>8</v>
      </c>
    </row>
    <row r="9" spans="1:11" x14ac:dyDescent="0.35">
      <c r="A9" s="27"/>
      <c r="B9" s="10" t="s">
        <v>16</v>
      </c>
      <c r="C9" s="12">
        <v>80</v>
      </c>
      <c r="D9" s="12">
        <v>75</v>
      </c>
      <c r="E9" s="12">
        <v>82</v>
      </c>
      <c r="F9" s="12">
        <v>55</v>
      </c>
      <c r="G9" s="28"/>
      <c r="H9" s="12">
        <v>100</v>
      </c>
      <c r="I9" s="12">
        <v>139</v>
      </c>
      <c r="J9" s="12">
        <v>0</v>
      </c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80</v>
      </c>
      <c r="D14" s="14">
        <f t="shared" si="0"/>
        <v>115</v>
      </c>
      <c r="E14" s="14">
        <f t="shared" si="0"/>
        <v>122</v>
      </c>
      <c r="F14" s="14">
        <f t="shared" si="0"/>
        <v>95</v>
      </c>
      <c r="G14" s="14">
        <f t="shared" si="0"/>
        <v>6</v>
      </c>
      <c r="H14" s="14">
        <f t="shared" si="0"/>
        <v>160</v>
      </c>
      <c r="I14" s="14">
        <f t="shared" si="0"/>
        <v>209</v>
      </c>
      <c r="J14" s="14">
        <f t="shared" si="0"/>
        <v>30</v>
      </c>
      <c r="K14" s="14">
        <f t="shared" si="0"/>
        <v>8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20.274999999999999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2</v>
      </c>
      <c r="D17" s="26">
        <f t="shared" ref="D17:K17" si="1">D14/40</f>
        <v>2.875</v>
      </c>
      <c r="E17" s="26">
        <f t="shared" si="1"/>
        <v>3.05</v>
      </c>
      <c r="F17" s="26">
        <f t="shared" si="1"/>
        <v>2.375</v>
      </c>
      <c r="G17" s="26">
        <f t="shared" si="1"/>
        <v>0.15</v>
      </c>
      <c r="H17" s="26">
        <f t="shared" si="1"/>
        <v>4</v>
      </c>
      <c r="I17" s="26">
        <f t="shared" si="1"/>
        <v>5.2249999999999996</v>
      </c>
      <c r="J17" s="26">
        <f t="shared" si="1"/>
        <v>0.75</v>
      </c>
      <c r="K17" s="26">
        <f t="shared" si="1"/>
        <v>0.2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CB744-359B-4545-85D0-01C9D0099EAF}">
  <dimension ref="A1:R19"/>
  <sheetViews>
    <sheetView tabSelected="1" workbookViewId="0">
      <selection activeCell="O12" sqref="O12"/>
    </sheetView>
  </sheetViews>
  <sheetFormatPr defaultRowHeight="14.5" x14ac:dyDescent="0.35"/>
  <cols>
    <col min="1" max="1" width="3.90625" bestFit="1" customWidth="1"/>
    <col min="2" max="2" width="6.17968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8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8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8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8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8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  <c r="Q6" s="47" t="s">
        <v>35</v>
      </c>
      <c r="R6" s="47" t="s">
        <v>36</v>
      </c>
    </row>
    <row r="7" spans="1:18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  <c r="P7" t="s">
        <v>16</v>
      </c>
      <c r="Q7" s="46">
        <v>10</v>
      </c>
      <c r="R7" s="46">
        <v>16</v>
      </c>
    </row>
    <row r="8" spans="1:18" x14ac:dyDescent="0.35">
      <c r="A8" s="27"/>
      <c r="B8" s="10" t="s">
        <v>32</v>
      </c>
      <c r="C8" s="12">
        <v>28</v>
      </c>
      <c r="D8" s="12">
        <v>10</v>
      </c>
      <c r="E8" s="12">
        <v>10</v>
      </c>
      <c r="F8" s="12">
        <v>6</v>
      </c>
      <c r="G8" s="28">
        <f>SUM(D8:F8)/20</f>
        <v>1.3</v>
      </c>
      <c r="H8" s="12">
        <v>36</v>
      </c>
      <c r="I8" s="12">
        <v>10</v>
      </c>
      <c r="J8" s="12">
        <v>30</v>
      </c>
      <c r="K8" s="28">
        <f>SUM(H8:J8)/20</f>
        <v>3.8</v>
      </c>
      <c r="P8" t="s">
        <v>17</v>
      </c>
      <c r="Q8" s="46">
        <v>10</v>
      </c>
      <c r="R8" s="46">
        <v>16</v>
      </c>
    </row>
    <row r="9" spans="1:18" x14ac:dyDescent="0.35">
      <c r="A9" s="27"/>
      <c r="B9" s="10" t="s">
        <v>34</v>
      </c>
      <c r="C9" s="12"/>
      <c r="D9" s="12">
        <v>15</v>
      </c>
      <c r="E9" s="12">
        <v>30</v>
      </c>
      <c r="F9" s="12">
        <v>35</v>
      </c>
      <c r="G9" s="28">
        <f t="shared" ref="G9:G10" si="0">SUM(D9:F9)/20</f>
        <v>4</v>
      </c>
      <c r="H9" s="12">
        <v>70</v>
      </c>
      <c r="I9" s="12">
        <v>80</v>
      </c>
      <c r="J9" s="12">
        <v>90</v>
      </c>
      <c r="K9" s="28">
        <f t="shared" ref="K9:K10" si="1">SUM(H9:J9)/20</f>
        <v>12</v>
      </c>
      <c r="P9" t="s">
        <v>34</v>
      </c>
      <c r="Q9" s="46">
        <v>10</v>
      </c>
      <c r="R9" s="46">
        <v>16</v>
      </c>
    </row>
    <row r="10" spans="1:18" x14ac:dyDescent="0.35">
      <c r="A10" s="27"/>
      <c r="B10" s="10" t="s">
        <v>16</v>
      </c>
      <c r="C10" s="12">
        <v>172</v>
      </c>
      <c r="D10" s="12">
        <v>90</v>
      </c>
      <c r="E10" s="12">
        <v>90</v>
      </c>
      <c r="F10" s="12">
        <v>80</v>
      </c>
      <c r="G10" s="28">
        <f t="shared" si="0"/>
        <v>13</v>
      </c>
      <c r="H10" s="12">
        <v>307</v>
      </c>
      <c r="I10" s="12">
        <v>256</v>
      </c>
      <c r="J10" s="12">
        <v>335</v>
      </c>
      <c r="K10" s="28">
        <f t="shared" si="1"/>
        <v>44.9</v>
      </c>
    </row>
    <row r="11" spans="1:18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8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8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8" x14ac:dyDescent="0.35">
      <c r="A14" s="13"/>
      <c r="B14" s="10"/>
      <c r="C14" s="14">
        <f t="shared" ref="C14:K14" si="2">SUM(C8:C13)</f>
        <v>200</v>
      </c>
      <c r="D14" s="14">
        <f t="shared" si="2"/>
        <v>115</v>
      </c>
      <c r="E14" s="14">
        <f t="shared" si="2"/>
        <v>130</v>
      </c>
      <c r="F14" s="14">
        <f t="shared" si="2"/>
        <v>121</v>
      </c>
      <c r="G14" s="14">
        <f t="shared" si="2"/>
        <v>18.3</v>
      </c>
      <c r="H14" s="14">
        <f t="shared" si="2"/>
        <v>413</v>
      </c>
      <c r="I14" s="14">
        <f t="shared" si="2"/>
        <v>346</v>
      </c>
      <c r="J14" s="14">
        <f t="shared" si="2"/>
        <v>455</v>
      </c>
      <c r="K14" s="14">
        <f t="shared" si="2"/>
        <v>60.7</v>
      </c>
    </row>
    <row r="15" spans="1:18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8" ht="15" thickBot="1" x14ac:dyDescent="0.4">
      <c r="A16" s="1"/>
      <c r="B16" s="15">
        <f>SUM(C8:F13,H8:J13)/40</f>
        <v>44.5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5</v>
      </c>
      <c r="D17" s="26">
        <f t="shared" ref="D17:K17" si="3">D14/40</f>
        <v>2.875</v>
      </c>
      <c r="E17" s="26">
        <f t="shared" si="3"/>
        <v>3.25</v>
      </c>
      <c r="F17" s="26">
        <f t="shared" si="3"/>
        <v>3.0249999999999999</v>
      </c>
      <c r="G17" s="26">
        <f t="shared" si="3"/>
        <v>0.45750000000000002</v>
      </c>
      <c r="H17" s="26">
        <f t="shared" si="3"/>
        <v>10.324999999999999</v>
      </c>
      <c r="I17" s="26">
        <f t="shared" si="3"/>
        <v>8.65</v>
      </c>
      <c r="J17" s="26">
        <f t="shared" si="3"/>
        <v>11.375</v>
      </c>
      <c r="K17" s="26">
        <f t="shared" si="3"/>
        <v>1.5175000000000001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21A93-6BA4-42CE-89C9-9BF27D5F2B74}">
  <dimension ref="A1:K19"/>
  <sheetViews>
    <sheetView workbookViewId="0">
      <selection activeCell="B16" sqref="B16"/>
    </sheetView>
  </sheetViews>
  <sheetFormatPr defaultRowHeight="14.5" x14ac:dyDescent="0.35"/>
  <cols>
    <col min="1" max="1" width="3.90625" bestFit="1" customWidth="1"/>
    <col min="2" max="2" width="6.17968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0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0</v>
      </c>
      <c r="D17" s="26">
        <f t="shared" ref="D17:K17" si="1">D14/40</f>
        <v>0</v>
      </c>
      <c r="E17" s="26">
        <f t="shared" si="1"/>
        <v>0</v>
      </c>
      <c r="F17" s="26">
        <f t="shared" si="1"/>
        <v>0</v>
      </c>
      <c r="G17" s="26">
        <f t="shared" si="1"/>
        <v>0</v>
      </c>
      <c r="H17" s="26">
        <f t="shared" si="1"/>
        <v>0</v>
      </c>
      <c r="I17" s="26">
        <f t="shared" si="1"/>
        <v>0</v>
      </c>
      <c r="J17" s="26">
        <f t="shared" si="1"/>
        <v>0</v>
      </c>
      <c r="K17" s="26">
        <f t="shared" si="1"/>
        <v>0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FD42A-C002-41E3-80E9-BA0AAA04C4EB}">
  <dimension ref="A1:K19"/>
  <sheetViews>
    <sheetView workbookViewId="0">
      <selection activeCell="B16" sqref="B16"/>
    </sheetView>
  </sheetViews>
  <sheetFormatPr defaultRowHeight="14.5" x14ac:dyDescent="0.35"/>
  <cols>
    <col min="1" max="1" width="3.90625" bestFit="1" customWidth="1"/>
    <col min="2" max="2" width="6.17968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0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0</v>
      </c>
      <c r="D17" s="26">
        <f t="shared" ref="D17:K17" si="1">D14/40</f>
        <v>0</v>
      </c>
      <c r="E17" s="26">
        <f t="shared" si="1"/>
        <v>0</v>
      </c>
      <c r="F17" s="26">
        <f t="shared" si="1"/>
        <v>0</v>
      </c>
      <c r="G17" s="26">
        <f t="shared" si="1"/>
        <v>0</v>
      </c>
      <c r="H17" s="26">
        <f t="shared" si="1"/>
        <v>0</v>
      </c>
      <c r="I17" s="26">
        <f t="shared" si="1"/>
        <v>0</v>
      </c>
      <c r="J17" s="26">
        <f t="shared" si="1"/>
        <v>0</v>
      </c>
      <c r="K17" s="26">
        <f t="shared" si="1"/>
        <v>0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1C1E2-A8F9-4087-95F5-CC61C8293F6A}">
  <dimension ref="A1:K19"/>
  <sheetViews>
    <sheetView workbookViewId="0">
      <selection activeCell="B16" sqref="B16"/>
    </sheetView>
  </sheetViews>
  <sheetFormatPr defaultRowHeight="14.5" x14ac:dyDescent="0.35"/>
  <cols>
    <col min="1" max="1" width="3.90625" bestFit="1" customWidth="1"/>
    <col min="2" max="2" width="6.17968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0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0</v>
      </c>
      <c r="D17" s="26">
        <f t="shared" ref="D17:K17" si="1">D14/40</f>
        <v>0</v>
      </c>
      <c r="E17" s="26">
        <f t="shared" si="1"/>
        <v>0</v>
      </c>
      <c r="F17" s="26">
        <f t="shared" si="1"/>
        <v>0</v>
      </c>
      <c r="G17" s="26">
        <f t="shared" si="1"/>
        <v>0</v>
      </c>
      <c r="H17" s="26">
        <f t="shared" si="1"/>
        <v>0</v>
      </c>
      <c r="I17" s="26">
        <f t="shared" si="1"/>
        <v>0</v>
      </c>
      <c r="J17" s="26">
        <f t="shared" si="1"/>
        <v>0</v>
      </c>
      <c r="K17" s="26">
        <f t="shared" si="1"/>
        <v>0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0164-B7E7-4177-A35A-60E2B49B6F1E}">
  <dimension ref="A1:K19"/>
  <sheetViews>
    <sheetView workbookViewId="0">
      <selection activeCell="B16" sqref="B16"/>
    </sheetView>
  </sheetViews>
  <sheetFormatPr defaultRowHeight="14.5" x14ac:dyDescent="0.35"/>
  <cols>
    <col min="1" max="1" width="3.90625" bestFit="1" customWidth="1"/>
    <col min="2" max="2" width="6.17968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0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0</v>
      </c>
      <c r="D17" s="26">
        <f t="shared" ref="D17:K17" si="1">D14/40</f>
        <v>0</v>
      </c>
      <c r="E17" s="26">
        <f t="shared" si="1"/>
        <v>0</v>
      </c>
      <c r="F17" s="26">
        <f t="shared" si="1"/>
        <v>0</v>
      </c>
      <c r="G17" s="26">
        <f t="shared" si="1"/>
        <v>0</v>
      </c>
      <c r="H17" s="26">
        <f t="shared" si="1"/>
        <v>0</v>
      </c>
      <c r="I17" s="26">
        <f t="shared" si="1"/>
        <v>0</v>
      </c>
      <c r="J17" s="26">
        <f t="shared" si="1"/>
        <v>0</v>
      </c>
      <c r="K17" s="26">
        <f t="shared" si="1"/>
        <v>0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2FBED-8856-42CC-977B-5977D4F16323}">
  <dimension ref="A1:K19"/>
  <sheetViews>
    <sheetView workbookViewId="0">
      <selection activeCell="B16" sqref="B16"/>
    </sheetView>
  </sheetViews>
  <sheetFormatPr defaultRowHeight="14.5" x14ac:dyDescent="0.35"/>
  <cols>
    <col min="1" max="1" width="3.90625" bestFit="1" customWidth="1"/>
    <col min="2" max="2" width="6.17968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0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0</v>
      </c>
      <c r="D17" s="26">
        <f t="shared" ref="D17:K17" si="1">D14/40</f>
        <v>0</v>
      </c>
      <c r="E17" s="26">
        <f t="shared" si="1"/>
        <v>0</v>
      </c>
      <c r="F17" s="26">
        <f t="shared" si="1"/>
        <v>0</v>
      </c>
      <c r="G17" s="26">
        <f t="shared" si="1"/>
        <v>0</v>
      </c>
      <c r="H17" s="26">
        <f t="shared" si="1"/>
        <v>0</v>
      </c>
      <c r="I17" s="26">
        <f t="shared" si="1"/>
        <v>0</v>
      </c>
      <c r="J17" s="26">
        <f t="shared" si="1"/>
        <v>0</v>
      </c>
      <c r="K17" s="26">
        <f t="shared" si="1"/>
        <v>0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4DF8-C865-4EAB-87FC-B54CA70AD20E}">
  <dimension ref="A1:K19"/>
  <sheetViews>
    <sheetView workbookViewId="0">
      <selection activeCell="B16" sqref="B16"/>
    </sheetView>
  </sheetViews>
  <sheetFormatPr defaultRowHeight="14.5" x14ac:dyDescent="0.35"/>
  <cols>
    <col min="1" max="1" width="3.90625" bestFit="1" customWidth="1"/>
    <col min="2" max="2" width="6.17968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0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0</v>
      </c>
      <c r="D17" s="26">
        <f t="shared" ref="D17:K17" si="1">D14/40</f>
        <v>0</v>
      </c>
      <c r="E17" s="26">
        <f t="shared" si="1"/>
        <v>0</v>
      </c>
      <c r="F17" s="26">
        <f t="shared" si="1"/>
        <v>0</v>
      </c>
      <c r="G17" s="26">
        <f t="shared" si="1"/>
        <v>0</v>
      </c>
      <c r="H17" s="26">
        <f t="shared" si="1"/>
        <v>0</v>
      </c>
      <c r="I17" s="26">
        <f t="shared" si="1"/>
        <v>0</v>
      </c>
      <c r="J17" s="26">
        <f t="shared" si="1"/>
        <v>0</v>
      </c>
      <c r="K17" s="26">
        <f t="shared" si="1"/>
        <v>0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528A-B31C-4333-9BC5-136993154ACA}">
  <dimension ref="A1:K19"/>
  <sheetViews>
    <sheetView workbookViewId="0">
      <selection activeCell="B16" sqref="B16"/>
    </sheetView>
  </sheetViews>
  <sheetFormatPr defaultRowHeight="14.5" x14ac:dyDescent="0.35"/>
  <cols>
    <col min="1" max="1" width="3.90625" bestFit="1" customWidth="1"/>
    <col min="2" max="2" width="6.17968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0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0</v>
      </c>
      <c r="D17" s="26">
        <f t="shared" ref="D17:K17" si="1">D14/40</f>
        <v>0</v>
      </c>
      <c r="E17" s="26">
        <f t="shared" si="1"/>
        <v>0</v>
      </c>
      <c r="F17" s="26">
        <f t="shared" si="1"/>
        <v>0</v>
      </c>
      <c r="G17" s="26">
        <f t="shared" si="1"/>
        <v>0</v>
      </c>
      <c r="H17" s="26">
        <f t="shared" si="1"/>
        <v>0</v>
      </c>
      <c r="I17" s="26">
        <f t="shared" si="1"/>
        <v>0</v>
      </c>
      <c r="J17" s="26">
        <f t="shared" si="1"/>
        <v>0</v>
      </c>
      <c r="K17" s="26">
        <f t="shared" si="1"/>
        <v>0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06E98-333A-4EDC-84AE-78E28F8069BD}">
  <dimension ref="A1:K19"/>
  <sheetViews>
    <sheetView workbookViewId="0">
      <selection activeCell="B16" sqref="B16"/>
    </sheetView>
  </sheetViews>
  <sheetFormatPr defaultRowHeight="14.5" x14ac:dyDescent="0.35"/>
  <cols>
    <col min="1" max="1" width="3.90625" bestFit="1" customWidth="1"/>
    <col min="2" max="2" width="6.17968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0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0</v>
      </c>
      <c r="D17" s="26">
        <f t="shared" ref="D17:K17" si="1">D14/40</f>
        <v>0</v>
      </c>
      <c r="E17" s="26">
        <f t="shared" si="1"/>
        <v>0</v>
      </c>
      <c r="F17" s="26">
        <f t="shared" si="1"/>
        <v>0</v>
      </c>
      <c r="G17" s="26">
        <f t="shared" si="1"/>
        <v>0</v>
      </c>
      <c r="H17" s="26">
        <f t="shared" si="1"/>
        <v>0</v>
      </c>
      <c r="I17" s="26">
        <f t="shared" si="1"/>
        <v>0</v>
      </c>
      <c r="J17" s="26">
        <f t="shared" si="1"/>
        <v>0</v>
      </c>
      <c r="K17" s="26">
        <f t="shared" si="1"/>
        <v>0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5487-B908-4B5C-9BA4-6B5B2A14CAC7}">
  <dimension ref="A1:K19"/>
  <sheetViews>
    <sheetView workbookViewId="0">
      <selection activeCell="B16" sqref="B16"/>
    </sheetView>
  </sheetViews>
  <sheetFormatPr defaultRowHeight="14.5" x14ac:dyDescent="0.35"/>
  <cols>
    <col min="1" max="1" width="3.90625" bestFit="1" customWidth="1"/>
    <col min="2" max="2" width="6.17968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0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0</v>
      </c>
      <c r="D17" s="26">
        <f t="shared" ref="D17:K17" si="1">D14/40</f>
        <v>0</v>
      </c>
      <c r="E17" s="26">
        <f t="shared" si="1"/>
        <v>0</v>
      </c>
      <c r="F17" s="26">
        <f t="shared" si="1"/>
        <v>0</v>
      </c>
      <c r="G17" s="26">
        <f t="shared" si="1"/>
        <v>0</v>
      </c>
      <c r="H17" s="26">
        <f t="shared" si="1"/>
        <v>0</v>
      </c>
      <c r="I17" s="26">
        <f t="shared" si="1"/>
        <v>0</v>
      </c>
      <c r="J17" s="26">
        <f t="shared" si="1"/>
        <v>0</v>
      </c>
      <c r="K17" s="26">
        <f t="shared" si="1"/>
        <v>0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54328-BFA5-404C-870B-9E32B69390E2}">
  <dimension ref="A1:K19"/>
  <sheetViews>
    <sheetView workbookViewId="0">
      <selection activeCell="B16" sqref="B16"/>
    </sheetView>
  </sheetViews>
  <sheetFormatPr defaultRowHeight="14.5" x14ac:dyDescent="0.35"/>
  <cols>
    <col min="1" max="1" width="3.90625" bestFit="1" customWidth="1"/>
    <col min="2" max="2" width="6.17968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0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0</v>
      </c>
      <c r="D17" s="26">
        <f t="shared" ref="D17:K17" si="1">D14/40</f>
        <v>0</v>
      </c>
      <c r="E17" s="26">
        <f t="shared" si="1"/>
        <v>0</v>
      </c>
      <c r="F17" s="26">
        <f t="shared" si="1"/>
        <v>0</v>
      </c>
      <c r="G17" s="26">
        <f t="shared" si="1"/>
        <v>0</v>
      </c>
      <c r="H17" s="26">
        <f t="shared" si="1"/>
        <v>0</v>
      </c>
      <c r="I17" s="26">
        <f t="shared" si="1"/>
        <v>0</v>
      </c>
      <c r="J17" s="26">
        <f t="shared" si="1"/>
        <v>0</v>
      </c>
      <c r="K17" s="26">
        <f t="shared" si="1"/>
        <v>0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6114E-0AD8-4652-8B31-88E6EC8B6522}">
  <dimension ref="A1:K19"/>
  <sheetViews>
    <sheetView workbookViewId="0">
      <selection activeCell="B16" sqref="B16"/>
    </sheetView>
  </sheetViews>
  <sheetFormatPr defaultRowHeight="14.5" x14ac:dyDescent="0.35"/>
  <cols>
    <col min="1" max="1" width="3.90625" bestFit="1" customWidth="1"/>
    <col min="2" max="2" width="6.17968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0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0</v>
      </c>
      <c r="D17" s="26">
        <f t="shared" ref="D17:K17" si="1">D14/40</f>
        <v>0</v>
      </c>
      <c r="E17" s="26">
        <f t="shared" si="1"/>
        <v>0</v>
      </c>
      <c r="F17" s="26">
        <f t="shared" si="1"/>
        <v>0</v>
      </c>
      <c r="G17" s="26">
        <f t="shared" si="1"/>
        <v>0</v>
      </c>
      <c r="H17" s="26">
        <f t="shared" si="1"/>
        <v>0</v>
      </c>
      <c r="I17" s="26">
        <f t="shared" si="1"/>
        <v>0</v>
      </c>
      <c r="J17" s="26">
        <f t="shared" si="1"/>
        <v>0</v>
      </c>
      <c r="K17" s="26">
        <f t="shared" si="1"/>
        <v>0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A099E-5370-4419-9FCD-0778E6459525}">
  <dimension ref="A1:K19"/>
  <sheetViews>
    <sheetView workbookViewId="0">
      <selection activeCell="B16" sqref="B16"/>
    </sheetView>
  </sheetViews>
  <sheetFormatPr defaultRowHeight="14.5" x14ac:dyDescent="0.35"/>
  <cols>
    <col min="1" max="1" width="3.90625" bestFit="1" customWidth="1"/>
    <col min="2" max="2" width="6.17968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0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0</v>
      </c>
      <c r="D17" s="26">
        <f t="shared" ref="D17:K17" si="1">D14/40</f>
        <v>0</v>
      </c>
      <c r="E17" s="26">
        <f t="shared" si="1"/>
        <v>0</v>
      </c>
      <c r="F17" s="26">
        <f t="shared" si="1"/>
        <v>0</v>
      </c>
      <c r="G17" s="26">
        <f t="shared" si="1"/>
        <v>0</v>
      </c>
      <c r="H17" s="26">
        <f t="shared" si="1"/>
        <v>0</v>
      </c>
      <c r="I17" s="26">
        <f t="shared" si="1"/>
        <v>0</v>
      </c>
      <c r="J17" s="26">
        <f t="shared" si="1"/>
        <v>0</v>
      </c>
      <c r="K17" s="26">
        <f t="shared" si="1"/>
        <v>0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A99B6-9D4E-4476-9E64-5E442631703E}">
  <dimension ref="A1:K19"/>
  <sheetViews>
    <sheetView workbookViewId="0">
      <selection activeCell="B16" sqref="B16"/>
    </sheetView>
  </sheetViews>
  <sheetFormatPr defaultRowHeight="14.5" x14ac:dyDescent="0.35"/>
  <cols>
    <col min="1" max="1" width="3.90625" bestFit="1" customWidth="1"/>
    <col min="2" max="2" width="6.17968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0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0</v>
      </c>
      <c r="D17" s="26">
        <f t="shared" ref="D17:K17" si="1">D14/40</f>
        <v>0</v>
      </c>
      <c r="E17" s="26">
        <f t="shared" si="1"/>
        <v>0</v>
      </c>
      <c r="F17" s="26">
        <f t="shared" si="1"/>
        <v>0</v>
      </c>
      <c r="G17" s="26">
        <f t="shared" si="1"/>
        <v>0</v>
      </c>
      <c r="H17" s="26">
        <f t="shared" si="1"/>
        <v>0</v>
      </c>
      <c r="I17" s="26">
        <f t="shared" si="1"/>
        <v>0</v>
      </c>
      <c r="J17" s="26">
        <f t="shared" si="1"/>
        <v>0</v>
      </c>
      <c r="K17" s="26">
        <f t="shared" si="1"/>
        <v>0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20B7-C470-4A6A-BA78-91C06063F4E3}">
  <dimension ref="A1:K19"/>
  <sheetViews>
    <sheetView workbookViewId="0">
      <selection activeCell="B16" sqref="B16"/>
    </sheetView>
  </sheetViews>
  <sheetFormatPr defaultRowHeight="14.5" x14ac:dyDescent="0.35"/>
  <cols>
    <col min="1" max="1" width="3.90625" bestFit="1" customWidth="1"/>
    <col min="2" max="2" width="6.17968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0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0</v>
      </c>
      <c r="D17" s="26">
        <f t="shared" ref="D17:K17" si="1">D14/40</f>
        <v>0</v>
      </c>
      <c r="E17" s="26">
        <f t="shared" si="1"/>
        <v>0</v>
      </c>
      <c r="F17" s="26">
        <f t="shared" si="1"/>
        <v>0</v>
      </c>
      <c r="G17" s="26">
        <f t="shared" si="1"/>
        <v>0</v>
      </c>
      <c r="H17" s="26">
        <f t="shared" si="1"/>
        <v>0</v>
      </c>
      <c r="I17" s="26">
        <f t="shared" si="1"/>
        <v>0</v>
      </c>
      <c r="J17" s="26">
        <f t="shared" si="1"/>
        <v>0</v>
      </c>
      <c r="K17" s="26">
        <f t="shared" si="1"/>
        <v>0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CCD18-ABE2-4456-81B6-7B523C02EA6C}">
  <dimension ref="A1:K19"/>
  <sheetViews>
    <sheetView workbookViewId="0">
      <selection activeCell="B16" sqref="B16"/>
    </sheetView>
  </sheetViews>
  <sheetFormatPr defaultRowHeight="14.5" x14ac:dyDescent="0.35"/>
  <cols>
    <col min="1" max="1" width="3.90625" bestFit="1" customWidth="1"/>
    <col min="2" max="2" width="6.17968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0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0</v>
      </c>
      <c r="D17" s="26">
        <f t="shared" ref="D17:K17" si="1">D14/40</f>
        <v>0</v>
      </c>
      <c r="E17" s="26">
        <f t="shared" si="1"/>
        <v>0</v>
      </c>
      <c r="F17" s="26">
        <f t="shared" si="1"/>
        <v>0</v>
      </c>
      <c r="G17" s="26">
        <f t="shared" si="1"/>
        <v>0</v>
      </c>
      <c r="H17" s="26">
        <f t="shared" si="1"/>
        <v>0</v>
      </c>
      <c r="I17" s="26">
        <f t="shared" si="1"/>
        <v>0</v>
      </c>
      <c r="J17" s="26">
        <f t="shared" si="1"/>
        <v>0</v>
      </c>
      <c r="K17" s="26">
        <f t="shared" si="1"/>
        <v>0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49645-DD2F-49D3-B3AF-0E6F627D58A3}">
  <dimension ref="A1:K19"/>
  <sheetViews>
    <sheetView workbookViewId="0">
      <selection activeCell="B16" sqref="B16"/>
    </sheetView>
  </sheetViews>
  <sheetFormatPr defaultRowHeight="14.5" x14ac:dyDescent="0.35"/>
  <cols>
    <col min="1" max="1" width="3.90625" bestFit="1" customWidth="1"/>
    <col min="2" max="2" width="6.17968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0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0</v>
      </c>
      <c r="D17" s="26">
        <f t="shared" ref="D17:K17" si="1">D14/40</f>
        <v>0</v>
      </c>
      <c r="E17" s="26">
        <f t="shared" si="1"/>
        <v>0</v>
      </c>
      <c r="F17" s="26">
        <f t="shared" si="1"/>
        <v>0</v>
      </c>
      <c r="G17" s="26">
        <f t="shared" si="1"/>
        <v>0</v>
      </c>
      <c r="H17" s="26">
        <f t="shared" si="1"/>
        <v>0</v>
      </c>
      <c r="I17" s="26">
        <f t="shared" si="1"/>
        <v>0</v>
      </c>
      <c r="J17" s="26">
        <f t="shared" si="1"/>
        <v>0</v>
      </c>
      <c r="K17" s="26">
        <f t="shared" si="1"/>
        <v>0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D254-6817-4C2C-AE7A-E9C5892E76B5}">
  <dimension ref="A1:K19"/>
  <sheetViews>
    <sheetView workbookViewId="0">
      <selection activeCell="B16" sqref="B16"/>
    </sheetView>
  </sheetViews>
  <sheetFormatPr defaultRowHeight="14.5" x14ac:dyDescent="0.35"/>
  <cols>
    <col min="1" max="1" width="3.90625" bestFit="1" customWidth="1"/>
    <col min="2" max="2" width="6.17968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0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0</v>
      </c>
      <c r="D17" s="26">
        <f t="shared" ref="D17:K17" si="1">D14/40</f>
        <v>0</v>
      </c>
      <c r="E17" s="26">
        <f t="shared" si="1"/>
        <v>0</v>
      </c>
      <c r="F17" s="26">
        <f t="shared" si="1"/>
        <v>0</v>
      </c>
      <c r="G17" s="26">
        <f t="shared" si="1"/>
        <v>0</v>
      </c>
      <c r="H17" s="26">
        <f t="shared" si="1"/>
        <v>0</v>
      </c>
      <c r="I17" s="26">
        <f t="shared" si="1"/>
        <v>0</v>
      </c>
      <c r="J17" s="26">
        <f t="shared" si="1"/>
        <v>0</v>
      </c>
      <c r="K17" s="26">
        <f t="shared" si="1"/>
        <v>0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3001-FEFC-449D-A8A3-82DAE50447EF}">
  <dimension ref="A1:K19"/>
  <sheetViews>
    <sheetView workbookViewId="0">
      <selection activeCell="B16" sqref="B16"/>
    </sheetView>
  </sheetViews>
  <sheetFormatPr defaultRowHeight="14.5" x14ac:dyDescent="0.35"/>
  <cols>
    <col min="1" max="1" width="3.90625" bestFit="1" customWidth="1"/>
    <col min="2" max="2" width="6.17968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0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0</v>
      </c>
      <c r="D17" s="26">
        <f t="shared" ref="D17:K17" si="1">D14/40</f>
        <v>0</v>
      </c>
      <c r="E17" s="26">
        <f t="shared" si="1"/>
        <v>0</v>
      </c>
      <c r="F17" s="26">
        <f t="shared" si="1"/>
        <v>0</v>
      </c>
      <c r="G17" s="26">
        <f t="shared" si="1"/>
        <v>0</v>
      </c>
      <c r="H17" s="26">
        <f t="shared" si="1"/>
        <v>0</v>
      </c>
      <c r="I17" s="26">
        <f t="shared" si="1"/>
        <v>0</v>
      </c>
      <c r="J17" s="26">
        <f t="shared" si="1"/>
        <v>0</v>
      </c>
      <c r="K17" s="26">
        <f t="shared" si="1"/>
        <v>0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2FD71-4BFE-4078-B64C-19DAB7732322}">
  <dimension ref="A1:K19"/>
  <sheetViews>
    <sheetView workbookViewId="0">
      <selection activeCell="B16" sqref="B16"/>
    </sheetView>
  </sheetViews>
  <sheetFormatPr defaultRowHeight="14.5" x14ac:dyDescent="0.35"/>
  <cols>
    <col min="1" max="1" width="3.90625" bestFit="1" customWidth="1"/>
    <col min="2" max="2" width="6.1796875" bestFit="1" customWidth="1"/>
    <col min="3" max="3" width="4" bestFit="1" customWidth="1"/>
    <col min="4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0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0</v>
      </c>
      <c r="D17" s="26">
        <f t="shared" ref="D17:K17" si="1">D14/40</f>
        <v>0</v>
      </c>
      <c r="E17" s="26">
        <f t="shared" si="1"/>
        <v>0</v>
      </c>
      <c r="F17" s="26">
        <f t="shared" si="1"/>
        <v>0</v>
      </c>
      <c r="G17" s="26">
        <f t="shared" si="1"/>
        <v>0</v>
      </c>
      <c r="H17" s="26">
        <f t="shared" si="1"/>
        <v>0</v>
      </c>
      <c r="I17" s="26">
        <f t="shared" si="1"/>
        <v>0</v>
      </c>
      <c r="J17" s="26">
        <f t="shared" si="1"/>
        <v>0</v>
      </c>
      <c r="K17" s="26">
        <f t="shared" si="1"/>
        <v>0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847A-2E50-4E41-94F1-9E0FF672B727}">
  <dimension ref="A1:K19"/>
  <sheetViews>
    <sheetView workbookViewId="0">
      <selection activeCell="B16" sqref="B16"/>
    </sheetView>
  </sheetViews>
  <sheetFormatPr defaultRowHeight="14.5" x14ac:dyDescent="0.35"/>
  <cols>
    <col min="1" max="1" width="3.54296875" bestFit="1" customWidth="1"/>
    <col min="2" max="2" width="4.26953125" bestFit="1" customWidth="1"/>
    <col min="3" max="3" width="4" bestFit="1" customWidth="1"/>
    <col min="4" max="4" width="3.90625" bestFit="1" customWidth="1"/>
    <col min="5" max="5" width="3.26953125" bestFit="1" customWidth="1"/>
    <col min="6" max="6" width="3.08984375" bestFit="1" customWidth="1"/>
    <col min="7" max="7" width="5.81640625" bestFit="1" customWidth="1"/>
    <col min="8" max="8" width="3.90625" bestFit="1" customWidth="1"/>
    <col min="9" max="9" width="3.6328125" bestFit="1" customWidth="1"/>
    <col min="10" max="10" width="3.08984375" bestFit="1" customWidth="1"/>
    <col min="11" max="11" width="5.816406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34" t="s">
        <v>0</v>
      </c>
      <c r="C2" s="35"/>
      <c r="D2" s="35"/>
      <c r="E2" s="35"/>
      <c r="F2" s="35"/>
      <c r="G2" s="35"/>
      <c r="H2" s="35"/>
      <c r="I2" s="35"/>
      <c r="J2" s="35"/>
      <c r="K2" s="36"/>
    </row>
    <row r="3" spans="1:11" x14ac:dyDescent="0.35">
      <c r="A3" s="1"/>
      <c r="B3" s="37"/>
      <c r="C3" s="38"/>
      <c r="D3" s="38"/>
      <c r="E3" s="38"/>
      <c r="F3" s="38"/>
      <c r="G3" s="38"/>
      <c r="H3" s="38"/>
      <c r="I3" s="38"/>
      <c r="J3" s="38"/>
      <c r="K3" s="39"/>
    </row>
    <row r="4" spans="1:11" x14ac:dyDescent="0.35">
      <c r="A4" s="1"/>
      <c r="B4" s="37"/>
      <c r="C4" s="38"/>
      <c r="D4" s="38"/>
      <c r="E4" s="38"/>
      <c r="F4" s="38"/>
      <c r="G4" s="38"/>
      <c r="H4" s="38"/>
      <c r="I4" s="38"/>
      <c r="J4" s="38"/>
      <c r="K4" s="39"/>
    </row>
    <row r="5" spans="1:11" ht="15" thickBot="1" x14ac:dyDescent="0.4">
      <c r="A5" s="1"/>
      <c r="B5" s="40"/>
      <c r="C5" s="41"/>
      <c r="D5" s="41"/>
      <c r="E5" s="41"/>
      <c r="F5" s="41"/>
      <c r="G5" s="41"/>
      <c r="H5" s="41"/>
      <c r="I5" s="41"/>
      <c r="J5" s="41"/>
      <c r="K5" s="42"/>
    </row>
    <row r="6" spans="1:11" ht="15" thickBot="1" x14ac:dyDescent="0.4">
      <c r="A6" s="1"/>
      <c r="B6" s="2"/>
      <c r="C6" s="3" t="s">
        <v>1</v>
      </c>
      <c r="D6" s="43" t="s">
        <v>2</v>
      </c>
      <c r="E6" s="44"/>
      <c r="F6" s="44"/>
      <c r="G6" s="45"/>
      <c r="H6" s="44" t="s">
        <v>3</v>
      </c>
      <c r="I6" s="44"/>
      <c r="J6" s="44"/>
      <c r="K6" s="4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0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0</v>
      </c>
      <c r="D17" s="26">
        <f t="shared" ref="D17:K17" si="1">D14/40</f>
        <v>0</v>
      </c>
      <c r="E17" s="26">
        <f t="shared" si="1"/>
        <v>0</v>
      </c>
      <c r="F17" s="26">
        <f t="shared" si="1"/>
        <v>0</v>
      </c>
      <c r="G17" s="26">
        <f t="shared" si="1"/>
        <v>0</v>
      </c>
      <c r="H17" s="26">
        <f t="shared" si="1"/>
        <v>0</v>
      </c>
      <c r="I17" s="26">
        <f t="shared" si="1"/>
        <v>0</v>
      </c>
      <c r="J17" s="26">
        <f t="shared" si="1"/>
        <v>0</v>
      </c>
      <c r="K17" s="26">
        <f t="shared" si="1"/>
        <v>0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last month</vt:lpstr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2026-06-09T05:45:07Z</dcterms:created>
  <dcterms:modified xsi:type="dcterms:W3CDTF">2026-06-12T12:56:27Z</dcterms:modified>
</cp:coreProperties>
</file>