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DDEFF30C-FEE6-4598-8EC1-2EB2B66DE0D4}" xr6:coauthVersionLast="47" xr6:coauthVersionMax="47" xr10:uidLastSave="{00000000-0000-0000-0000-000000000000}"/>
  <bookViews>
    <workbookView xWindow="-110" yWindow="-110" windowWidth="19420" windowHeight="10420" tabRatio="887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6" i="30"/>
  <c r="B16" i="29"/>
  <c r="B16" i="28"/>
  <c r="B12" i="2"/>
  <c r="B16" i="3"/>
  <c r="B16" i="4"/>
  <c r="B16" i="5"/>
  <c r="B16" i="6"/>
  <c r="B16" i="7"/>
  <c r="B16" i="8"/>
  <c r="B16" i="9"/>
  <c r="B16" i="10"/>
  <c r="B16" i="11"/>
  <c r="B16" i="12"/>
  <c r="B16" i="13"/>
  <c r="B16" i="14"/>
  <c r="B16" i="15"/>
  <c r="B16" i="16"/>
  <c r="B16" i="17"/>
  <c r="B16" i="18"/>
  <c r="B16" i="19"/>
  <c r="B16" i="20"/>
  <c r="B16" i="21"/>
  <c r="B16" i="22"/>
  <c r="B16" i="23"/>
  <c r="B16" i="24"/>
  <c r="B16" i="25"/>
  <c r="B16" i="26"/>
  <c r="B16" i="27"/>
  <c r="B16" i="32"/>
  <c r="B16" i="31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K17" i="32" s="1"/>
  <c r="J14" i="32"/>
  <c r="J17" i="32" s="1"/>
  <c r="I14" i="32"/>
  <c r="I17" i="32" s="1"/>
  <c r="H14" i="32"/>
  <c r="G14" i="32"/>
  <c r="G17" i="32" s="1"/>
  <c r="F14" i="32"/>
  <c r="F17" i="32" s="1"/>
  <c r="E14" i="32"/>
  <c r="E17" i="32" s="1"/>
  <c r="D14" i="32"/>
  <c r="C14" i="32"/>
  <c r="C17" i="32" s="1"/>
  <c r="K14" i="31"/>
  <c r="K17" i="31" s="1"/>
  <c r="J14" i="31"/>
  <c r="J17" i="31" s="1"/>
  <c r="I14" i="31"/>
  <c r="I17" i="31" s="1"/>
  <c r="H14" i="31"/>
  <c r="H17" i="31" s="1"/>
  <c r="G14" i="31"/>
  <c r="G17" i="31" s="1"/>
  <c r="F14" i="31"/>
  <c r="F17" i="31" s="1"/>
  <c r="E14" i="31"/>
  <c r="E17" i="31" s="1"/>
  <c r="D14" i="31"/>
  <c r="D17" i="31" s="1"/>
  <c r="C14" i="31"/>
  <c r="C17" i="31" s="1"/>
  <c r="K14" i="30"/>
  <c r="K17" i="30" s="1"/>
  <c r="J14" i="30"/>
  <c r="J17" i="30" s="1"/>
  <c r="I14" i="30"/>
  <c r="I17" i="30" s="1"/>
  <c r="H14" i="30"/>
  <c r="H17" i="30" s="1"/>
  <c r="G14" i="30"/>
  <c r="G17" i="30" s="1"/>
  <c r="F14" i="30"/>
  <c r="F17" i="30" s="1"/>
  <c r="E14" i="30"/>
  <c r="E17" i="30" s="1"/>
  <c r="D14" i="30"/>
  <c r="D17" i="30" s="1"/>
  <c r="C14" i="30"/>
  <c r="C17" i="30" s="1"/>
  <c r="K14" i="29"/>
  <c r="K17" i="29" s="1"/>
  <c r="J14" i="29"/>
  <c r="J17" i="29" s="1"/>
  <c r="I14" i="29"/>
  <c r="I17" i="29" s="1"/>
  <c r="H14" i="29"/>
  <c r="H17" i="29" s="1"/>
  <c r="G14" i="29"/>
  <c r="G17" i="29" s="1"/>
  <c r="F14" i="29"/>
  <c r="F17" i="29" s="1"/>
  <c r="E14" i="29"/>
  <c r="E17" i="29" s="1"/>
  <c r="D14" i="29"/>
  <c r="D17" i="29" s="1"/>
  <c r="C14" i="29"/>
  <c r="C17" i="29" s="1"/>
  <c r="K14" i="28"/>
  <c r="K17" i="28" s="1"/>
  <c r="J14" i="28"/>
  <c r="J17" i="28" s="1"/>
  <c r="I14" i="28"/>
  <c r="I17" i="28" s="1"/>
  <c r="H14" i="28"/>
  <c r="H17" i="28" s="1"/>
  <c r="G14" i="28"/>
  <c r="G17" i="28" s="1"/>
  <c r="F14" i="28"/>
  <c r="F17" i="28" s="1"/>
  <c r="E14" i="28"/>
  <c r="E17" i="28" s="1"/>
  <c r="D14" i="28"/>
  <c r="D17" i="28" s="1"/>
  <c r="C14" i="28"/>
  <c r="C17" i="28" s="1"/>
  <c r="K14" i="27"/>
  <c r="K17" i="27" s="1"/>
  <c r="J14" i="27"/>
  <c r="J17" i="27" s="1"/>
  <c r="I14" i="27"/>
  <c r="I17" i="27" s="1"/>
  <c r="H14" i="27"/>
  <c r="H17" i="27" s="1"/>
  <c r="G14" i="27"/>
  <c r="G17" i="27" s="1"/>
  <c r="F14" i="27"/>
  <c r="F17" i="27" s="1"/>
  <c r="E14" i="27"/>
  <c r="E17" i="27" s="1"/>
  <c r="D14" i="27"/>
  <c r="D17" i="27" s="1"/>
  <c r="C14" i="27"/>
  <c r="C17" i="27" s="1"/>
  <c r="K14" i="26"/>
  <c r="K17" i="26" s="1"/>
  <c r="J14" i="26"/>
  <c r="J17" i="26" s="1"/>
  <c r="I14" i="26"/>
  <c r="I17" i="26" s="1"/>
  <c r="H14" i="26"/>
  <c r="H17" i="26" s="1"/>
  <c r="G14" i="26"/>
  <c r="G17" i="26" s="1"/>
  <c r="F14" i="26"/>
  <c r="F17" i="26" s="1"/>
  <c r="E14" i="26"/>
  <c r="E17" i="26" s="1"/>
  <c r="D14" i="26"/>
  <c r="D17" i="26" s="1"/>
  <c r="C14" i="26"/>
  <c r="C17" i="26" s="1"/>
  <c r="H17" i="25"/>
  <c r="K14" i="25"/>
  <c r="K17" i="25" s="1"/>
  <c r="J14" i="25"/>
  <c r="J17" i="25" s="1"/>
  <c r="I14" i="25"/>
  <c r="I17" i="25" s="1"/>
  <c r="H14" i="25"/>
  <c r="G14" i="25"/>
  <c r="G17" i="25" s="1"/>
  <c r="F14" i="25"/>
  <c r="F17" i="25" s="1"/>
  <c r="E14" i="25"/>
  <c r="E17" i="25" s="1"/>
  <c r="D14" i="25"/>
  <c r="D17" i="25" s="1"/>
  <c r="C14" i="25"/>
  <c r="C17" i="25" s="1"/>
  <c r="K14" i="24"/>
  <c r="K17" i="24" s="1"/>
  <c r="J14" i="24"/>
  <c r="J17" i="24" s="1"/>
  <c r="I14" i="24"/>
  <c r="I17" i="24" s="1"/>
  <c r="H14" i="24"/>
  <c r="H17" i="24" s="1"/>
  <c r="G14" i="24"/>
  <c r="G17" i="24" s="1"/>
  <c r="F14" i="24"/>
  <c r="F17" i="24" s="1"/>
  <c r="E14" i="24"/>
  <c r="E17" i="24" s="1"/>
  <c r="D14" i="24"/>
  <c r="D17" i="24" s="1"/>
  <c r="C14" i="24"/>
  <c r="C17" i="24" s="1"/>
  <c r="H17" i="23"/>
  <c r="K14" i="23"/>
  <c r="K17" i="23" s="1"/>
  <c r="J14" i="23"/>
  <c r="J17" i="23" s="1"/>
  <c r="I14" i="23"/>
  <c r="I17" i="23" s="1"/>
  <c r="H14" i="23"/>
  <c r="G14" i="23"/>
  <c r="G17" i="23" s="1"/>
  <c r="F14" i="23"/>
  <c r="F17" i="23" s="1"/>
  <c r="E14" i="23"/>
  <c r="E17" i="23" s="1"/>
  <c r="D14" i="23"/>
  <c r="D17" i="23" s="1"/>
  <c r="C14" i="23"/>
  <c r="C17" i="23" s="1"/>
  <c r="K14" i="22"/>
  <c r="K17" i="22" s="1"/>
  <c r="J14" i="22"/>
  <c r="J17" i="22" s="1"/>
  <c r="I14" i="22"/>
  <c r="I17" i="22" s="1"/>
  <c r="H14" i="22"/>
  <c r="H17" i="22" s="1"/>
  <c r="G14" i="22"/>
  <c r="G17" i="22" s="1"/>
  <c r="F14" i="22"/>
  <c r="F17" i="22" s="1"/>
  <c r="E14" i="22"/>
  <c r="E17" i="22" s="1"/>
  <c r="D14" i="22"/>
  <c r="D17" i="22" s="1"/>
  <c r="C14" i="22"/>
  <c r="C17" i="22" s="1"/>
  <c r="J17" i="21"/>
  <c r="F17" i="21"/>
  <c r="K14" i="21"/>
  <c r="K17" i="21" s="1"/>
  <c r="J14" i="21"/>
  <c r="I14" i="21"/>
  <c r="I17" i="21" s="1"/>
  <c r="H14" i="21"/>
  <c r="H17" i="21" s="1"/>
  <c r="G14" i="21"/>
  <c r="G17" i="21" s="1"/>
  <c r="F14" i="21"/>
  <c r="E14" i="21"/>
  <c r="E17" i="21" s="1"/>
  <c r="D14" i="21"/>
  <c r="D17" i="21" s="1"/>
  <c r="C14" i="21"/>
  <c r="C17" i="21" s="1"/>
  <c r="H17" i="20"/>
  <c r="K14" i="20"/>
  <c r="K17" i="20" s="1"/>
  <c r="J14" i="20"/>
  <c r="J17" i="20" s="1"/>
  <c r="I14" i="20"/>
  <c r="I17" i="20" s="1"/>
  <c r="H14" i="20"/>
  <c r="G14" i="20"/>
  <c r="G17" i="20" s="1"/>
  <c r="F14" i="20"/>
  <c r="F17" i="20" s="1"/>
  <c r="E14" i="20"/>
  <c r="E17" i="20" s="1"/>
  <c r="D14" i="20"/>
  <c r="D17" i="20" s="1"/>
  <c r="C14" i="20"/>
  <c r="C17" i="20" s="1"/>
  <c r="K14" i="19"/>
  <c r="K17" i="19" s="1"/>
  <c r="J14" i="19"/>
  <c r="J17" i="19" s="1"/>
  <c r="I14" i="19"/>
  <c r="I17" i="19" s="1"/>
  <c r="H14" i="19"/>
  <c r="H17" i="19" s="1"/>
  <c r="G14" i="19"/>
  <c r="G17" i="19" s="1"/>
  <c r="F14" i="19"/>
  <c r="F17" i="19" s="1"/>
  <c r="E14" i="19"/>
  <c r="E17" i="19" s="1"/>
  <c r="D14" i="19"/>
  <c r="D17" i="19" s="1"/>
  <c r="C14" i="19"/>
  <c r="C17" i="19" s="1"/>
  <c r="K14" i="18"/>
  <c r="K17" i="18" s="1"/>
  <c r="J14" i="18"/>
  <c r="J17" i="18" s="1"/>
  <c r="I14" i="18"/>
  <c r="I17" i="18" s="1"/>
  <c r="H14" i="18"/>
  <c r="H17" i="18" s="1"/>
  <c r="G14" i="18"/>
  <c r="G17" i="18" s="1"/>
  <c r="F14" i="18"/>
  <c r="F17" i="18" s="1"/>
  <c r="E14" i="18"/>
  <c r="E17" i="18" s="1"/>
  <c r="D14" i="18"/>
  <c r="D17" i="18" s="1"/>
  <c r="C14" i="18"/>
  <c r="C17" i="18" s="1"/>
  <c r="K14" i="17" l="1"/>
  <c r="K17" i="17" s="1"/>
  <c r="J14" i="17"/>
  <c r="J17" i="17" s="1"/>
  <c r="I14" i="17"/>
  <c r="I17" i="17" s="1"/>
  <c r="H14" i="17"/>
  <c r="H17" i="17" s="1"/>
  <c r="G14" i="17"/>
  <c r="G17" i="17" s="1"/>
  <c r="F14" i="17"/>
  <c r="F17" i="17" s="1"/>
  <c r="E14" i="17"/>
  <c r="E17" i="17" s="1"/>
  <c r="D14" i="17"/>
  <c r="D17" i="17" s="1"/>
  <c r="C14" i="17"/>
  <c r="C17" i="17" s="1"/>
  <c r="H17" i="16"/>
  <c r="K14" i="16"/>
  <c r="K17" i="16" s="1"/>
  <c r="J14" i="16"/>
  <c r="J17" i="16" s="1"/>
  <c r="I14" i="16"/>
  <c r="I17" i="16" s="1"/>
  <c r="H14" i="16"/>
  <c r="G14" i="16"/>
  <c r="G17" i="16" s="1"/>
  <c r="F14" i="16"/>
  <c r="F17" i="16" s="1"/>
  <c r="E14" i="16"/>
  <c r="E17" i="16" s="1"/>
  <c r="D14" i="16"/>
  <c r="D17" i="16" s="1"/>
  <c r="C14" i="16"/>
  <c r="C17" i="16" s="1"/>
  <c r="K14" i="15"/>
  <c r="K17" i="15" s="1"/>
  <c r="J14" i="15"/>
  <c r="J17" i="15" s="1"/>
  <c r="I14" i="15"/>
  <c r="I17" i="15" s="1"/>
  <c r="H14" i="15"/>
  <c r="H17" i="15" s="1"/>
  <c r="G14" i="15"/>
  <c r="G17" i="15" s="1"/>
  <c r="F14" i="15"/>
  <c r="F17" i="15" s="1"/>
  <c r="E14" i="15"/>
  <c r="E17" i="15" s="1"/>
  <c r="D14" i="15"/>
  <c r="D17" i="15" s="1"/>
  <c r="C14" i="15"/>
  <c r="C17" i="15" s="1"/>
  <c r="K14" i="14"/>
  <c r="K17" i="14" s="1"/>
  <c r="J14" i="14"/>
  <c r="J17" i="14" s="1"/>
  <c r="I14" i="14"/>
  <c r="I17" i="14" s="1"/>
  <c r="H14" i="14"/>
  <c r="H17" i="14" s="1"/>
  <c r="G14" i="14"/>
  <c r="G17" i="14" s="1"/>
  <c r="F14" i="14"/>
  <c r="F17" i="14" s="1"/>
  <c r="E14" i="14"/>
  <c r="E17" i="14" s="1"/>
  <c r="D14" i="14"/>
  <c r="D17" i="14" s="1"/>
  <c r="C14" i="14"/>
  <c r="C17" i="14" s="1"/>
  <c r="H17" i="13"/>
  <c r="K14" i="13"/>
  <c r="K17" i="13" s="1"/>
  <c r="J14" i="13"/>
  <c r="J17" i="13" s="1"/>
  <c r="I14" i="13"/>
  <c r="I17" i="13" s="1"/>
  <c r="H14" i="13"/>
  <c r="G14" i="13"/>
  <c r="G17" i="13" s="1"/>
  <c r="F14" i="13"/>
  <c r="F17" i="13" s="1"/>
  <c r="E14" i="13"/>
  <c r="E17" i="13" s="1"/>
  <c r="D14" i="13"/>
  <c r="D17" i="13" s="1"/>
  <c r="C14" i="13"/>
  <c r="C17" i="13" s="1"/>
  <c r="K14" i="12"/>
  <c r="K17" i="12" s="1"/>
  <c r="J14" i="12"/>
  <c r="J17" i="12" s="1"/>
  <c r="I14" i="12"/>
  <c r="I17" i="12" s="1"/>
  <c r="H14" i="12"/>
  <c r="H17" i="12" s="1"/>
  <c r="G14" i="12"/>
  <c r="G17" i="12" s="1"/>
  <c r="F14" i="12"/>
  <c r="F17" i="12" s="1"/>
  <c r="E14" i="12"/>
  <c r="E17" i="12" s="1"/>
  <c r="D14" i="12"/>
  <c r="D17" i="12" s="1"/>
  <c r="C14" i="12"/>
  <c r="C17" i="12" s="1"/>
  <c r="H17" i="11"/>
  <c r="K14" i="11"/>
  <c r="K17" i="11" s="1"/>
  <c r="J14" i="11"/>
  <c r="J17" i="11" s="1"/>
  <c r="I14" i="11"/>
  <c r="I17" i="11" s="1"/>
  <c r="H14" i="11"/>
  <c r="G14" i="11"/>
  <c r="G17" i="11" s="1"/>
  <c r="F14" i="11"/>
  <c r="F17" i="11" s="1"/>
  <c r="E14" i="11"/>
  <c r="E17" i="11" s="1"/>
  <c r="D14" i="11"/>
  <c r="D17" i="11" s="1"/>
  <c r="C14" i="11"/>
  <c r="C17" i="11" s="1"/>
  <c r="H17" i="10"/>
  <c r="K14" i="10"/>
  <c r="K17" i="10" s="1"/>
  <c r="J14" i="10"/>
  <c r="J17" i="10" s="1"/>
  <c r="I14" i="10"/>
  <c r="I17" i="10" s="1"/>
  <c r="H14" i="10"/>
  <c r="G14" i="10"/>
  <c r="G17" i="10" s="1"/>
  <c r="F14" i="10"/>
  <c r="F17" i="10" s="1"/>
  <c r="E14" i="10"/>
  <c r="E17" i="10" s="1"/>
  <c r="D14" i="10"/>
  <c r="D17" i="10" s="1"/>
  <c r="C14" i="10"/>
  <c r="C17" i="10" s="1"/>
  <c r="K14" i="9"/>
  <c r="K17" i="9" s="1"/>
  <c r="J14" i="9"/>
  <c r="J17" i="9" s="1"/>
  <c r="I14" i="9"/>
  <c r="I17" i="9" s="1"/>
  <c r="H14" i="9"/>
  <c r="H17" i="9" s="1"/>
  <c r="G14" i="9"/>
  <c r="G17" i="9" s="1"/>
  <c r="F14" i="9"/>
  <c r="F17" i="9" s="1"/>
  <c r="E14" i="9"/>
  <c r="E17" i="9" s="1"/>
  <c r="D14" i="9"/>
  <c r="D17" i="9" s="1"/>
  <c r="C14" i="9"/>
  <c r="C17" i="9" s="1"/>
  <c r="K14" i="8"/>
  <c r="K17" i="8" s="1"/>
  <c r="J14" i="8"/>
  <c r="J17" i="8" s="1"/>
  <c r="I14" i="8"/>
  <c r="I17" i="8" s="1"/>
  <c r="H14" i="8"/>
  <c r="H17" i="8" s="1"/>
  <c r="G14" i="8"/>
  <c r="G17" i="8" s="1"/>
  <c r="F14" i="8"/>
  <c r="F17" i="8" s="1"/>
  <c r="E14" i="8"/>
  <c r="E17" i="8" s="1"/>
  <c r="D14" i="8"/>
  <c r="D17" i="8" s="1"/>
  <c r="C14" i="8"/>
  <c r="C17" i="8" s="1"/>
  <c r="K14" i="7"/>
  <c r="K17" i="7" s="1"/>
  <c r="J14" i="7"/>
  <c r="J17" i="7" s="1"/>
  <c r="I14" i="7"/>
  <c r="I17" i="7" s="1"/>
  <c r="H14" i="7"/>
  <c r="H17" i="7" s="1"/>
  <c r="G14" i="7"/>
  <c r="G17" i="7" s="1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G17" i="6" s="1"/>
  <c r="F14" i="6"/>
  <c r="F17" i="6" s="1"/>
  <c r="E14" i="6"/>
  <c r="E17" i="6" s="1"/>
  <c r="D14" i="6"/>
  <c r="D17" i="6" s="1"/>
  <c r="C14" i="6"/>
  <c r="C17" i="6" s="1"/>
  <c r="H17" i="5"/>
  <c r="D17" i="5"/>
  <c r="K14" i="5"/>
  <c r="K17" i="5" s="1"/>
  <c r="J14" i="5"/>
  <c r="J17" i="5" s="1"/>
  <c r="I14" i="5"/>
  <c r="I17" i="5" s="1"/>
  <c r="H14" i="5"/>
  <c r="G14" i="5"/>
  <c r="G17" i="5" s="1"/>
  <c r="F14" i="5"/>
  <c r="F17" i="5" s="1"/>
  <c r="E14" i="5"/>
  <c r="E17" i="5" s="1"/>
  <c r="D14" i="5"/>
  <c r="C14" i="5"/>
  <c r="C17" i="5" s="1"/>
  <c r="H17" i="6" l="1"/>
  <c r="K14" i="6"/>
  <c r="K17" i="6" s="1"/>
  <c r="K14" i="4"/>
  <c r="K17" i="4" s="1"/>
  <c r="J14" i="4"/>
  <c r="J17" i="4" s="1"/>
  <c r="I14" i="4"/>
  <c r="I17" i="4" s="1"/>
  <c r="H14" i="4"/>
  <c r="H17" i="4" s="1"/>
  <c r="G14" i="4"/>
  <c r="G17" i="4" s="1"/>
  <c r="F14" i="4"/>
  <c r="F17" i="4" s="1"/>
  <c r="E14" i="4"/>
  <c r="E17" i="4" s="1"/>
  <c r="D14" i="4"/>
  <c r="D17" i="4" s="1"/>
  <c r="C14" i="4"/>
  <c r="C17" i="4" s="1"/>
  <c r="K13" i="3" l="1"/>
  <c r="K16" i="3" s="1"/>
  <c r="J13" i="3"/>
  <c r="J16" i="3" s="1"/>
  <c r="I13" i="3"/>
  <c r="I16" i="3" s="1"/>
  <c r="H13" i="3"/>
  <c r="H16" i="3" s="1"/>
  <c r="G13" i="3"/>
  <c r="G16" i="3" s="1"/>
  <c r="F13" i="3"/>
  <c r="F16" i="3" s="1"/>
  <c r="E13" i="3"/>
  <c r="E16" i="3" s="1"/>
  <c r="D13" i="3"/>
  <c r="D16" i="3" s="1"/>
  <c r="C13" i="3"/>
  <c r="C16" i="3" s="1"/>
  <c r="K15" i="2" l="1"/>
  <c r="K18" i="2" s="1"/>
  <c r="J15" i="2"/>
  <c r="J18" i="2" s="1"/>
  <c r="I15" i="2"/>
  <c r="I18" i="2" s="1"/>
  <c r="H15" i="2"/>
  <c r="H18" i="2" s="1"/>
  <c r="G15" i="2"/>
  <c r="G18" i="2" s="1"/>
  <c r="F15" i="2"/>
  <c r="F18" i="2" s="1"/>
  <c r="E15" i="2"/>
  <c r="E18" i="2" s="1"/>
  <c r="D15" i="2"/>
  <c r="D18" i="2" s="1"/>
  <c r="C15" i="2"/>
  <c r="C18" i="2" s="1"/>
</calcChain>
</file>

<file path=xl/sharedStrings.xml><?xml version="1.0" encoding="utf-8"?>
<sst xmlns="http://schemas.openxmlformats.org/spreadsheetml/2006/main" count="511" uniqueCount="34">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</sst>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19"/>
  <sheetViews>
    <sheetView tabSelected="1" topLeftCell="A2" zoomScale="115" zoomScaleNormal="115" workbookViewId="0">
      <selection activeCell="M8" sqref="M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K19"/>
  <sheetViews>
    <sheetView topLeftCell="A4" zoomScale="130" zoomScaleNormal="130" workbookViewId="0">
      <selection activeCell="D19" sqref="D1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</row>
    <row r="9" spans="1:11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</row>
    <row r="10" spans="1:11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190</v>
      </c>
      <c r="D14" s="14">
        <f t="shared" si="0"/>
        <v>32</v>
      </c>
      <c r="E14" s="14">
        <f t="shared" si="0"/>
        <v>20</v>
      </c>
      <c r="F14" s="14">
        <f t="shared" si="0"/>
        <v>20</v>
      </c>
      <c r="G14" s="14">
        <f t="shared" si="0"/>
        <v>3.6</v>
      </c>
      <c r="H14" s="14">
        <f t="shared" si="0"/>
        <v>50</v>
      </c>
      <c r="I14" s="14">
        <f t="shared" si="0"/>
        <v>34</v>
      </c>
      <c r="J14" s="14">
        <f t="shared" si="0"/>
        <v>41</v>
      </c>
      <c r="K14" s="14">
        <f t="shared" si="0"/>
        <v>6.25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9.6750000000000007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4.75</v>
      </c>
      <c r="D17" s="26">
        <f t="shared" ref="D17:K17" si="1">D14/40</f>
        <v>0.8</v>
      </c>
      <c r="E17" s="26">
        <f t="shared" si="1"/>
        <v>0.5</v>
      </c>
      <c r="F17" s="26">
        <f t="shared" si="1"/>
        <v>0.5</v>
      </c>
      <c r="G17" s="26">
        <f t="shared" si="1"/>
        <v>0.09</v>
      </c>
      <c r="H17" s="26">
        <f t="shared" si="1"/>
        <v>1.25</v>
      </c>
      <c r="I17" s="26">
        <f t="shared" si="1"/>
        <v>0.85</v>
      </c>
      <c r="J17" s="26">
        <f t="shared" si="1"/>
        <v>1.0249999999999999</v>
      </c>
      <c r="K17" s="26">
        <f t="shared" si="1"/>
        <v>0.15625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K19"/>
  <sheetViews>
    <sheetView topLeftCell="A2" zoomScale="115" zoomScaleNormal="115"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</row>
    <row r="9" spans="1:11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</row>
    <row r="10" spans="1:11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2">SUM(C8:C13)</f>
        <v>40</v>
      </c>
      <c r="D14" s="14">
        <f t="shared" si="2"/>
        <v>84</v>
      </c>
      <c r="E14" s="14">
        <f t="shared" si="2"/>
        <v>84</v>
      </c>
      <c r="F14" s="14">
        <f t="shared" si="2"/>
        <v>42</v>
      </c>
      <c r="G14" s="14">
        <f t="shared" si="2"/>
        <v>10.5</v>
      </c>
      <c r="H14" s="14">
        <f t="shared" si="2"/>
        <v>57</v>
      </c>
      <c r="I14" s="14">
        <f t="shared" si="2"/>
        <v>52</v>
      </c>
      <c r="J14" s="14">
        <f t="shared" si="2"/>
        <v>71</v>
      </c>
      <c r="K14" s="14">
        <f t="shared" si="2"/>
        <v>9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10.75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1</v>
      </c>
      <c r="D17" s="26">
        <f t="shared" ref="D17:K17" si="3">D14/40</f>
        <v>2.1</v>
      </c>
      <c r="E17" s="26">
        <f t="shared" si="3"/>
        <v>2.1</v>
      </c>
      <c r="F17" s="26">
        <f t="shared" si="3"/>
        <v>1.05</v>
      </c>
      <c r="G17" s="26">
        <f t="shared" si="3"/>
        <v>0.26250000000000001</v>
      </c>
      <c r="H17" s="26">
        <f t="shared" si="3"/>
        <v>1.425</v>
      </c>
      <c r="I17" s="26">
        <f t="shared" si="3"/>
        <v>1.3</v>
      </c>
      <c r="J17" s="26">
        <f t="shared" si="3"/>
        <v>1.7749999999999999</v>
      </c>
      <c r="K17" s="26">
        <f t="shared" si="3"/>
        <v>0.22500000000000001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K19"/>
  <sheetViews>
    <sheetView topLeftCell="A3" zoomScale="130" zoomScaleNormal="130" workbookViewId="0">
      <selection activeCell="B16" sqref="B16"/>
    </sheetView>
  </sheetViews>
  <sheetFormatPr defaultRowHeight="14.5" x14ac:dyDescent="0.35"/>
  <cols>
    <col min="1" max="1" width="4.363281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</row>
    <row r="9" spans="1:11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</row>
    <row r="10" spans="1:11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</row>
    <row r="11" spans="1:11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</row>
    <row r="12" spans="1:11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2">SUM(C8:C13)</f>
        <v>200</v>
      </c>
      <c r="D14" s="14">
        <f t="shared" si="2"/>
        <v>48</v>
      </c>
      <c r="E14" s="14">
        <f t="shared" si="2"/>
        <v>111</v>
      </c>
      <c r="F14" s="14">
        <f t="shared" si="2"/>
        <v>84</v>
      </c>
      <c r="G14" s="14">
        <f t="shared" si="2"/>
        <v>12.15</v>
      </c>
      <c r="H14" s="14">
        <f t="shared" si="2"/>
        <v>324</v>
      </c>
      <c r="I14" s="14">
        <f t="shared" si="2"/>
        <v>288</v>
      </c>
      <c r="J14" s="14">
        <f t="shared" si="2"/>
        <v>370</v>
      </c>
      <c r="K14" s="14">
        <f t="shared" si="2"/>
        <v>49.1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35.625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5</v>
      </c>
      <c r="D17" s="26">
        <f t="shared" ref="D17:K17" si="3">D14/40</f>
        <v>1.2</v>
      </c>
      <c r="E17" s="26">
        <f t="shared" si="3"/>
        <v>2.7749999999999999</v>
      </c>
      <c r="F17" s="26">
        <f t="shared" si="3"/>
        <v>2.1</v>
      </c>
      <c r="G17" s="26">
        <f t="shared" si="3"/>
        <v>0.30375000000000002</v>
      </c>
      <c r="H17" s="26">
        <f t="shared" si="3"/>
        <v>8.1</v>
      </c>
      <c r="I17" s="26">
        <f t="shared" si="3"/>
        <v>7.2</v>
      </c>
      <c r="J17" s="26">
        <f t="shared" si="3"/>
        <v>9.25</v>
      </c>
      <c r="K17" s="26">
        <f t="shared" si="3"/>
        <v>1.2275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K19"/>
  <sheetViews>
    <sheetView topLeftCell="A4" zoomScale="145" zoomScaleNormal="145" workbookViewId="0">
      <selection activeCell="F16" sqref="F16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</row>
    <row r="9" spans="1:11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</row>
    <row r="10" spans="1:11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</row>
    <row r="11" spans="1:11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</row>
    <row r="12" spans="1:11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</row>
    <row r="13" spans="1:11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1" x14ac:dyDescent="0.35">
      <c r="A14" s="13"/>
      <c r="B14" s="10"/>
      <c r="C14" s="14">
        <f t="shared" ref="C14:K14" si="2">SUM(C8:C13)</f>
        <v>399</v>
      </c>
      <c r="D14" s="14">
        <f t="shared" si="2"/>
        <v>298</v>
      </c>
      <c r="E14" s="14">
        <f t="shared" si="2"/>
        <v>210</v>
      </c>
      <c r="F14" s="14">
        <f t="shared" si="2"/>
        <v>264</v>
      </c>
      <c r="G14" s="14">
        <f t="shared" si="2"/>
        <v>38.6</v>
      </c>
      <c r="H14" s="14">
        <f t="shared" si="2"/>
        <v>236</v>
      </c>
      <c r="I14" s="14">
        <f t="shared" si="2"/>
        <v>330</v>
      </c>
      <c r="J14" s="14">
        <f t="shared" si="2"/>
        <v>356</v>
      </c>
      <c r="K14" s="14">
        <f t="shared" si="2"/>
        <v>46.1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52.325000000000003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9.9749999999999996</v>
      </c>
      <c r="D17" s="26">
        <f t="shared" ref="D17:K17" si="3">D14/40</f>
        <v>7.45</v>
      </c>
      <c r="E17" s="26">
        <f t="shared" si="3"/>
        <v>5.25</v>
      </c>
      <c r="F17" s="26">
        <f t="shared" si="3"/>
        <v>6.6</v>
      </c>
      <c r="G17" s="26">
        <f t="shared" si="3"/>
        <v>0.96500000000000008</v>
      </c>
      <c r="H17" s="26">
        <f t="shared" si="3"/>
        <v>5.9</v>
      </c>
      <c r="I17" s="26">
        <f t="shared" si="3"/>
        <v>8.25</v>
      </c>
      <c r="J17" s="26">
        <f t="shared" si="3"/>
        <v>8.9</v>
      </c>
      <c r="K17" s="26">
        <f t="shared" si="3"/>
        <v>1.1525000000000001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K20"/>
  <sheetViews>
    <sheetView zoomScale="130" zoomScaleNormal="130" workbookViewId="0">
      <selection activeCell="F13" sqref="F13"/>
    </sheetView>
  </sheetViews>
  <sheetFormatPr defaultRowHeight="14.5" x14ac:dyDescent="0.35"/>
  <cols>
    <col min="1" max="1" width="4.54296875" bestFit="1" customWidth="1"/>
    <col min="2" max="2" width="5.54296875" bestFit="1" customWidth="1"/>
    <col min="3" max="3" width="4" bestFit="1" customWidth="1"/>
    <col min="4" max="4" width="3.36328125" bestFit="1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ht="14.5" customHeight="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4.5" customHeight="1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4.5" customHeight="1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ht="15" customHeight="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</row>
    <row r="9" spans="1:11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</row>
    <row r="10" spans="1:11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</row>
    <row r="15" spans="1:11" x14ac:dyDescent="0.35">
      <c r="A15" s="13"/>
      <c r="B15" s="10"/>
      <c r="C15" s="14">
        <f t="shared" ref="C15:K15" si="0">SUM(C8:C14)</f>
        <v>178</v>
      </c>
      <c r="D15" s="14">
        <f t="shared" si="0"/>
        <v>199</v>
      </c>
      <c r="E15" s="14">
        <f t="shared" si="0"/>
        <v>129</v>
      </c>
      <c r="F15" s="14">
        <f t="shared" si="0"/>
        <v>168</v>
      </c>
      <c r="G15" s="14">
        <f t="shared" si="0"/>
        <v>23</v>
      </c>
      <c r="H15" s="14">
        <f t="shared" si="0"/>
        <v>147</v>
      </c>
      <c r="I15" s="14">
        <f t="shared" si="0"/>
        <v>149</v>
      </c>
      <c r="J15" s="14">
        <f t="shared" si="0"/>
        <v>182</v>
      </c>
      <c r="K15" s="14">
        <f t="shared" si="0"/>
        <v>23</v>
      </c>
    </row>
    <row r="16" spans="1:11" x14ac:dyDescent="0.35">
      <c r="A16" s="1"/>
      <c r="B16" s="15"/>
      <c r="C16" s="16"/>
      <c r="D16" s="17"/>
      <c r="E16" s="18"/>
      <c r="F16" s="18"/>
      <c r="G16" s="19"/>
      <c r="H16" s="20"/>
      <c r="I16" s="18"/>
      <c r="J16" s="18"/>
      <c r="K16" s="19"/>
    </row>
    <row r="17" spans="1:11" ht="15" thickBot="1" x14ac:dyDescent="0.4">
      <c r="A17" s="1"/>
      <c r="B17" s="15"/>
      <c r="C17" s="21"/>
      <c r="D17" s="22"/>
      <c r="E17" s="23"/>
      <c r="F17" s="23"/>
      <c r="G17" s="24"/>
      <c r="H17" s="25"/>
      <c r="I17" s="23"/>
      <c r="J17" s="23"/>
      <c r="K17" s="24"/>
    </row>
    <row r="18" spans="1:11" x14ac:dyDescent="0.35">
      <c r="A18" s="1"/>
      <c r="B18" s="1"/>
      <c r="C18" s="26">
        <f>C15/40</f>
        <v>4.45</v>
      </c>
      <c r="D18" s="26">
        <f t="shared" ref="D18:K18" si="1">D15/40</f>
        <v>4.9749999999999996</v>
      </c>
      <c r="E18" s="26">
        <f t="shared" si="1"/>
        <v>3.2250000000000001</v>
      </c>
      <c r="F18" s="26">
        <f t="shared" si="1"/>
        <v>4.2</v>
      </c>
      <c r="G18" s="26">
        <f t="shared" si="1"/>
        <v>0.57499999999999996</v>
      </c>
      <c r="H18" s="26">
        <f t="shared" si="1"/>
        <v>3.6749999999999998</v>
      </c>
      <c r="I18" s="26">
        <f t="shared" si="1"/>
        <v>3.7250000000000001</v>
      </c>
      <c r="J18" s="26">
        <f t="shared" si="1"/>
        <v>4.55</v>
      </c>
      <c r="K18" s="26">
        <f t="shared" si="1"/>
        <v>0.57499999999999996</v>
      </c>
    </row>
    <row r="20" spans="1:11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K16"/>
  <sheetViews>
    <sheetView topLeftCell="A4" zoomScale="130" zoomScaleNormal="130" workbookViewId="0">
      <selection activeCell="F18" sqref="F18"/>
    </sheetView>
  </sheetViews>
  <sheetFormatPr defaultRowHeight="14.5" x14ac:dyDescent="0.35"/>
  <cols>
    <col min="1" max="1" width="4.54296875" bestFit="1" customWidth="1"/>
    <col min="2" max="2" width="6.1796875" bestFit="1" customWidth="1"/>
    <col min="3" max="3" width="4" bestFit="1" customWidth="1"/>
    <col min="4" max="4" width="3.36328125" bestFit="1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7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</row>
    <row r="9" spans="1:11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</row>
    <row r="10" spans="1:11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</row>
    <row r="11" spans="1:11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3"/>
      <c r="B13" s="10"/>
      <c r="C13" s="14">
        <f t="shared" ref="C13:K13" si="0">SUM(C8:C12)</f>
        <v>290</v>
      </c>
      <c r="D13" s="14">
        <f t="shared" si="0"/>
        <v>110</v>
      </c>
      <c r="E13" s="14">
        <f t="shared" si="0"/>
        <v>110</v>
      </c>
      <c r="F13" s="14">
        <f t="shared" si="0"/>
        <v>100</v>
      </c>
      <c r="G13" s="14">
        <f t="shared" si="0"/>
        <v>16</v>
      </c>
      <c r="H13" s="14">
        <f t="shared" si="0"/>
        <v>270</v>
      </c>
      <c r="I13" s="14">
        <f t="shared" si="0"/>
        <v>225</v>
      </c>
      <c r="J13" s="14">
        <f t="shared" si="0"/>
        <v>285</v>
      </c>
      <c r="K13" s="14">
        <f t="shared" si="0"/>
        <v>39</v>
      </c>
    </row>
    <row r="14" spans="1:11" x14ac:dyDescent="0.35">
      <c r="A14" s="1"/>
      <c r="B14" s="15"/>
      <c r="C14" s="16"/>
      <c r="D14" s="17"/>
      <c r="E14" s="18"/>
      <c r="F14" s="18"/>
      <c r="G14" s="19"/>
      <c r="H14" s="20"/>
      <c r="I14" s="18"/>
      <c r="J14" s="18"/>
      <c r="K14" s="19"/>
    </row>
    <row r="15" spans="1:11" ht="15" thickBot="1" x14ac:dyDescent="0.4">
      <c r="A15" s="1"/>
      <c r="B15" s="15"/>
      <c r="C15" s="21"/>
      <c r="D15" s="22"/>
      <c r="E15" s="23"/>
      <c r="F15" s="23"/>
      <c r="G15" s="24"/>
      <c r="H15" s="25"/>
      <c r="I15" s="23"/>
      <c r="J15" s="23"/>
      <c r="K15" s="24"/>
    </row>
    <row r="16" spans="1:11" x14ac:dyDescent="0.35">
      <c r="A16" s="1"/>
      <c r="B16" s="1">
        <f>SUM(C8:F13,H8:J13)/40</f>
        <v>69.5</v>
      </c>
      <c r="C16" s="26">
        <f>C13/40</f>
        <v>7.25</v>
      </c>
      <c r="D16" s="26">
        <f t="shared" ref="D16:K16" si="1">D13/40</f>
        <v>2.75</v>
      </c>
      <c r="E16" s="26">
        <f t="shared" si="1"/>
        <v>2.75</v>
      </c>
      <c r="F16" s="26">
        <f t="shared" si="1"/>
        <v>2.5</v>
      </c>
      <c r="G16" s="26">
        <f t="shared" si="1"/>
        <v>0.4</v>
      </c>
      <c r="H16" s="26">
        <f t="shared" si="1"/>
        <v>6.75</v>
      </c>
      <c r="I16" s="26">
        <f t="shared" si="1"/>
        <v>5.625</v>
      </c>
      <c r="J16" s="26">
        <f t="shared" si="1"/>
        <v>7.125</v>
      </c>
      <c r="K16" s="26">
        <f t="shared" si="1"/>
        <v>0.97499999999999998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K19"/>
  <sheetViews>
    <sheetView topLeftCell="A4" zoomScale="130" zoomScaleNormal="130"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30"/>
      <c r="D8" s="30"/>
      <c r="E8" s="30"/>
      <c r="F8" s="30"/>
      <c r="G8" s="30"/>
      <c r="H8" s="30"/>
      <c r="I8" s="30"/>
      <c r="J8" s="30"/>
      <c r="K8" s="30"/>
    </row>
    <row r="9" spans="1:11" x14ac:dyDescent="0.35">
      <c r="A9" s="27"/>
      <c r="B9" s="10"/>
      <c r="C9" s="30"/>
      <c r="D9" s="30"/>
      <c r="E9" s="30"/>
      <c r="F9" s="30"/>
      <c r="G9" s="30"/>
      <c r="H9" s="30"/>
      <c r="I9" s="30"/>
      <c r="J9" s="30"/>
      <c r="K9" s="30"/>
    </row>
    <row r="10" spans="1:11" x14ac:dyDescent="0.35">
      <c r="A10" s="27"/>
      <c r="B10" s="10"/>
      <c r="C10" s="30"/>
      <c r="D10" s="30"/>
      <c r="E10" s="30"/>
      <c r="F10" s="30"/>
      <c r="G10" s="30"/>
      <c r="H10" s="30"/>
      <c r="I10" s="30"/>
      <c r="J10" s="30"/>
      <c r="K10" s="30"/>
    </row>
    <row r="11" spans="1:11" x14ac:dyDescent="0.35">
      <c r="A11" s="11"/>
      <c r="B11" s="11"/>
      <c r="C11" s="30"/>
      <c r="D11" s="30"/>
      <c r="E11" s="30"/>
      <c r="F11" s="30"/>
      <c r="G11" s="30"/>
      <c r="H11" s="30"/>
      <c r="I11" s="30"/>
      <c r="J11" s="30"/>
      <c r="K11" s="30"/>
    </row>
    <row r="12" spans="1:11" ht="15" thickBot="1" x14ac:dyDescent="0.4">
      <c r="A12" s="11"/>
      <c r="B12" s="11"/>
      <c r="C12" s="31"/>
      <c r="D12" s="31"/>
      <c r="E12" s="31"/>
      <c r="F12" s="31"/>
      <c r="G12" s="31"/>
      <c r="H12" s="31"/>
      <c r="I12" s="31"/>
      <c r="J12" s="31"/>
      <c r="K12" s="31"/>
    </row>
    <row r="13" spans="1:11" ht="15" thickTop="1" x14ac:dyDescent="0.35">
      <c r="A13" s="11"/>
      <c r="B13" s="11"/>
      <c r="C13" s="29"/>
      <c r="D13" s="29"/>
      <c r="E13" s="29"/>
      <c r="F13" s="29"/>
      <c r="G13" s="29"/>
      <c r="H13" s="29"/>
      <c r="I13" s="29"/>
      <c r="J13" s="29"/>
      <c r="K13" s="29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K19"/>
  <sheetViews>
    <sheetView topLeftCell="A4" zoomScale="130" zoomScaleNormal="130" workbookViewId="0">
      <selection activeCell="M13" sqref="M13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</row>
    <row r="9" spans="1:11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</row>
    <row r="10" spans="1:11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172</v>
      </c>
      <c r="D14" s="14">
        <f t="shared" si="0"/>
        <v>411</v>
      </c>
      <c r="E14" s="14">
        <f t="shared" si="0"/>
        <v>280</v>
      </c>
      <c r="F14" s="14">
        <f t="shared" si="0"/>
        <v>259</v>
      </c>
      <c r="G14" s="14">
        <f t="shared" si="0"/>
        <v>47</v>
      </c>
      <c r="H14" s="14">
        <f t="shared" si="0"/>
        <v>308</v>
      </c>
      <c r="I14" s="14">
        <f t="shared" si="0"/>
        <v>230</v>
      </c>
      <c r="J14" s="14">
        <f t="shared" si="0"/>
        <v>394</v>
      </c>
      <c r="K14" s="14">
        <f t="shared" si="0"/>
        <v>46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51.35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4.3</v>
      </c>
      <c r="D17" s="26">
        <f t="shared" ref="D17:K17" si="1">D14/40</f>
        <v>10.275</v>
      </c>
      <c r="E17" s="26">
        <f t="shared" si="1"/>
        <v>7</v>
      </c>
      <c r="F17" s="26">
        <f t="shared" si="1"/>
        <v>6.4749999999999996</v>
      </c>
      <c r="G17" s="26">
        <f t="shared" si="1"/>
        <v>1.175</v>
      </c>
      <c r="H17" s="26">
        <f t="shared" si="1"/>
        <v>7.7</v>
      </c>
      <c r="I17" s="26">
        <f t="shared" si="1"/>
        <v>5.75</v>
      </c>
      <c r="J17" s="26">
        <f t="shared" si="1"/>
        <v>9.85</v>
      </c>
      <c r="K17" s="26">
        <f t="shared" si="1"/>
        <v>1.1499999999999999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K19"/>
  <sheetViews>
    <sheetView zoomScale="115" zoomScaleNormal="115" workbookViewId="0">
      <selection activeCell="M13" sqref="M13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26</v>
      </c>
      <c r="C8" s="12"/>
      <c r="D8" s="12"/>
      <c r="E8" s="12"/>
      <c r="F8" s="12"/>
      <c r="G8" s="32">
        <f>SUM(D8:F8)/20</f>
        <v>0</v>
      </c>
      <c r="H8" s="12">
        <v>6</v>
      </c>
      <c r="I8" s="12">
        <v>7</v>
      </c>
      <c r="J8" s="12">
        <v>7</v>
      </c>
      <c r="K8" s="32">
        <f>SUM(H8:J8)/20</f>
        <v>1</v>
      </c>
    </row>
    <row r="9" spans="1:11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2">
        <f t="shared" ref="G9:G13" si="0">SUM(D9:F9)/20</f>
        <v>6</v>
      </c>
      <c r="H9" s="12">
        <v>13</v>
      </c>
      <c r="I9" s="12">
        <v>12</v>
      </c>
      <c r="J9" s="12">
        <v>0</v>
      </c>
      <c r="K9" s="32">
        <f t="shared" ref="K9:K14" si="1">SUM(H9:J9)/20</f>
        <v>1.25</v>
      </c>
    </row>
    <row r="10" spans="1:11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2">
        <f t="shared" si="0"/>
        <v>6</v>
      </c>
      <c r="H10" s="12">
        <v>10</v>
      </c>
      <c r="I10" s="12">
        <v>5</v>
      </c>
      <c r="J10" s="12">
        <v>6</v>
      </c>
      <c r="K10" s="32">
        <f t="shared" si="1"/>
        <v>1.05</v>
      </c>
    </row>
    <row r="11" spans="1:11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2">
        <f t="shared" si="0"/>
        <v>6</v>
      </c>
      <c r="H11" s="12">
        <v>90</v>
      </c>
      <c r="I11" s="12">
        <v>80</v>
      </c>
      <c r="J11" s="12">
        <v>110</v>
      </c>
      <c r="K11" s="32">
        <f t="shared" si="1"/>
        <v>14</v>
      </c>
    </row>
    <row r="12" spans="1:11" x14ac:dyDescent="0.35">
      <c r="A12" s="11"/>
      <c r="B12" s="11" t="s">
        <v>29</v>
      </c>
      <c r="C12" s="12"/>
      <c r="D12" s="12"/>
      <c r="E12" s="12"/>
      <c r="F12" s="12"/>
      <c r="G12" s="32">
        <f t="shared" si="0"/>
        <v>0</v>
      </c>
      <c r="H12" s="12"/>
      <c r="I12" s="12"/>
      <c r="J12" s="12"/>
      <c r="K12" s="32">
        <f t="shared" si="1"/>
        <v>0</v>
      </c>
    </row>
    <row r="13" spans="1:11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2">
        <f t="shared" si="0"/>
        <v>7</v>
      </c>
      <c r="H13" s="12">
        <v>30</v>
      </c>
      <c r="I13" s="12">
        <v>20</v>
      </c>
      <c r="J13" s="12">
        <v>32</v>
      </c>
      <c r="K13" s="32">
        <f t="shared" si="1"/>
        <v>4.0999999999999996</v>
      </c>
    </row>
    <row r="14" spans="1:11" x14ac:dyDescent="0.35">
      <c r="A14" s="13"/>
      <c r="B14" s="10" t="s">
        <v>31</v>
      </c>
      <c r="C14" s="14">
        <f t="shared" ref="C14:J14" si="2">SUM(C8:C13)</f>
        <v>248</v>
      </c>
      <c r="D14" s="14">
        <f t="shared" si="2"/>
        <v>138</v>
      </c>
      <c r="E14" s="14">
        <f t="shared" si="2"/>
        <v>157</v>
      </c>
      <c r="F14" s="14">
        <f t="shared" si="2"/>
        <v>205</v>
      </c>
      <c r="G14" s="33">
        <f t="shared" si="2"/>
        <v>25</v>
      </c>
      <c r="H14" s="14">
        <f t="shared" si="2"/>
        <v>149</v>
      </c>
      <c r="I14" s="14">
        <f t="shared" si="2"/>
        <v>124</v>
      </c>
      <c r="J14" s="14">
        <f t="shared" si="2"/>
        <v>155</v>
      </c>
      <c r="K14" s="32">
        <f t="shared" si="1"/>
        <v>21.4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29.4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6.2</v>
      </c>
      <c r="D17" s="26">
        <f t="shared" ref="D17:K17" si="3">D14/40</f>
        <v>3.45</v>
      </c>
      <c r="E17" s="26">
        <f t="shared" si="3"/>
        <v>3.9249999999999998</v>
      </c>
      <c r="F17" s="26">
        <f t="shared" si="3"/>
        <v>5.125</v>
      </c>
      <c r="G17" s="26">
        <f t="shared" si="3"/>
        <v>0.625</v>
      </c>
      <c r="H17" s="26">
        <f t="shared" si="3"/>
        <v>3.7250000000000001</v>
      </c>
      <c r="I17" s="26">
        <f t="shared" si="3"/>
        <v>3.1</v>
      </c>
      <c r="J17" s="26">
        <f t="shared" si="3"/>
        <v>3.875</v>
      </c>
      <c r="K17" s="26">
        <f t="shared" si="3"/>
        <v>0.53499999999999992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K19"/>
  <sheetViews>
    <sheetView workbookViewId="0">
      <selection activeCell="N11" sqref="N11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</row>
    <row r="9" spans="1:11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80</v>
      </c>
      <c r="D14" s="14">
        <f t="shared" si="0"/>
        <v>115</v>
      </c>
      <c r="E14" s="14">
        <f t="shared" si="0"/>
        <v>122</v>
      </c>
      <c r="F14" s="14">
        <f t="shared" si="0"/>
        <v>95</v>
      </c>
      <c r="G14" s="14">
        <f t="shared" si="0"/>
        <v>6</v>
      </c>
      <c r="H14" s="14">
        <f t="shared" si="0"/>
        <v>160</v>
      </c>
      <c r="I14" s="14">
        <f t="shared" si="0"/>
        <v>209</v>
      </c>
      <c r="J14" s="14">
        <f t="shared" si="0"/>
        <v>30</v>
      </c>
      <c r="K14" s="14">
        <f t="shared" si="0"/>
        <v>8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20.274999999999999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</v>
      </c>
      <c r="D17" s="26">
        <f t="shared" ref="D17:K17" si="1">D14/40</f>
        <v>2.875</v>
      </c>
      <c r="E17" s="26">
        <f t="shared" si="1"/>
        <v>3.05</v>
      </c>
      <c r="F17" s="26">
        <f t="shared" si="1"/>
        <v>2.375</v>
      </c>
      <c r="G17" s="26">
        <f t="shared" si="1"/>
        <v>0.15</v>
      </c>
      <c r="H17" s="26">
        <f t="shared" si="1"/>
        <v>4</v>
      </c>
      <c r="I17" s="26">
        <f t="shared" si="1"/>
        <v>5.2249999999999996</v>
      </c>
      <c r="J17" s="26">
        <f t="shared" si="1"/>
        <v>0.75</v>
      </c>
      <c r="K17" s="26">
        <f t="shared" si="1"/>
        <v>0.2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K19"/>
  <sheetViews>
    <sheetView workbookViewId="0">
      <selection sqref="A1:O20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K19"/>
  <sheetViews>
    <sheetView workbookViewId="0">
      <selection activeCell="B16" sqref="B16"/>
    </sheetView>
  </sheetViews>
  <sheetFormatPr defaultRowHeight="14.5" x14ac:dyDescent="0.35"/>
  <cols>
    <col min="1" max="1" width="3.54296875" bestFit="1" customWidth="1"/>
    <col min="2" max="2" width="4.26953125" bestFit="1" customWidth="1"/>
    <col min="3" max="3" width="4" bestFit="1" customWidth="1"/>
    <col min="4" max="4" width="3.90625" bestFit="1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2026-06-12T08:15:13Z</dcterms:modified>
</cp:coreProperties>
</file>