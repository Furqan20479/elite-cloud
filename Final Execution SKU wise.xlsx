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EAD9106-5A21-4481-8159-46552178BC53}" xr6:coauthVersionLast="47" xr6:coauthVersionMax="47" xr10:uidLastSave="{00000000-0000-0000-0000-000000000000}"/>
  <bookViews>
    <workbookView xWindow="-110" yWindow="-110" windowWidth="19420" windowHeight="10420" tabRatio="887" activeTab="1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C17" i="14" l="1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4" l="1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<sst xmlns="http://schemas.openxmlformats.org/spreadsheetml/2006/main" count="684" uniqueCount="62">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</sst>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H10" sqref="H10:J10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1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1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1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1" ht="15" thickBot="1" x14ac:dyDescent="0.4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ht="14.5" customHeight="1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4.5" customHeight="1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ht="14.5" customHeight="1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8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8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8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8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3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3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3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3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O17" sqref="O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20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20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20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20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Q19"/>
  <sheetViews>
    <sheetView workbookViewId="0">
      <selection activeCell="N8" sqref="N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7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7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7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7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7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7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7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</row>
    <row r="9" spans="1:17" x14ac:dyDescent="0.35">
      <c r="A9" s="27"/>
      <c r="B9" s="10" t="s">
        <v>11</v>
      </c>
      <c r="C9" s="12">
        <v>24</v>
      </c>
      <c r="D9" s="12">
        <v>52</v>
      </c>
      <c r="E9" s="12">
        <v>62</v>
      </c>
      <c r="F9" s="12">
        <v>62</v>
      </c>
      <c r="G9" s="28">
        <f t="shared" ref="G9:G10" si="0">SUM(D9:F9)/20</f>
        <v>8.8000000000000007</v>
      </c>
      <c r="H9" s="12">
        <v>22</v>
      </c>
      <c r="I9" s="12">
        <v>43</v>
      </c>
      <c r="J9" s="12">
        <v>91</v>
      </c>
      <c r="K9" s="28">
        <f t="shared" ref="K9:K10" si="1">SUM(H9:J9)/20</f>
        <v>7.8</v>
      </c>
      <c r="L9">
        <f t="shared" ref="L9:L12" si="2">SUM(C9:F9,H9,I9,J9)/40</f>
        <v>8.9</v>
      </c>
      <c r="M9" s="49">
        <v>9</v>
      </c>
      <c r="O9" s="41" t="s">
        <v>11</v>
      </c>
      <c r="P9" s="41">
        <v>9</v>
      </c>
      <c r="Q9" s="41">
        <v>8.9</v>
      </c>
    </row>
    <row r="10" spans="1:17" x14ac:dyDescent="0.35">
      <c r="A10" s="27"/>
      <c r="B10" s="10" t="s">
        <v>60</v>
      </c>
      <c r="C10" s="12">
        <v>30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48</v>
      </c>
      <c r="I10" s="12">
        <v>5</v>
      </c>
      <c r="J10" s="12">
        <v>47</v>
      </c>
      <c r="K10" s="28">
        <f t="shared" si="1"/>
        <v>5</v>
      </c>
      <c r="L10">
        <f t="shared" si="2"/>
        <v>7.55</v>
      </c>
      <c r="M10" s="49">
        <v>6</v>
      </c>
      <c r="O10" s="41" t="s">
        <v>60</v>
      </c>
      <c r="P10" s="41">
        <v>6</v>
      </c>
      <c r="Q10" s="41">
        <v>7.5</v>
      </c>
    </row>
    <row r="11" spans="1:17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7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7" x14ac:dyDescent="0.35">
      <c r="A14" s="13"/>
      <c r="B14" s="10"/>
      <c r="C14" s="14">
        <f t="shared" ref="C14:K14" si="3">SUM(C8:C13)</f>
        <v>198</v>
      </c>
      <c r="D14" s="14">
        <f t="shared" si="3"/>
        <v>188</v>
      </c>
      <c r="E14" s="14">
        <f t="shared" si="3"/>
        <v>198</v>
      </c>
      <c r="F14" s="14">
        <f t="shared" si="3"/>
        <v>122</v>
      </c>
      <c r="G14" s="14">
        <f t="shared" si="3"/>
        <v>25.4</v>
      </c>
      <c r="H14" s="14">
        <f t="shared" si="3"/>
        <v>165</v>
      </c>
      <c r="I14" s="14">
        <f t="shared" si="3"/>
        <v>118</v>
      </c>
      <c r="J14" s="14">
        <f t="shared" si="3"/>
        <v>213</v>
      </c>
      <c r="K14" s="14">
        <f t="shared" si="3"/>
        <v>24.8</v>
      </c>
      <c r="L14" s="36">
        <f>C14+D14+E14+F14+H14+I14+J14</f>
        <v>1202</v>
      </c>
    </row>
    <row r="15" spans="1:17" x14ac:dyDescent="0.35">
      <c r="A15" s="13"/>
      <c r="B15" s="10" t="s">
        <v>40</v>
      </c>
      <c r="C15" s="13"/>
      <c r="D15" s="13">
        <f>D14/20</f>
        <v>9.4</v>
      </c>
      <c r="E15" s="13">
        <f t="shared" ref="E15:J15" si="4">E14/20</f>
        <v>9.9</v>
      </c>
      <c r="F15" s="13">
        <f t="shared" si="4"/>
        <v>6.1</v>
      </c>
      <c r="G15" s="13"/>
      <c r="H15" s="13">
        <f t="shared" si="4"/>
        <v>8.25</v>
      </c>
      <c r="I15" s="13">
        <f t="shared" si="4"/>
        <v>5.9</v>
      </c>
      <c r="J15" s="13">
        <f t="shared" si="4"/>
        <v>10.65</v>
      </c>
      <c r="K15" s="13"/>
    </row>
    <row r="16" spans="1:17" x14ac:dyDescent="0.35">
      <c r="A16" s="13"/>
      <c r="B16" s="10" t="s">
        <v>39</v>
      </c>
      <c r="C16" s="37">
        <f>C15+C14</f>
        <v>198</v>
      </c>
      <c r="D16" s="37">
        <f t="shared" ref="D16:J16" si="5">D15+D14</f>
        <v>197.4</v>
      </c>
      <c r="E16" s="37">
        <f t="shared" si="5"/>
        <v>207.9</v>
      </c>
      <c r="F16" s="37">
        <f t="shared" si="5"/>
        <v>128.1</v>
      </c>
      <c r="G16" s="37"/>
      <c r="H16" s="37">
        <f t="shared" si="5"/>
        <v>173.25</v>
      </c>
      <c r="I16" s="37">
        <f t="shared" si="5"/>
        <v>123.9</v>
      </c>
      <c r="J16" s="37">
        <f t="shared" si="5"/>
        <v>223.65</v>
      </c>
      <c r="K16" s="37"/>
    </row>
    <row r="17" spans="1:12" x14ac:dyDescent="0.35">
      <c r="A17" s="13"/>
      <c r="B17" s="40" t="s">
        <v>41</v>
      </c>
      <c r="C17" s="37">
        <f>C14/40</f>
        <v>4.95</v>
      </c>
      <c r="D17" s="37">
        <f t="shared" ref="D17:J17" si="6">D14/40</f>
        <v>4.7</v>
      </c>
      <c r="E17" s="37">
        <f t="shared" si="6"/>
        <v>4.95</v>
      </c>
      <c r="F17" s="37">
        <f t="shared" si="6"/>
        <v>3.05</v>
      </c>
      <c r="G17" s="37"/>
      <c r="H17" s="37">
        <f t="shared" si="6"/>
        <v>4.125</v>
      </c>
      <c r="I17" s="37">
        <f t="shared" si="6"/>
        <v>2.95</v>
      </c>
      <c r="J17" s="37">
        <f t="shared" si="6"/>
        <v>5.3250000000000002</v>
      </c>
      <c r="K17" s="37"/>
      <c r="L17" s="36">
        <f>SUM(C17:J17)</f>
        <v>30.05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Q19"/>
  <sheetViews>
    <sheetView tabSelected="1" workbookViewId="0">
      <selection activeCell="O9" sqref="O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7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7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7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7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7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7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7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111</v>
      </c>
      <c r="I8" s="12">
        <v>76</v>
      </c>
      <c r="J8" s="12">
        <v>111</v>
      </c>
      <c r="K8" s="28">
        <f>SUM(H8:J8)/20</f>
        <v>14.9</v>
      </c>
      <c r="L8" s="63">
        <f>SUM(C8:F8,H8,I8,J8)/40</f>
        <v>10.65</v>
      </c>
      <c r="M8" s="63">
        <v>7</v>
      </c>
      <c r="Q8" t="s">
        <v>61</v>
      </c>
    </row>
    <row r="9" spans="1:17" x14ac:dyDescent="0.35">
      <c r="A9" s="27"/>
      <c r="B9" s="10" t="s">
        <v>9</v>
      </c>
      <c r="C9" s="12">
        <v>124</v>
      </c>
      <c r="D9" s="12">
        <v>40</v>
      </c>
      <c r="E9" s="12">
        <v>55</v>
      </c>
      <c r="F9" s="12">
        <v>55</v>
      </c>
      <c r="G9" s="28">
        <f t="shared" ref="G9:G10" si="0">SUM(D9:F9)/20</f>
        <v>7.5</v>
      </c>
      <c r="H9" s="12">
        <v>30</v>
      </c>
      <c r="I9" s="12">
        <v>20</v>
      </c>
      <c r="J9" s="12">
        <v>10</v>
      </c>
      <c r="K9" s="28">
        <f t="shared" ref="K9:K10" si="1">SUM(H9:J9)/20</f>
        <v>3</v>
      </c>
      <c r="L9" s="63">
        <f t="shared" ref="L9:L12" si="2">SUM(C9:F9,H9,I9,J9)/40</f>
        <v>8.35</v>
      </c>
      <c r="M9" s="63">
        <v>9</v>
      </c>
    </row>
    <row r="10" spans="1:17" x14ac:dyDescent="0.35">
      <c r="A10" s="27"/>
      <c r="B10" s="10" t="s">
        <v>16</v>
      </c>
      <c r="C10" s="12">
        <v>210</v>
      </c>
      <c r="D10" s="12">
        <v>340</v>
      </c>
      <c r="E10" s="12">
        <v>320</v>
      </c>
      <c r="F10" s="12">
        <v>160</v>
      </c>
      <c r="G10" s="28">
        <f t="shared" si="0"/>
        <v>41</v>
      </c>
      <c r="H10" s="12">
        <v>335</v>
      </c>
      <c r="I10" s="12">
        <v>290</v>
      </c>
      <c r="J10" s="12">
        <v>495</v>
      </c>
      <c r="K10" s="28">
        <f t="shared" si="1"/>
        <v>56</v>
      </c>
      <c r="L10" s="63">
        <f t="shared" si="2"/>
        <v>53.75</v>
      </c>
      <c r="M10" s="63">
        <v>17</v>
      </c>
    </row>
    <row r="11" spans="1:17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7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7" x14ac:dyDescent="0.35">
      <c r="A14" s="13"/>
      <c r="B14" s="10"/>
      <c r="C14" s="14">
        <f t="shared" ref="C14:K14" si="3">SUM(C8:C13)</f>
        <v>358</v>
      </c>
      <c r="D14" s="14">
        <f t="shared" si="3"/>
        <v>434</v>
      </c>
      <c r="E14" s="14">
        <f t="shared" si="3"/>
        <v>400</v>
      </c>
      <c r="F14" s="14">
        <f t="shared" si="3"/>
        <v>240</v>
      </c>
      <c r="G14" s="14">
        <f t="shared" si="3"/>
        <v>53.7</v>
      </c>
      <c r="H14" s="14">
        <f t="shared" si="3"/>
        <v>476</v>
      </c>
      <c r="I14" s="14">
        <f t="shared" si="3"/>
        <v>386</v>
      </c>
      <c r="J14" s="14">
        <f t="shared" si="3"/>
        <v>616</v>
      </c>
      <c r="K14" s="14">
        <f t="shared" si="3"/>
        <v>73.900000000000006</v>
      </c>
      <c r="L14" s="36">
        <f>C14+D14+E14+F14+H14+I14+J14</f>
        <v>2910</v>
      </c>
    </row>
    <row r="15" spans="1:17" x14ac:dyDescent="0.35">
      <c r="A15" s="13"/>
      <c r="B15" s="10" t="s">
        <v>40</v>
      </c>
      <c r="C15" s="13"/>
      <c r="D15" s="13">
        <f>D14/20</f>
        <v>21.7</v>
      </c>
      <c r="E15" s="13">
        <f t="shared" ref="E15:J15" si="4">E14/20</f>
        <v>20</v>
      </c>
      <c r="F15" s="13">
        <f t="shared" si="4"/>
        <v>12</v>
      </c>
      <c r="G15" s="13"/>
      <c r="H15" s="13">
        <f t="shared" si="4"/>
        <v>23.8</v>
      </c>
      <c r="I15" s="13">
        <f t="shared" si="4"/>
        <v>19.3</v>
      </c>
      <c r="J15" s="13">
        <f t="shared" si="4"/>
        <v>30.8</v>
      </c>
      <c r="K15" s="13"/>
    </row>
    <row r="16" spans="1:17" x14ac:dyDescent="0.35">
      <c r="A16" s="13"/>
      <c r="B16" s="10" t="s">
        <v>39</v>
      </c>
      <c r="C16" s="37">
        <f>C15+C14</f>
        <v>358</v>
      </c>
      <c r="D16" s="37">
        <f t="shared" ref="D16:J16" si="5">D15+D14</f>
        <v>455.7</v>
      </c>
      <c r="E16" s="37">
        <f t="shared" si="5"/>
        <v>420</v>
      </c>
      <c r="F16" s="37">
        <f t="shared" si="5"/>
        <v>252</v>
      </c>
      <c r="G16" s="37"/>
      <c r="H16" s="37">
        <f t="shared" si="5"/>
        <v>499.8</v>
      </c>
      <c r="I16" s="37">
        <f t="shared" si="5"/>
        <v>405.3</v>
      </c>
      <c r="J16" s="37">
        <f t="shared" si="5"/>
        <v>646.79999999999995</v>
      </c>
      <c r="K16" s="37"/>
    </row>
    <row r="17" spans="1:12" x14ac:dyDescent="0.35">
      <c r="A17" s="13"/>
      <c r="B17" s="40" t="s">
        <v>41</v>
      </c>
      <c r="C17" s="37">
        <f>C14/40</f>
        <v>8.9499999999999993</v>
      </c>
      <c r="D17" s="37">
        <f t="shared" ref="D17:J17" si="6">D14/40</f>
        <v>10.85</v>
      </c>
      <c r="E17" s="37">
        <f t="shared" si="6"/>
        <v>10</v>
      </c>
      <c r="F17" s="37">
        <f t="shared" si="6"/>
        <v>6</v>
      </c>
      <c r="G17" s="37"/>
      <c r="H17" s="37">
        <f t="shared" si="6"/>
        <v>11.9</v>
      </c>
      <c r="I17" s="37">
        <f t="shared" si="6"/>
        <v>9.65</v>
      </c>
      <c r="J17" s="37">
        <f t="shared" si="6"/>
        <v>15.4</v>
      </c>
      <c r="K17" s="37"/>
      <c r="L17" s="36">
        <f>SUM(C17:J17)</f>
        <v>72.75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3"/>
    </row>
    <row r="3" spans="1:12" x14ac:dyDescent="0.35">
      <c r="A3" s="1"/>
      <c r="B3" s="54"/>
      <c r="C3" s="55"/>
      <c r="D3" s="55"/>
      <c r="E3" s="55"/>
      <c r="F3" s="55"/>
      <c r="G3" s="55"/>
      <c r="H3" s="55"/>
      <c r="I3" s="55"/>
      <c r="J3" s="55"/>
      <c r="K3" s="56"/>
    </row>
    <row r="4" spans="1:12" x14ac:dyDescent="0.35">
      <c r="A4" s="1"/>
      <c r="B4" s="54"/>
      <c r="C4" s="55"/>
      <c r="D4" s="55"/>
      <c r="E4" s="55"/>
      <c r="F4" s="55"/>
      <c r="G4" s="55"/>
      <c r="H4" s="55"/>
      <c r="I4" s="55"/>
      <c r="J4" s="55"/>
      <c r="K4" s="56"/>
    </row>
    <row r="5" spans="1:12" ht="15" thickBot="1" x14ac:dyDescent="0.4">
      <c r="A5" s="1"/>
      <c r="B5" s="57"/>
      <c r="C5" s="58"/>
      <c r="D5" s="58"/>
      <c r="E5" s="58"/>
      <c r="F5" s="58"/>
      <c r="G5" s="58"/>
      <c r="H5" s="58"/>
      <c r="I5" s="58"/>
      <c r="J5" s="58"/>
      <c r="K5" s="59"/>
    </row>
    <row r="6" spans="1:12" x14ac:dyDescent="0.35">
      <c r="A6" s="1"/>
      <c r="B6" s="2"/>
      <c r="C6" s="3" t="s">
        <v>1</v>
      </c>
      <c r="D6" s="60" t="s">
        <v>2</v>
      </c>
      <c r="E6" s="61"/>
      <c r="F6" s="61"/>
      <c r="G6" s="62"/>
      <c r="H6" s="61" t="s">
        <v>3</v>
      </c>
      <c r="I6" s="61"/>
      <c r="J6" s="61"/>
      <c r="K6" s="62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2026-06-17T12:17:29Z</dcterms:modified>
</cp:coreProperties>
</file>