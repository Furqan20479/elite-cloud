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29FAA00-0223-4CB6-9A1D-93FA631363B4}" xr6:coauthVersionLast="47" xr6:coauthVersionMax="47" xr10:uidLastSave="{00000000-0000-0000-0000-000000000000}"/>
  <bookViews>
    <workbookView xWindow="-110" yWindow="-110" windowWidth="19420" windowHeight="10420" tabRatio="949" activeTab="1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P22" i="20"/>
  <c r="M25" i="20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7ECF88F7-F9C1-4CF6-8B79-520F2FC30CCC}">
      <text>
        <r>
          <rPr>
            <b/>
            <sz val="9"/>
            <color indexed="81"/>
            <rFont val="Tahoma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<sst xmlns="http://schemas.openxmlformats.org/spreadsheetml/2006/main" count="1580" uniqueCount="121">
  <si>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</si>
  <si>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</si>
  <si>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</si>
  <si>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</si>
  <si>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</si>
  <si>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</si>
  <si>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</si>
  <si>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</si>
  <si>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</si>
  <si>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</si>
  <si>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</si>
  <si>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</si>
  <si>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</si>
  <si>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</si>
  <si>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</si>
  <si>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</si>
  <si>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</si>
  <si>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</si>
  <si>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</si>
  <si>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</si>
  <si>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</si>
  <si>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</si>
  <si>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</si>
  <si>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</si>
  <si>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</si>
  <si>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</si>
  <si>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</si>
  <si>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</si>
  <si>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</si>
  <si>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</si>
  <si>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</si>
  <si>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</si>
  <si>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</si>
  <si>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</si>
  <si>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</si>
  <si>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</si>
  <si>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</si>
  <si>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</si>
  <si>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</si>
  <si>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</si>
  <si>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</si>
  <si>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</si>
  <si>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</si>
  <si>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</si>
  <si>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</si>
  <si>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</si>
  <si>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</si>
  <si>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</si>
  <si>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</si>
  <si>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</si>
  <si>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</si>
  <si>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</si>
  <si>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</si>
  <si>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</si>
  <si>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</si>
  <si>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</si>
  <si>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</si>
  <si>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</si>
  <si>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</si>
  <si>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</si>
  <si>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</si>
  <si>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</si>
  <si>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</si>
  <si>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</si>
  <si>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</si>
  <si>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</si>
  <si>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</si>
  <si>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</si>
  <si>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</si>
  <si>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</si>
  <si>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</si>
  <si>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</si>
  <si>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</si>
  <si>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</si>
  <si>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</si>
  <si>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</si>
  <si>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</si>
  <si>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</si>
  <si>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</si>
  <si>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</si>
  <si>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</si>
  <si>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</si>
  <si>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</si>
  <si>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</si>
  <si>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</si>
  <si>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</si>
  <si>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</si>
  <si>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</si>
  <si>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</si>
  <si>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</si>
  <si>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</si>
  <si>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</si>
  <si>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</si>
  <si>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</si>
  <si>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</si>
  <si>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</si>
  <si>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</si>
  <si>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</si>
  <si>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</si>
  <si>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</si>
  <si>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</si>
  <si>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</si>
  <si>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</si>
  <si>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</si>
  <si>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 xml:space="preserve">Salman </t>
  </si>
  <si>
    <t>Shop Bill Summary (Salman)</t>
  </si>
  <si>
    <t>Customer Name : Hikma Super Store</t>
  </si>
  <si>
    <t>Address: Askari 5</t>
  </si>
  <si>
    <t>Customer Name : Express Store</t>
  </si>
  <si>
    <t xml:space="preserve">Customer Name : Askari Cash &amp; Carry </t>
  </si>
  <si>
    <t>Customer Name : Haider Store</t>
  </si>
  <si>
    <t>G8079276</t>
  </si>
  <si>
    <t>Customer Name : Quality Store</t>
  </si>
  <si>
    <t xml:space="preserve">Customer Name : Kashmir Bakery </t>
  </si>
  <si>
    <t>Address: Gopal Nager</t>
  </si>
  <si>
    <t>Customer Name : Mian Sons Store</t>
  </si>
  <si>
    <t>Address: Gopal Nager Bazar</t>
  </si>
  <si>
    <t>Customer Name : Rehman GS</t>
  </si>
  <si>
    <t>Address: Gopal Nager Jamea Maasjid Madina</t>
  </si>
  <si>
    <t>Customer Name : Five Start GS</t>
  </si>
  <si>
    <t>Address: Main Gopal 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</si>
</sst>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9" zoomScale="70" zoomScaleNormal="70" workbookViewId="0">
      <selection activeCell="T11" sqref="T11:U3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Hikma Super Store</v>
      </c>
      <c r="U14" s="164">
        <f>+'1'!P35</f>
        <v>1760.4564498000002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Express Store</v>
      </c>
      <c r="U15" s="164">
        <f>+'2'!P35</f>
        <v>2390.3320994999999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167.88</v>
      </c>
      <c r="M16" s="106">
        <f>I16-K16-L16</f>
        <v>1930.62</v>
      </c>
      <c r="N16" s="101">
        <f>+'1'!N16+'2'!N16+'4'!N16+'3'!N16+'5'!N16+'6'!N16+'7'!N16+'8'!N16+'9'!N16+'10'!N16</f>
        <v>436.27815000000004</v>
      </c>
      <c r="O16" s="101">
        <f>+'1'!O16+'2'!O16+'4'!O16+'3'!O16+'5'!O16+'6'!O16+'7'!O16+'8'!O16+'9'!O16+'10'!O16</f>
        <v>11.834490749999999</v>
      </c>
      <c r="P16" s="105">
        <f t="shared" ref="P16:P24" si="0">M16+N16+O16</f>
        <v>2378.73264075</v>
      </c>
      <c r="Q16" s="108"/>
      <c r="T16" s="163" t="str">
        <f>+'4'!A5</f>
        <v>Customer Name : Haider Store</v>
      </c>
      <c r="U16" s="164">
        <f>+'4'!P35</f>
        <v>1056.2738698800001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55</v>
      </c>
      <c r="I17" s="1">
        <f t="shared" ref="I17:I23" si="1">(G17*D17)*F17+H17*F17</f>
        <v>2885.4375</v>
      </c>
      <c r="J17" s="172">
        <f>+'1'!J17+'2'!J17+'4'!J17+'3'!J17+'5'!J17+'6'!J17+'7'!J17+'8'!J17+'9'!J17+'10'!J17+'11'!J17+'12'!J17+'13'!J17+'14'!J17+'15'!J17+'16'!J17+'17'!J17+'18'!J17</f>
        <v>4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230.83499999999998</v>
      </c>
      <c r="M17" s="118">
        <f t="shared" ref="M17:M23" si="2">I17-K17-L17</f>
        <v>2654.6025</v>
      </c>
      <c r="N17" s="101">
        <f>+'1'!N17+'2'!N17+'4'!N17+'3'!N17+'5'!N17+'6'!N17+'7'!N17+'8'!N17+'9'!N17+'10'!N17</f>
        <v>630.17955000000006</v>
      </c>
      <c r="O17" s="101">
        <f>+'1'!O17+'2'!O17+'4'!O17+'3'!O17+'5'!O17+'6'!O17+'7'!O17+'8'!O17+'9'!O17+'10'!O17</f>
        <v>28.200692249999996</v>
      </c>
      <c r="P17" s="120">
        <f t="shared" si="0"/>
        <v>3312.9827422499998</v>
      </c>
      <c r="S17" s="64"/>
      <c r="T17" s="163" t="str">
        <f>+'3'!A5</f>
        <v xml:space="preserve">Customer Name : Askari Cash &amp; Carry </v>
      </c>
      <c r="U17" s="164">
        <f>+'3'!P35</f>
        <v>2390.3320994999999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55</v>
      </c>
      <c r="I18" s="1">
        <f t="shared" si="1"/>
        <v>2885.4375</v>
      </c>
      <c r="J18" s="172">
        <f>+'1'!J18+'2'!J18+'4'!J18+'3'!J18+'5'!J18+'6'!J18+'7'!J18+'8'!J18+'9'!J18+'10'!J18+'11'!J18+'12'!J18+'13'!J18+'14'!J18+'15'!J18+'16'!J18+'17'!J18+'18'!J18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230.83499999999998</v>
      </c>
      <c r="M18" s="118">
        <f t="shared" si="2"/>
        <v>2654.6025</v>
      </c>
      <c r="N18" s="101">
        <f>+'1'!N18+'2'!N18+'4'!N18+'3'!N18+'5'!N18+'6'!N18+'7'!N18+'8'!N18+'9'!N18+'10'!N18</f>
        <v>607.0960500000001</v>
      </c>
      <c r="O18" s="101">
        <f>+'1'!O18+'2'!O18+'4'!O18+'3'!O18+'5'!O18+'6'!O18+'7'!O18+'8'!O18+'9'!O18+'10'!O18</f>
        <v>16.308492749999999</v>
      </c>
      <c r="P18" s="120">
        <f t="shared" si="0"/>
        <v>3278.00704275</v>
      </c>
      <c r="T18" s="163" t="str">
        <f>+'5'!A5</f>
        <v>Customer Name : Quality Store</v>
      </c>
      <c r="U18" s="164">
        <f>+'5'!P35</f>
        <v>1052.43267975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30</v>
      </c>
      <c r="I19" s="1">
        <f t="shared" si="1"/>
        <v>2179.1999999999998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174.33600000000001</v>
      </c>
      <c r="M19" s="118">
        <f t="shared" si="2"/>
        <v>2004.8639999999998</v>
      </c>
      <c r="N19" s="101">
        <f>+'1'!N19+'2'!N19+'4'!N19+'3'!N19+'5'!N19+'6'!N19+'7'!N19+'8'!N19+'9'!N19+'10'!N19</f>
        <v>457.05088000000001</v>
      </c>
      <c r="O19" s="101">
        <f>+'1'!O19+'2'!O19+'4'!O19+'3'!O19+'5'!O19+'6'!O19+'7'!O19+'8'!O19+'9'!O19+'10'!O19</f>
        <v>45.241644800000003</v>
      </c>
      <c r="P19" s="120">
        <f t="shared" si="0"/>
        <v>2507.1565247999997</v>
      </c>
      <c r="T19" s="163" t="str">
        <f>+'6'!A5</f>
        <v xml:space="preserve">Customer Name : Kashmir Bakery </v>
      </c>
      <c r="U19" s="164">
        <f>+'6'!P35</f>
        <v>2850.0025873500003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20</v>
      </c>
      <c r="I20" s="1">
        <f t="shared" si="1"/>
        <v>1452.8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116.224</v>
      </c>
      <c r="M20" s="118">
        <f t="shared" si="2"/>
        <v>1336.576</v>
      </c>
      <c r="N20" s="101">
        <f>+'1'!N20+'2'!N20+'4'!N20+'3'!N20+'5'!N20+'6'!N20+'7'!N20+'8'!N20+'9'!N20+'10'!N20</f>
        <v>326.00831999999997</v>
      </c>
      <c r="O20" s="101">
        <f>+'1'!O20+'2'!O20+'4'!O20+'3'!O20+'5'!O20+'6'!O20+'7'!O20+'8'!O20+'9'!O20+'10'!O20</f>
        <v>24.938764800000001</v>
      </c>
      <c r="P20" s="120">
        <f t="shared" si="0"/>
        <v>1687.5230847999999</v>
      </c>
      <c r="T20" s="163" t="str">
        <f>+'7'!A5</f>
        <v>Customer Name : Mian Sons Store</v>
      </c>
      <c r="U20" s="164">
        <f>+'7'!P35</f>
        <v>2390.3320994999999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10</v>
      </c>
      <c r="I21" s="1">
        <f t="shared" si="1"/>
        <v>726.4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58.112000000000002</v>
      </c>
      <c r="M21" s="118">
        <f t="shared" si="2"/>
        <v>668.28800000000001</v>
      </c>
      <c r="N21" s="101">
        <f>+'1'!N21+'2'!N21+'4'!N21+'3'!N21+'5'!N21+'6'!N21+'7'!N21+'8'!N21+'9'!N21+'10'!N21</f>
        <v>147.02336</v>
      </c>
      <c r="O21" s="101">
        <f>+'1'!O21+'2'!O21+'4'!O21+'3'!O21+'5'!O21+'6'!O21+'7'!O21+'8'!O21+'9'!O21+'10'!O21</f>
        <v>20.382784000000001</v>
      </c>
      <c r="P21" s="120">
        <f t="shared" si="0"/>
        <v>835.69414400000005</v>
      </c>
      <c r="T21" s="163" t="str">
        <f>+'8'!A5</f>
        <v>Customer Name : Rehman GS</v>
      </c>
      <c r="U21" s="164">
        <f>+'8'!P35</f>
        <v>440.11411245000005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124</v>
      </c>
      <c r="I22" s="1">
        <f t="shared" si="1"/>
        <v>4864.5200000000004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170.25820000000004</v>
      </c>
      <c r="L22" s="175">
        <f>+'1'!L22+'2'!L22+'4'!L22+'3'!L22+'5'!L22+'6'!L22+'7'!L22+'8'!L22+'9'!L22+'10'!L22</f>
        <v>243.22600000000006</v>
      </c>
      <c r="M22" s="118">
        <f t="shared" si="2"/>
        <v>4451.0358000000006</v>
      </c>
      <c r="N22" s="101">
        <f>+'1'!N22+'2'!N22+'4'!N22+'3'!N22+'5'!N22+'6'!N22+'7'!N22+'8'!N22+'9'!N22+'10'!N22</f>
        <v>979.22787600000015</v>
      </c>
      <c r="O22" s="101">
        <f>+'1'!O22+'2'!O22+'4'!O22+'3'!O22+'5'!O22+'6'!O22+'7'!O22+'8'!O22+'9'!O22+'10'!O22</f>
        <v>70.943767380000011</v>
      </c>
      <c r="P22" s="120">
        <f t="shared" si="0"/>
        <v>5501.2074433800008</v>
      </c>
      <c r="T22" s="163" t="str">
        <f>+'9'!A5</f>
        <v>Customer Name : Five Start GS</v>
      </c>
      <c r="U22" s="164">
        <f>+'9'!P35</f>
        <v>5171.0276250000006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8.35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334</v>
      </c>
      <c r="I25" s="178">
        <f t="shared" si="3"/>
        <v>17092.294999999998</v>
      </c>
      <c r="J25" s="177">
        <f t="shared" si="3"/>
        <v>10</v>
      </c>
      <c r="K25" s="178">
        <f t="shared" si="3"/>
        <v>170.25820000000004</v>
      </c>
      <c r="L25" s="179">
        <f t="shared" si="3"/>
        <v>1221.4480000000001</v>
      </c>
      <c r="M25" s="141">
        <f t="shared" si="3"/>
        <v>15700.588800000001</v>
      </c>
      <c r="N25" s="142">
        <f>SUM(N16:N24)</f>
        <v>3582.8641860000007</v>
      </c>
      <c r="O25" s="143">
        <f>SUM(O16:O24)</f>
        <v>217.85063673000002</v>
      </c>
      <c r="P25" s="144">
        <f>SUM(P16:P24)</f>
        <v>19501.30362273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19501.303622730004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17092.294999999998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1221.4480000000001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170.25820000000004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15700.588799999998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3582.8641860000007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19283.452985999997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482.08632464999994</v>
      </c>
    </row>
    <row r="39" spans="2:16" ht="15.75" customHeight="1" thickBot="1" x14ac:dyDescent="0.4">
      <c r="N39" s="203" t="s">
        <v>92</v>
      </c>
      <c r="O39" s="204"/>
      <c r="P39" s="160">
        <f>P37+P38</f>
        <v>19765.539310649998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23026448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8.7584898000000013</v>
      </c>
      <c r="P22" s="120">
        <f t="shared" si="2"/>
        <v>1760.4564498000002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8.7584898000000013</v>
      </c>
      <c r="P25" s="144">
        <f>SUM(P16:P24)</f>
        <v>1760.4564498000002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1751.6979600000002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8.7584898000000013</v>
      </c>
    </row>
    <row r="35" spans="2:16" ht="15.75" customHeight="1" thickBot="1" x14ac:dyDescent="0.4">
      <c r="N35" s="203" t="s">
        <v>92</v>
      </c>
      <c r="O35" s="204"/>
      <c r="P35" s="160">
        <f>P33+P34</f>
        <v>1760.4564498000002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3520123465409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2.9441954999999997</v>
      </c>
      <c r="P18" s="120">
        <f t="shared" si="1"/>
        <v>591.78329549999989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3" t="s">
        <v>92</v>
      </c>
      <c r="O35" s="204"/>
      <c r="P35" s="160">
        <f>P33+P34</f>
        <v>2390.3320994999999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41197127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5.9460997500000001</v>
      </c>
      <c r="P18" s="120">
        <f t="shared" si="1"/>
        <v>1195.16604975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3" t="s">
        <v>92</v>
      </c>
      <c r="O35" s="204"/>
      <c r="P35" s="160">
        <f>P33+P34</f>
        <v>2390.3320994999999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189.527976</v>
      </c>
      <c r="O22" s="119">
        <f t="shared" si="6"/>
        <v>5.2550938800000004</v>
      </c>
      <c r="P22" s="120">
        <f t="shared" si="1"/>
        <v>1056.2738698800001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47.076000000000008</v>
      </c>
      <c r="M25" s="141">
        <f t="shared" si="9"/>
        <v>861.49080000000004</v>
      </c>
      <c r="N25" s="142">
        <f>SUM(N16:N24)</f>
        <v>189.527976</v>
      </c>
      <c r="O25" s="143">
        <f>SUM(O16:O24)</f>
        <v>5.2550938800000004</v>
      </c>
      <c r="P25" s="144">
        <f>SUM(P16:P24)</f>
        <v>1056.2738698800001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941.5200000000001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47.076000000000008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32.95320000000001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861.49080000000004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189.527976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1051.0187760000001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5.2550938800000004</v>
      </c>
    </row>
    <row r="35" spans="2:16" ht="15.75" customHeight="1" thickBot="1" x14ac:dyDescent="0.4">
      <c r="N35" s="203" t="s">
        <v>92</v>
      </c>
      <c r="O35" s="204"/>
      <c r="P35" s="160">
        <f>P33+P34</f>
        <v>1056.2738698800001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0" workbookViewId="0">
      <selection sqref="A1:Q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14.720977499999998</v>
      </c>
      <c r="P17" s="120">
        <f t="shared" si="1"/>
        <v>603.56007749999992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916.92500000000007</v>
      </c>
      <c r="J25" s="138"/>
      <c r="K25" s="139">
        <f t="shared" si="9"/>
        <v>13.730500000000003</v>
      </c>
      <c r="L25" s="140">
        <f t="shared" si="9"/>
        <v>61.585000000000008</v>
      </c>
      <c r="M25" s="141">
        <f t="shared" si="9"/>
        <v>841.60950000000003</v>
      </c>
      <c r="N25" s="142">
        <f>SUM(N16:N24)</f>
        <v>185.15409</v>
      </c>
      <c r="O25" s="143">
        <f>SUM(O16:O24)</f>
        <v>25.669089749999998</v>
      </c>
      <c r="P25" s="144">
        <f>SUM(P16:P24)</f>
        <v>1052.43267975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916.92500000000007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61.585000000000008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841.60950000000003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185.15409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1026.76359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25.669089750000001</v>
      </c>
    </row>
    <row r="35" spans="2:16" ht="15.75" customHeight="1" thickBot="1" x14ac:dyDescent="0.4">
      <c r="N35" s="203" t="s">
        <v>92</v>
      </c>
      <c r="O35" s="204"/>
      <c r="P35" s="160">
        <f>P33+P34</f>
        <v>1052.43267975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E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114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3420103553549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2.9441954999999997</v>
      </c>
      <c r="P18" s="120">
        <f t="shared" si="1"/>
        <v>591.78329549999989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2502.0500000000002</v>
      </c>
      <c r="J25" s="138"/>
      <c r="K25" s="139">
        <f t="shared" si="9"/>
        <v>0</v>
      </c>
      <c r="L25" s="140">
        <f t="shared" si="9"/>
        <v>200.16399999999999</v>
      </c>
      <c r="M25" s="141">
        <f t="shared" si="9"/>
        <v>2301.886</v>
      </c>
      <c r="N25" s="142">
        <f>SUM(N16:N24)</f>
        <v>533.93746999999996</v>
      </c>
      <c r="O25" s="143">
        <f>SUM(O16:O24)</f>
        <v>14.17911735</v>
      </c>
      <c r="P25" s="144">
        <f>SUM(P16:P24)</f>
        <v>2850.0025873499999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2502.0500000000002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200.16399999999999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2301.8860000000004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533.93746999999996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2835.8234700000003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14.179117350000002</v>
      </c>
    </row>
    <row r="35" spans="2:16" ht="15.75" customHeight="1" thickBot="1" x14ac:dyDescent="0.4">
      <c r="N35" s="203" t="s">
        <v>92</v>
      </c>
      <c r="O35" s="204"/>
      <c r="P35" s="160">
        <f>P33+P34</f>
        <v>2850.0025873500003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116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3520129848969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>
        <v>1</v>
      </c>
      <c r="K17" s="1">
        <f t="shared" ref="K17:K21" si="3">I17*$K$13</f>
        <v>0</v>
      </c>
      <c r="L17" s="105">
        <f t="shared" ref="L17:L21" si="4">I17*8%</f>
        <v>62.954999999999998</v>
      </c>
      <c r="M17" s="118">
        <f t="shared" ref="M17:M23" si="5">I17-K17-L17</f>
        <v>723.98249999999996</v>
      </c>
      <c r="N17" s="118">
        <f t="shared" si="0"/>
        <v>170.81790000000001</v>
      </c>
      <c r="O17" s="119">
        <f t="shared" ref="O17:O24" si="6">(N17+M17)*$O$15</f>
        <v>4.4740019999999996</v>
      </c>
      <c r="P17" s="120">
        <f t="shared" si="1"/>
        <v>899.27440200000001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>
        <v>1</v>
      </c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170.81790000000001</v>
      </c>
      <c r="O18" s="119">
        <f t="shared" si="6"/>
        <v>4.4740019999999996</v>
      </c>
      <c r="P18" s="120">
        <f t="shared" si="1"/>
        <v>899.27440200000001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3" t="s">
        <v>92</v>
      </c>
      <c r="O35" s="204"/>
      <c r="P35" s="160">
        <f>P33+P34</f>
        <v>2390.3320994999999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118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3520231216927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2.1896224500000003</v>
      </c>
      <c r="P25" s="144">
        <f>SUM(P16:P24)</f>
        <v>440.11411245000005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2.1896224500000003</v>
      </c>
    </row>
    <row r="35" spans="2:16" ht="15.75" customHeight="1" thickBot="1" x14ac:dyDescent="0.4">
      <c r="N35" s="203" t="s">
        <v>92</v>
      </c>
      <c r="O35" s="204"/>
      <c r="P35" s="160">
        <f>P33+P34</f>
        <v>440.11411245000005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20" workbookViewId="0">
      <selection activeCell="I39" sqref="I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120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20.782304</v>
      </c>
      <c r="P20" s="120">
        <f t="shared" si="1"/>
        <v>852.07446399999992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20.382784000000001</v>
      </c>
      <c r="P21" s="120">
        <f t="shared" si="1"/>
        <v>835.69414400000005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4108.97</v>
      </c>
      <c r="N25" s="142">
        <f>SUM(N16:N24)</f>
        <v>935.93499999999995</v>
      </c>
      <c r="O25" s="143">
        <f>SUM(O16:O24)</f>
        <v>126.12262500000001</v>
      </c>
      <c r="P25" s="144">
        <f>SUM(P16:P24)</f>
        <v>5171.0276250000006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4474.8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310.90800000000002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4108.97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935.93499999999995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5044.9050000000007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126.12262500000003</v>
      </c>
    </row>
    <row r="35" spans="2:16" ht="15.75" customHeight="1" thickBot="1" x14ac:dyDescent="0.4">
      <c r="N35" s="203" t="s">
        <v>92</v>
      </c>
      <c r="O35" s="204"/>
      <c r="P35" s="160">
        <f>P33+P34</f>
        <v>5171.0276250000006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abSelected="1" topLeftCell="A13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46190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46189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2026-06-17T11:53:59Z</dcterms:modified>
</cp:coreProperties>
</file>