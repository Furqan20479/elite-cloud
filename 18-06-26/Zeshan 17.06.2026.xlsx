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749D0A4E-3826-4F33-A10B-13956ACA4BA2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22" i="27" l="1"/>
  <c r="L21" i="27"/>
  <c r="L20" i="27"/>
  <c r="L19" i="27"/>
  <c r="L17" i="27"/>
  <c r="L16" i="27"/>
  <c r="L21" i="24"/>
  <c r="L20" i="24"/>
  <c r="L19" i="24"/>
  <c r="L18" i="24"/>
  <c r="L17" i="24"/>
  <c r="L16" i="24"/>
  <c r="L21" i="23"/>
  <c r="L20" i="23"/>
  <c r="L19" i="23"/>
  <c r="L16" i="23"/>
  <c r="L21" i="16"/>
  <c r="L20" i="16"/>
  <c r="L19" i="16"/>
  <c r="L18" i="16"/>
  <c r="L17" i="16"/>
  <c r="L16" i="16"/>
  <c r="H17" i="15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C11" i="34" s="1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N4" i="34"/>
  <c r="N5" i="34" s="1"/>
  <c r="O34" i="33"/>
  <c r="O32" i="33"/>
  <c r="C12" i="33" s="1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B21" i="33"/>
  <c r="C21" i="33" s="1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E17" i="33"/>
  <c r="D17" i="33"/>
  <c r="B17" i="33"/>
  <c r="C17" i="33" s="1"/>
  <c r="F16" i="33"/>
  <c r="E16" i="33"/>
  <c r="D16" i="33"/>
  <c r="C16" i="33"/>
  <c r="B16" i="33"/>
  <c r="O15" i="33"/>
  <c r="N15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B20" i="32"/>
  <c r="C20" i="32" s="1"/>
  <c r="F19" i="32"/>
  <c r="E19" i="32"/>
  <c r="D19" i="32"/>
  <c r="I19" i="32" s="1"/>
  <c r="B19" i="32"/>
  <c r="C19" i="32" s="1"/>
  <c r="F18" i="32"/>
  <c r="E18" i="32"/>
  <c r="D18" i="32"/>
  <c r="B18" i="32"/>
  <c r="C18" i="32" s="1"/>
  <c r="F17" i="32"/>
  <c r="E17" i="32"/>
  <c r="D17" i="32"/>
  <c r="I17" i="32" s="1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C12" i="31" s="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1" i="31"/>
  <c r="N4" i="31"/>
  <c r="N5" i="31" s="1"/>
  <c r="O34" i="30"/>
  <c r="C11" i="30" s="1"/>
  <c r="O32" i="30"/>
  <c r="C12" i="30" s="1"/>
  <c r="H25" i="30"/>
  <c r="G25" i="30"/>
  <c r="F24" i="30"/>
  <c r="E24" i="30"/>
  <c r="D24" i="30"/>
  <c r="I24" i="30" s="1"/>
  <c r="B24" i="30"/>
  <c r="C24" i="30" s="1"/>
  <c r="F23" i="30"/>
  <c r="E23" i="30"/>
  <c r="D23" i="30"/>
  <c r="B23" i="30"/>
  <c r="C23" i="30" s="1"/>
  <c r="F22" i="30"/>
  <c r="E22" i="30"/>
  <c r="D22" i="30"/>
  <c r="I22" i="30" s="1"/>
  <c r="B22" i="30"/>
  <c r="C22" i="30" s="1"/>
  <c r="F21" i="30"/>
  <c r="E21" i="30"/>
  <c r="D21" i="30"/>
  <c r="B21" i="30"/>
  <c r="C21" i="30" s="1"/>
  <c r="F20" i="30"/>
  <c r="E20" i="30"/>
  <c r="D20" i="30"/>
  <c r="I20" i="30" s="1"/>
  <c r="B20" i="30"/>
  <c r="C20" i="30" s="1"/>
  <c r="F19" i="30"/>
  <c r="E19" i="30"/>
  <c r="D19" i="30"/>
  <c r="B19" i="30"/>
  <c r="C19" i="30" s="1"/>
  <c r="F18" i="30"/>
  <c r="E18" i="30"/>
  <c r="D18" i="30"/>
  <c r="I18" i="30" s="1"/>
  <c r="B18" i="30"/>
  <c r="C18" i="30" s="1"/>
  <c r="F17" i="30"/>
  <c r="E17" i="30"/>
  <c r="D17" i="30"/>
  <c r="B17" i="30"/>
  <c r="C17" i="30" s="1"/>
  <c r="F16" i="30"/>
  <c r="E16" i="30"/>
  <c r="D16" i="30"/>
  <c r="I16" i="30" s="1"/>
  <c r="C16" i="30"/>
  <c r="B16" i="30"/>
  <c r="O15" i="30"/>
  <c r="N15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B23" i="28"/>
  <c r="C23" i="28" s="1"/>
  <c r="F22" i="28"/>
  <c r="E22" i="28"/>
  <c r="D22" i="28"/>
  <c r="I22" i="28" s="1"/>
  <c r="B22" i="28"/>
  <c r="C22" i="28" s="1"/>
  <c r="F21" i="28"/>
  <c r="E21" i="28"/>
  <c r="D21" i="28"/>
  <c r="B21" i="28"/>
  <c r="C21" i="28" s="1"/>
  <c r="F20" i="28"/>
  <c r="E20" i="28"/>
  <c r="D20" i="28"/>
  <c r="I20" i="28" s="1"/>
  <c r="B20" i="28"/>
  <c r="C20" i="28" s="1"/>
  <c r="F19" i="28"/>
  <c r="E19" i="28"/>
  <c r="D19" i="28"/>
  <c r="B19" i="28"/>
  <c r="C19" i="28" s="1"/>
  <c r="F18" i="28"/>
  <c r="E18" i="28"/>
  <c r="D18" i="28"/>
  <c r="I18" i="28" s="1"/>
  <c r="B18" i="28"/>
  <c r="C18" i="28" s="1"/>
  <c r="F17" i="28"/>
  <c r="E17" i="28"/>
  <c r="D17" i="28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7" i="28" l="1"/>
  <c r="I19" i="28"/>
  <c r="I21" i="28"/>
  <c r="I23" i="28"/>
  <c r="I17" i="33"/>
  <c r="K17" i="33" s="1"/>
  <c r="I21" i="33"/>
  <c r="L21" i="33" s="1"/>
  <c r="I17" i="30"/>
  <c r="I19" i="30"/>
  <c r="K19" i="30" s="1"/>
  <c r="I21" i="30"/>
  <c r="I23" i="30"/>
  <c r="I16" i="32"/>
  <c r="I25" i="32" s="1"/>
  <c r="P28" i="32" s="1"/>
  <c r="I18" i="32"/>
  <c r="I20" i="32"/>
  <c r="I16" i="33"/>
  <c r="L16" i="33" s="1"/>
  <c r="I16" i="31"/>
  <c r="I17" i="31"/>
  <c r="K17" i="31" s="1"/>
  <c r="I18" i="31"/>
  <c r="I19" i="31"/>
  <c r="K19" i="31" s="1"/>
  <c r="I20" i="31"/>
  <c r="I21" i="31"/>
  <c r="I22" i="31"/>
  <c r="K22" i="31" s="1"/>
  <c r="I23" i="31"/>
  <c r="K23" i="31" s="1"/>
  <c r="I24" i="31"/>
  <c r="I23" i="32"/>
  <c r="K23" i="32" s="1"/>
  <c r="I22" i="33"/>
  <c r="I16" i="34"/>
  <c r="I17" i="34"/>
  <c r="I18" i="34"/>
  <c r="I19" i="34"/>
  <c r="I20" i="34"/>
  <c r="K20" i="34" s="1"/>
  <c r="I21" i="34"/>
  <c r="I22" i="34"/>
  <c r="L22" i="34" s="1"/>
  <c r="I23" i="34"/>
  <c r="I24" i="34"/>
  <c r="L24" i="34" s="1"/>
  <c r="I16" i="29"/>
  <c r="I17" i="29"/>
  <c r="I18" i="29"/>
  <c r="I19" i="29"/>
  <c r="K19" i="29" s="1"/>
  <c r="I20" i="29"/>
  <c r="I21" i="29"/>
  <c r="K21" i="29" s="1"/>
  <c r="I22" i="29"/>
  <c r="I23" i="29"/>
  <c r="L23" i="29" s="1"/>
  <c r="I24" i="29"/>
  <c r="I24" i="32"/>
  <c r="I19" i="33"/>
  <c r="I23" i="33"/>
  <c r="L23" i="33" s="1"/>
  <c r="L17" i="33"/>
  <c r="L18" i="33"/>
  <c r="M18" i="33" s="1"/>
  <c r="I25" i="35"/>
  <c r="P28" i="35" s="1"/>
  <c r="K16" i="35"/>
  <c r="L16" i="35"/>
  <c r="K17" i="35"/>
  <c r="L17" i="35"/>
  <c r="M17" i="35" s="1"/>
  <c r="K18" i="35"/>
  <c r="L18" i="35"/>
  <c r="M18" i="35" s="1"/>
  <c r="K19" i="35"/>
  <c r="L19" i="35"/>
  <c r="K20" i="35"/>
  <c r="L20" i="35"/>
  <c r="K21" i="35"/>
  <c r="L21" i="35"/>
  <c r="K22" i="35"/>
  <c r="M22" i="35" s="1"/>
  <c r="L22" i="35"/>
  <c r="K23" i="35"/>
  <c r="L23" i="35"/>
  <c r="K24" i="35"/>
  <c r="L24" i="35"/>
  <c r="L16" i="34"/>
  <c r="K17" i="34"/>
  <c r="L17" i="34"/>
  <c r="K18" i="34"/>
  <c r="L18" i="34"/>
  <c r="K19" i="34"/>
  <c r="L19" i="34"/>
  <c r="K21" i="34"/>
  <c r="L21" i="34"/>
  <c r="K22" i="34"/>
  <c r="K23" i="34"/>
  <c r="M23" i="34" s="1"/>
  <c r="L23" i="34"/>
  <c r="K21" i="33"/>
  <c r="K22" i="33"/>
  <c r="M22" i="33" s="1"/>
  <c r="L22" i="33"/>
  <c r="K19" i="33"/>
  <c r="L19" i="33"/>
  <c r="K20" i="33"/>
  <c r="L20" i="33"/>
  <c r="K24" i="33"/>
  <c r="L24" i="33"/>
  <c r="M17" i="33"/>
  <c r="K24" i="32"/>
  <c r="M24" i="32" s="1"/>
  <c r="L24" i="32"/>
  <c r="K17" i="32"/>
  <c r="L17" i="32"/>
  <c r="K18" i="32"/>
  <c r="L18" i="32"/>
  <c r="K19" i="32"/>
  <c r="L19" i="32"/>
  <c r="K20" i="32"/>
  <c r="L20" i="32"/>
  <c r="K21" i="32"/>
  <c r="L21" i="32"/>
  <c r="K22" i="32"/>
  <c r="L22" i="32"/>
  <c r="L17" i="31"/>
  <c r="L19" i="31"/>
  <c r="K21" i="31"/>
  <c r="L21" i="31"/>
  <c r="L22" i="31"/>
  <c r="K24" i="31"/>
  <c r="L24" i="31"/>
  <c r="M24" i="31" s="1"/>
  <c r="K16" i="31"/>
  <c r="L16" i="31"/>
  <c r="K18" i="31"/>
  <c r="L18" i="31"/>
  <c r="K20" i="31"/>
  <c r="L20" i="31"/>
  <c r="K18" i="30"/>
  <c r="L18" i="30"/>
  <c r="K20" i="30"/>
  <c r="L20" i="30"/>
  <c r="K21" i="30"/>
  <c r="L21" i="30"/>
  <c r="K23" i="30"/>
  <c r="M23" i="30" s="1"/>
  <c r="L23" i="30"/>
  <c r="I25" i="30"/>
  <c r="P28" i="30" s="1"/>
  <c r="K16" i="30"/>
  <c r="L16" i="30"/>
  <c r="K17" i="30"/>
  <c r="L17" i="30"/>
  <c r="K22" i="30"/>
  <c r="L22" i="30"/>
  <c r="K24" i="30"/>
  <c r="L24" i="30"/>
  <c r="K16" i="29"/>
  <c r="L16" i="29"/>
  <c r="K24" i="29"/>
  <c r="M24" i="29"/>
  <c r="L24" i="29"/>
  <c r="K17" i="29"/>
  <c r="L17" i="29"/>
  <c r="K20" i="29"/>
  <c r="L20" i="29"/>
  <c r="K22" i="29"/>
  <c r="L22" i="29"/>
  <c r="K18" i="29"/>
  <c r="L18" i="29"/>
  <c r="K23" i="29"/>
  <c r="I25" i="28"/>
  <c r="P28" i="28" s="1"/>
  <c r="K16" i="28"/>
  <c r="L16" i="28"/>
  <c r="K17" i="28"/>
  <c r="L17" i="28"/>
  <c r="K18" i="28"/>
  <c r="L18" i="28"/>
  <c r="K19" i="28"/>
  <c r="L19" i="28"/>
  <c r="K20" i="28"/>
  <c r="L20" i="28"/>
  <c r="K21" i="28"/>
  <c r="L21" i="28"/>
  <c r="K22" i="28"/>
  <c r="L22" i="28"/>
  <c r="K23" i="28"/>
  <c r="M23" i="28" s="1"/>
  <c r="L23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16" i="32" l="1"/>
  <c r="M16" i="32" s="1"/>
  <c r="N16" i="32" s="1"/>
  <c r="L16" i="32"/>
  <c r="M17" i="31"/>
  <c r="M24" i="30"/>
  <c r="M24" i="33"/>
  <c r="M17" i="28"/>
  <c r="L23" i="31"/>
  <c r="K24" i="34"/>
  <c r="K25" i="34" s="1"/>
  <c r="P30" i="34" s="1"/>
  <c r="L20" i="34"/>
  <c r="M21" i="35"/>
  <c r="N21" i="35" s="1"/>
  <c r="O21" i="35" s="1"/>
  <c r="L21" i="29"/>
  <c r="L19" i="30"/>
  <c r="L23" i="32"/>
  <c r="M23" i="32" s="1"/>
  <c r="K23" i="33"/>
  <c r="M24" i="35"/>
  <c r="M24" i="28"/>
  <c r="N24" i="28" s="1"/>
  <c r="O24" i="28" s="1"/>
  <c r="P24" i="28" s="1"/>
  <c r="M21" i="30"/>
  <c r="K16" i="33"/>
  <c r="M16" i="33" s="1"/>
  <c r="M23" i="35"/>
  <c r="I25" i="34"/>
  <c r="P28" i="34" s="1"/>
  <c r="M22" i="31"/>
  <c r="M22" i="29"/>
  <c r="M23" i="33"/>
  <c r="N23" i="33" s="1"/>
  <c r="O23" i="33" s="1"/>
  <c r="I16" i="26"/>
  <c r="I17" i="26"/>
  <c r="K17" i="26" s="1"/>
  <c r="I18" i="26"/>
  <c r="K18" i="26" s="1"/>
  <c r="I19" i="26"/>
  <c r="I20" i="26"/>
  <c r="I21" i="26"/>
  <c r="I22" i="26"/>
  <c r="K22" i="26" s="1"/>
  <c r="I23" i="26"/>
  <c r="K23" i="26" s="1"/>
  <c r="I24" i="26"/>
  <c r="I21" i="27"/>
  <c r="K21" i="27" s="1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N20" i="35" s="1"/>
  <c r="O20" i="35" s="1"/>
  <c r="P20" i="35" s="1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4" i="35"/>
  <c r="O24" i="35" s="1"/>
  <c r="P24" i="35" s="1"/>
  <c r="N18" i="35"/>
  <c r="O18" i="35" s="1"/>
  <c r="N22" i="35"/>
  <c r="O22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23" i="34"/>
  <c r="O23" i="34" s="1"/>
  <c r="P23" i="34" s="1"/>
  <c r="N19" i="34"/>
  <c r="O19" i="34" s="1"/>
  <c r="N16" i="34"/>
  <c r="N24" i="33"/>
  <c r="O24" i="33" s="1"/>
  <c r="N18" i="33"/>
  <c r="O18" i="33" s="1"/>
  <c r="N21" i="33"/>
  <c r="O21" i="33" s="1"/>
  <c r="N17" i="33"/>
  <c r="O17" i="33" s="1"/>
  <c r="N22" i="33"/>
  <c r="O22" i="33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K17" i="27"/>
  <c r="K20" i="27"/>
  <c r="K22" i="27"/>
  <c r="K23" i="27"/>
  <c r="L23" i="27"/>
  <c r="K24" i="27"/>
  <c r="L24" i="27"/>
  <c r="K19" i="27"/>
  <c r="K18" i="27"/>
  <c r="L18" i="27"/>
  <c r="K19" i="26"/>
  <c r="L19" i="26"/>
  <c r="L23" i="26"/>
  <c r="L18" i="26"/>
  <c r="K20" i="26"/>
  <c r="L20" i="26"/>
  <c r="K21" i="26"/>
  <c r="L21" i="26"/>
  <c r="K24" i="26"/>
  <c r="L24" i="26"/>
  <c r="K16" i="26"/>
  <c r="L16" i="26"/>
  <c r="T23" i="15"/>
  <c r="T22" i="15"/>
  <c r="T21" i="15"/>
  <c r="T20" i="15"/>
  <c r="T19" i="15"/>
  <c r="T18" i="15"/>
  <c r="T17" i="15"/>
  <c r="T16" i="15"/>
  <c r="T15" i="15"/>
  <c r="T14" i="15"/>
  <c r="M24" i="26" l="1"/>
  <c r="L17" i="26"/>
  <c r="M24" i="34"/>
  <c r="L22" i="26"/>
  <c r="I25" i="26"/>
  <c r="P28" i="26" s="1"/>
  <c r="M23" i="27"/>
  <c r="P23" i="32"/>
  <c r="P23" i="31"/>
  <c r="M17" i="26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N24" i="27" s="1"/>
  <c r="O24" i="27" s="1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P34" i="32" s="1"/>
  <c r="P35" i="32" s="1"/>
  <c r="U30" i="15" s="1"/>
  <c r="N24" i="34"/>
  <c r="M25" i="34"/>
  <c r="I16" i="25"/>
  <c r="I17" i="25"/>
  <c r="L17" i="25" s="1"/>
  <c r="I18" i="25"/>
  <c r="I19" i="25"/>
  <c r="I20" i="25"/>
  <c r="K20" i="25" s="1"/>
  <c r="I22" i="25"/>
  <c r="K22" i="25" s="1"/>
  <c r="I23" i="25"/>
  <c r="L23" i="25" s="1"/>
  <c r="I24" i="25"/>
  <c r="L24" i="25" s="1"/>
  <c r="I21" i="18"/>
  <c r="I22" i="18"/>
  <c r="L22" i="18" s="1"/>
  <c r="I24" i="18"/>
  <c r="L24" i="18" s="1"/>
  <c r="I19" i="19"/>
  <c r="L19" i="19" s="1"/>
  <c r="I20" i="19"/>
  <c r="K20" i="19" s="1"/>
  <c r="I21" i="19"/>
  <c r="I22" i="19"/>
  <c r="K22" i="19" s="1"/>
  <c r="I23" i="19"/>
  <c r="L23" i="19" s="1"/>
  <c r="I24" i="19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P16" i="34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I17" i="24"/>
  <c r="I18" i="24"/>
  <c r="K18" i="24" s="1"/>
  <c r="I19" i="24"/>
  <c r="I20" i="24"/>
  <c r="K20" i="24" s="1"/>
  <c r="I21" i="24"/>
  <c r="I22" i="24"/>
  <c r="K22" i="24" s="1"/>
  <c r="I21" i="23"/>
  <c r="K21" i="23" s="1"/>
  <c r="I23" i="23"/>
  <c r="L23" i="23" s="1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I18" i="23"/>
  <c r="L18" i="23" s="1"/>
  <c r="I20" i="23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16" i="25"/>
  <c r="L16" i="25"/>
  <c r="K24" i="25"/>
  <c r="L22" i="25"/>
  <c r="K17" i="25"/>
  <c r="K23" i="25"/>
  <c r="K21" i="24"/>
  <c r="L23" i="24"/>
  <c r="K23" i="24"/>
  <c r="K17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18" i="19"/>
  <c r="K24" i="19"/>
  <c r="L24" i="19"/>
  <c r="L21" i="19"/>
  <c r="K21" i="19"/>
  <c r="L21" i="18"/>
  <c r="K21" i="18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0" i="25" l="1"/>
  <c r="I25" i="25"/>
  <c r="P28" i="25" s="1"/>
  <c r="L20" i="19"/>
  <c r="K23" i="23"/>
  <c r="O24" i="34"/>
  <c r="N25" i="34"/>
  <c r="P32" i="34" s="1"/>
  <c r="P33" i="34" s="1"/>
  <c r="P34" i="34" s="1"/>
  <c r="P35" i="34" s="1"/>
  <c r="K17" i="24"/>
  <c r="M17" i="24" s="1"/>
  <c r="N17" i="24" s="1"/>
  <c r="O17" i="24" s="1"/>
  <c r="K22" i="18"/>
  <c r="M22" i="18" s="1"/>
  <c r="L22" i="19"/>
  <c r="L18" i="17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M24" i="24" s="1"/>
  <c r="N24" i="24" s="1"/>
  <c r="O24" i="24" s="1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K18" i="16" s="1"/>
  <c r="I19" i="16"/>
  <c r="I20" i="16"/>
  <c r="K20" i="16" s="1"/>
  <c r="I21" i="16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K25" i="24"/>
  <c r="P30" i="24" s="1"/>
  <c r="M16" i="22"/>
  <c r="M21" i="21"/>
  <c r="N21" i="21" s="1"/>
  <c r="M17" i="19"/>
  <c r="N17" i="19" s="1"/>
  <c r="O17" i="19" s="1"/>
  <c r="M21" i="19"/>
  <c r="L25" i="19"/>
  <c r="P29" i="19" s="1"/>
  <c r="N24" i="18"/>
  <c r="O24" i="18" s="1"/>
  <c r="N18" i="18"/>
  <c r="O18" i="18" s="1"/>
  <c r="N22" i="18"/>
  <c r="O22" i="18" s="1"/>
  <c r="M16" i="17"/>
  <c r="I23" i="15"/>
  <c r="P24" i="34" l="1"/>
  <c r="P25" i="34" s="1"/>
  <c r="O25" i="34"/>
  <c r="K25" i="22"/>
  <c r="P30" i="22" s="1"/>
  <c r="P31" i="22" s="1"/>
  <c r="M23" i="22"/>
  <c r="N23" i="22" s="1"/>
  <c r="O23" i="22" s="1"/>
  <c r="K22" i="15"/>
  <c r="M19" i="18"/>
  <c r="N19" i="18" s="1"/>
  <c r="O19" i="18" s="1"/>
  <c r="K18" i="15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1" i="17"/>
  <c r="N21" i="17" s="1"/>
  <c r="O21" i="17" s="1"/>
  <c r="L18" i="15"/>
  <c r="M18" i="15" s="1"/>
  <c r="L20" i="15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I25" i="16"/>
  <c r="P28" i="16" s="1"/>
  <c r="K17" i="16"/>
  <c r="K17" i="15" s="1"/>
  <c r="P23" i="22"/>
  <c r="I25" i="15"/>
  <c r="P35" i="15" s="1"/>
  <c r="M24" i="16"/>
  <c r="N24" i="16" s="1"/>
  <c r="K23" i="16"/>
  <c r="K19" i="16"/>
  <c r="K19" i="15" s="1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6" i="15" l="1"/>
  <c r="M16" i="16"/>
  <c r="N16" i="16" s="1"/>
  <c r="O16" i="16" s="1"/>
  <c r="M24" i="15"/>
  <c r="M25" i="20"/>
  <c r="M25" i="18"/>
  <c r="M22" i="15"/>
  <c r="N16" i="18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P33" i="23" l="1"/>
  <c r="P34" i="23" s="1"/>
  <c r="P35" i="23" s="1"/>
  <c r="U21" i="15" s="1"/>
  <c r="N18" i="15"/>
  <c r="P18" i="15" s="1"/>
  <c r="N22" i="15"/>
  <c r="P22" i="15" s="1"/>
  <c r="N16" i="15"/>
  <c r="P33" i="20"/>
  <c r="P34" i="20" s="1"/>
  <c r="P35" i="20" s="1"/>
  <c r="U18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16" i="15" l="1"/>
  <c r="P33" i="16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U7" i="6" s="1"/>
  <c r="O7" i="6"/>
  <c r="S9" i="6"/>
  <c r="S13" i="6"/>
  <c r="Q7" i="6"/>
  <c r="Q9" i="6"/>
  <c r="Q13" i="6"/>
  <c r="S8" i="6"/>
  <c r="S14" i="6"/>
  <c r="S11" i="6"/>
  <c r="S10" i="6"/>
  <c r="S6" i="6"/>
  <c r="Q6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O8" i="6"/>
  <c r="U8" i="6" s="1"/>
  <c r="N9" i="6"/>
  <c r="W6" i="6" l="1"/>
  <c r="Y6" i="6" s="1"/>
  <c r="O9" i="6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<sst xmlns="http://schemas.openxmlformats.org/spreadsheetml/2006/main" count="1586" uniqueCount="138">
  <si>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</si>
  <si>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</si>
  <si>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</si>
  <si>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</si>
  <si>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</si>
  <si>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</si>
  <si>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</si>
  <si>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</si>
  <si>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</si>
  <si>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</si>
  <si>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</si>
  <si>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</si>
  <si>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</si>
  <si>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</si>
  <si>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</si>
  <si>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</si>
  <si>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</si>
  <si>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</si>
  <si>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</si>
  <si>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</si>
  <si>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</si>
  <si>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</si>
  <si>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</si>
  <si>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</si>
  <si>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</si>
  <si>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</si>
  <si>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</si>
  <si>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</si>
  <si>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</si>
  <si>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</si>
  <si>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</si>
  <si>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</si>
  <si>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</si>
  <si>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</si>
  <si>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</si>
  <si>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</si>
  <si>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</si>
  <si>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</si>
  <si>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</si>
  <si>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</si>
  <si>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</si>
  <si>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</si>
  <si>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</si>
  <si>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</si>
  <si>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</si>
  <si>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</si>
  <si>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</si>
  <si>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</si>
  <si>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</si>
  <si>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</si>
  <si>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</si>
  <si>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</si>
  <si>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</si>
  <si>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</si>
  <si>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</si>
  <si>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</si>
  <si>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</si>
  <si>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</si>
  <si>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</si>
  <si>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</si>
  <si>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</si>
  <si>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</si>
  <si>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</si>
  <si>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</si>
  <si>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</si>
  <si>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</si>
  <si>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</si>
  <si>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</si>
  <si>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</si>
  <si>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</si>
  <si>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</si>
  <si>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</si>
  <si>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</si>
  <si>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</si>
  <si>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</si>
  <si>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</si>
  <si>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</si>
  <si>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</si>
  <si>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</si>
  <si>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</si>
  <si>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</si>
  <si>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</si>
  <si>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</si>
  <si>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</si>
  <si>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</si>
  <si>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</si>
  <si>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</si>
  <si>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</si>
  <si>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</si>
  <si>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</si>
  <si>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</si>
  <si>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</si>
  <si>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</si>
  <si>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</si>
  <si>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</si>
  <si>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</si>
  <si>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</si>
  <si>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</si>
  <si>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</si>
  <si>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</si>
  <si>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</si>
  <si>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</si>
  <si>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</si>
  <si>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</si>
  <si>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Customer Name : Zeshan</t>
  </si>
  <si>
    <t>Zeshan</t>
  </si>
  <si>
    <t>Customer Name : Bismillah Store</t>
  </si>
  <si>
    <t>Address: H Block DHA</t>
  </si>
  <si>
    <t>0846372-7</t>
  </si>
  <si>
    <t>Customer Name : Nishat Store</t>
  </si>
  <si>
    <t>Address: Nishat Colony</t>
  </si>
  <si>
    <t xml:space="preserve">Customer Name : Delashia Bakers </t>
  </si>
  <si>
    <t>Customer Name : Bhola GS</t>
  </si>
  <si>
    <t>Customer Name : Al Rehman Store</t>
  </si>
  <si>
    <t>Address: Nisaht Colony</t>
  </si>
  <si>
    <t>8058676-4</t>
  </si>
  <si>
    <t>Customer Name : Hikma Store</t>
  </si>
  <si>
    <t>Address: Askari 11</t>
  </si>
  <si>
    <t>2302644-8</t>
  </si>
  <si>
    <t xml:space="preserve">Customer Name : Bin Sohan </t>
  </si>
  <si>
    <t xml:space="preserve">Address: Heir </t>
  </si>
  <si>
    <t>G777939-6</t>
  </si>
  <si>
    <t>Customer Name : Euro Store</t>
  </si>
  <si>
    <t>Address: Airport Road</t>
  </si>
  <si>
    <t>6616156-4</t>
  </si>
  <si>
    <t>Customer Name : Bin Daud</t>
  </si>
  <si>
    <t>Customer Name : Khan Store</t>
  </si>
  <si>
    <t>Address: Gulshan Colony</t>
  </si>
  <si>
    <t xml:space="preserve">Customer Name : Raza Mart </t>
  </si>
  <si>
    <t>Customer Name : Bilal Store</t>
  </si>
  <si>
    <t>Address: KB Colony</t>
  </si>
  <si>
    <t>Customer Name : Ahmad Store</t>
  </si>
  <si>
    <t>Customer Name : Jameel Store</t>
  </si>
  <si>
    <t>Customer Name : Tahir Store</t>
  </si>
  <si>
    <t>Address: Ali Park</t>
  </si>
  <si>
    <t>Customer Name : HR Mart</t>
  </si>
  <si>
    <t>2188211-8</t>
  </si>
  <si>
    <t>Shop Bill Summary (Zeshan)  (17.06.2026)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</si>
</sst>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19" sqref="J19"/>
    </sheetView>
  </sheetViews>
  <sheetFormatPr defaultRowHeight="14.5" x14ac:dyDescent="0.35"/>
  <cols>
    <col min="2" max="2" width="18.179687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1796875" defaultRowHeight="14.5" x14ac:dyDescent="0.35"/>
  <cols>
    <col min="1" max="1" width="2.81640625" bestFit="1" customWidth="1"/>
    <col min="2" max="2" width="5.1796875" style="3" bestFit="1" customWidth="1"/>
    <col min="3" max="4" width="4.81640625" style="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179687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81640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abSelected="1" topLeftCell="A10" zoomScale="70" zoomScaleNormal="70" workbookViewId="0">
      <selection activeCell="S21" sqref="S21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81640625" hidden="1" customWidth="1"/>
    <col min="17" max="17" width="4.54296875" hidden="1" customWidth="1"/>
    <col min="18" max="18" width="7.1796875" hidden="1" customWidth="1"/>
    <col min="20" max="20" width="55.1796875" bestFit="1" customWidth="1"/>
    <col min="21" max="21" width="12.81640625" bestFit="1" customWidth="1"/>
  </cols>
  <sheetData>
    <row r="2" spans="1:21 16383:16384" ht="21" x14ac:dyDescent="0.5">
      <c r="A2" s="200" t="s">
        <v>45</v>
      </c>
      <c r="B2" s="200"/>
      <c r="C2" s="200"/>
    </row>
    <row r="3" spans="1:21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5" t="s">
        <v>105</v>
      </c>
      <c r="B5" s="205"/>
      <c r="C5" s="205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21 16383:16384" ht="15" customHeight="1" x14ac:dyDescent="0.35">
      <c r="A6" s="205"/>
      <c r="B6" s="205"/>
      <c r="C6" s="205"/>
      <c r="F6" s="70"/>
      <c r="G6" s="74"/>
      <c r="K6" s="202" t="s">
        <v>52</v>
      </c>
      <c r="L6" s="202"/>
      <c r="M6" s="202"/>
      <c r="N6" s="204" t="s">
        <v>42</v>
      </c>
      <c r="O6" s="204"/>
      <c r="P6" s="204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21 16383:16384" hidden="1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21 16383:16384" x14ac:dyDescent="0.35">
      <c r="A10" s="207"/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21 16383:16384" ht="15" thickBot="1" x14ac:dyDescent="0.4">
      <c r="A11" s="207"/>
      <c r="B11" s="76"/>
      <c r="C11" s="77"/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21 16383:16384" ht="14.75" customHeight="1" x14ac:dyDescent="0.35">
      <c r="A12" s="207"/>
      <c r="B12" s="76"/>
      <c r="C12" s="77"/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T12" s="216" t="s">
        <v>137</v>
      </c>
      <c r="U12" s="217"/>
      <c r="XFD12" t="s">
        <v>62</v>
      </c>
    </row>
    <row r="13" spans="1:21 16383:16384" ht="15" thickBot="1" x14ac:dyDescent="0.4">
      <c r="A13" s="244"/>
      <c r="J13" s="78"/>
      <c r="K13" s="78"/>
      <c r="L13" s="79">
        <v>0.05</v>
      </c>
      <c r="T13" s="218"/>
      <c r="U13" s="219"/>
      <c r="XFD13" t="s">
        <v>63</v>
      </c>
    </row>
    <row r="14" spans="1:21 16383:16384" ht="29.25" customHeight="1" x14ac:dyDescent="0.6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10" t="s">
        <v>68</v>
      </c>
      <c r="H14" s="211"/>
      <c r="I14" s="211" t="s">
        <v>69</v>
      </c>
      <c r="J14" s="211" t="s">
        <v>70</v>
      </c>
      <c r="K14" s="211"/>
      <c r="L14" s="213"/>
      <c r="M14" s="214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Bismillah Store</v>
      </c>
      <c r="U14" s="164">
        <f>+'1'!P35</f>
        <v>47407.507305299994</v>
      </c>
      <c r="XFD14" t="s">
        <v>75</v>
      </c>
    </row>
    <row r="15" spans="1:21 16383:16384" ht="29.25" customHeight="1" thickBot="1" x14ac:dyDescent="0.65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2"/>
      <c r="J15" s="171" t="s">
        <v>78</v>
      </c>
      <c r="K15" s="171" t="s">
        <v>79</v>
      </c>
      <c r="L15" s="174" t="s">
        <v>80</v>
      </c>
      <c r="M15" s="21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Nishat Store</v>
      </c>
      <c r="U15" s="164">
        <f>+'2'!P35</f>
        <v>448.87260225000006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</f>
        <v>220</v>
      </c>
      <c r="I16" s="1">
        <f>(G16*D16)*F16+H16*F16</f>
        <v>11541.75</v>
      </c>
      <c r="J16" s="172">
        <f>+'1'!J16+'2'!J16+'4'!J16+'3'!J16+'5'!J16+'6'!J16+'7'!J16+'8'!J16+'9'!J16+'10'!J16+'11'!J16+'12'!J16+'13'!J16+'14'!J16+'15'!J16+'16'!J16+'17'!J16+'18'!J16</f>
        <v>11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1175.1599999999999</v>
      </c>
      <c r="M16" s="106">
        <f>I16-K16-L16</f>
        <v>10366.59</v>
      </c>
      <c r="N16" s="101">
        <f>+'1'!N16+'2'!N16+'4'!N16+'3'!N16+'5'!N16+'6'!N16+'7'!N16+'8'!N16+'9'!N16+'10'!N16</f>
        <v>1771.5536999999999</v>
      </c>
      <c r="O16" s="101">
        <f>+'1'!O16+'2'!O16+'4'!O16+'3'!O16+'5'!O16+'6'!O16+'7'!O16+'8'!O16+'9'!O16+'10'!O16</f>
        <v>55.444468499999999</v>
      </c>
      <c r="P16" s="105">
        <f t="shared" ref="P16:P24" si="0">M16+N16+O16</f>
        <v>12193.5881685</v>
      </c>
      <c r="Q16" s="108"/>
      <c r="T16" s="163" t="str">
        <f>+'4'!A5</f>
        <v>Customer Name : Bhola GS</v>
      </c>
      <c r="U16" s="164">
        <f>+'4'!P35</f>
        <v>448.87260225000006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</f>
        <v>240</v>
      </c>
      <c r="I17" s="1">
        <f t="shared" ref="I17:I23" si="1">(G17*D17)*F17+H17*F17</f>
        <v>12591</v>
      </c>
      <c r="J17" s="172">
        <f>+'1'!J17+'2'!J17+'4'!J17+'3'!J17+'5'!J17+'6'!J17+'7'!J17+'8'!J17+'9'!J17+'10'!J17+'11'!J17+'12'!J17+'13'!J17+'14'!J17+'15'!J17+'16'!J17+'17'!J17+'18'!J17</f>
        <v>12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1259.0999999999999</v>
      </c>
      <c r="M17" s="118">
        <f t="shared" ref="M17:M23" si="2">I17-K17-L17</f>
        <v>11331.9</v>
      </c>
      <c r="N17" s="101">
        <f>+'1'!N17+'2'!N17+'4'!N17+'3'!N17+'5'!N17+'6'!N17+'7'!N17+'8'!N17+'9'!N17+'10'!N17</f>
        <v>1995.4636499999999</v>
      </c>
      <c r="O17" s="101">
        <f>+'1'!O17+'2'!O17+'4'!O17+'3'!O17+'5'!O17+'6'!O17+'7'!O17+'8'!O17+'9'!O17+'10'!O17</f>
        <v>85.174967249999995</v>
      </c>
      <c r="P17" s="120">
        <f t="shared" si="0"/>
        <v>13412.538617249998</v>
      </c>
      <c r="S17" s="64"/>
      <c r="T17" s="163" t="str">
        <f>+'3'!A5</f>
        <v xml:space="preserve">Customer Name : Delashia Bakers </v>
      </c>
      <c r="U17" s="164">
        <f>+'3'!P35</f>
        <v>448.87260225000006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</f>
        <v>160</v>
      </c>
      <c r="I18" s="1">
        <f t="shared" si="1"/>
        <v>8394</v>
      </c>
      <c r="J18" s="172">
        <f>+'1'!J18+'2'!J18+'4'!J18+'3'!J18+'5'!J18+'6'!J18+'7'!J18+'8'!J18+'9'!J18+'10'!J18+'11'!J18+'12'!J18+'13'!J18+'14'!J18+'15'!J18+'16'!J18+'17'!J18+'18'!J18</f>
        <v>8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1007.28</v>
      </c>
      <c r="M18" s="118">
        <f t="shared" si="2"/>
        <v>7386.72</v>
      </c>
      <c r="N18" s="101">
        <f>+'1'!N18+'2'!N18+'4'!N18+'3'!N18+'5'!N18+'6'!N18+'7'!N18+'8'!N18+'9'!N18+'10'!N18</f>
        <v>1405.1556</v>
      </c>
      <c r="O18" s="101">
        <f>+'1'!O18+'2'!O18+'4'!O18+'3'!O18+'5'!O18+'6'!O18+'7'!O18+'8'!O18+'9'!O18+'10'!O18</f>
        <v>43.959378000000001</v>
      </c>
      <c r="P18" s="120">
        <f t="shared" si="0"/>
        <v>8835.834977999999</v>
      </c>
      <c r="T18" s="163" t="str">
        <f>+'5'!A5</f>
        <v>Customer Name : Al Rehman Store</v>
      </c>
      <c r="U18" s="164">
        <f>+'5'!P35</f>
        <v>448.87260225000006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</f>
        <v>295</v>
      </c>
      <c r="I19" s="1">
        <f t="shared" si="1"/>
        <v>21428.799999999999</v>
      </c>
      <c r="J19" s="172">
        <f>+'1'!J19+'2'!J19+'4'!J19+'3'!J19+'5'!J19+'6'!J19+'7'!J19+'8'!J19+'9'!J19+'10'!J19+'11'!J19+'12'!J19+'13'!J19+'14'!J19+'15'!J19+'16'!J19+'17'!J19+'18'!J19</f>
        <v>14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2440.7039999999997</v>
      </c>
      <c r="M19" s="118">
        <f t="shared" si="2"/>
        <v>18988.095999999998</v>
      </c>
      <c r="N19" s="101">
        <f>+'1'!N19+'2'!N19+'4'!N19+'3'!N19+'5'!N19+'6'!N19+'7'!N19+'8'!N19+'9'!N19+'10'!N19</f>
        <v>3404.7820799999995</v>
      </c>
      <c r="O19" s="101">
        <f>+'1'!O19+'2'!O19+'4'!O19+'3'!O19+'5'!O19+'6'!O19+'7'!O19+'8'!O19+'9'!O19+'10'!O19</f>
        <v>106.51639039999999</v>
      </c>
      <c r="P19" s="120">
        <f t="shared" si="0"/>
        <v>22499.394470399999</v>
      </c>
      <c r="T19" s="163" t="str">
        <f>+'6'!A5</f>
        <v>Customer Name : Bismillah Store</v>
      </c>
      <c r="U19" s="164">
        <f>+'6'!P35</f>
        <v>7813.3784898000004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</f>
        <v>250</v>
      </c>
      <c r="I20" s="1">
        <f t="shared" si="1"/>
        <v>18160</v>
      </c>
      <c r="J20" s="172">
        <f>+'1'!J20+'2'!J20+'4'!J20+'3'!J20+'5'!J20+'6'!J20+'7'!J20+'8'!J20+'9'!J20+'10'!J20+'11'!J20+'12'!J20+'13'!J20+'14'!J20+'15'!J20+'16'!J20+'17'!J20+'18'!J20</f>
        <v>14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2092.0319999999997</v>
      </c>
      <c r="M20" s="118">
        <f t="shared" si="2"/>
        <v>16067.968000000001</v>
      </c>
      <c r="N20" s="101">
        <f>+'1'!N20+'2'!N20+'4'!N20+'3'!N20+'5'!N20+'6'!N20+'7'!N20+'8'!N20+'9'!N20+'10'!N20</f>
        <v>2918.3846399999993</v>
      </c>
      <c r="O20" s="101">
        <f>+'1'!O20+'2'!O20+'4'!O20+'3'!O20+'5'!O20+'6'!O20+'7'!O20+'8'!O20+'9'!O20+'10'!O20</f>
        <v>91.299763200000001</v>
      </c>
      <c r="P20" s="120">
        <f t="shared" si="0"/>
        <v>19077.652403200002</v>
      </c>
      <c r="T20" s="163" t="str">
        <f>+'7'!A5</f>
        <v>Customer Name : Hikma Store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</f>
        <v>415</v>
      </c>
      <c r="I21" s="1">
        <f t="shared" si="1"/>
        <v>30145.599999999999</v>
      </c>
      <c r="J21" s="172">
        <f>+'1'!J21+'2'!J21+'4'!J21+'3'!J21+'5'!J21+'6'!J21+'7'!J21+'8'!J21+'9'!J21+'10'!J21+'11'!J21+'12'!J21+'13'!J21+'14'!J21+'15'!J21+'16'!J21+'17'!J21+'18'!J21</f>
        <v>20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3370.4960000000001</v>
      </c>
      <c r="M21" s="118">
        <f t="shared" si="2"/>
        <v>26775.103999999999</v>
      </c>
      <c r="N21" s="101">
        <f>+'1'!N21+'2'!N21+'4'!N21+'3'!N21+'5'!N21+'6'!N21+'7'!N21+'8'!N21+'9'!N21+'10'!N21</f>
        <v>4884.8947200000002</v>
      </c>
      <c r="O21" s="101">
        <f>+'1'!O21+'2'!O21+'4'!O21+'3'!O21+'5'!O21+'6'!O21+'7'!O21+'8'!O21+'9'!O21+'10'!O21</f>
        <v>152.85199359999999</v>
      </c>
      <c r="P21" s="120">
        <f t="shared" si="0"/>
        <v>31812.850713600001</v>
      </c>
      <c r="T21" s="163" t="str">
        <f>+'8'!A5</f>
        <v xml:space="preserve">Customer Name : Bin Sohan </v>
      </c>
      <c r="U21" s="164">
        <f>+'8'!P35</f>
        <v>24468.336537599997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</f>
        <v>120</v>
      </c>
      <c r="I22" s="1">
        <f t="shared" si="1"/>
        <v>4707.6000000000004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54.922000000000011</v>
      </c>
      <c r="L22" s="175">
        <f>+'1'!L22+'2'!L22+'4'!L22+'3'!L22+'5'!L22+'6'!L22+'7'!L22+'8'!L22+'9'!L22+'10'!L22</f>
        <v>78.460000000000022</v>
      </c>
      <c r="M22" s="118">
        <f t="shared" si="2"/>
        <v>4574.2180000000008</v>
      </c>
      <c r="N22" s="101">
        <f>+'1'!N22+'2'!N22+'4'!N22+'3'!N22+'5'!N22+'6'!N22+'7'!N22+'8'!N22+'9'!N22+'10'!N22</f>
        <v>315.87996000000004</v>
      </c>
      <c r="O22" s="101">
        <f>+'1'!O22+'2'!O22+'4'!O22+'3'!O22+'5'!O22+'6'!O22+'7'!O22+'8'!O22+'9'!O22+'10'!O22</f>
        <v>43.792449000000005</v>
      </c>
      <c r="P22" s="120">
        <f t="shared" si="0"/>
        <v>4933.8904090000005</v>
      </c>
      <c r="T22" s="163" t="str">
        <f>+'9'!A5</f>
        <v>Customer Name : Euro Store</v>
      </c>
      <c r="U22" s="164">
        <f>+'9'!P35</f>
        <v>21919.586569499999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Bin Daud</v>
      </c>
      <c r="U23" s="164">
        <f>+'10'!P35</f>
        <v>1218.9504487499999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>Customer Name : Khan Store</v>
      </c>
      <c r="U24" s="164">
        <f>+'11'!P35</f>
        <v>0</v>
      </c>
    </row>
    <row r="25" spans="1:21 16384:16384" ht="26.5" thickBot="1" x14ac:dyDescent="0.65">
      <c r="A25" s="226" t="s">
        <v>84</v>
      </c>
      <c r="B25" s="227"/>
      <c r="C25" s="228">
        <f>H25/40</f>
        <v>42.5</v>
      </c>
      <c r="D25" s="222"/>
      <c r="E25" s="222"/>
      <c r="F25" s="222"/>
      <c r="G25" s="176">
        <f t="shared" ref="G25:M25" si="3">SUM(G16:G24)</f>
        <v>0</v>
      </c>
      <c r="H25" s="177">
        <f t="shared" si="3"/>
        <v>1700</v>
      </c>
      <c r="I25" s="178">
        <f t="shared" si="3"/>
        <v>106968.75</v>
      </c>
      <c r="J25" s="177">
        <f t="shared" si="3"/>
        <v>79</v>
      </c>
      <c r="K25" s="178">
        <f t="shared" si="3"/>
        <v>54.922000000000011</v>
      </c>
      <c r="L25" s="179">
        <f t="shared" si="3"/>
        <v>11423.232</v>
      </c>
      <c r="M25" s="141">
        <f t="shared" si="3"/>
        <v>95490.59599999999</v>
      </c>
      <c r="N25" s="142">
        <f>SUM(N16:N24)</f>
        <v>16696.114349999996</v>
      </c>
      <c r="O25" s="143">
        <f>SUM(O16:O24)</f>
        <v>579.03940995000005</v>
      </c>
      <c r="P25" s="144">
        <f>SUM(P16:P24)</f>
        <v>112765.74975994999</v>
      </c>
      <c r="T25" s="163" t="str">
        <f>+'12'!A5</f>
        <v xml:space="preserve">Customer Name : Raza Mart </v>
      </c>
      <c r="U25" s="164">
        <f>+'12'!P35</f>
        <v>6970.2373779000009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>Customer Name : Bilal Store</v>
      </c>
      <c r="U26" s="164">
        <f>+'13'!P35</f>
        <v>448.87260225000006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>Customer Name : Ahmad Store</v>
      </c>
      <c r="U27" s="164">
        <f>+'14'!P35</f>
        <v>448.87260225000006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>Customer Name : Jameel Store</v>
      </c>
      <c r="U28" s="182">
        <f>+'15'!P35</f>
        <v>448.87260225000006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>Customer Name : Tahir Store</v>
      </c>
      <c r="U29" s="182">
        <f>+'16'!P35</f>
        <v>448.87260225000006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>Customer Name : HR Mart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/>
      <c r="U32" s="182"/>
    </row>
    <row r="33" spans="1:21" ht="26.5" thickBot="1" x14ac:dyDescent="0.65">
      <c r="A33" s="145"/>
      <c r="B33" s="145"/>
      <c r="C33" s="145"/>
      <c r="D33" s="145"/>
      <c r="E33" s="145"/>
      <c r="F33" s="145"/>
      <c r="G33" s="146"/>
      <c r="H33" s="146"/>
      <c r="I33" s="147"/>
      <c r="K33" s="148"/>
      <c r="L33" s="148"/>
      <c r="M33" s="148"/>
      <c r="N33" s="148"/>
      <c r="O33" s="149"/>
      <c r="P33" s="148"/>
      <c r="T33" s="166" t="s">
        <v>84</v>
      </c>
      <c r="U33" s="165">
        <f>SUM(U14:U28)</f>
        <v>112940.1049446</v>
      </c>
    </row>
    <row r="34" spans="1:21" ht="15" thickBot="1" x14ac:dyDescent="0.4">
      <c r="A34" s="69"/>
      <c r="B34" s="69"/>
      <c r="C34" s="150"/>
      <c r="D34" s="150"/>
      <c r="E34" s="150"/>
      <c r="F34" s="150"/>
      <c r="G34" s="151"/>
      <c r="H34" s="151"/>
    </row>
    <row r="35" spans="1:21" x14ac:dyDescent="0.35">
      <c r="B35" s="229" t="s">
        <v>85</v>
      </c>
      <c r="C35" s="230"/>
      <c r="D35" s="230"/>
      <c r="E35" s="230"/>
      <c r="F35" s="230"/>
      <c r="G35" s="230"/>
      <c r="H35" s="230"/>
      <c r="I35" s="230"/>
      <c r="J35" s="230"/>
      <c r="K35" s="230"/>
      <c r="L35" s="231"/>
      <c r="N35" s="238" t="s">
        <v>86</v>
      </c>
      <c r="O35" s="239"/>
      <c r="P35" s="152">
        <f>I25</f>
        <v>106968.75</v>
      </c>
    </row>
    <row r="36" spans="1:21" ht="15" customHeight="1" x14ac:dyDescent="0.35">
      <c r="B36" s="232"/>
      <c r="C36" s="233"/>
      <c r="D36" s="233"/>
      <c r="E36" s="233"/>
      <c r="F36" s="233"/>
      <c r="G36" s="233"/>
      <c r="H36" s="233"/>
      <c r="I36" s="233"/>
      <c r="J36" s="233"/>
      <c r="K36" s="233"/>
      <c r="L36" s="234"/>
      <c r="N36" s="240" t="s">
        <v>87</v>
      </c>
      <c r="O36" s="241"/>
      <c r="P36" s="153">
        <f>L25</f>
        <v>11423.232</v>
      </c>
    </row>
    <row r="37" spans="1:21" ht="15" customHeight="1" x14ac:dyDescent="0.35">
      <c r="B37" s="232"/>
      <c r="C37" s="233"/>
      <c r="D37" s="233"/>
      <c r="E37" s="233"/>
      <c r="F37" s="233"/>
      <c r="G37" s="233"/>
      <c r="H37" s="233"/>
      <c r="I37" s="233"/>
      <c r="J37" s="233"/>
      <c r="K37" s="233"/>
      <c r="L37" s="234"/>
      <c r="N37" s="240" t="s">
        <v>4</v>
      </c>
      <c r="O37" s="241"/>
      <c r="P37" s="154">
        <f>K25</f>
        <v>54.922000000000011</v>
      </c>
    </row>
    <row r="38" spans="1:21" ht="15" customHeight="1" x14ac:dyDescent="0.35">
      <c r="B38" s="232"/>
      <c r="C38" s="233"/>
      <c r="D38" s="233"/>
      <c r="E38" s="233"/>
      <c r="F38" s="233"/>
      <c r="G38" s="233"/>
      <c r="H38" s="233"/>
      <c r="I38" s="233"/>
      <c r="J38" s="233"/>
      <c r="K38" s="233"/>
      <c r="L38" s="234"/>
      <c r="M38" s="2"/>
      <c r="N38" s="240" t="s">
        <v>88</v>
      </c>
      <c r="O38" s="241"/>
      <c r="P38" s="153">
        <f>P35-P36-P37</f>
        <v>95490.59599999999</v>
      </c>
    </row>
    <row r="39" spans="1:21" ht="15" customHeight="1" x14ac:dyDescent="0.35">
      <c r="B39" s="232"/>
      <c r="C39" s="233"/>
      <c r="D39" s="233"/>
      <c r="E39" s="233"/>
      <c r="F39" s="233"/>
      <c r="G39" s="233"/>
      <c r="H39" s="233"/>
      <c r="I39" s="233"/>
      <c r="J39" s="233"/>
      <c r="K39" s="233"/>
      <c r="L39" s="234"/>
      <c r="M39" s="2"/>
      <c r="N39" s="155" t="s">
        <v>89</v>
      </c>
      <c r="O39" s="156">
        <f>IF(B12="Registered",18%,22%)</f>
        <v>0.22</v>
      </c>
      <c r="P39" s="153">
        <f>N25</f>
        <v>16696.114349999996</v>
      </c>
    </row>
    <row r="40" spans="1:21" ht="15" customHeight="1" x14ac:dyDescent="0.35">
      <c r="B40" s="232"/>
      <c r="C40" s="233"/>
      <c r="D40" s="233"/>
      <c r="E40" s="233"/>
      <c r="F40" s="233"/>
      <c r="G40" s="233"/>
      <c r="H40" s="233"/>
      <c r="I40" s="233"/>
      <c r="J40" s="233"/>
      <c r="K40" s="233"/>
      <c r="L40" s="234"/>
      <c r="M40" s="2"/>
      <c r="N40" s="242" t="s">
        <v>90</v>
      </c>
      <c r="O40" s="243"/>
      <c r="P40" s="153">
        <f>P38+P39</f>
        <v>112186.71034999998</v>
      </c>
    </row>
    <row r="41" spans="1:21" ht="15" customHeight="1" thickBot="1" x14ac:dyDescent="0.4">
      <c r="B41" s="235"/>
      <c r="C41" s="236"/>
      <c r="D41" s="236"/>
      <c r="E41" s="236"/>
      <c r="F41" s="236"/>
      <c r="G41" s="236"/>
      <c r="H41" s="236"/>
      <c r="I41" s="236"/>
      <c r="J41" s="236"/>
      <c r="K41" s="236"/>
      <c r="L41" s="237"/>
      <c r="M41" s="157"/>
      <c r="N41" s="158" t="s">
        <v>91</v>
      </c>
      <c r="O41" s="159">
        <f>IF(B11="Filer",0.5%,2.5%)</f>
        <v>2.5000000000000001E-2</v>
      </c>
      <c r="P41" s="153">
        <f>O41*P40</f>
        <v>2804.6677587499998</v>
      </c>
    </row>
    <row r="42" spans="1:21" ht="15.75" customHeight="1" thickBot="1" x14ac:dyDescent="0.4">
      <c r="N42" s="220" t="s">
        <v>92</v>
      </c>
      <c r="O42" s="221"/>
      <c r="P42" s="160">
        <f>P40+P41</f>
        <v>114991.37810874998</v>
      </c>
    </row>
    <row r="43" spans="1:21" ht="15" thickBot="1" x14ac:dyDescent="0.4">
      <c r="B43" s="161" t="s">
        <v>93</v>
      </c>
      <c r="C43" s="222"/>
      <c r="D43" s="222"/>
      <c r="E43" s="222"/>
      <c r="F43" s="222"/>
      <c r="G43" s="222"/>
      <c r="H43" s="222"/>
      <c r="I43" s="223"/>
      <c r="J43" s="224"/>
      <c r="K43" s="225"/>
    </row>
    <row r="44" spans="1:21" ht="15.75" customHeight="1" x14ac:dyDescent="0.35"/>
  </sheetData>
  <mergeCells count="47"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3" workbookViewId="0">
      <selection activeCell="K10" sqref="K10:M10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1796875" customWidth="1"/>
    <col min="17" max="17" width="4.54296875" bestFit="1" customWidth="1"/>
    <col min="18" max="18" width="7.179687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108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7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8">
        <v>3520138776599</v>
      </c>
      <c r="J13" s="78"/>
      <c r="K13" s="78"/>
      <c r="L13" s="79">
        <v>0.05</v>
      </c>
      <c r="XFD13" t="s">
        <v>63</v>
      </c>
    </row>
    <row r="14" spans="1:19 16383:16384" ht="20.7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120</v>
      </c>
      <c r="I16" s="102">
        <f>(G16*D16)*F16+H16*F16</f>
        <v>6295.5</v>
      </c>
      <c r="J16" s="103">
        <v>6</v>
      </c>
      <c r="K16" s="104">
        <f>I16*$K$13</f>
        <v>0</v>
      </c>
      <c r="L16" s="105">
        <f t="shared" ref="L16:L21" si="0">I16*12%</f>
        <v>755.45999999999992</v>
      </c>
      <c r="M16" s="106">
        <f>I16-K16-L16</f>
        <v>5540.04</v>
      </c>
      <c r="N16" s="106">
        <f t="shared" ref="N16:N24" si="1">(M16*$N$15)+(J16*F16)*$N$15</f>
        <v>1053.8667</v>
      </c>
      <c r="O16" s="107">
        <f t="shared" ref="O16:O24" si="2">(N16+M16)*$O$15</f>
        <v>32.969533499999997</v>
      </c>
      <c r="P16" s="105">
        <f t="shared" ref="P16:P24" si="3">M16+N16+O16</f>
        <v>6626.8762334999992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120</v>
      </c>
      <c r="I17" s="116">
        <f t="shared" ref="I17:I23" si="4">(G17*D17)*F17+H17*F17</f>
        <v>6295.5</v>
      </c>
      <c r="J17" s="117">
        <v>6</v>
      </c>
      <c r="K17" s="1">
        <f t="shared" ref="K17:K21" si="5">I17*$K$13</f>
        <v>0</v>
      </c>
      <c r="L17" s="105">
        <f t="shared" si="0"/>
        <v>755.45999999999992</v>
      </c>
      <c r="M17" s="118">
        <f t="shared" ref="M17:M23" si="6">I17-K17-L17</f>
        <v>5540.04</v>
      </c>
      <c r="N17" s="118">
        <f t="shared" si="1"/>
        <v>1053.8667</v>
      </c>
      <c r="O17" s="119">
        <f t="shared" si="2"/>
        <v>32.969533499999997</v>
      </c>
      <c r="P17" s="120">
        <f t="shared" si="3"/>
        <v>6626.8762334999992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120</v>
      </c>
      <c r="I18" s="116">
        <f t="shared" si="4"/>
        <v>6295.5</v>
      </c>
      <c r="J18" s="117">
        <v>6</v>
      </c>
      <c r="K18" s="1">
        <f t="shared" si="5"/>
        <v>0</v>
      </c>
      <c r="L18" s="105">
        <f t="shared" si="0"/>
        <v>755.45999999999992</v>
      </c>
      <c r="M18" s="118">
        <f t="shared" si="6"/>
        <v>5540.04</v>
      </c>
      <c r="N18" s="118">
        <f t="shared" si="1"/>
        <v>1053.8667</v>
      </c>
      <c r="O18" s="119">
        <f t="shared" si="2"/>
        <v>32.969533499999997</v>
      </c>
      <c r="P18" s="120">
        <f t="shared" si="3"/>
        <v>6626.8762334999992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120</v>
      </c>
      <c r="I19" s="116">
        <f t="shared" si="4"/>
        <v>8716.7999999999993</v>
      </c>
      <c r="J19" s="117">
        <v>6</v>
      </c>
      <c r="K19" s="1">
        <f t="shared" si="5"/>
        <v>0</v>
      </c>
      <c r="L19" s="105">
        <f t="shared" si="0"/>
        <v>1046.0159999999998</v>
      </c>
      <c r="M19" s="118">
        <f t="shared" si="6"/>
        <v>7670.7839999999997</v>
      </c>
      <c r="N19" s="118">
        <f t="shared" si="1"/>
        <v>1459.1923199999999</v>
      </c>
      <c r="O19" s="119">
        <f t="shared" si="2"/>
        <v>45.649881600000001</v>
      </c>
      <c r="P19" s="120">
        <f t="shared" si="3"/>
        <v>9175.6262016000001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120</v>
      </c>
      <c r="I20" s="116">
        <f t="shared" si="4"/>
        <v>8716.7999999999993</v>
      </c>
      <c r="J20" s="117">
        <v>6</v>
      </c>
      <c r="K20" s="1">
        <f t="shared" si="5"/>
        <v>0</v>
      </c>
      <c r="L20" s="105">
        <f t="shared" si="0"/>
        <v>1046.0159999999998</v>
      </c>
      <c r="M20" s="118">
        <f t="shared" si="6"/>
        <v>7670.7839999999997</v>
      </c>
      <c r="N20" s="118">
        <f t="shared" si="1"/>
        <v>1459.1923199999999</v>
      </c>
      <c r="O20" s="119">
        <f t="shared" si="2"/>
        <v>45.649881600000001</v>
      </c>
      <c r="P20" s="120">
        <f t="shared" si="3"/>
        <v>9175.6262016000001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120</v>
      </c>
      <c r="I21" s="116">
        <f t="shared" si="4"/>
        <v>8716.7999999999993</v>
      </c>
      <c r="J21" s="117">
        <v>6</v>
      </c>
      <c r="K21" s="1">
        <f t="shared" si="5"/>
        <v>0</v>
      </c>
      <c r="L21" s="105">
        <f t="shared" si="0"/>
        <v>1046.0159999999998</v>
      </c>
      <c r="M21" s="118">
        <f t="shared" si="6"/>
        <v>7670.7839999999997</v>
      </c>
      <c r="N21" s="118">
        <f t="shared" si="1"/>
        <v>1459.1923199999999</v>
      </c>
      <c r="O21" s="119">
        <f t="shared" si="2"/>
        <v>45.649881600000001</v>
      </c>
      <c r="P21" s="120">
        <f t="shared" si="3"/>
        <v>9175.6262016000001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4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1"/>
        <v>0</v>
      </c>
      <c r="O22" s="119">
        <f t="shared" si="2"/>
        <v>0</v>
      </c>
      <c r="P22" s="120">
        <f t="shared" si="3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4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1"/>
        <v>0</v>
      </c>
      <c r="O23" s="119">
        <f t="shared" si="2"/>
        <v>0</v>
      </c>
      <c r="P23" s="120">
        <f t="shared" si="3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1"/>
        <v>0</v>
      </c>
      <c r="O24" s="134">
        <f t="shared" si="2"/>
        <v>0</v>
      </c>
      <c r="P24" s="132">
        <f t="shared" si="3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720</v>
      </c>
      <c r="I25" s="137">
        <f t="shared" si="9"/>
        <v>45036.899999999994</v>
      </c>
      <c r="J25" s="183">
        <f>SUM(J16:J21)</f>
        <v>36</v>
      </c>
      <c r="K25" s="139">
        <f t="shared" si="9"/>
        <v>0</v>
      </c>
      <c r="L25" s="140">
        <f t="shared" si="9"/>
        <v>5404.427999999999</v>
      </c>
      <c r="M25" s="141">
        <f t="shared" si="9"/>
        <v>39632.471999999994</v>
      </c>
      <c r="N25" s="142">
        <f>SUM(N16:N24)</f>
        <v>7539.17706</v>
      </c>
      <c r="O25" s="143">
        <f>SUM(O16:O24)</f>
        <v>235.85824530000002</v>
      </c>
      <c r="P25" s="144">
        <f>SUM(P16:P24)</f>
        <v>47407.507305299994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45036.899999999994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5404.427999999999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39632.471999999994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0.18</v>
      </c>
      <c r="P32" s="153">
        <f>N25</f>
        <v>7539.17706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47171.649059999996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235.85824529999999</v>
      </c>
    </row>
    <row r="35" spans="2:16" ht="15.75" customHeight="1" thickBot="1" x14ac:dyDescent="0.4">
      <c r="N35" s="220" t="s">
        <v>92</v>
      </c>
      <c r="O35" s="221"/>
      <c r="P35" s="160">
        <f>P33+P34</f>
        <v>47407.507305299994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8" workbookViewId="0">
      <selection sqref="A1:Q37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179687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2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109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110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7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7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392.30000000000007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19.615000000000006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13.730500000000003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358.95450000000005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437.92449000000005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20" t="s">
        <v>92</v>
      </c>
      <c r="O35" s="221"/>
      <c r="P35" s="160">
        <f>P33+P34</f>
        <v>448.87260225000006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sqref="A1:Q36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179687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4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111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110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9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7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56">
        <v>0</v>
      </c>
      <c r="J13" s="78"/>
      <c r="K13" s="78"/>
      <c r="L13" s="79">
        <v>0.05</v>
      </c>
      <c r="XFD13" t="s">
        <v>63</v>
      </c>
    </row>
    <row r="14" spans="1:19 16383:16384" ht="20.7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392.30000000000007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19.615000000000006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13.730500000000003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358.95450000000005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437.92449000000005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20" t="s">
        <v>92</v>
      </c>
      <c r="O35" s="221"/>
      <c r="P35" s="160">
        <f>P33+P34</f>
        <v>448.87260225000006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F8" sqref="F8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179687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3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112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110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7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7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392.30000000000007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19.615000000000006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13.730500000000003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358.95450000000005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437.92449000000005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20" t="s">
        <v>92</v>
      </c>
      <c r="O35" s="221"/>
      <c r="P35" s="160">
        <f>P33+P34</f>
        <v>448.87260225000006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sqref="A1:Q37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81640625" customWidth="1"/>
    <col min="17" max="17" width="4.54296875" bestFit="1" customWidth="1"/>
    <col min="18" max="18" width="7.179687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5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113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114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9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7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7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392.30000000000007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19.615000000000006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13.730500000000003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358.95450000000005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437.92449000000005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20" t="s">
        <v>92</v>
      </c>
      <c r="O35" s="221"/>
      <c r="P35" s="160">
        <f>P33+P34</f>
        <v>448.87260225000006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workbookViewId="0">
      <selection sqref="A1:Q36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179687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6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114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115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7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8058676</v>
      </c>
      <c r="J13" s="78"/>
      <c r="K13" s="78"/>
      <c r="L13" s="79">
        <v>0.05</v>
      </c>
      <c r="XFD13" t="s">
        <v>63</v>
      </c>
    </row>
    <row r="14" spans="1:19 16383:16384" ht="20.7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>
        <v>2</v>
      </c>
      <c r="K16" s="104">
        <f>I16*$K$13</f>
        <v>0</v>
      </c>
      <c r="L16" s="105">
        <f>I16*8%</f>
        <v>167.88</v>
      </c>
      <c r="M16" s="106">
        <f>I16-K16-L16</f>
        <v>1930.62</v>
      </c>
      <c r="N16" s="106">
        <f t="shared" ref="N16:N24" si="0">(M16*$N$15)+(J16*F16)*$N$15</f>
        <v>366.3981</v>
      </c>
      <c r="O16" s="107">
        <f>(N16+M16)*$O$15</f>
        <v>11.485090499999998</v>
      </c>
      <c r="P16" s="105">
        <f t="shared" ref="P16:P24" si="1">M16+N16+O16</f>
        <v>2308.5031904999996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>
        <v>2</v>
      </c>
      <c r="K17" s="1">
        <f t="shared" ref="K17:K21" si="3">I17*$K$13</f>
        <v>0</v>
      </c>
      <c r="L17" s="105">
        <f t="shared" ref="L17:L21" si="4">I17*8%</f>
        <v>167.88</v>
      </c>
      <c r="M17" s="118">
        <f t="shared" ref="M17:M23" si="5">I17-K17-L17</f>
        <v>1930.62</v>
      </c>
      <c r="N17" s="118">
        <f t="shared" si="0"/>
        <v>366.3981</v>
      </c>
      <c r="O17" s="119">
        <f t="shared" ref="O17:O24" si="6">(N17+M17)*$O$15</f>
        <v>11.485090499999998</v>
      </c>
      <c r="P17" s="120">
        <f t="shared" si="1"/>
        <v>2308.5031904999996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507.31775999999996</v>
      </c>
      <c r="O21" s="119">
        <f t="shared" si="6"/>
        <v>15.9023488</v>
      </c>
      <c r="P21" s="120">
        <f t="shared" si="1"/>
        <v>3196.3721087999998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120</v>
      </c>
      <c r="I25" s="137">
        <f t="shared" si="9"/>
        <v>7102.6</v>
      </c>
      <c r="J25" s="138"/>
      <c r="K25" s="139">
        <f t="shared" si="9"/>
        <v>0</v>
      </c>
      <c r="L25" s="140">
        <f t="shared" si="9"/>
        <v>568.20799999999997</v>
      </c>
      <c r="M25" s="141">
        <f t="shared" si="9"/>
        <v>6534.3919999999998</v>
      </c>
      <c r="N25" s="142">
        <f>SUM(N16:N24)</f>
        <v>1240.1139599999999</v>
      </c>
      <c r="O25" s="143">
        <f>SUM(O16:O24)</f>
        <v>38.872529799999995</v>
      </c>
      <c r="P25" s="144">
        <f>SUM(P16:P24)</f>
        <v>7813.3784897999994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7102.6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568.20799999999997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6534.3920000000007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0.18</v>
      </c>
      <c r="P32" s="153">
        <f>N25</f>
        <v>1240.1139599999999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7774.5059600000004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38.872529800000002</v>
      </c>
    </row>
    <row r="35" spans="2:16" ht="15.75" customHeight="1" thickBot="1" x14ac:dyDescent="0.4">
      <c r="N35" s="220" t="s">
        <v>92</v>
      </c>
      <c r="O35" s="221"/>
      <c r="P35" s="160">
        <f>P33+P34</f>
        <v>7813.3784898000004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J16" sqref="J16:J22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179687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7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116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117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9" t="s">
        <v>118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7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3520115913991</v>
      </c>
      <c r="J13" s="78"/>
      <c r="K13" s="78"/>
      <c r="L13" s="79">
        <v>0.05</v>
      </c>
      <c r="XFD13" t="s">
        <v>63</v>
      </c>
    </row>
    <row r="14" spans="1:19 16383:16384" ht="20.7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9" workbookViewId="0">
      <selection activeCell="L22" sqref="L22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179687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8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119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120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121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7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 t="s">
        <v>121</v>
      </c>
      <c r="J13" s="78"/>
      <c r="K13" s="78"/>
      <c r="L13" s="79">
        <v>0.05</v>
      </c>
      <c r="XFD13" t="s">
        <v>63</v>
      </c>
    </row>
    <row r="14" spans="1:19 16383:16384" ht="20.7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I16*12%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18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80</v>
      </c>
      <c r="I19" s="116">
        <f t="shared" si="2"/>
        <v>5811.2</v>
      </c>
      <c r="J19" s="117">
        <v>4</v>
      </c>
      <c r="K19" s="1">
        <f t="shared" si="3"/>
        <v>0</v>
      </c>
      <c r="L19" s="105">
        <f>I19*12%</f>
        <v>697.34399999999994</v>
      </c>
      <c r="M19" s="118">
        <f t="shared" si="5"/>
        <v>5113.8559999999998</v>
      </c>
      <c r="N19" s="118">
        <f t="shared" si="0"/>
        <v>972.79487999999992</v>
      </c>
      <c r="O19" s="119">
        <f t="shared" si="6"/>
        <v>30.433254399999996</v>
      </c>
      <c r="P19" s="120">
        <f t="shared" si="1"/>
        <v>6117.0841343999991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80</v>
      </c>
      <c r="I20" s="116">
        <f t="shared" si="2"/>
        <v>5811.2</v>
      </c>
      <c r="J20" s="117">
        <v>4</v>
      </c>
      <c r="K20" s="1">
        <f t="shared" si="3"/>
        <v>0</v>
      </c>
      <c r="L20" s="105">
        <f>I20*12%</f>
        <v>697.34399999999994</v>
      </c>
      <c r="M20" s="118">
        <f t="shared" si="5"/>
        <v>5113.8559999999998</v>
      </c>
      <c r="N20" s="118">
        <f t="shared" si="0"/>
        <v>972.79487999999992</v>
      </c>
      <c r="O20" s="119">
        <f t="shared" si="6"/>
        <v>30.433254399999996</v>
      </c>
      <c r="P20" s="120">
        <f t="shared" si="1"/>
        <v>6117.0841343999991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160</v>
      </c>
      <c r="I21" s="116">
        <f t="shared" si="2"/>
        <v>11622.4</v>
      </c>
      <c r="J21" s="117">
        <v>8</v>
      </c>
      <c r="K21" s="1">
        <f t="shared" si="3"/>
        <v>0</v>
      </c>
      <c r="L21" s="105">
        <f>I21*12%</f>
        <v>1394.6879999999999</v>
      </c>
      <c r="M21" s="118">
        <f t="shared" si="5"/>
        <v>10227.712</v>
      </c>
      <c r="N21" s="118">
        <f t="shared" si="0"/>
        <v>1945.5897599999998</v>
      </c>
      <c r="O21" s="119">
        <f t="shared" si="6"/>
        <v>60.866508799999991</v>
      </c>
      <c r="P21" s="120">
        <f t="shared" si="1"/>
        <v>12234.168268799998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320</v>
      </c>
      <c r="I25" s="137">
        <f t="shared" si="9"/>
        <v>23244.799999999999</v>
      </c>
      <c r="J25" s="138"/>
      <c r="K25" s="139">
        <f t="shared" si="9"/>
        <v>0</v>
      </c>
      <c r="L25" s="140">
        <f t="shared" si="9"/>
        <v>2789.3759999999997</v>
      </c>
      <c r="M25" s="141">
        <f t="shared" si="9"/>
        <v>20455.423999999999</v>
      </c>
      <c r="N25" s="142">
        <f>SUM(N16:N24)</f>
        <v>3891.1795199999997</v>
      </c>
      <c r="O25" s="143">
        <f>SUM(O16:O24)</f>
        <v>121.73301759999998</v>
      </c>
      <c r="P25" s="144">
        <f>SUM(P16:P24)</f>
        <v>24468.336537599997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23244.799999999999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2789.3759999999997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20455.423999999999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0.18</v>
      </c>
      <c r="P32" s="153">
        <f>N25</f>
        <v>3891.1795199999997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24346.603519999997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121.73301759999998</v>
      </c>
    </row>
    <row r="35" spans="2:16" ht="15.75" customHeight="1" thickBot="1" x14ac:dyDescent="0.4">
      <c r="N35" s="220" t="s">
        <v>92</v>
      </c>
      <c r="O35" s="221"/>
      <c r="P35" s="160">
        <f>P33+P34</f>
        <v>24468.336537599997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2" workbookViewId="0">
      <selection activeCell="L18" sqref="L18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179687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9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122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123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7" t="s">
        <v>124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7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3277876197882</v>
      </c>
      <c r="J13" s="78"/>
      <c r="K13" s="78"/>
      <c r="L13" s="79">
        <v>0.05</v>
      </c>
      <c r="XFD13" t="s">
        <v>63</v>
      </c>
    </row>
    <row r="14" spans="1:19 16383:16384" ht="20.7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>
        <v>2</v>
      </c>
      <c r="K16" s="104">
        <f>I16*$K$13</f>
        <v>0</v>
      </c>
      <c r="L16" s="105">
        <f t="shared" ref="L16:L21" si="0">I16*12%</f>
        <v>251.82</v>
      </c>
      <c r="M16" s="106">
        <f>I16-K16-L16</f>
        <v>1846.68</v>
      </c>
      <c r="N16" s="106">
        <f t="shared" ref="N16:N24" si="1">(M16*$N$15)+(J16*F16)*$N$15</f>
        <v>351.28890000000001</v>
      </c>
      <c r="O16" s="107">
        <f>(N16+M16)*$O$15</f>
        <v>10.9898445</v>
      </c>
      <c r="P16" s="105">
        <f t="shared" ref="P16:P24" si="2">M16+N16+O16</f>
        <v>2208.9587444999997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3">(G17*D17)*F17+H17*F17</f>
        <v>2098.5</v>
      </c>
      <c r="J17" s="117">
        <v>2</v>
      </c>
      <c r="K17" s="1">
        <f t="shared" ref="K17:K21" si="4">I17*$K$13</f>
        <v>0</v>
      </c>
      <c r="L17" s="105">
        <f t="shared" si="0"/>
        <v>251.82</v>
      </c>
      <c r="M17" s="118">
        <f t="shared" ref="M17:M23" si="5">I17-K17-L17</f>
        <v>1846.68</v>
      </c>
      <c r="N17" s="118">
        <f t="shared" si="1"/>
        <v>351.28890000000001</v>
      </c>
      <c r="O17" s="119">
        <f t="shared" ref="O17:O24" si="6">(N17+M17)*$O$15</f>
        <v>10.9898445</v>
      </c>
      <c r="P17" s="120">
        <f t="shared" si="2"/>
        <v>2208.9587444999997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40</v>
      </c>
      <c r="I18" s="116">
        <f t="shared" si="3"/>
        <v>2098.5</v>
      </c>
      <c r="J18" s="117">
        <v>2</v>
      </c>
      <c r="K18" s="1">
        <f t="shared" si="4"/>
        <v>0</v>
      </c>
      <c r="L18" s="105">
        <f t="shared" si="0"/>
        <v>251.82</v>
      </c>
      <c r="M18" s="118">
        <f t="shared" si="5"/>
        <v>1846.68</v>
      </c>
      <c r="N18" s="118">
        <f t="shared" si="1"/>
        <v>351.28890000000001</v>
      </c>
      <c r="O18" s="119">
        <f t="shared" si="6"/>
        <v>10.9898445</v>
      </c>
      <c r="P18" s="120">
        <f t="shared" si="2"/>
        <v>2208.9587444999997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80</v>
      </c>
      <c r="I19" s="116">
        <f t="shared" si="3"/>
        <v>5811.2</v>
      </c>
      <c r="J19" s="117">
        <v>4</v>
      </c>
      <c r="K19" s="1">
        <f t="shared" si="4"/>
        <v>0</v>
      </c>
      <c r="L19" s="105">
        <f t="shared" si="0"/>
        <v>697.34399999999994</v>
      </c>
      <c r="M19" s="118">
        <f t="shared" si="5"/>
        <v>5113.8559999999998</v>
      </c>
      <c r="N19" s="118">
        <f t="shared" si="1"/>
        <v>972.79487999999992</v>
      </c>
      <c r="O19" s="119">
        <f t="shared" si="6"/>
        <v>30.433254399999996</v>
      </c>
      <c r="P19" s="120">
        <f t="shared" si="2"/>
        <v>6117.0841343999991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3"/>
        <v>2905.6</v>
      </c>
      <c r="J20" s="117">
        <v>2</v>
      </c>
      <c r="K20" s="1">
        <f t="shared" si="4"/>
        <v>0</v>
      </c>
      <c r="L20" s="105">
        <f t="shared" si="0"/>
        <v>348.67199999999997</v>
      </c>
      <c r="M20" s="118">
        <f t="shared" si="5"/>
        <v>2556.9279999999999</v>
      </c>
      <c r="N20" s="118">
        <f t="shared" si="1"/>
        <v>486.39743999999996</v>
      </c>
      <c r="O20" s="119">
        <f t="shared" si="6"/>
        <v>15.216627199999998</v>
      </c>
      <c r="P20" s="120">
        <f t="shared" si="2"/>
        <v>3058.5420671999996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3"/>
        <v>5811.2</v>
      </c>
      <c r="J21" s="117">
        <v>4</v>
      </c>
      <c r="K21" s="1">
        <f t="shared" si="4"/>
        <v>0</v>
      </c>
      <c r="L21" s="105">
        <f t="shared" si="0"/>
        <v>697.34399999999994</v>
      </c>
      <c r="M21" s="118">
        <f t="shared" si="5"/>
        <v>5113.8559999999998</v>
      </c>
      <c r="N21" s="118">
        <f t="shared" si="1"/>
        <v>972.79487999999992</v>
      </c>
      <c r="O21" s="119">
        <f t="shared" si="6"/>
        <v>30.433254399999996</v>
      </c>
      <c r="P21" s="120">
        <f t="shared" si="2"/>
        <v>6117.0841343999991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1"/>
        <v>0</v>
      </c>
      <c r="O22" s="119">
        <f t="shared" si="6"/>
        <v>0</v>
      </c>
      <c r="P22" s="120">
        <f t="shared" si="2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1"/>
        <v>0</v>
      </c>
      <c r="O23" s="119">
        <f t="shared" si="6"/>
        <v>0</v>
      </c>
      <c r="P23" s="120">
        <f t="shared" si="2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1"/>
        <v>0</v>
      </c>
      <c r="O24" s="134">
        <f t="shared" si="6"/>
        <v>0</v>
      </c>
      <c r="P24" s="132">
        <f t="shared" si="2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320</v>
      </c>
      <c r="I25" s="137">
        <f t="shared" si="9"/>
        <v>20823.5</v>
      </c>
      <c r="J25" s="138"/>
      <c r="K25" s="139">
        <f t="shared" si="9"/>
        <v>0</v>
      </c>
      <c r="L25" s="140">
        <f t="shared" si="9"/>
        <v>2498.8200000000002</v>
      </c>
      <c r="M25" s="141">
        <f t="shared" si="9"/>
        <v>18324.68</v>
      </c>
      <c r="N25" s="142">
        <f>SUM(N16:N24)</f>
        <v>3485.8538999999996</v>
      </c>
      <c r="O25" s="143">
        <f>SUM(O16:O24)</f>
        <v>109.05266949999999</v>
      </c>
      <c r="P25" s="144">
        <f>SUM(P16:P24)</f>
        <v>21919.586569499999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20823.5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2498.8200000000002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18324.68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0.18</v>
      </c>
      <c r="P32" s="153">
        <f>N25</f>
        <v>3485.8538999999996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21810.533899999999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109.05266949999999</v>
      </c>
    </row>
    <row r="35" spans="2:16" ht="15.75" customHeight="1" thickBot="1" x14ac:dyDescent="0.4">
      <c r="N35" s="220" t="s">
        <v>92</v>
      </c>
      <c r="O35" s="221"/>
      <c r="P35" s="160">
        <f>P33+P34</f>
        <v>21919.586569499999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sqref="A1:R37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179687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125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123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7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7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223.90995000000001</v>
      </c>
      <c r="O17" s="119">
        <f t="shared" ref="O17:O24" si="6">(N17+M17)*$O$15</f>
        <v>29.730498749999999</v>
      </c>
      <c r="P17" s="120">
        <f t="shared" si="1"/>
        <v>1218.9504487499999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20</v>
      </c>
      <c r="I25" s="137">
        <f t="shared" si="9"/>
        <v>1049.25</v>
      </c>
      <c r="J25" s="138"/>
      <c r="K25" s="139">
        <f t="shared" si="9"/>
        <v>0</v>
      </c>
      <c r="L25" s="140">
        <f t="shared" si="9"/>
        <v>83.94</v>
      </c>
      <c r="M25" s="141">
        <f t="shared" si="9"/>
        <v>965.31</v>
      </c>
      <c r="N25" s="142">
        <f>SUM(N16:N24)</f>
        <v>223.90995000000001</v>
      </c>
      <c r="O25" s="143">
        <f>SUM(O16:O24)</f>
        <v>29.730498749999999</v>
      </c>
      <c r="P25" s="144">
        <f>SUM(P16:P24)</f>
        <v>1218.9504487499999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1049.25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83.94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965.31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223.90995000000001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1189.2199499999999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29.730498749999999</v>
      </c>
    </row>
    <row r="35" spans="2:16" ht="15.75" customHeight="1" thickBot="1" x14ac:dyDescent="0.4">
      <c r="N35" s="220" t="s">
        <v>92</v>
      </c>
      <c r="O35" s="221"/>
      <c r="P35" s="160">
        <f>P33+P34</f>
        <v>1218.9504487499999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H26" sqref="H26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179687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126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127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7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7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2" workbookViewId="0">
      <selection activeCell="L23" sqref="L23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179687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128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127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136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7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3520131391957</v>
      </c>
      <c r="J13" s="78"/>
      <c r="K13" s="78"/>
      <c r="L13" s="79">
        <v>0.05</v>
      </c>
      <c r="XFD13" t="s">
        <v>63</v>
      </c>
    </row>
    <row r="14" spans="1:19 16383:16384" ht="20.7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I16*12%</f>
        <v>125.91</v>
      </c>
      <c r="M16" s="106">
        <f>I16-K16-L16</f>
        <v>923.34</v>
      </c>
      <c r="N16" s="106">
        <f t="shared" ref="N16:N24" si="0">(M16*$N$15)+(J16*F16)*$N$15</f>
        <v>175.64445000000001</v>
      </c>
      <c r="O16" s="107">
        <f>(N16+M16)*$O$15</f>
        <v>5.4949222500000001</v>
      </c>
      <c r="P16" s="105">
        <f t="shared" ref="P16:P24" si="1">M16+N16+O16</f>
        <v>1104.4793722499999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>I17*12%</f>
        <v>125.91</v>
      </c>
      <c r="M17" s="118">
        <f t="shared" ref="M17:M23" si="4">I17-K17-L17</f>
        <v>923.34</v>
      </c>
      <c r="N17" s="118">
        <f t="shared" si="0"/>
        <v>175.64445000000001</v>
      </c>
      <c r="O17" s="119">
        <f t="shared" ref="O17:O24" si="5">(N17+M17)*$O$15</f>
        <v>5.4949222500000001</v>
      </c>
      <c r="P17" s="120">
        <f t="shared" si="1"/>
        <v>1104.4793722499999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ref="L18" si="6">I18*8%</f>
        <v>0</v>
      </c>
      <c r="M18" s="118">
        <f t="shared" si="4"/>
        <v>0</v>
      </c>
      <c r="N18" s="118">
        <f t="shared" si="0"/>
        <v>0</v>
      </c>
      <c r="O18" s="119">
        <f t="shared" si="5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">
        <f t="shared" si="3"/>
        <v>0</v>
      </c>
      <c r="L19" s="105">
        <f>I19*12%</f>
        <v>130.75199999999998</v>
      </c>
      <c r="M19" s="118">
        <f t="shared" si="4"/>
        <v>958.84799999999996</v>
      </c>
      <c r="N19" s="118">
        <f t="shared" si="0"/>
        <v>172.59263999999999</v>
      </c>
      <c r="O19" s="119">
        <f t="shared" si="5"/>
        <v>5.6572032000000005</v>
      </c>
      <c r="P19" s="120">
        <f t="shared" si="1"/>
        <v>1137.0978431999999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2</v>
      </c>
      <c r="K20" s="1">
        <f t="shared" si="3"/>
        <v>0</v>
      </c>
      <c r="L20" s="105">
        <f>I20*12%</f>
        <v>87.167999999999992</v>
      </c>
      <c r="M20" s="118">
        <f t="shared" si="4"/>
        <v>639.23199999999997</v>
      </c>
      <c r="N20" s="118">
        <f t="shared" si="0"/>
        <v>141.21215999999998</v>
      </c>
      <c r="O20" s="119">
        <f t="shared" si="5"/>
        <v>3.9022208000000003</v>
      </c>
      <c r="P20" s="120">
        <f t="shared" si="1"/>
        <v>784.34638080000002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>I21*12%</f>
        <v>130.75199999999998</v>
      </c>
      <c r="M21" s="118">
        <f t="shared" si="4"/>
        <v>958.84799999999996</v>
      </c>
      <c r="N21" s="118">
        <f t="shared" si="0"/>
        <v>172.59263999999999</v>
      </c>
      <c r="O21" s="119">
        <f t="shared" si="5"/>
        <v>5.6572032000000005</v>
      </c>
      <c r="P21" s="120">
        <f t="shared" si="1"/>
        <v>1137.0978431999999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4"/>
        <v>1435.8180000000002</v>
      </c>
      <c r="N22" s="118">
        <f t="shared" si="0"/>
        <v>258.44724000000002</v>
      </c>
      <c r="O22" s="119">
        <f t="shared" si="5"/>
        <v>8.4713262000000018</v>
      </c>
      <c r="P22" s="120">
        <f t="shared" si="1"/>
        <v>1702.7365662000002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4"/>
        <v>0</v>
      </c>
      <c r="N23" s="118">
        <f t="shared" si="0"/>
        <v>0</v>
      </c>
      <c r="O23" s="119">
        <f t="shared" si="5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5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120</v>
      </c>
      <c r="I25" s="137">
        <f t="shared" si="9"/>
        <v>6573.3000000000011</v>
      </c>
      <c r="J25" s="138"/>
      <c r="K25" s="139">
        <f t="shared" si="9"/>
        <v>54.922000000000011</v>
      </c>
      <c r="L25" s="140">
        <f t="shared" si="9"/>
        <v>678.952</v>
      </c>
      <c r="M25" s="141">
        <f t="shared" si="9"/>
        <v>5839.4260000000004</v>
      </c>
      <c r="N25" s="142">
        <f>SUM(N16:N24)</f>
        <v>1096.1335799999999</v>
      </c>
      <c r="O25" s="143">
        <f>SUM(O16:O24)</f>
        <v>34.677797900000009</v>
      </c>
      <c r="P25" s="144">
        <f>SUM(P16:P24)</f>
        <v>6970.2373779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6573.3000000000011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678.952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54.922000000000011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5839.4260000000013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0.18</v>
      </c>
      <c r="P32" s="153">
        <f>N25</f>
        <v>1096.1335799999999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6935.559580000001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34.677797900000009</v>
      </c>
    </row>
    <row r="35" spans="2:16" ht="15.75" customHeight="1" thickBot="1" x14ac:dyDescent="0.4">
      <c r="N35" s="220" t="s">
        <v>92</v>
      </c>
      <c r="O35" s="221"/>
      <c r="P35" s="160">
        <f>P33+P34</f>
        <v>6970.2373779000009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4" workbookViewId="0">
      <selection sqref="A1:Q36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179687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129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130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7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>
        <v>0</v>
      </c>
      <c r="J13" s="78"/>
      <c r="K13" s="78"/>
      <c r="L13" s="79">
        <v>0.05</v>
      </c>
      <c r="XFD13" t="s">
        <v>63</v>
      </c>
    </row>
    <row r="14" spans="1:19 16383:16384" ht="20.7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392.30000000000007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19.615000000000006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13.730500000000003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358.95450000000005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437.92449000000005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20" t="s">
        <v>92</v>
      </c>
      <c r="O35" s="221"/>
      <c r="P35" s="160">
        <f>P33+P34</f>
        <v>448.87260225000006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sqref="A1:Q37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179687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131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130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7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7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392.30000000000007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19.615000000000006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13.730500000000003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358.95450000000005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437.92449000000005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20" t="s">
        <v>92</v>
      </c>
      <c r="O35" s="221"/>
      <c r="P35" s="160">
        <f>P33+P34</f>
        <v>448.87260225000006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workbookViewId="0">
      <selection sqref="A1:Q37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179687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132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130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80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7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7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392.30000000000007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19.615000000000006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13.730500000000003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358.95450000000005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437.92449000000005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20" t="s">
        <v>92</v>
      </c>
      <c r="O35" s="221"/>
      <c r="P35" s="160">
        <f>P33+P34</f>
        <v>448.87260225000006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workbookViewId="0">
      <selection sqref="A1:Q37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179687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133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130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7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7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392.30000000000007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19.615000000000006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13.730500000000003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358.95450000000005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437.92449000000005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20" t="s">
        <v>92</v>
      </c>
      <c r="O35" s="221"/>
      <c r="P35" s="160">
        <f>P33+P34</f>
        <v>448.87260225000006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workbookViewId="0">
      <selection activeCell="J20" sqref="J20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179687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135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134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7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7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I7" sqref="I7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179687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7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7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179687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7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7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K6" sqref="K6:M6"/>
    </sheetView>
  </sheetViews>
  <sheetFormatPr defaultColWidth="29.81640625" defaultRowHeight="14.5" x14ac:dyDescent="0.35"/>
  <cols>
    <col min="1" max="1" width="9.45312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179687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7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7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2026-06-19T08:39:03Z</dcterms:modified>
</cp:coreProperties>
</file>