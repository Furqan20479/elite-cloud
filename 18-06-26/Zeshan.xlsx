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EE48F61-4683-4CB2-B5AD-5409FD91F131}" xr6:coauthVersionLast="47" xr6:coauthVersionMax="47" xr10:uidLastSave="{00000000-0000-0000-0000-000000000000}"/>
  <bookViews>
    <workbookView xWindow="-110" yWindow="-110" windowWidth="19420" windowHeight="10420" tabRatio="949" activeTab="20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U31" i="15"/>
  <c r="U30" i="15"/>
  <c r="U29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L22" i="3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1" l="1"/>
  <c r="M22" i="29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L22" i="26" l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4" l="1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<sst xmlns="http://schemas.openxmlformats.org/spreadsheetml/2006/main" count="1585" uniqueCount="137">
  <si>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</si>
  <si>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</si>
  <si>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</si>
  <si>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</si>
  <si>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</si>
  <si>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</si>
  <si>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</si>
  <si>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</si>
  <si>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</si>
  <si>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</si>
  <si>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</si>
  <si>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</si>
  <si>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</si>
  <si>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</si>
  <si>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</si>
  <si>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</si>
  <si>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</si>
  <si>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</si>
  <si>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</si>
  <si>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</si>
  <si>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</si>
  <si>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</si>
  <si>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</si>
  <si>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</si>
  <si>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</si>
  <si>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</si>
  <si>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</si>
  <si>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</si>
  <si>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</si>
  <si>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</si>
  <si>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</si>
  <si>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</si>
  <si>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</si>
  <si>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</si>
  <si>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</si>
  <si>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</si>
  <si>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</si>
  <si>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</si>
  <si>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</si>
  <si>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</si>
  <si>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</si>
  <si>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</si>
  <si>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</si>
  <si>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</si>
  <si>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</si>
  <si>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</si>
  <si>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</si>
  <si>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</si>
  <si>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</si>
  <si>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</si>
  <si>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</si>
  <si>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</si>
  <si>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</si>
  <si>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</si>
  <si>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</si>
  <si>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</si>
  <si>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</si>
  <si>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</si>
  <si>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</si>
  <si>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</si>
  <si>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</si>
  <si>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</si>
  <si>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</si>
  <si>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</si>
  <si>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</si>
  <si>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</si>
  <si>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</si>
  <si>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</si>
  <si>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</si>
  <si>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</si>
  <si>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</si>
  <si>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</si>
  <si>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</si>
  <si>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</si>
  <si>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</si>
  <si>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</si>
  <si>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</si>
  <si>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</si>
  <si>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</si>
  <si>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</si>
  <si>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</si>
  <si>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</si>
  <si>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</si>
  <si>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</si>
  <si>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</si>
  <si>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</si>
  <si>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</si>
  <si>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</si>
  <si>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</si>
  <si>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</si>
  <si>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</si>
  <si>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</si>
  <si>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</si>
  <si>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</si>
  <si>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</si>
  <si>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</si>
  <si>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</si>
  <si>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</si>
  <si>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</si>
  <si>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</si>
  <si>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</si>
  <si>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</si>
  <si>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</si>
  <si>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</si>
  <si>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Customer Name : Zeshan</t>
  </si>
  <si>
    <t>Zeshan</t>
  </si>
  <si>
    <t>Shop Bill Summary (Zeshan)</t>
  </si>
  <si>
    <t>Customer Name : Bismillah Store</t>
  </si>
  <si>
    <t>Address: H Block DHA</t>
  </si>
  <si>
    <t>0846372-7</t>
  </si>
  <si>
    <t>Customer Name : Nishat Store</t>
  </si>
  <si>
    <t>Address: Nishat Colony</t>
  </si>
  <si>
    <t xml:space="preserve">Customer Name : Delashia Bakers </t>
  </si>
  <si>
    <t>Customer Name : Bhola GS</t>
  </si>
  <si>
    <t>Customer Name : Al Rehman Store</t>
  </si>
  <si>
    <t>Address: Nisaht Colony</t>
  </si>
  <si>
    <t>8058676-4</t>
  </si>
  <si>
    <t>Customer Name : Hikma Store</t>
  </si>
  <si>
    <t>Address: Askari 11</t>
  </si>
  <si>
    <t>2302644-8</t>
  </si>
  <si>
    <t xml:space="preserve">Customer Name : Bin Sohan </t>
  </si>
  <si>
    <t xml:space="preserve">Address: Heir </t>
  </si>
  <si>
    <t>G777939-6</t>
  </si>
  <si>
    <t>Customer Name : Euro Store</t>
  </si>
  <si>
    <t>Address: Airport Road</t>
  </si>
  <si>
    <t>6616156-4</t>
  </si>
  <si>
    <t>Customer Name : Bin Daud</t>
  </si>
  <si>
    <t>Customer Name : Khan Store</t>
  </si>
  <si>
    <t>Address: Gulshan Colony</t>
  </si>
  <si>
    <t xml:space="preserve">Customer Name : Raza Mart </t>
  </si>
  <si>
    <t>Customer Name : Bilal Store</t>
  </si>
  <si>
    <t>Address: KB Colony</t>
  </si>
  <si>
    <t>Customer Name : Ahmad Store</t>
  </si>
  <si>
    <t>Customer Name : Jameel Store</t>
  </si>
  <si>
    <t>Customer Name : Tahir Store</t>
  </si>
  <si>
    <t>Address: Ali Park</t>
  </si>
  <si>
    <t>Customer Name : HR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</si>
</sst>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0" fillId="0" borderId="42" xfId="0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7" zoomScale="70" zoomScaleNormal="70" workbookViewId="0">
      <selection activeCell="T14" sqref="T14:T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105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106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Bismillah Store</v>
      </c>
      <c r="U14" s="164">
        <f>+'1'!P35</f>
        <v>49543.877693699993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Nishat Store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340</v>
      </c>
      <c r="I16" s="1">
        <f>(G16*D16)*F16+H16*F16</f>
        <v>17837.25</v>
      </c>
      <c r="J16" s="172">
        <f>+'1'!J16+'2'!J16+'4'!J16+'3'!J16+'5'!J16+'6'!J16+'7'!J16+'8'!J16+'9'!J16+'10'!J16+'11'!J16+'12'!J16+'13'!J16+'14'!J16+'15'!J16+'16'!J16+'17'!J16+'18'!J16</f>
        <v>17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1007.28</v>
      </c>
      <c r="M16" s="106">
        <f>I16-K16-L16</f>
        <v>16829.97</v>
      </c>
      <c r="N16" s="101">
        <f>+'1'!N16+'2'!N16+'4'!N16+'3'!N16+'5'!N16+'6'!N16+'7'!N16+'8'!N16+'9'!N16+'10'!N16</f>
        <v>2198.3885999999998</v>
      </c>
      <c r="O16" s="101">
        <f>+'1'!O16+'2'!O16+'4'!O16+'3'!O16+'5'!O16+'6'!O16+'7'!O16+'8'!O16+'9'!O16+'10'!O16</f>
        <v>68.91054299999999</v>
      </c>
      <c r="P16" s="105">
        <f t="shared" ref="P16:P24" si="0">M16+N16+O16</f>
        <v>19097.269143000001</v>
      </c>
      <c r="Q16" s="108"/>
      <c r="T16" s="163" t="str">
        <f>+'4'!A5</f>
        <v>Customer Name : Bhola GS</v>
      </c>
      <c r="U16" s="164">
        <f>+'4'!P35</f>
        <v>448.87260225000006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320</v>
      </c>
      <c r="I17" s="1">
        <f t="shared" ref="I17:I23" si="1">(G17*D17)*F17+H17*F17</f>
        <v>16788</v>
      </c>
      <c r="J17" s="172">
        <f>+'1'!J17+'2'!J17+'4'!J17+'3'!J17+'5'!J17+'6'!J17+'7'!J17+'8'!J17+'9'!J17+'10'!J17+'11'!J17+'12'!J17+'13'!J17+'14'!J17+'15'!J17+'16'!J17+'17'!J17+'18'!J17</f>
        <v>16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1091.22</v>
      </c>
      <c r="M17" s="118">
        <f t="shared" ref="M17:M23" si="2">I17-K17-L17</f>
        <v>15696.78</v>
      </c>
      <c r="N17" s="101">
        <f>+'1'!N17+'2'!N17+'4'!N17+'3'!N17+'5'!N17+'6'!N17+'7'!N17+'8'!N17+'9'!N17+'10'!N17</f>
        <v>2422.29855</v>
      </c>
      <c r="O17" s="101">
        <f>+'1'!O17+'2'!O17+'4'!O17+'3'!O17+'5'!O17+'6'!O17+'7'!O17+'8'!O17+'9'!O17+'10'!O17</f>
        <v>98.641041749999985</v>
      </c>
      <c r="P17" s="120">
        <f t="shared" si="0"/>
        <v>18217.719591750003</v>
      </c>
      <c r="S17" s="64"/>
      <c r="T17" s="163" t="str">
        <f>+'3'!A5</f>
        <v xml:space="preserve">Customer Name : Delashia Bakers </v>
      </c>
      <c r="U17" s="164">
        <f>+'3'!P35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160</v>
      </c>
      <c r="I18" s="1">
        <f t="shared" si="1"/>
        <v>8394</v>
      </c>
      <c r="J18" s="172">
        <f>+'1'!J18+'2'!J18+'4'!J18+'3'!J18+'5'!J18+'6'!J18+'7'!J18+'8'!J18+'9'!J18+'10'!J18+'11'!J18+'12'!J18+'13'!J18+'14'!J18+'15'!J18+'16'!J18+'17'!J18+'18'!J18</f>
        <v>8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671.52</v>
      </c>
      <c r="M18" s="118">
        <f t="shared" si="2"/>
        <v>7722.48</v>
      </c>
      <c r="N18" s="101">
        <f>+'1'!N18+'2'!N18+'4'!N18+'3'!N18+'5'!N18+'6'!N18+'7'!N18+'8'!N18+'9'!N18+'10'!N18</f>
        <v>1465.5924</v>
      </c>
      <c r="O18" s="101">
        <f>+'1'!O18+'2'!O18+'4'!O18+'3'!O18+'5'!O18+'6'!O18+'7'!O18+'8'!O18+'9'!O18+'10'!O18</f>
        <v>45.940362</v>
      </c>
      <c r="P18" s="120">
        <f t="shared" si="0"/>
        <v>9234.0127619999985</v>
      </c>
      <c r="T18" s="163" t="str">
        <f>+'5'!A5</f>
        <v>Customer Name : Al Rehman Store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335</v>
      </c>
      <c r="I19" s="1">
        <f t="shared" si="1"/>
        <v>24334.400000000001</v>
      </c>
      <c r="J19" s="172">
        <f>+'1'!J19+'2'!J19+'4'!J19+'3'!J19+'5'!J19+'6'!J19+'7'!J19+'8'!J19+'9'!J19+'10'!J19+'11'!J19+'12'!J19+'13'!J19+'14'!J19+'15'!J19+'16'!J19+'17'!J19+'18'!J19</f>
        <v>16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1859.5839999999998</v>
      </c>
      <c r="M19" s="118">
        <f t="shared" si="2"/>
        <v>22474.816000000003</v>
      </c>
      <c r="N19" s="101">
        <f>+'1'!N19+'2'!N19+'4'!N19+'3'!N19+'5'!N19+'6'!N19+'7'!N19+'8'!N19+'9'!N19+'10'!N19</f>
        <v>4058.5420799999993</v>
      </c>
      <c r="O19" s="101">
        <f>+'1'!O19+'2'!O19+'4'!O19+'3'!O19+'5'!O19+'6'!O19+'7'!O19+'8'!O19+'9'!O19+'10'!O19</f>
        <v>127.2187904</v>
      </c>
      <c r="P19" s="120">
        <f t="shared" si="0"/>
        <v>26660.5768704</v>
      </c>
      <c r="T19" s="163" t="str">
        <f>+'6'!A5</f>
        <v>Customer Name : Bismillah Store</v>
      </c>
      <c r="U19" s="164">
        <f>+'6'!P35</f>
        <v>7813.3784898000004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290</v>
      </c>
      <c r="I20" s="1">
        <f t="shared" si="1"/>
        <v>21065.599999999999</v>
      </c>
      <c r="J20" s="172">
        <f>+'1'!J20+'2'!J20+'4'!J20+'3'!J20+'5'!J20+'6'!J20+'7'!J20+'8'!J20+'9'!J20+'10'!J20+'11'!J20+'12'!J20+'13'!J20+'14'!J20+'15'!J20+'16'!J20+'17'!J20+'18'!J20</f>
        <v>16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1627.136</v>
      </c>
      <c r="M20" s="118">
        <f t="shared" si="2"/>
        <v>19438.464</v>
      </c>
      <c r="N20" s="101">
        <f>+'1'!N20+'2'!N20+'4'!N20+'3'!N20+'5'!N20+'6'!N20+'7'!N20+'8'!N20+'9'!N20+'10'!N20</f>
        <v>3551.2243199999994</v>
      </c>
      <c r="O20" s="101">
        <f>+'1'!O20+'2'!O20+'4'!O20+'3'!O20+'5'!O20+'6'!O20+'7'!O20+'8'!O20+'9'!O20+'10'!O20</f>
        <v>111.3164416</v>
      </c>
      <c r="P20" s="120">
        <f t="shared" si="0"/>
        <v>23101.004761600001</v>
      </c>
      <c r="T20" s="163" t="str">
        <f>+'7'!A5</f>
        <v>Customer Name : Hikma Store</v>
      </c>
      <c r="U20" s="164">
        <f>+'7'!P35</f>
        <v>20807.967948599999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495</v>
      </c>
      <c r="I21" s="1">
        <f t="shared" si="1"/>
        <v>35956.800000000003</v>
      </c>
      <c r="J21" s="172">
        <f>+'1'!J21+'2'!J21+'4'!J21+'3'!J21+'5'!J21+'6'!J21+'7'!J21+'8'!J21+'9'!J21+'10'!J21+'11'!J21+'12'!J21+'13'!J21+'14'!J21+'15'!J21+'16'!J21+'17'!J21+'18'!J21</f>
        <v>24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2789.3760000000002</v>
      </c>
      <c r="M21" s="118">
        <f t="shared" si="2"/>
        <v>33167.423999999999</v>
      </c>
      <c r="N21" s="101">
        <f>+'1'!N21+'2'!N21+'4'!N21+'3'!N21+'5'!N21+'6'!N21+'7'!N21+'8'!N21+'9'!N21+'10'!N21</f>
        <v>6087.8131199999989</v>
      </c>
      <c r="O21" s="101">
        <f>+'1'!O21+'2'!O21+'4'!O21+'3'!O21+'5'!O21+'6'!O21+'7'!O21+'8'!O21+'9'!O21+'10'!O21</f>
        <v>190.82818560000001</v>
      </c>
      <c r="P21" s="120">
        <f t="shared" si="0"/>
        <v>39446.065305600001</v>
      </c>
      <c r="T21" s="163" t="str">
        <f>+'8'!A5</f>
        <v xml:space="preserve">Customer Name : Bin Sohan </v>
      </c>
      <c r="U21" s="164">
        <f>+'8'!P35</f>
        <v>25570.976870399998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210</v>
      </c>
      <c r="I22" s="1">
        <f t="shared" si="1"/>
        <v>8238.3000000000011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164.76600000000002</v>
      </c>
      <c r="L22" s="175">
        <f>+'1'!L22+'2'!L22+'4'!L22+'3'!L22+'5'!L22+'6'!L22+'7'!L22+'8'!L22+'9'!L22+'10'!L22</f>
        <v>235.38000000000005</v>
      </c>
      <c r="M22" s="118">
        <f t="shared" si="2"/>
        <v>7838.1540000000014</v>
      </c>
      <c r="N22" s="101">
        <f>+'1'!N22+'2'!N22+'4'!N22+'3'!N22+'5'!N22+'6'!N22+'7'!N22+'8'!N22+'9'!N22+'10'!N22</f>
        <v>832.77444000000014</v>
      </c>
      <c r="O22" s="101">
        <f>+'1'!O22+'2'!O22+'4'!O22+'3'!O22+'5'!O22+'6'!O22+'7'!O22+'8'!O22+'9'!O22+'10'!O22</f>
        <v>60.735101400000005</v>
      </c>
      <c r="P22" s="120">
        <f t="shared" si="0"/>
        <v>8731.6635414000011</v>
      </c>
      <c r="T22" s="163" t="str">
        <f>+'9'!A5</f>
        <v>Customer Name : Euro Store</v>
      </c>
      <c r="U22" s="164">
        <f>+'9'!P35</f>
        <v>22907.370115499998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Bin Daud</v>
      </c>
      <c r="U23" s="164">
        <f>+'10'!P35</f>
        <v>1218.9504487499999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Khan Store</v>
      </c>
      <c r="U24" s="164">
        <f>+'11'!P35</f>
        <v>448.87260225000006</v>
      </c>
    </row>
    <row r="25" spans="1:21 16384:16384" ht="26.5" thickBot="1" x14ac:dyDescent="0.65">
      <c r="A25" s="225" t="s">
        <v>84</v>
      </c>
      <c r="B25" s="226"/>
      <c r="C25" s="227">
        <f>H25/40</f>
        <v>53.75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2150</v>
      </c>
      <c r="I25" s="178">
        <f t="shared" si="3"/>
        <v>132614.35</v>
      </c>
      <c r="J25" s="177">
        <f t="shared" si="3"/>
        <v>97</v>
      </c>
      <c r="K25" s="178">
        <f t="shared" si="3"/>
        <v>164.76600000000002</v>
      </c>
      <c r="L25" s="179">
        <f t="shared" si="3"/>
        <v>9281.4959999999992</v>
      </c>
      <c r="M25" s="141">
        <f t="shared" si="3"/>
        <v>123168.088</v>
      </c>
      <c r="N25" s="142">
        <f>SUM(N16:N24)</f>
        <v>20616.63351</v>
      </c>
      <c r="O25" s="143">
        <f>SUM(O16:O24)</f>
        <v>703.59046574999991</v>
      </c>
      <c r="P25" s="144">
        <f>SUM(P16:P24)</f>
        <v>144488.31197575</v>
      </c>
      <c r="T25" s="163" t="str">
        <f>+'12'!A5</f>
        <v xml:space="preserve">Customer Name : Raza Mart </v>
      </c>
      <c r="U25" s="164">
        <f>+'12'!P35</f>
        <v>7608.9285225000012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Bilal Store</v>
      </c>
      <c r="U26" s="164">
        <f>+'13'!P35</f>
        <v>448.87260225000006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Ahmad Store</v>
      </c>
      <c r="U27" s="164">
        <f>+'14'!P35</f>
        <v>448.87260225000006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Jameel Store</v>
      </c>
      <c r="U28" s="182">
        <f>+'15'!P35</f>
        <v>448.87260225000006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Tahir Store</v>
      </c>
      <c r="U29" s="182">
        <f>+'16'!P35</f>
        <v>448.87260225000006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HR Mart</v>
      </c>
      <c r="U30" s="182">
        <f>+'17'!P35</f>
        <v>7313.7026925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139062.43090724995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28" t="s">
        <v>85</v>
      </c>
      <c r="C35" s="229"/>
      <c r="D35" s="229"/>
      <c r="E35" s="229"/>
      <c r="F35" s="229"/>
      <c r="G35" s="229"/>
      <c r="H35" s="229"/>
      <c r="I35" s="229"/>
      <c r="J35" s="229"/>
      <c r="K35" s="229"/>
      <c r="L35" s="230"/>
      <c r="N35" s="237" t="s">
        <v>86</v>
      </c>
      <c r="O35" s="238"/>
      <c r="P35" s="152">
        <f>I25</f>
        <v>132614.35</v>
      </c>
    </row>
    <row r="36" spans="1:21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N36" s="239" t="s">
        <v>87</v>
      </c>
      <c r="O36" s="240"/>
      <c r="P36" s="153">
        <f>L25</f>
        <v>9281.4959999999992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4</v>
      </c>
      <c r="O37" s="240"/>
      <c r="P37" s="154">
        <f>K25</f>
        <v>164.76600000000002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M38" s="2"/>
      <c r="N38" s="239" t="s">
        <v>88</v>
      </c>
      <c r="O38" s="240"/>
      <c r="P38" s="153">
        <f>P35-P36-P37</f>
        <v>123168.088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155" t="s">
        <v>89</v>
      </c>
      <c r="O39" s="156">
        <f>IF(B12="Registered",18%,22%)</f>
        <v>0.22</v>
      </c>
      <c r="P39" s="153">
        <f>N25</f>
        <v>20616.63351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241" t="s">
        <v>90</v>
      </c>
      <c r="O40" s="242"/>
      <c r="P40" s="153">
        <f>P38+P39</f>
        <v>143784.72151</v>
      </c>
    </row>
    <row r="41" spans="1:21" ht="15" customHeight="1" thickBot="1" x14ac:dyDescent="0.4">
      <c r="B41" s="234"/>
      <c r="C41" s="235"/>
      <c r="D41" s="235"/>
      <c r="E41" s="235"/>
      <c r="F41" s="235"/>
      <c r="G41" s="235"/>
      <c r="H41" s="235"/>
      <c r="I41" s="235"/>
      <c r="J41" s="235"/>
      <c r="K41" s="235"/>
      <c r="L41" s="236"/>
      <c r="M41" s="157"/>
      <c r="N41" s="158" t="s">
        <v>91</v>
      </c>
      <c r="O41" s="159">
        <f>IF(B11="Filer",0.5%,2.5%)</f>
        <v>2.5000000000000001E-2</v>
      </c>
      <c r="P41" s="153">
        <f>O41*P40</f>
        <v>3594.6180377500004</v>
      </c>
    </row>
    <row r="42" spans="1:21" ht="15.75" customHeight="1" thickBot="1" x14ac:dyDescent="0.4">
      <c r="N42" s="219" t="s">
        <v>92</v>
      </c>
      <c r="O42" s="220"/>
      <c r="P42" s="160">
        <f>P40+P41</f>
        <v>147379.33954775002</v>
      </c>
    </row>
    <row r="43" spans="1:21" ht="15" thickBot="1" x14ac:dyDescent="0.4">
      <c r="B43" s="161" t="s">
        <v>93</v>
      </c>
      <c r="C43" s="221"/>
      <c r="D43" s="221"/>
      <c r="E43" s="221"/>
      <c r="F43" s="221"/>
      <c r="G43" s="221"/>
      <c r="H43" s="221"/>
      <c r="I43" s="222"/>
      <c r="J43" s="223"/>
      <c r="K43" s="224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3520138776599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>I16*8%</f>
        <v>503.64</v>
      </c>
      <c r="M16" s="106">
        <f>I16-K16-L16</f>
        <v>5791.86</v>
      </c>
      <c r="N16" s="106">
        <f t="shared" ref="N16:N24" si="0">(M16*$N$15)+(J16*F16)*$N$15</f>
        <v>1099.1942999999999</v>
      </c>
      <c r="O16" s="107">
        <f t="shared" ref="O16:O24" si="1">(N16+M16)*$O$15</f>
        <v>34.455271500000002</v>
      </c>
      <c r="P16" s="105">
        <f t="shared" ref="P16:P24" si="2">M16+N16+O16</f>
        <v>6925.5095714999998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3">(G17*D17)*F17+H17*F17</f>
        <v>6295.5</v>
      </c>
      <c r="J17" s="117">
        <v>6</v>
      </c>
      <c r="K17" s="1">
        <f t="shared" ref="K17:K21" si="4">I17*$K$13</f>
        <v>0</v>
      </c>
      <c r="L17" s="105">
        <f t="shared" ref="L17:L21" si="5">I17*8%</f>
        <v>503.64</v>
      </c>
      <c r="M17" s="118">
        <f t="shared" ref="M17:M23" si="6">I17-K17-L17</f>
        <v>5791.86</v>
      </c>
      <c r="N17" s="118">
        <f t="shared" si="0"/>
        <v>1099.1942999999999</v>
      </c>
      <c r="O17" s="119">
        <f t="shared" si="1"/>
        <v>34.455271500000002</v>
      </c>
      <c r="P17" s="120">
        <f t="shared" si="2"/>
        <v>6925.5095714999998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3"/>
        <v>6295.5</v>
      </c>
      <c r="J18" s="117">
        <v>6</v>
      </c>
      <c r="K18" s="1">
        <f t="shared" si="4"/>
        <v>0</v>
      </c>
      <c r="L18" s="105">
        <f t="shared" si="5"/>
        <v>503.64</v>
      </c>
      <c r="M18" s="118">
        <f t="shared" si="6"/>
        <v>5791.86</v>
      </c>
      <c r="N18" s="118">
        <f t="shared" si="0"/>
        <v>1099.1942999999999</v>
      </c>
      <c r="O18" s="119">
        <f t="shared" si="1"/>
        <v>34.455271500000002</v>
      </c>
      <c r="P18" s="120">
        <f t="shared" si="2"/>
        <v>6925.5095714999998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3"/>
        <v>8716.7999999999993</v>
      </c>
      <c r="J19" s="117">
        <v>6</v>
      </c>
      <c r="K19" s="1">
        <f t="shared" si="4"/>
        <v>0</v>
      </c>
      <c r="L19" s="105">
        <f t="shared" si="5"/>
        <v>697.34399999999994</v>
      </c>
      <c r="M19" s="118">
        <f t="shared" si="6"/>
        <v>8019.4559999999992</v>
      </c>
      <c r="N19" s="118">
        <f t="shared" si="0"/>
        <v>1521.9532799999997</v>
      </c>
      <c r="O19" s="119">
        <f t="shared" si="1"/>
        <v>47.707046400000003</v>
      </c>
      <c r="P19" s="120">
        <f t="shared" si="2"/>
        <v>9589.1163264000006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3"/>
        <v>8716.7999999999993</v>
      </c>
      <c r="J20" s="117">
        <v>6</v>
      </c>
      <c r="K20" s="1">
        <f t="shared" si="4"/>
        <v>0</v>
      </c>
      <c r="L20" s="105">
        <f t="shared" si="5"/>
        <v>697.34399999999994</v>
      </c>
      <c r="M20" s="118">
        <f t="shared" si="6"/>
        <v>8019.4559999999992</v>
      </c>
      <c r="N20" s="118">
        <f t="shared" si="0"/>
        <v>1521.9532799999997</v>
      </c>
      <c r="O20" s="119">
        <f t="shared" si="1"/>
        <v>47.707046400000003</v>
      </c>
      <c r="P20" s="120">
        <f t="shared" si="2"/>
        <v>9589.1163264000006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120</v>
      </c>
      <c r="I21" s="116">
        <f t="shared" si="3"/>
        <v>8716.7999999999993</v>
      </c>
      <c r="J21" s="117">
        <v>6</v>
      </c>
      <c r="K21" s="1">
        <f t="shared" si="4"/>
        <v>0</v>
      </c>
      <c r="L21" s="105">
        <f t="shared" si="5"/>
        <v>697.34399999999994</v>
      </c>
      <c r="M21" s="118">
        <f t="shared" si="6"/>
        <v>8019.4559999999992</v>
      </c>
      <c r="N21" s="118">
        <f t="shared" si="0"/>
        <v>1521.9532799999997</v>
      </c>
      <c r="O21" s="119">
        <f t="shared" si="1"/>
        <v>47.707046400000003</v>
      </c>
      <c r="P21" s="120">
        <f t="shared" si="2"/>
        <v>9589.1163264000006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720</v>
      </c>
      <c r="I25" s="137">
        <f t="shared" si="9"/>
        <v>45036.899999999994</v>
      </c>
      <c r="J25" s="253">
        <f>SUM(J16:J21)</f>
        <v>36</v>
      </c>
      <c r="K25" s="139">
        <f t="shared" si="9"/>
        <v>0</v>
      </c>
      <c r="L25" s="140">
        <f t="shared" si="9"/>
        <v>3602.9520000000002</v>
      </c>
      <c r="M25" s="141">
        <f t="shared" si="9"/>
        <v>41433.947999999997</v>
      </c>
      <c r="N25" s="142">
        <f>SUM(N16:N24)</f>
        <v>7863.4427399999986</v>
      </c>
      <c r="O25" s="143">
        <f>SUM(O16:O24)</f>
        <v>246.48695369999999</v>
      </c>
      <c r="P25" s="144">
        <f>SUM(P16:P24)</f>
        <v>49543.8776937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45036.899999999994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3602.9520000000002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41433.947999999997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7863.4427399999986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49297.390739999995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246.48695369999999</v>
      </c>
    </row>
    <row r="35" spans="2:16" ht="15.75" customHeight="1" thickBot="1" x14ac:dyDescent="0.4">
      <c r="N35" s="219" t="s">
        <v>92</v>
      </c>
      <c r="O35" s="220"/>
      <c r="P35" s="160">
        <f>P33+P34</f>
        <v>49543.877693699993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8058676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7102.6</v>
      </c>
      <c r="J25" s="138"/>
      <c r="K25" s="139">
        <f t="shared" si="9"/>
        <v>0</v>
      </c>
      <c r="L25" s="140">
        <f t="shared" si="9"/>
        <v>568.20799999999997</v>
      </c>
      <c r="M25" s="141">
        <f t="shared" si="9"/>
        <v>6534.3919999999998</v>
      </c>
      <c r="N25" s="142">
        <f>SUM(N16:N24)</f>
        <v>1240.1139599999999</v>
      </c>
      <c r="O25" s="143">
        <f>SUM(O16:O24)</f>
        <v>38.872529799999995</v>
      </c>
      <c r="P25" s="144">
        <f>SUM(P16:P24)</f>
        <v>7813.3784897999994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7102.6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568.20799999999997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6534.3920000000007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1240.1139599999999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7774.5059600000004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38.872529800000002</v>
      </c>
    </row>
    <row r="35" spans="2:16" ht="15.75" customHeight="1" thickBot="1" x14ac:dyDescent="0.4">
      <c r="N35" s="219" t="s">
        <v>92</v>
      </c>
      <c r="O35" s="220"/>
      <c r="P35" s="160">
        <f>P33+P34</f>
        <v>7813.3784898000004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3520115913991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320</v>
      </c>
      <c r="I25" s="137">
        <f t="shared" si="9"/>
        <v>18957.800000000003</v>
      </c>
      <c r="J25" s="138"/>
      <c r="K25" s="139">
        <f t="shared" si="9"/>
        <v>109.84400000000002</v>
      </c>
      <c r="L25" s="140">
        <f t="shared" si="9"/>
        <v>1422.472</v>
      </c>
      <c r="M25" s="141">
        <f t="shared" si="9"/>
        <v>17425.484</v>
      </c>
      <c r="N25" s="142">
        <f>SUM(N16:N24)</f>
        <v>3278.9617199999998</v>
      </c>
      <c r="O25" s="143">
        <f>SUM(O16:O24)</f>
        <v>103.52222859999999</v>
      </c>
      <c r="P25" s="144">
        <f>SUM(P16:P24)</f>
        <v>20807.967948600002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18957.800000000003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1422.472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17425.484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3278.9617199999998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20704.44572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103.52222860000001</v>
      </c>
    </row>
    <row r="35" spans="2:16" ht="15.75" customHeight="1" thickBot="1" x14ac:dyDescent="0.4">
      <c r="N35" s="219" t="s">
        <v>92</v>
      </c>
      <c r="O35" s="220"/>
      <c r="P35" s="160">
        <f>P33+P34</f>
        <v>20807.967948599999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121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122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1014.6355199999999</v>
      </c>
      <c r="O19" s="119">
        <f t="shared" si="6"/>
        <v>31.804697600000001</v>
      </c>
      <c r="P19" s="120">
        <f t="shared" si="1"/>
        <v>6392.7442175999995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1014.6355199999999</v>
      </c>
      <c r="O20" s="119">
        <f t="shared" si="6"/>
        <v>31.804697600000001</v>
      </c>
      <c r="P20" s="120">
        <f t="shared" si="1"/>
        <v>6392.7442175999995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>
        <v>8</v>
      </c>
      <c r="K21" s="1">
        <f t="shared" si="3"/>
        <v>0</v>
      </c>
      <c r="L21" s="105">
        <f t="shared" si="4"/>
        <v>929.79200000000003</v>
      </c>
      <c r="M21" s="118">
        <f t="shared" si="5"/>
        <v>10692.608</v>
      </c>
      <c r="N21" s="118">
        <f t="shared" si="0"/>
        <v>2029.2710399999999</v>
      </c>
      <c r="O21" s="119">
        <f t="shared" si="6"/>
        <v>63.609395200000002</v>
      </c>
      <c r="P21" s="120">
        <f t="shared" si="1"/>
        <v>12785.488435199999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320</v>
      </c>
      <c r="I25" s="137">
        <f t="shared" si="9"/>
        <v>23244.799999999999</v>
      </c>
      <c r="J25" s="138"/>
      <c r="K25" s="139">
        <f t="shared" si="9"/>
        <v>0</v>
      </c>
      <c r="L25" s="140">
        <f t="shared" si="9"/>
        <v>1859.5840000000001</v>
      </c>
      <c r="M25" s="141">
        <f t="shared" si="9"/>
        <v>21385.216</v>
      </c>
      <c r="N25" s="142">
        <f>SUM(N16:N24)</f>
        <v>4058.5420799999997</v>
      </c>
      <c r="O25" s="143">
        <f>SUM(O16:O24)</f>
        <v>127.2187904</v>
      </c>
      <c r="P25" s="144">
        <f>SUM(P16:P24)</f>
        <v>25570.976870399998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23244.799999999999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1859.5840000000001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21385.216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4058.5420799999997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25443.75808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127.2187904</v>
      </c>
    </row>
    <row r="35" spans="2:16" ht="15.75" customHeight="1" thickBot="1" x14ac:dyDescent="0.4">
      <c r="N35" s="219" t="s">
        <v>92</v>
      </c>
      <c r="O35" s="220"/>
      <c r="P35" s="160">
        <f>P33+P34</f>
        <v>25570.976870399998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124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 t="s">
        <v>125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3277876197882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366.3981</v>
      </c>
      <c r="O18" s="119">
        <f t="shared" si="6"/>
        <v>11.485090499999998</v>
      </c>
      <c r="P18" s="120">
        <f t="shared" si="1"/>
        <v>2308.5031904999996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1014.6355199999999</v>
      </c>
      <c r="O19" s="119">
        <f t="shared" si="6"/>
        <v>31.804697600000001</v>
      </c>
      <c r="P19" s="120">
        <f t="shared" si="1"/>
        <v>6392.7442175999995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320</v>
      </c>
      <c r="I25" s="137">
        <f t="shared" si="9"/>
        <v>20823.5</v>
      </c>
      <c r="J25" s="138"/>
      <c r="K25" s="139">
        <f t="shared" si="9"/>
        <v>0</v>
      </c>
      <c r="L25" s="140">
        <f t="shared" si="9"/>
        <v>1665.88</v>
      </c>
      <c r="M25" s="141">
        <f t="shared" si="9"/>
        <v>19157.620000000003</v>
      </c>
      <c r="N25" s="142">
        <f>SUM(N16:N24)</f>
        <v>3635.7830999999996</v>
      </c>
      <c r="O25" s="143">
        <f>SUM(O16:O24)</f>
        <v>113.96701549999999</v>
      </c>
      <c r="P25" s="144">
        <f>SUM(P16:P24)</f>
        <v>22907.370115499998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20823.5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1665.88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19157.62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3635.7830999999996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22793.4031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113.9670155</v>
      </c>
    </row>
    <row r="35" spans="2:16" ht="15.75" customHeight="1" thickBot="1" x14ac:dyDescent="0.4">
      <c r="N35" s="219" t="s">
        <v>92</v>
      </c>
      <c r="O35" s="220"/>
      <c r="P35" s="160">
        <f>P33+P34</f>
        <v>22907.370115499998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sqref="A1:R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124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223.90995000000001</v>
      </c>
      <c r="O25" s="143">
        <f>SUM(O16:O24)</f>
        <v>29.730498749999999</v>
      </c>
      <c r="P25" s="144">
        <f>SUM(P16:P24)</f>
        <v>1218.9504487499999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1049.25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83.94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965.31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223.90995000000001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1189.2199499999999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29.730498749999999</v>
      </c>
    </row>
    <row r="35" spans="2:16" ht="15.75" customHeight="1" thickBot="1" x14ac:dyDescent="0.4">
      <c r="N35" s="219" t="s">
        <v>92</v>
      </c>
      <c r="O35" s="220"/>
      <c r="P35" s="160">
        <f>P33+P34</f>
        <v>1218.9504487499999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128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128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54.922000000000011</v>
      </c>
      <c r="L25" s="140">
        <f t="shared" si="9"/>
        <v>478.78800000000007</v>
      </c>
      <c r="M25" s="141">
        <f t="shared" si="9"/>
        <v>6039.59</v>
      </c>
      <c r="N25" s="142">
        <f>SUM(N16:N24)</f>
        <v>1383.7548999999999</v>
      </c>
      <c r="O25" s="143">
        <f>SUM(O16:O24)</f>
        <v>185.58362250000002</v>
      </c>
      <c r="P25" s="144">
        <f>SUM(P16:P24)</f>
        <v>7608.9285225000003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6573.3000000000011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478.78800000000007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6039.5900000000011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1383.7548999999999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7423.344900000001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185.58362250000005</v>
      </c>
    </row>
    <row r="35" spans="2:16" ht="15.75" customHeight="1" thickBot="1" x14ac:dyDescent="0.4">
      <c r="N35" s="219" t="s">
        <v>92</v>
      </c>
      <c r="O35" s="220"/>
      <c r="P35" s="160">
        <f>P33+P34</f>
        <v>7608.9285225000012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131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131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131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131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136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135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895.63980000000004</v>
      </c>
      <c r="O16" s="107">
        <f>(N16+M16)*$O$15</f>
        <v>118.921995</v>
      </c>
      <c r="P16" s="105">
        <f t="shared" ref="P16:P24" si="1">M16+N16+O16</f>
        <v>4875.8017949999994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59.460997499999998</v>
      </c>
      <c r="P17" s="120">
        <f t="shared" si="1"/>
        <v>2437.9008974999997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120</v>
      </c>
      <c r="I25" s="137">
        <f t="shared" si="9"/>
        <v>6295.5</v>
      </c>
      <c r="J25" s="138"/>
      <c r="K25" s="139">
        <f t="shared" si="9"/>
        <v>0</v>
      </c>
      <c r="L25" s="140">
        <f t="shared" si="9"/>
        <v>503.64</v>
      </c>
      <c r="M25" s="141">
        <f t="shared" si="9"/>
        <v>5791.86</v>
      </c>
      <c r="N25" s="142">
        <f>SUM(N16:N24)</f>
        <v>1343.4597000000001</v>
      </c>
      <c r="O25" s="143">
        <f>SUM(O16:O24)</f>
        <v>178.3829925</v>
      </c>
      <c r="P25" s="144">
        <f>SUM(P16:P24)</f>
        <v>7313.7026924999991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6295.5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503.64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5791.86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1343.4597000000001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7135.3197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178.3829925</v>
      </c>
    </row>
    <row r="35" spans="2:16" ht="15.75" customHeight="1" thickBot="1" x14ac:dyDescent="0.4">
      <c r="N35" s="219" t="s">
        <v>92</v>
      </c>
      <c r="O35" s="220"/>
      <c r="P35" s="160">
        <f>P33+P34</f>
        <v>7313.7026925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abSelected="1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K6" sqref="K6:M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2026-06-17T11:47:16Z</dcterms:modified>
</cp:coreProperties>
</file>