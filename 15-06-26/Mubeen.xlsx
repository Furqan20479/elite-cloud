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2A167AE6-696A-439D-8700-71E97AFBBF0E}" xr6:coauthVersionLast="47" xr6:coauthVersionMax="47" xr10:uidLastSave="{00000000-0000-0000-0000-000000000000}"/>
  <bookViews>
    <workbookView xWindow="-110" yWindow="-110" windowWidth="19420" windowHeight="10420" tabRatio="949" activeTab="5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J17" i="15" l="1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K20" i="19" s="1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M21" i="21" s="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2" i="15" l="1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N16" i="18" l="1"/>
  <c r="N16" i="15" s="1"/>
  <c r="M18" i="16"/>
  <c r="N18" i="16" s="1"/>
  <c r="O18" i="16" s="1"/>
  <c r="O18" i="15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0" i="15" l="1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<sst xmlns="http://schemas.openxmlformats.org/spreadsheetml/2006/main" count="1583" uniqueCount="121">
  <si>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</si>
  <si>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</si>
  <si>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</si>
  <si>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</si>
  <si>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</si>
  <si>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</si>
  <si>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</si>
  <si>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</si>
  <si>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</si>
  <si>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</si>
  <si>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</si>
  <si>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</si>
  <si>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</si>
  <si>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</si>
  <si>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</si>
  <si>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</si>
  <si>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</si>
  <si>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</si>
  <si>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</si>
  <si>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</si>
  <si>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</si>
  <si>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</si>
  <si>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</si>
  <si>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</si>
  <si>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</si>
  <si>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</si>
  <si>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</si>
  <si>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</si>
  <si>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</si>
  <si>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</si>
  <si>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</si>
  <si>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</si>
  <si>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</si>
  <si>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</si>
  <si>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</si>
  <si>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</si>
  <si>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</si>
  <si>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</si>
  <si>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</si>
  <si>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</si>
  <si>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</si>
  <si>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</si>
  <si>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</si>
  <si>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</si>
  <si>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</si>
  <si>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</si>
  <si>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</si>
  <si>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</si>
  <si>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</si>
  <si>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</si>
  <si>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</si>
  <si>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</si>
  <si>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</si>
  <si>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</si>
  <si>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</si>
  <si>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</si>
  <si>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</si>
  <si>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</si>
  <si>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</si>
  <si>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</si>
  <si>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</si>
  <si>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</si>
  <si>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</si>
  <si>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</si>
  <si>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</si>
  <si>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</si>
  <si>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</si>
  <si>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</si>
  <si>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</si>
  <si>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</si>
  <si>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</si>
  <si>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</si>
  <si>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</si>
  <si>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</si>
  <si>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</si>
  <si>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</si>
  <si>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</si>
  <si>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</si>
  <si>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</si>
  <si>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</si>
  <si>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</si>
  <si>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</si>
  <si>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</si>
  <si>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</si>
  <si>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</si>
  <si>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</si>
  <si>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</si>
  <si>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</si>
  <si>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</si>
  <si>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</si>
  <si>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</si>
  <si>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</si>
  <si>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</si>
  <si>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</si>
  <si>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</si>
  <si>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</si>
  <si>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</si>
  <si>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</si>
  <si>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</si>
  <si>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</si>
  <si>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</si>
  <si>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</si>
  <si>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</si>
  <si>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</si>
  <si>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 xml:space="preserve">Mubeen </t>
  </si>
  <si>
    <t>Shop Bill Summary (Mubeen)</t>
  </si>
  <si>
    <t>Customer Name : Basics Store</t>
  </si>
  <si>
    <t>Address: Upper Mall</t>
  </si>
  <si>
    <t xml:space="preserve">Customer Name : Express City </t>
  </si>
  <si>
    <t xml:space="preserve">Address: Anand Road Basti Saidah shah </t>
  </si>
  <si>
    <t xml:space="preserve">Customer Name : Touqeer Store </t>
  </si>
  <si>
    <t xml:space="preserve">Address: Basti Saidan Shah </t>
  </si>
  <si>
    <t>3628249-9</t>
  </si>
  <si>
    <t xml:space="preserve">Customer Name :Premier Mart </t>
  </si>
  <si>
    <t>Address: Phase 6</t>
  </si>
  <si>
    <t>D470937</t>
  </si>
  <si>
    <t xml:space="preserve">Customer Name : Bravo Store </t>
  </si>
  <si>
    <t xml:space="preserve">Customer Name : Hafiz Traders </t>
  </si>
  <si>
    <t xml:space="preserve">Address: Railway Lines  Basti Shadian </t>
  </si>
  <si>
    <t>Shop Off Thi</t>
  </si>
  <si>
    <t xml:space="preserve">Out of Area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</si>
</sst>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19" sqref="J1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opLeftCell="A10" zoomScale="70" zoomScaleNormal="70" workbookViewId="0">
      <selection activeCell="S20" sqref="S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104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105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Basics Store</v>
      </c>
      <c r="U14" s="164">
        <f>+'1'!P35</f>
        <v>5107.8765270300009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9"/>
      <c r="J15" s="171" t="s">
        <v>78</v>
      </c>
      <c r="K15" s="171" t="s">
        <v>79</v>
      </c>
      <c r="L15" s="174" t="s">
        <v>80</v>
      </c>
      <c r="M15" s="23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Express City </v>
      </c>
      <c r="U15" s="164">
        <f>+'2'!P35</f>
        <v>3309.6730752000003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27</v>
      </c>
      <c r="I16" s="1">
        <f>(G16*D16)*F16+H16*F16</f>
        <v>1416.4875</v>
      </c>
      <c r="J16" s="172">
        <f>+'1'!J16+'2'!J16+'4'!J16+'3'!J16+'5'!J16+'6'!J16+'7'!J16+'8'!J16+'9'!J16+'10'!J16+'11'!J16+'12'!J16+'13'!J16+'14'!J16+'15'!J16+'16'!J16+'17'!J16+'18'!J16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113.31899999999999</v>
      </c>
      <c r="M16" s="106">
        <f>I16-K16-L16</f>
        <v>1303.1685</v>
      </c>
      <c r="N16" s="101">
        <f>+'1'!N16+'2'!N16+'4'!N16+'3'!N16+'5'!N16+'6'!N16+'7'!N16+'8'!N16+'9'!N16+'10'!N16</f>
        <v>286.69707</v>
      </c>
      <c r="O16" s="101">
        <f>+'1'!O16+'2'!O16+'4'!O16+'3'!O16+'5'!O16+'6'!O16+'7'!O16+'8'!O16+'9'!O16+'10'!O16</f>
        <v>25.614500850000002</v>
      </c>
      <c r="P16" s="105">
        <f t="shared" ref="P16:P24" si="0">M16+N16+O16</f>
        <v>1615.4800708499999</v>
      </c>
      <c r="Q16" s="108"/>
      <c r="T16" s="163" t="str">
        <f>+'4'!A5</f>
        <v xml:space="preserve">Customer Name :Premier Mart </v>
      </c>
      <c r="U16" s="164">
        <f>+'4'!P35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22</v>
      </c>
      <c r="I17" s="1">
        <f t="shared" ref="I17:I23" si="1">(G17*D17)*F17+H17*F17</f>
        <v>1154.175</v>
      </c>
      <c r="J17" s="172">
        <f>+'1'!J17+'2'!J17+'4'!J17+'3'!J17+'5'!J17+'6'!J17+'7'!J17+'8'!J17+'9'!J17+'10'!J17+'11'!J17+'12'!J17+'13'!J17+'14'!J17+'15'!J17+'16'!J17+'17'!J17+'18'!J17</f>
        <v>3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92.334000000000003</v>
      </c>
      <c r="M17" s="118">
        <f t="shared" ref="M17:M23" si="2">I17-K17-L17</f>
        <v>1061.8409999999999</v>
      </c>
      <c r="N17" s="101">
        <f>+'1'!N17+'2'!N17+'4'!N17+'3'!N17+'5'!N17+'6'!N17+'7'!N17+'8'!N17+'9'!N17+'10'!N17</f>
        <v>268.23027000000002</v>
      </c>
      <c r="O17" s="101">
        <f>+'1'!O17+'2'!O17+'4'!O17+'3'!O17+'5'!O17+'6'!O17+'7'!O17+'8'!O17+'9'!O17+'10'!O17</f>
        <v>18.888808350000001</v>
      </c>
      <c r="P17" s="120">
        <f t="shared" si="0"/>
        <v>1348.96007835</v>
      </c>
      <c r="S17" s="64"/>
      <c r="T17" s="163" t="str">
        <f>+'3'!A5</f>
        <v xml:space="preserve">Customer Name : Touqeer Store </v>
      </c>
      <c r="U17" s="164">
        <f>+'3'!P35</f>
        <v>3309.6730752000003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27</v>
      </c>
      <c r="I18" s="1">
        <f t="shared" si="1"/>
        <v>1416.4875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113.31899999999999</v>
      </c>
      <c r="M18" s="118">
        <f t="shared" si="2"/>
        <v>1303.1685</v>
      </c>
      <c r="N18" s="101">
        <f>+'1'!N18+'2'!N18+'4'!N18+'3'!N18+'5'!N18+'6'!N18+'7'!N18+'8'!N18+'9'!N18+'10'!N18</f>
        <v>286.69707</v>
      </c>
      <c r="O18" s="101">
        <f>+'1'!O18+'2'!O18+'4'!O18+'3'!O18+'5'!O18+'6'!O18+'7'!O18+'8'!O18+'9'!O18+'10'!O18</f>
        <v>25.614500850000002</v>
      </c>
      <c r="P18" s="120">
        <f t="shared" si="0"/>
        <v>1615.4800708499999</v>
      </c>
      <c r="T18" s="163" t="str">
        <f>+'5'!A5</f>
        <v xml:space="preserve">Customer Name : Bravo Store </v>
      </c>
      <c r="U18" s="164">
        <f>+'5'!P35</f>
        <v>2437.9008974999997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22</v>
      </c>
      <c r="I19" s="1">
        <f t="shared" si="1"/>
        <v>1598.08</v>
      </c>
      <c r="J19" s="172">
        <f>+'1'!J19+'2'!J19+'4'!J19+'3'!J19+'5'!J19+'6'!J19+'7'!J19+'8'!J19+'9'!J19+'10'!J19+'11'!J19+'12'!J19+'13'!J19+'14'!J19+'15'!J19+'16'!J19+'17'!J19+'18'!J19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127.84640000000002</v>
      </c>
      <c r="M19" s="118">
        <f t="shared" si="2"/>
        <v>1470.2336</v>
      </c>
      <c r="N19" s="101">
        <f>+'1'!N19+'2'!N19+'4'!N19+'3'!N19+'5'!N19+'6'!N19+'7'!N19+'8'!N19+'9'!N19+'10'!N19</f>
        <v>323.451392</v>
      </c>
      <c r="O19" s="101">
        <f>+'1'!O19+'2'!O19+'4'!O19+'3'!O19+'5'!O19+'6'!O19+'7'!O19+'8'!O19+'9'!O19+'10'!O19</f>
        <v>8.9684249600000001</v>
      </c>
      <c r="P19" s="120">
        <f t="shared" si="0"/>
        <v>1802.65341696</v>
      </c>
      <c r="T19" s="163" t="str">
        <f>+'6'!A5</f>
        <v xml:space="preserve">Customer Name : Hafiz Traders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52</v>
      </c>
      <c r="I20" s="1">
        <f t="shared" si="1"/>
        <v>3777.28</v>
      </c>
      <c r="J20" s="172">
        <f>+'1'!J20+'2'!J20+'4'!J20+'3'!J20+'5'!J20+'6'!J20+'7'!J20+'8'!J20+'9'!J20+'10'!J20+'11'!J20+'12'!J20+'13'!J20+'14'!J20+'15'!J20+'16'!J20+'17'!J20+'18'!J20</f>
        <v>4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302.18240000000003</v>
      </c>
      <c r="M20" s="118">
        <f t="shared" si="2"/>
        <v>3475.0976000000001</v>
      </c>
      <c r="N20" s="101">
        <f>+'1'!N20+'2'!N20+'4'!N20+'3'!N20+'5'!N20+'6'!N20+'7'!N20+'8'!N20+'9'!N20+'10'!N20</f>
        <v>828.44467199999997</v>
      </c>
      <c r="O20" s="101">
        <f>+'1'!O20+'2'!O20+'4'!O20+'3'!O20+'5'!O20+'6'!O20+'7'!O20+'8'!O20+'9'!O20+'10'!O20</f>
        <v>21.51771136</v>
      </c>
      <c r="P20" s="120">
        <f t="shared" si="0"/>
        <v>4325.0599833599999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42</v>
      </c>
      <c r="I21" s="1">
        <f t="shared" si="1"/>
        <v>3050.88</v>
      </c>
      <c r="J21" s="172">
        <f>+'1'!J21+'2'!J21+'4'!J21+'3'!J21+'5'!J21+'6'!J21+'7'!J21+'8'!J21+'9'!J21+'10'!J21+'11'!J21+'12'!J21+'13'!J21+'14'!J21+'15'!J21+'16'!J21+'17'!J21+'18'!J21</f>
        <v>1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244.07040000000001</v>
      </c>
      <c r="M21" s="118">
        <f t="shared" si="2"/>
        <v>2806.8096</v>
      </c>
      <c r="N21" s="101">
        <f>+'1'!N21+'2'!N21+'4'!N21+'3'!N21+'5'!N21+'6'!N21+'7'!N21+'8'!N21+'9'!N21+'10'!N21</f>
        <v>633.47891200000004</v>
      </c>
      <c r="O21" s="101">
        <f>+'1'!O21+'2'!O21+'4'!O21+'3'!O21+'5'!O21+'6'!O21+'7'!O21+'8'!O21+'9'!O21+'10'!O21</f>
        <v>17.20144256</v>
      </c>
      <c r="P21" s="120">
        <f t="shared" si="0"/>
        <v>3457.4899545600001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4.8</v>
      </c>
      <c r="D25" s="205"/>
      <c r="E25" s="205"/>
      <c r="F25" s="205"/>
      <c r="G25" s="176">
        <f t="shared" ref="G25:M25" si="3">SUM(G16:G24)</f>
        <v>0</v>
      </c>
      <c r="H25" s="177">
        <f t="shared" si="3"/>
        <v>192</v>
      </c>
      <c r="I25" s="178">
        <f t="shared" si="3"/>
        <v>12413.39</v>
      </c>
      <c r="J25" s="177">
        <f t="shared" si="3"/>
        <v>8</v>
      </c>
      <c r="K25" s="178">
        <f t="shared" si="3"/>
        <v>0</v>
      </c>
      <c r="L25" s="179">
        <f t="shared" si="3"/>
        <v>993.07120000000009</v>
      </c>
      <c r="M25" s="141">
        <f t="shared" si="3"/>
        <v>11420.318800000001</v>
      </c>
      <c r="N25" s="142">
        <f>SUM(N16:N24)</f>
        <v>2626.999386</v>
      </c>
      <c r="O25" s="143">
        <f>SUM(O16:O24)</f>
        <v>117.80538892999999</v>
      </c>
      <c r="P25" s="144">
        <f>SUM(P16:P24)</f>
        <v>14165.123574929999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14165.123574930001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12" t="s">
        <v>85</v>
      </c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N32" s="221" t="s">
        <v>86</v>
      </c>
      <c r="O32" s="222"/>
      <c r="P32" s="152">
        <f>I25</f>
        <v>12413.39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N33" s="223" t="s">
        <v>87</v>
      </c>
      <c r="O33" s="224"/>
      <c r="P33" s="153">
        <f>L25</f>
        <v>993.07120000000009</v>
      </c>
    </row>
    <row r="34" spans="2:16" ht="15" customHeight="1" x14ac:dyDescent="0.35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N34" s="223" t="s">
        <v>4</v>
      </c>
      <c r="O34" s="224"/>
      <c r="P34" s="154">
        <f>K25</f>
        <v>0</v>
      </c>
    </row>
    <row r="35" spans="2:16" ht="15" customHeight="1" x14ac:dyDescent="0.35">
      <c r="B35" s="215"/>
      <c r="C35" s="216"/>
      <c r="D35" s="216"/>
      <c r="E35" s="216"/>
      <c r="F35" s="216"/>
      <c r="G35" s="216"/>
      <c r="H35" s="216"/>
      <c r="I35" s="216"/>
      <c r="J35" s="216"/>
      <c r="K35" s="216"/>
      <c r="L35" s="217"/>
      <c r="M35" s="2"/>
      <c r="N35" s="223" t="s">
        <v>88</v>
      </c>
      <c r="O35" s="224"/>
      <c r="P35" s="153">
        <f>P32-P33-P34</f>
        <v>11420.318799999999</v>
      </c>
    </row>
    <row r="36" spans="2:16" ht="15" customHeight="1" x14ac:dyDescent="0.35">
      <c r="B36" s="215"/>
      <c r="C36" s="216"/>
      <c r="D36" s="216"/>
      <c r="E36" s="216"/>
      <c r="F36" s="216"/>
      <c r="G36" s="216"/>
      <c r="H36" s="216"/>
      <c r="I36" s="216"/>
      <c r="J36" s="216"/>
      <c r="K36" s="216"/>
      <c r="L36" s="217"/>
      <c r="M36" s="2"/>
      <c r="N36" s="155" t="s">
        <v>89</v>
      </c>
      <c r="O36" s="156">
        <f>IF(B12="Registered",18%,22%)</f>
        <v>0.22</v>
      </c>
      <c r="P36" s="153">
        <f>N25</f>
        <v>2626.999386</v>
      </c>
    </row>
    <row r="37" spans="2:16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M37" s="2"/>
      <c r="N37" s="225" t="s">
        <v>90</v>
      </c>
      <c r="O37" s="226"/>
      <c r="P37" s="153">
        <f>P35+P36</f>
        <v>14047.318185999999</v>
      </c>
    </row>
    <row r="38" spans="2:16" ht="15" customHeight="1" thickBot="1" x14ac:dyDescent="0.4">
      <c r="B38" s="218"/>
      <c r="C38" s="219"/>
      <c r="D38" s="219"/>
      <c r="E38" s="219"/>
      <c r="F38" s="219"/>
      <c r="G38" s="219"/>
      <c r="H38" s="219"/>
      <c r="I38" s="219"/>
      <c r="J38" s="219"/>
      <c r="K38" s="219"/>
      <c r="L38" s="220"/>
      <c r="M38" s="157"/>
      <c r="N38" s="158" t="s">
        <v>91</v>
      </c>
      <c r="O38" s="159">
        <f>IF(B11="Filer",0.5%,2.5%)</f>
        <v>2.5000000000000001E-2</v>
      </c>
      <c r="P38" s="153">
        <f>O38*P37</f>
        <v>351.18295465</v>
      </c>
    </row>
    <row r="39" spans="2:16" ht="15.75" customHeight="1" thickBot="1" x14ac:dyDescent="0.4">
      <c r="N39" s="203" t="s">
        <v>92</v>
      </c>
      <c r="O39" s="204"/>
      <c r="P39" s="160">
        <f>P37+P38</f>
        <v>14398.501140649998</v>
      </c>
    </row>
    <row r="40" spans="2:16" ht="15" thickBot="1" x14ac:dyDescent="0.4">
      <c r="B40" s="161" t="s">
        <v>93</v>
      </c>
      <c r="C40" s="205"/>
      <c r="D40" s="205"/>
      <c r="E40" s="205"/>
      <c r="F40" s="205"/>
      <c r="G40" s="205"/>
      <c r="H40" s="205"/>
      <c r="I40" s="206"/>
      <c r="J40" s="207"/>
      <c r="K40" s="208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0" workbookViewId="0">
      <selection activeCell="F8" sqref="F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3520114555018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</v>
      </c>
      <c r="I16" s="102">
        <f>(G16*D16)*F16+H16*F16</f>
        <v>629.54999999999995</v>
      </c>
      <c r="J16" s="103"/>
      <c r="K16" s="104">
        <f>I16*$K$13</f>
        <v>0</v>
      </c>
      <c r="L16" s="105">
        <f>I16*8%</f>
        <v>50.363999999999997</v>
      </c>
      <c r="M16" s="106">
        <f>I16-K16-L16</f>
        <v>579.18599999999992</v>
      </c>
      <c r="N16" s="106">
        <f t="shared" ref="N16:N24" si="0">(M16*$N$15)+(J16*F16)*$N$15</f>
        <v>127.42091999999998</v>
      </c>
      <c r="O16" s="107">
        <f t="shared" ref="O16:O24" si="1">(N16+M16)*$O$15</f>
        <v>3.5330345999999997</v>
      </c>
      <c r="P16" s="105">
        <f t="shared" ref="P16:P24" si="2">M16+N16+O16</f>
        <v>710.1399545999999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12</v>
      </c>
      <c r="I17" s="116">
        <f t="shared" ref="I17:I23" si="3">(G17*D17)*F17+H17*F17</f>
        <v>629.54999999999995</v>
      </c>
      <c r="J17" s="117">
        <v>1</v>
      </c>
      <c r="K17" s="1">
        <f t="shared" ref="K17:K21" si="4">I17*$K$13</f>
        <v>0</v>
      </c>
      <c r="L17" s="105">
        <f t="shared" ref="L17:L21" si="5">I17*8%</f>
        <v>50.363999999999997</v>
      </c>
      <c r="M17" s="118">
        <f t="shared" ref="M17:M23" si="6">I17-K17-L17</f>
        <v>579.18599999999992</v>
      </c>
      <c r="N17" s="118">
        <f t="shared" si="0"/>
        <v>138.96266999999997</v>
      </c>
      <c r="O17" s="119">
        <f t="shared" si="1"/>
        <v>3.5907433499999999</v>
      </c>
      <c r="P17" s="120">
        <f t="shared" si="2"/>
        <v>721.73941334999995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12</v>
      </c>
      <c r="I18" s="116">
        <f t="shared" si="3"/>
        <v>629.54999999999995</v>
      </c>
      <c r="J18" s="117"/>
      <c r="K18" s="1">
        <f t="shared" si="4"/>
        <v>0</v>
      </c>
      <c r="L18" s="105">
        <f t="shared" si="5"/>
        <v>50.363999999999997</v>
      </c>
      <c r="M18" s="118">
        <f t="shared" si="6"/>
        <v>579.18599999999992</v>
      </c>
      <c r="N18" s="118">
        <f t="shared" si="0"/>
        <v>127.42091999999998</v>
      </c>
      <c r="O18" s="119">
        <f t="shared" si="1"/>
        <v>3.5330345999999997</v>
      </c>
      <c r="P18" s="120">
        <f t="shared" si="2"/>
        <v>710.1399545999999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12</v>
      </c>
      <c r="I19" s="116">
        <f t="shared" si="3"/>
        <v>871.68000000000006</v>
      </c>
      <c r="J19" s="117"/>
      <c r="K19" s="1">
        <f t="shared" si="4"/>
        <v>0</v>
      </c>
      <c r="L19" s="105">
        <f t="shared" si="5"/>
        <v>69.734400000000008</v>
      </c>
      <c r="M19" s="118">
        <f t="shared" si="6"/>
        <v>801.94560000000001</v>
      </c>
      <c r="N19" s="118">
        <f t="shared" si="0"/>
        <v>176.428032</v>
      </c>
      <c r="O19" s="119">
        <f t="shared" si="1"/>
        <v>4.8918681600000005</v>
      </c>
      <c r="P19" s="120">
        <f t="shared" si="2"/>
        <v>983.26550015999999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12</v>
      </c>
      <c r="I20" s="116">
        <f t="shared" si="3"/>
        <v>871.68000000000006</v>
      </c>
      <c r="J20" s="117">
        <v>1</v>
      </c>
      <c r="K20" s="1">
        <f t="shared" si="4"/>
        <v>0</v>
      </c>
      <c r="L20" s="105">
        <f t="shared" si="5"/>
        <v>69.734400000000008</v>
      </c>
      <c r="M20" s="118">
        <f t="shared" si="6"/>
        <v>801.94560000000001</v>
      </c>
      <c r="N20" s="118">
        <f t="shared" si="0"/>
        <v>192.40883199999999</v>
      </c>
      <c r="O20" s="119">
        <f t="shared" si="1"/>
        <v>4.9717721599999996</v>
      </c>
      <c r="P20" s="120">
        <f t="shared" si="2"/>
        <v>999.32620415999997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12</v>
      </c>
      <c r="I21" s="116">
        <f t="shared" si="3"/>
        <v>871.68000000000006</v>
      </c>
      <c r="J21" s="117"/>
      <c r="K21" s="1">
        <f t="shared" si="4"/>
        <v>0</v>
      </c>
      <c r="L21" s="105">
        <f t="shared" si="5"/>
        <v>69.734400000000008</v>
      </c>
      <c r="M21" s="118">
        <f t="shared" si="6"/>
        <v>801.94560000000001</v>
      </c>
      <c r="N21" s="118">
        <f t="shared" si="0"/>
        <v>176.428032</v>
      </c>
      <c r="O21" s="119">
        <f t="shared" si="1"/>
        <v>4.8918681600000005</v>
      </c>
      <c r="P21" s="120">
        <f t="shared" si="2"/>
        <v>983.26550015999999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72</v>
      </c>
      <c r="I25" s="137">
        <f t="shared" si="9"/>
        <v>4503.6900000000005</v>
      </c>
      <c r="J25" s="138"/>
      <c r="K25" s="139">
        <f t="shared" si="9"/>
        <v>0</v>
      </c>
      <c r="L25" s="140">
        <f t="shared" si="9"/>
        <v>360.29519999999997</v>
      </c>
      <c r="M25" s="141">
        <f t="shared" si="9"/>
        <v>4143.3948</v>
      </c>
      <c r="N25" s="142">
        <f>SUM(N16:N24)</f>
        <v>939.06940599999996</v>
      </c>
      <c r="O25" s="143">
        <f>SUM(O16:O24)</f>
        <v>25.412321030000001</v>
      </c>
      <c r="P25" s="144">
        <f>SUM(P16:P24)</f>
        <v>5107.8765270299991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4503.6900000000005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360.29519999999997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4143.3948000000009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939.06940599999996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5082.4642060000006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25.412321030000005</v>
      </c>
    </row>
    <row r="35" spans="2:16" ht="15.75" customHeight="1" thickBot="1" x14ac:dyDescent="0.4">
      <c r="N35" s="203" t="s">
        <v>92</v>
      </c>
      <c r="O35" s="204"/>
      <c r="P35" s="160">
        <f>P33+P34</f>
        <v>5107.8765270300009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0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2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108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109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3520173781389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">
        <f t="shared" si="3"/>
        <v>0</v>
      </c>
      <c r="L19" s="105">
        <f t="shared" si="4"/>
        <v>58.112000000000002</v>
      </c>
      <c r="M19" s="118">
        <f t="shared" si="5"/>
        <v>668.28800000000001</v>
      </c>
      <c r="N19" s="118">
        <f t="shared" si="0"/>
        <v>147.02336</v>
      </c>
      <c r="O19" s="119">
        <f t="shared" si="6"/>
        <v>4.0765568000000005</v>
      </c>
      <c r="P19" s="120">
        <f t="shared" si="1"/>
        <v>819.38791680000008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>
        <v>2</v>
      </c>
      <c r="K20" s="1">
        <f t="shared" si="3"/>
        <v>0</v>
      </c>
      <c r="L20" s="105">
        <f t="shared" si="4"/>
        <v>116.224</v>
      </c>
      <c r="M20" s="118">
        <f t="shared" si="5"/>
        <v>1336.576</v>
      </c>
      <c r="N20" s="118">
        <f t="shared" si="0"/>
        <v>326.00831999999997</v>
      </c>
      <c r="O20" s="119">
        <f t="shared" si="6"/>
        <v>8.3129215999999992</v>
      </c>
      <c r="P20" s="120">
        <f t="shared" si="1"/>
        <v>1670.8972415999999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">
        <f t="shared" si="3"/>
        <v>0</v>
      </c>
      <c r="L21" s="105">
        <f t="shared" si="4"/>
        <v>58.112000000000002</v>
      </c>
      <c r="M21" s="118">
        <f t="shared" si="5"/>
        <v>668.28800000000001</v>
      </c>
      <c r="N21" s="118">
        <f t="shared" si="0"/>
        <v>147.02336</v>
      </c>
      <c r="O21" s="119">
        <f t="shared" si="6"/>
        <v>4.0765568000000005</v>
      </c>
      <c r="P21" s="120">
        <f t="shared" si="1"/>
        <v>819.38791680000008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232.44800000000001</v>
      </c>
      <c r="M25" s="141">
        <f t="shared" si="9"/>
        <v>2673.152</v>
      </c>
      <c r="N25" s="142">
        <f>SUM(N16:N24)</f>
        <v>620.05503999999996</v>
      </c>
      <c r="O25" s="143">
        <f>SUM(O16:O24)</f>
        <v>16.4660352</v>
      </c>
      <c r="P25" s="144">
        <f>SUM(P16:P24)</f>
        <v>3309.6730752000003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2905.6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232.44800000000001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2673.152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3293.2070400000002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16.4660352</v>
      </c>
    </row>
    <row r="35" spans="2:16" ht="15.75" customHeight="1" thickBot="1" x14ac:dyDescent="0.4">
      <c r="N35" s="203" t="s">
        <v>92</v>
      </c>
      <c r="O35" s="204"/>
      <c r="P35" s="160">
        <f>P33+P34</f>
        <v>3309.6730752000003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abSelected="1" topLeftCell="A10" workbookViewId="0">
      <selection activeCell="E11" sqref="E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4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110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111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 t="s">
        <v>112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>
        <v>1</v>
      </c>
      <c r="K20" s="1">
        <f t="shared" si="3"/>
        <v>0</v>
      </c>
      <c r="L20" s="105">
        <f t="shared" si="4"/>
        <v>116.224</v>
      </c>
      <c r="M20" s="118">
        <f t="shared" si="5"/>
        <v>1336.576</v>
      </c>
      <c r="N20" s="118">
        <f t="shared" si="0"/>
        <v>310.02751999999998</v>
      </c>
      <c r="O20" s="119">
        <f t="shared" si="6"/>
        <v>8.2330176000000002</v>
      </c>
      <c r="P20" s="120">
        <f t="shared" si="1"/>
        <v>1654.8365376000002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>
        <v>1</v>
      </c>
      <c r="K21" s="1">
        <f t="shared" si="3"/>
        <v>0</v>
      </c>
      <c r="L21" s="105">
        <f t="shared" si="4"/>
        <v>116.224</v>
      </c>
      <c r="M21" s="118">
        <f t="shared" si="5"/>
        <v>1336.576</v>
      </c>
      <c r="N21" s="118">
        <f t="shared" si="0"/>
        <v>310.02751999999998</v>
      </c>
      <c r="O21" s="119">
        <f t="shared" si="6"/>
        <v>8.2330176000000002</v>
      </c>
      <c r="P21" s="120">
        <f t="shared" si="1"/>
        <v>1654.8365376000002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232.44800000000001</v>
      </c>
      <c r="M25" s="141">
        <f t="shared" si="9"/>
        <v>2673.152</v>
      </c>
      <c r="N25" s="142">
        <f>SUM(N16:N24)</f>
        <v>620.05503999999996</v>
      </c>
      <c r="O25" s="143">
        <f>SUM(O16:O24)</f>
        <v>16.4660352</v>
      </c>
      <c r="P25" s="144">
        <f>SUM(P16:P24)</f>
        <v>3309.6730752000003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2905.6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232.44800000000001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2673.152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3293.2070400000002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16.4660352</v>
      </c>
    </row>
    <row r="35" spans="2:16" ht="15.75" customHeight="1" thickBot="1" x14ac:dyDescent="0.4">
      <c r="N35" s="203" t="s">
        <v>92</v>
      </c>
      <c r="O35" s="204"/>
      <c r="P35" s="160">
        <f>P33+P34</f>
        <v>3309.6730752000003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XFD37"/>
  <sheetViews>
    <sheetView workbookViewId="0">
      <selection activeCell="G5" sqref="G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1" spans="1:19 16383:16384" x14ac:dyDescent="0.35">
      <c r="M1" t="s">
        <v>120</v>
      </c>
    </row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3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114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115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workbookViewId="0">
      <selection activeCell="G5" sqref="G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5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114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15</v>
      </c>
      <c r="I16" s="102">
        <f>(G16*D16)*F16+H16*F16</f>
        <v>786.9375</v>
      </c>
      <c r="J16" s="103"/>
      <c r="K16" s="104">
        <f>I16*$K$13</f>
        <v>0</v>
      </c>
      <c r="L16" s="105">
        <f>I16*8%</f>
        <v>62.954999999999998</v>
      </c>
      <c r="M16" s="106">
        <f>I16-K16-L16</f>
        <v>723.98249999999996</v>
      </c>
      <c r="N16" s="106">
        <f t="shared" ref="N16:N24" si="0">(M16*$N$15)+(J16*F16)*$N$15</f>
        <v>159.27615</v>
      </c>
      <c r="O16" s="107">
        <f>(N16+M16)*$O$15</f>
        <v>22.081466250000002</v>
      </c>
      <c r="P16" s="105">
        <f t="shared" ref="P16:P24" si="1">M16+N16+O16</f>
        <v>905.34011624999994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>
        <v>2</v>
      </c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129.26760000000002</v>
      </c>
      <c r="O17" s="119">
        <f t="shared" ref="O17:O24" si="6">(N17+M17)*$O$15</f>
        <v>15.298065000000001</v>
      </c>
      <c r="P17" s="120">
        <f t="shared" si="1"/>
        <v>627.22066499999994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15</v>
      </c>
      <c r="I18" s="116">
        <f t="shared" si="2"/>
        <v>786.9375</v>
      </c>
      <c r="J18" s="117"/>
      <c r="K18" s="1">
        <f t="shared" si="3"/>
        <v>0</v>
      </c>
      <c r="L18" s="105">
        <f t="shared" si="4"/>
        <v>62.954999999999998</v>
      </c>
      <c r="M18" s="118">
        <f t="shared" si="5"/>
        <v>723.98249999999996</v>
      </c>
      <c r="N18" s="118">
        <f t="shared" si="0"/>
        <v>159.27615</v>
      </c>
      <c r="O18" s="119">
        <f t="shared" si="6"/>
        <v>22.081466250000002</v>
      </c>
      <c r="P18" s="120">
        <f t="shared" si="1"/>
        <v>905.34011624999994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0</v>
      </c>
      <c r="L25" s="140">
        <f t="shared" si="9"/>
        <v>167.88</v>
      </c>
      <c r="M25" s="141">
        <f t="shared" si="9"/>
        <v>1930.62</v>
      </c>
      <c r="N25" s="142">
        <f>SUM(N16:N24)</f>
        <v>447.81990000000008</v>
      </c>
      <c r="O25" s="143">
        <f>SUM(O16:O24)</f>
        <v>59.460997500000005</v>
      </c>
      <c r="P25" s="144">
        <f>SUM(P16:P24)</f>
        <v>2437.9008974999997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2098.5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167.88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1930.62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447.81990000000008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2378.4398999999999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59.460997499999998</v>
      </c>
    </row>
    <row r="35" spans="2:16" ht="15.75" customHeight="1" thickBot="1" x14ac:dyDescent="0.4">
      <c r="N35" s="203" t="s">
        <v>92</v>
      </c>
      <c r="O35" s="204"/>
      <c r="P35" s="160">
        <f>P33+P34</f>
        <v>2437.9008974999997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XFD37"/>
  <sheetViews>
    <sheetView workbookViewId="0">
      <selection activeCell="M2" sqref="M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1" spans="1:19 16383:16384" x14ac:dyDescent="0.35">
      <c r="M1" t="s">
        <v>119</v>
      </c>
    </row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6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117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118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7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8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9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7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C11" sqref="C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2026-06-15T11:29:26Z</dcterms:modified>
</cp:coreProperties>
</file>