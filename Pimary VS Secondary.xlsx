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03C6DBA0-585F-4DD1-A31D-3D805183713D}" xr6:coauthVersionLast="47" xr6:coauthVersionMax="47" xr10:uidLastSave="{00000000-0000-0000-0000-000000000000}"/>
  <bookViews>
    <workbookView xWindow="-110" yWindow="-110" windowWidth="19420" windowHeight="10420" xr2:uid="{B13BB3DE-45F3-4A08-8C5B-C8EF34D541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0" i="1" l="1"/>
  <c r="K20" i="1"/>
  <c r="I19" i="1"/>
  <c r="I9" i="1" l="1"/>
  <c r="K9" i="1" s="1"/>
  <c r="M9" i="1" s="1"/>
  <c r="I13" i="1"/>
  <c r="K13" i="1" s="1"/>
  <c r="M13" i="1" s="1"/>
  <c r="G12" i="1"/>
  <c r="I12" i="1" s="1"/>
  <c r="K12" i="1" s="1"/>
  <c r="M12" i="1" s="1"/>
  <c r="G11" i="1"/>
  <c r="I11" i="1" s="1"/>
  <c r="K11" i="1" s="1"/>
  <c r="M11" i="1" s="1"/>
  <c r="G10" i="1"/>
  <c r="I10" i="1" s="1"/>
  <c r="K10" i="1" s="1"/>
  <c r="M10" i="1" s="1"/>
  <c r="H12" i="1"/>
  <c r="H8" i="1"/>
  <c r="I8" i="1" s="1"/>
  <c r="K8" i="1" s="1"/>
  <c r="M8" i="1" s="1"/>
  <c r="H7" i="1"/>
  <c r="I7" i="1" s="1"/>
  <c r="K7" i="1" s="1"/>
  <c r="M7" i="1" s="1"/>
  <c r="N14" i="1"/>
  <c r="N15" i="1" s="1"/>
  <c r="J14" i="1"/>
  <c r="J15" i="1" s="1"/>
  <c r="L14" i="1"/>
  <c r="L15" i="1" s="1"/>
  <c r="H14" i="1" l="1"/>
  <c r="H15" i="1" s="1"/>
  <c r="G14" i="1"/>
  <c r="G15" i="1" s="1"/>
  <c r="F14" i="1"/>
  <c r="F15" i="1" s="1"/>
  <c r="I14" i="1" l="1"/>
  <c r="I15" i="1" s="1"/>
  <c r="M14" i="1" l="1"/>
  <c r="M15" i="1" s="1"/>
  <c r="K14" i="1"/>
  <c r="K15" i="1" s="1"/>
</calcChain>
</file>

<file path=xl/sharedStrings.xml><?xml version="1.0" encoding="utf-8"?>
<sst xmlns="http://schemas.openxmlformats.org/spreadsheetml/2006/main" count="27" uniqueCount="26">
  <si>
    <t>PRODUCT</t>
  </si>
  <si>
    <t>GM</t>
  </si>
  <si>
    <t xml:space="preserve">MTD Sale 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</si>
  <si>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</si>
  <si>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</si>
  <si>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</si>
  <si>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</si>
  <si>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</si>
  <si>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</si>
  <si>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</si>
  <si>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Opening</t>
  </si>
  <si>
    <t xml:space="preserve">Expired </t>
  </si>
  <si>
    <t>Diffrence</t>
  </si>
  <si>
    <t>Warehouse InHand</t>
  </si>
  <si>
    <t xml:space="preserve">Primary Stock </t>
  </si>
  <si>
    <t>In Hand</t>
  </si>
  <si>
    <t>Sale MTD</t>
  </si>
  <si>
    <t>EXP</t>
  </si>
  <si>
    <t>Total Pcs</t>
  </si>
  <si>
    <t>Ctn's</t>
  </si>
  <si>
    <t>Stock Expected</t>
  </si>
  <si>
    <t xml:space="preserve">Monthly Sales &amp; Inventory Report </t>
  </si>
  <si>
    <t>s</t>
  </si>
  <si>
    <t>Til 23rd</t>
  </si>
  <si>
    <t>Total Primary WH</t>
  </si>
  <si>
    <t>18/7/26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</si>
</sst>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sz val="11"/>
      <color theme="1"/>
      <name val="Book Antiqua"/>
      <family val="1"/>
    </font>
    <font>
      <b/>
      <sz val="11"/>
      <color theme="0"/>
      <name val="Book Antiqua"/>
      <family val="1"/>
    </font>
    <font>
      <u/>
      <sz val="16"/>
      <color theme="1"/>
      <name val="Book Antiqua"/>
      <family val="1"/>
    </font>
    <font>
      <sz val="22"/>
      <color theme="1"/>
      <name val="Book Antiqua"/>
      <family val="1"/>
    </font>
    <font>
      <b/>
      <sz val="14"/>
      <color theme="1"/>
      <name val="Book Antiqua"/>
      <family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1" fillId="5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165" fontId="0" fillId="3" borderId="1" xfId="0" applyNumberFormat="1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897FB-F3E4-4933-BDE3-BEDB17D2ED6F}">
  <dimension ref="B5:N20"/>
  <sheetViews>
    <sheetView tabSelected="1" zoomScale="85" zoomScaleNormal="85" workbookViewId="0">
      <selection activeCell="F2" sqref="F2"/>
    </sheetView>
  </sheetViews>
  <sheetFormatPr defaultRowHeight="14.5" x14ac:dyDescent="0.35"/>
  <cols>
    <col min="4" max="4" width="44.54296875" bestFit="1" customWidth="1"/>
    <col min="5" max="5" width="7.26953125" bestFit="1" customWidth="1"/>
    <col min="6" max="6" width="14.7265625" bestFit="1" customWidth="1"/>
    <col min="7" max="7" width="13.36328125" bestFit="1" customWidth="1"/>
    <col min="8" max="8" width="11.6328125" bestFit="1" customWidth="1"/>
    <col min="9" max="9" width="29.54296875" bestFit="1" customWidth="1"/>
    <col min="10" max="10" width="17.81640625" bestFit="1" customWidth="1"/>
    <col min="11" max="11" width="24.54296875" customWidth="1"/>
    <col min="12" max="12" width="31.453125" bestFit="1" customWidth="1"/>
    <col min="13" max="13" width="15.90625" bestFit="1" customWidth="1"/>
    <col min="14" max="14" width="13.90625" bestFit="1" customWidth="1"/>
  </cols>
  <sheetData>
    <row r="5" spans="2:14" ht="18.5" x14ac:dyDescent="0.35">
      <c r="D5" s="10" t="s">
        <v>21</v>
      </c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ht="30.5" customHeight="1" x14ac:dyDescent="0.55000000000000004">
      <c r="C6" s="9"/>
      <c r="D6" s="12" t="s">
        <v>0</v>
      </c>
      <c r="E6" s="12" t="s">
        <v>1</v>
      </c>
      <c r="F6" s="12" t="s">
        <v>10</v>
      </c>
      <c r="G6" s="19">
        <v>46029</v>
      </c>
      <c r="H6" s="12" t="s">
        <v>25</v>
      </c>
      <c r="I6" s="12" t="s">
        <v>24</v>
      </c>
      <c r="J6" s="12" t="s">
        <v>2</v>
      </c>
      <c r="K6" s="12" t="s">
        <v>20</v>
      </c>
      <c r="L6" s="12" t="s">
        <v>13</v>
      </c>
      <c r="M6" s="12" t="s">
        <v>12</v>
      </c>
      <c r="N6" s="12" t="s">
        <v>11</v>
      </c>
    </row>
    <row r="7" spans="2:14" ht="23.5" x14ac:dyDescent="0.35">
      <c r="D7" s="12" t="s">
        <v>3</v>
      </c>
      <c r="E7" s="2">
        <v>70</v>
      </c>
      <c r="F7" s="4">
        <v>9586</v>
      </c>
      <c r="G7" s="21"/>
      <c r="H7" s="21">
        <f>300*40</f>
        <v>12000</v>
      </c>
      <c r="I7" s="22">
        <f t="shared" ref="I7:I13" si="0">F7+G7+H7</f>
        <v>21586</v>
      </c>
      <c r="J7" s="5">
        <v>11967</v>
      </c>
      <c r="K7" s="23">
        <f>I7-J7</f>
        <v>9619</v>
      </c>
      <c r="L7" s="24">
        <v>9710</v>
      </c>
      <c r="M7" s="8">
        <f>L7-K7</f>
        <v>91</v>
      </c>
      <c r="N7" s="7">
        <v>280</v>
      </c>
    </row>
    <row r="8" spans="2:14" ht="23.5" x14ac:dyDescent="0.35">
      <c r="D8" s="12" t="s">
        <v>4</v>
      </c>
      <c r="E8" s="2">
        <v>70</v>
      </c>
      <c r="F8" s="4">
        <v>10668</v>
      </c>
      <c r="G8" s="21"/>
      <c r="H8" s="21">
        <f>200*40</f>
        <v>8000</v>
      </c>
      <c r="I8" s="22">
        <f t="shared" si="0"/>
        <v>18668</v>
      </c>
      <c r="J8" s="5">
        <v>11897</v>
      </c>
      <c r="K8" s="23">
        <f t="shared" ref="K8:K13" si="1">I8-J8</f>
        <v>6771</v>
      </c>
      <c r="L8" s="24">
        <v>6906</v>
      </c>
      <c r="M8" s="8">
        <f t="shared" ref="M8:M13" si="2">L8-K8</f>
        <v>135</v>
      </c>
      <c r="N8" s="7">
        <v>226</v>
      </c>
    </row>
    <row r="9" spans="2:14" ht="23.5" x14ac:dyDescent="0.35">
      <c r="B9" t="s">
        <v>22</v>
      </c>
      <c r="D9" s="12" t="s">
        <v>5</v>
      </c>
      <c r="E9" s="2">
        <v>70</v>
      </c>
      <c r="F9" s="4"/>
      <c r="G9" s="21"/>
      <c r="H9" s="21"/>
      <c r="I9" s="22">
        <f t="shared" si="0"/>
        <v>0</v>
      </c>
      <c r="J9" s="5"/>
      <c r="K9" s="23">
        <f t="shared" si="1"/>
        <v>0</v>
      </c>
      <c r="L9" s="24"/>
      <c r="M9" s="8">
        <f t="shared" si="2"/>
        <v>0</v>
      </c>
      <c r="N9" s="7">
        <v>41</v>
      </c>
    </row>
    <row r="10" spans="2:14" ht="23.5" x14ac:dyDescent="0.35">
      <c r="D10" s="12" t="s">
        <v>6</v>
      </c>
      <c r="E10" s="2">
        <v>120</v>
      </c>
      <c r="F10" s="4">
        <v>10905</v>
      </c>
      <c r="G10" s="21">
        <f>750*40</f>
        <v>30000</v>
      </c>
      <c r="H10" s="21"/>
      <c r="I10" s="22">
        <f t="shared" si="0"/>
        <v>40905</v>
      </c>
      <c r="J10" s="5">
        <v>22476</v>
      </c>
      <c r="K10" s="23">
        <f t="shared" si="1"/>
        <v>18429</v>
      </c>
      <c r="L10" s="24">
        <v>18826</v>
      </c>
      <c r="M10" s="8">
        <f t="shared" si="2"/>
        <v>397</v>
      </c>
      <c r="N10" s="7">
        <v>64</v>
      </c>
    </row>
    <row r="11" spans="2:14" ht="23.5" x14ac:dyDescent="0.35">
      <c r="D11" s="12" t="s">
        <v>7</v>
      </c>
      <c r="E11" s="2">
        <v>120</v>
      </c>
      <c r="F11" s="4">
        <v>5595</v>
      </c>
      <c r="G11" s="21">
        <f>203*40</f>
        <v>8120</v>
      </c>
      <c r="H11" s="21"/>
      <c r="I11" s="22">
        <f t="shared" si="0"/>
        <v>13715</v>
      </c>
      <c r="J11" s="5">
        <v>16904</v>
      </c>
      <c r="K11" s="23">
        <f t="shared" si="1"/>
        <v>-3189</v>
      </c>
      <c r="L11" s="24">
        <v>12836</v>
      </c>
      <c r="M11" s="8">
        <f t="shared" si="2"/>
        <v>16025</v>
      </c>
      <c r="N11" s="7">
        <v>139</v>
      </c>
    </row>
    <row r="12" spans="2:14" ht="23.5" x14ac:dyDescent="0.35">
      <c r="D12" s="12" t="s">
        <v>8</v>
      </c>
      <c r="E12" s="2">
        <v>120</v>
      </c>
      <c r="F12" s="4">
        <v>7110</v>
      </c>
      <c r="G12" s="21">
        <f>1047*40</f>
        <v>41880</v>
      </c>
      <c r="H12" s="21">
        <f>400*40</f>
        <v>16000</v>
      </c>
      <c r="I12" s="22">
        <f t="shared" si="0"/>
        <v>64990</v>
      </c>
      <c r="J12" s="5">
        <v>27279</v>
      </c>
      <c r="K12" s="23">
        <f t="shared" si="1"/>
        <v>37711</v>
      </c>
      <c r="L12" s="24">
        <v>22468</v>
      </c>
      <c r="M12" s="8">
        <f t="shared" si="2"/>
        <v>-15243</v>
      </c>
      <c r="N12" s="7">
        <v>18</v>
      </c>
    </row>
    <row r="13" spans="2:14" ht="23.5" x14ac:dyDescent="0.35">
      <c r="D13" s="12" t="s">
        <v>9</v>
      </c>
      <c r="E13" s="2">
        <v>60</v>
      </c>
      <c r="F13" s="4">
        <v>66124</v>
      </c>
      <c r="G13" s="21"/>
      <c r="H13" s="21"/>
      <c r="I13" s="22">
        <f t="shared" si="0"/>
        <v>66124</v>
      </c>
      <c r="J13" s="5">
        <v>18330</v>
      </c>
      <c r="K13" s="23">
        <f t="shared" si="1"/>
        <v>47794</v>
      </c>
      <c r="L13" s="24">
        <v>48173</v>
      </c>
      <c r="M13" s="8">
        <f t="shared" si="2"/>
        <v>379</v>
      </c>
      <c r="N13" s="7">
        <v>23</v>
      </c>
    </row>
    <row r="14" spans="2:14" ht="29.5" customHeight="1" x14ac:dyDescent="0.35">
      <c r="D14" s="12" t="s">
        <v>18</v>
      </c>
      <c r="E14" s="13"/>
      <c r="F14" s="3">
        <f>SUM(F7:F13)</f>
        <v>109988</v>
      </c>
      <c r="G14" s="6">
        <f>SUM(G7:G13)</f>
        <v>80000</v>
      </c>
      <c r="H14" s="6">
        <f t="shared" ref="H14:N14" si="3">SUM(H7:H13)</f>
        <v>36000</v>
      </c>
      <c r="I14" s="6">
        <f t="shared" si="3"/>
        <v>225988</v>
      </c>
      <c r="J14" s="6">
        <f t="shared" si="3"/>
        <v>108853</v>
      </c>
      <c r="K14" s="6">
        <f t="shared" si="3"/>
        <v>117135</v>
      </c>
      <c r="L14" s="6">
        <f t="shared" si="3"/>
        <v>118919</v>
      </c>
      <c r="M14" s="6">
        <f t="shared" si="3"/>
        <v>1784</v>
      </c>
      <c r="N14" s="6">
        <f t="shared" si="3"/>
        <v>791</v>
      </c>
    </row>
    <row r="15" spans="2:14" ht="23" x14ac:dyDescent="0.35">
      <c r="D15" s="12" t="s">
        <v>19</v>
      </c>
      <c r="E15" s="13"/>
      <c r="F15" s="20">
        <f>F14/40</f>
        <v>2749.7</v>
      </c>
      <c r="G15" s="20">
        <f t="shared" ref="G15:N15" si="4">G14/40</f>
        <v>2000</v>
      </c>
      <c r="H15" s="20">
        <f t="shared" si="4"/>
        <v>900</v>
      </c>
      <c r="I15" s="20">
        <f t="shared" si="4"/>
        <v>5649.7</v>
      </c>
      <c r="J15" s="20">
        <f t="shared" si="4"/>
        <v>2721.3249999999998</v>
      </c>
      <c r="K15" s="20">
        <f t="shared" si="4"/>
        <v>2928.375</v>
      </c>
      <c r="L15" s="20">
        <f t="shared" si="4"/>
        <v>2972.9749999999999</v>
      </c>
      <c r="M15" s="20">
        <f t="shared" si="4"/>
        <v>44.6</v>
      </c>
      <c r="N15" s="20">
        <f t="shared" si="4"/>
        <v>19.774999999999999</v>
      </c>
    </row>
    <row r="16" spans="2:14" ht="30.5" customHeight="1" x14ac:dyDescent="0.35">
      <c r="D16" s="14" t="s">
        <v>23</v>
      </c>
      <c r="E16" s="13"/>
      <c r="F16" s="15" t="s">
        <v>14</v>
      </c>
      <c r="G16" s="15"/>
      <c r="H16" s="15"/>
      <c r="I16" s="15"/>
      <c r="J16" s="16" t="s">
        <v>16</v>
      </c>
      <c r="K16" s="17" t="s">
        <v>15</v>
      </c>
      <c r="L16" s="17"/>
      <c r="M16" s="11" t="s">
        <v>12</v>
      </c>
      <c r="N16" s="18" t="s">
        <v>17</v>
      </c>
    </row>
    <row r="17" spans="8:11" x14ac:dyDescent="0.35">
      <c r="J17" s="1"/>
    </row>
    <row r="19" spans="8:11" x14ac:dyDescent="0.35">
      <c r="H19">
        <v>114430</v>
      </c>
      <c r="I19">
        <f>H19/40</f>
        <v>2860.75</v>
      </c>
      <c r="K19">
        <v>110380</v>
      </c>
    </row>
    <row r="20" spans="8:11" x14ac:dyDescent="0.35">
      <c r="H20">
        <f>H19/40</f>
        <v>2860.75</v>
      </c>
      <c r="I20">
        <v>40537</v>
      </c>
      <c r="K20">
        <f>K19/40</f>
        <v>2759.5</v>
      </c>
    </row>
  </sheetData>
  <mergeCells count="3">
    <mergeCell ref="D5:N5"/>
    <mergeCell ref="F16:I16"/>
    <mergeCell ref="K16:L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2026-07-22T08:22:54Z</dcterms:created>
  <dcterms:modified xsi:type="dcterms:W3CDTF">2026-07-24T12:14:48Z</dcterms:modified>
</cp:coreProperties>
</file>