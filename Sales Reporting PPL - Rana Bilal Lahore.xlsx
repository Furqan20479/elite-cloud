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1F99E2B3-9380-4741-89C0-8C2488287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PL Sales Report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1" l="1"/>
  <c r="S25" i="1"/>
  <c r="T25" i="1" s="1"/>
  <c r="R25" i="1"/>
  <c r="P25" i="1"/>
  <c r="U25" i="1" s="1"/>
  <c r="O25" i="1"/>
  <c r="N25" i="1"/>
  <c r="K25" i="1"/>
  <c r="J25" i="1"/>
  <c r="H25" i="1"/>
  <c r="G25" i="1"/>
  <c r="U24" i="1"/>
  <c r="T24" i="1"/>
  <c r="Q24" i="1"/>
  <c r="M24" i="1"/>
  <c r="L24" i="1"/>
  <c r="I24" i="1"/>
  <c r="U23" i="1"/>
  <c r="T23" i="1"/>
  <c r="Q23" i="1"/>
  <c r="M23" i="1"/>
  <c r="L23" i="1"/>
  <c r="I23" i="1"/>
  <c r="U22" i="1"/>
  <c r="T22" i="1"/>
  <c r="Q22" i="1"/>
  <c r="M22" i="1"/>
  <c r="L22" i="1"/>
  <c r="I22" i="1"/>
  <c r="U21" i="1"/>
  <c r="T21" i="1"/>
  <c r="Q21" i="1"/>
  <c r="M21" i="1"/>
  <c r="L21" i="1"/>
  <c r="I21" i="1"/>
  <c r="V20" i="1"/>
  <c r="S20" i="1"/>
  <c r="R20" i="1"/>
  <c r="T20" i="1" s="1"/>
  <c r="P20" i="1"/>
  <c r="O20" i="1"/>
  <c r="N20" i="1"/>
  <c r="K20" i="1"/>
  <c r="J20" i="1"/>
  <c r="H20" i="1"/>
  <c r="G20" i="1"/>
  <c r="U19" i="1"/>
  <c r="T19" i="1"/>
  <c r="Q19" i="1"/>
  <c r="M19" i="1"/>
  <c r="L19" i="1"/>
  <c r="I19" i="1"/>
  <c r="U18" i="1"/>
  <c r="T18" i="1"/>
  <c r="Q18" i="1"/>
  <c r="M18" i="1"/>
  <c r="L18" i="1"/>
  <c r="I18" i="1"/>
  <c r="U17" i="1"/>
  <c r="T17" i="1"/>
  <c r="Q17" i="1"/>
  <c r="M17" i="1"/>
  <c r="L17" i="1"/>
  <c r="I17" i="1"/>
  <c r="U16" i="1"/>
  <c r="T16" i="1"/>
  <c r="Q16" i="1"/>
  <c r="M16" i="1"/>
  <c r="L16" i="1"/>
  <c r="I16" i="1"/>
  <c r="U15" i="1"/>
  <c r="T15" i="1"/>
  <c r="Q15" i="1"/>
  <c r="M15" i="1"/>
  <c r="L15" i="1"/>
  <c r="I15" i="1"/>
  <c r="S14" i="1"/>
  <c r="R14" i="1"/>
  <c r="P14" i="1"/>
  <c r="O14" i="1"/>
  <c r="K14" i="1"/>
  <c r="J14" i="1"/>
  <c r="H14" i="1"/>
  <c r="G14" i="1"/>
  <c r="U13" i="1"/>
  <c r="T13" i="1"/>
  <c r="V13" i="1" s="1"/>
  <c r="Q13" i="1"/>
  <c r="M13" i="1"/>
  <c r="L13" i="1"/>
  <c r="I13" i="1"/>
  <c r="U12" i="1"/>
  <c r="T12" i="1"/>
  <c r="Q12" i="1"/>
  <c r="L12" i="1"/>
  <c r="I12" i="1"/>
  <c r="U11" i="1"/>
  <c r="T11" i="1"/>
  <c r="Q11" i="1"/>
  <c r="M11" i="1"/>
  <c r="L11" i="1"/>
  <c r="I11" i="1"/>
  <c r="U10" i="1"/>
  <c r="T10" i="1"/>
  <c r="Q10" i="1"/>
  <c r="M10" i="1"/>
  <c r="L10" i="1"/>
  <c r="I10" i="1"/>
  <c r="U9" i="1"/>
  <c r="T9" i="1"/>
  <c r="Q9" i="1"/>
  <c r="M9" i="1"/>
  <c r="L9" i="1"/>
  <c r="I9" i="1"/>
  <c r="U8" i="1"/>
  <c r="T8" i="1"/>
  <c r="Q8" i="1"/>
  <c r="M8" i="1"/>
  <c r="L8" i="1"/>
  <c r="I8" i="1"/>
  <c r="U7" i="1"/>
  <c r="T7" i="1"/>
  <c r="Q7" i="1"/>
  <c r="M7" i="1"/>
  <c r="L7" i="1"/>
  <c r="I7" i="1"/>
  <c r="U6" i="1"/>
  <c r="T6" i="1"/>
  <c r="Q6" i="1"/>
  <c r="M6" i="1"/>
  <c r="L6" i="1"/>
  <c r="I6" i="1"/>
  <c r="U5" i="1"/>
  <c r="T5" i="1"/>
  <c r="Q5" i="1"/>
  <c r="M5" i="1"/>
  <c r="L5" i="1"/>
  <c r="I5" i="1"/>
  <c r="U4" i="1"/>
  <c r="T4" i="1"/>
  <c r="Q4" i="1"/>
  <c r="M4" i="1"/>
  <c r="L4" i="1"/>
  <c r="I4" i="1"/>
  <c r="M20" i="1" l="1"/>
  <c r="V10" i="1"/>
  <c r="V9" i="1"/>
  <c r="V12" i="1"/>
  <c r="V11" i="1"/>
  <c r="V8" i="1"/>
  <c r="V7" i="1"/>
  <c r="V6" i="1"/>
  <c r="V5" i="1"/>
  <c r="V4" i="1"/>
  <c r="N10" i="1"/>
  <c r="N9" i="1"/>
  <c r="N8" i="1"/>
  <c r="N7" i="1"/>
  <c r="N6" i="1"/>
  <c r="N5" i="1"/>
  <c r="N4" i="1"/>
  <c r="N13" i="1"/>
  <c r="N11" i="1"/>
  <c r="O26" i="1"/>
  <c r="U14" i="1"/>
  <c r="I14" i="1"/>
  <c r="L20" i="1"/>
  <c r="M25" i="1"/>
  <c r="Q14" i="1"/>
  <c r="M14" i="1"/>
  <c r="L14" i="1"/>
  <c r="S26" i="1"/>
  <c r="G26" i="1"/>
  <c r="J26" i="1"/>
  <c r="T14" i="1"/>
  <c r="U20" i="1"/>
  <c r="K26" i="1"/>
  <c r="L25" i="1"/>
  <c r="P26" i="1"/>
  <c r="H26" i="1"/>
  <c r="I20" i="1"/>
  <c r="Q20" i="1"/>
  <c r="I25" i="1"/>
  <c r="Q25" i="1"/>
  <c r="R26" i="1"/>
  <c r="T26" i="1" l="1"/>
  <c r="N14" i="1"/>
  <c r="V14" i="1"/>
  <c r="U26" i="1"/>
  <c r="Q26" i="1"/>
  <c r="M26" i="1"/>
  <c r="I26" i="1"/>
  <c r="L26" i="1"/>
</calcChain>
</file>

<file path=xl/sharedStrings.xml><?xml version="1.0" encoding="utf-8"?>
<sst xmlns="http://schemas.openxmlformats.org/spreadsheetml/2006/main" count="158" uniqueCount="46">
  <si>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</si>
  <si>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</si>
  <si>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</si>
  <si>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</si>
  <si>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</si>
  <si>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</si>
  <si>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</si>
  <si>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</si>
  <si>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</si>
  <si>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</si>
  <si>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</si>
  <si>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</si>
  <si>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</si>
  <si>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</si>
  <si>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</si>
  <si>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</si>
  <si>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</si>
  <si>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</si>
  <si>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</si>
  <si>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</si>
  <si>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</si>
  <si>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</si>
  <si>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</si>
  <si>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</si>
  <si>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</si>
  <si>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Mobeen Butt</t>
  </si>
  <si>
    <t>Furqan Ali</t>
  </si>
  <si>
    <t xml:space="preserve">Umair Rehman </t>
  </si>
  <si>
    <t>Vacant</t>
  </si>
  <si>
    <t>Shakoor LMT</t>
  </si>
  <si>
    <t>Aqeel Malik</t>
  </si>
  <si>
    <t>AHMED</t>
  </si>
  <si>
    <t xml:space="preserve">WASEEM BROTHER </t>
  </si>
  <si>
    <t xml:space="preserve">Rana Maqbool </t>
  </si>
  <si>
    <t>Ghulam Ahmed</t>
  </si>
  <si>
    <t>M Shahzad</t>
  </si>
  <si>
    <t>Usman Akbar</t>
  </si>
  <si>
    <t xml:space="preserve">ZOHAIB </t>
  </si>
  <si>
    <t xml:space="preserve">DOLPHIN TRADER </t>
  </si>
  <si>
    <t>Muhammad Saleh</t>
  </si>
  <si>
    <t>Lahore Total</t>
  </si>
  <si>
    <t>Noman Younus</t>
  </si>
  <si>
    <t>Shahzad Nayyar</t>
  </si>
  <si>
    <t xml:space="preserve">Muhammad Hassan </t>
  </si>
  <si>
    <t xml:space="preserve">Umar Nawaz </t>
  </si>
  <si>
    <t>23-06-26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</si>
</sst>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5" xfId="0" applyBorder="1"/>
    <xf numFmtId="0" fontId="0" fillId="0" borderId="6" xfId="0" applyBorder="1"/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9" fontId="0" fillId="0" borderId="21" xfId="1" applyFon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2" fillId="5" borderId="20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/>
    </xf>
    <xf numFmtId="9" fontId="2" fillId="5" borderId="21" xfId="1" applyFont="1" applyFill="1" applyBorder="1" applyAlignment="1">
      <alignment horizontal="center"/>
    </xf>
    <xf numFmtId="1" fontId="2" fillId="5" borderId="22" xfId="0" applyNumberFormat="1" applyFont="1" applyFill="1" applyBorder="1" applyAlignment="1">
      <alignment horizontal="center"/>
    </xf>
    <xf numFmtId="1" fontId="2" fillId="5" borderId="21" xfId="0" applyNumberFormat="1" applyFont="1" applyFill="1" applyBorder="1" applyAlignment="1">
      <alignment horizontal="center"/>
    </xf>
    <xf numFmtId="1" fontId="2" fillId="5" borderId="25" xfId="0" applyNumberFormat="1" applyFont="1" applyFill="1" applyBorder="1" applyAlignment="1">
      <alignment horizontal="center"/>
    </xf>
    <xf numFmtId="1" fontId="2" fillId="5" borderId="23" xfId="0" applyNumberFormat="1" applyFont="1" applyFill="1" applyBorder="1" applyAlignment="1">
      <alignment horizontal="center"/>
    </xf>
    <xf numFmtId="9" fontId="2" fillId="5" borderId="26" xfId="1" applyFont="1" applyFill="1" applyBorder="1" applyAlignment="1">
      <alignment horizontal="center"/>
    </xf>
    <xf numFmtId="1" fontId="2" fillId="5" borderId="27" xfId="0" applyNumberFormat="1" applyFont="1" applyFill="1" applyBorder="1" applyAlignment="1">
      <alignment horizontal="center"/>
    </xf>
    <xf numFmtId="1" fontId="2" fillId="5" borderId="26" xfId="0" applyNumberFormat="1" applyFont="1" applyFill="1" applyBorder="1" applyAlignment="1">
      <alignment horizontal="center"/>
    </xf>
    <xf numFmtId="0" fontId="0" fillId="6" borderId="13" xfId="0" applyFill="1" applyBorder="1" applyAlignment="1">
      <alignment vertical="center"/>
    </xf>
    <xf numFmtId="0" fontId="3" fillId="6" borderId="14" xfId="0" applyFont="1" applyFill="1" applyBorder="1"/>
    <xf numFmtId="0" fontId="0" fillId="6" borderId="18" xfId="0" applyFill="1" applyBorder="1" applyAlignment="1">
      <alignment vertical="center"/>
    </xf>
    <xf numFmtId="0" fontId="3" fillId="6" borderId="19" xfId="0" applyFont="1" applyFill="1" applyBorder="1"/>
    <xf numFmtId="0" fontId="4" fillId="6" borderId="19" xfId="0" applyFont="1" applyFill="1" applyBorder="1"/>
    <xf numFmtId="0" fontId="0" fillId="6" borderId="23" xfId="0" applyFill="1" applyBorder="1" applyAlignment="1">
      <alignment vertical="center"/>
    </xf>
    <xf numFmtId="1" fontId="2" fillId="7" borderId="8" xfId="0" applyNumberFormat="1" applyFont="1" applyFill="1" applyBorder="1" applyAlignment="1">
      <alignment horizontal="center"/>
    </xf>
    <xf numFmtId="1" fontId="2" fillId="7" borderId="9" xfId="0" applyNumberFormat="1" applyFont="1" applyFill="1" applyBorder="1" applyAlignment="1">
      <alignment horizontal="center"/>
    </xf>
    <xf numFmtId="9" fontId="2" fillId="7" borderId="11" xfId="1" applyFont="1" applyFill="1" applyBorder="1" applyAlignment="1">
      <alignment horizontal="center"/>
    </xf>
    <xf numFmtId="1" fontId="2" fillId="7" borderId="12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D1" workbookViewId="0">
      <selection activeCell="H11" sqref="H11"/>
    </sheetView>
  </sheetViews>
  <sheetFormatPr defaultRowHeight="14.5" x14ac:dyDescent="0.35"/>
  <cols>
    <col min="1" max="1" width="7.1796875" bestFit="1" customWidth="1"/>
    <col min="2" max="2" width="7" bestFit="1" customWidth="1"/>
    <col min="3" max="3" width="10.81640625" bestFit="1" customWidth="1"/>
    <col min="4" max="4" width="10.1796875" bestFit="1" customWidth="1"/>
    <col min="5" max="5" width="18.1796875" bestFit="1" customWidth="1"/>
    <col min="6" max="6" width="20.54296875" bestFit="1" customWidth="1"/>
    <col min="7" max="7" width="5.453125" style="43" bestFit="1" customWidth="1"/>
    <col min="8" max="9" width="7.7265625" bestFit="1" customWidth="1"/>
    <col min="10" max="10" width="8.1796875" bestFit="1" customWidth="1"/>
    <col min="11" max="11" width="8.81640625" bestFit="1" customWidth="1"/>
    <col min="12" max="13" width="7.7265625" bestFit="1" customWidth="1"/>
    <col min="15" max="15" width="5.453125" bestFit="1" customWidth="1"/>
    <col min="16" max="17" width="7.7265625" bestFit="1" customWidth="1"/>
    <col min="18" max="18" width="8.1796875" bestFit="1" customWidth="1"/>
    <col min="19" max="19" width="8.81640625" bestFit="1" customWidth="1"/>
    <col min="20" max="21" width="7.7265625" bestFit="1" customWidth="1"/>
    <col min="23" max="23" width="8.54296875" bestFit="1" customWidth="1"/>
  </cols>
  <sheetData>
    <row r="1" spans="1:23" ht="15" thickBot="1" x14ac:dyDescent="0.4">
      <c r="G1" s="44" t="s">
        <v>0</v>
      </c>
      <c r="H1" s="45"/>
      <c r="I1" s="45"/>
      <c r="J1" s="45"/>
      <c r="K1" s="45"/>
      <c r="L1" s="45"/>
      <c r="M1" s="45"/>
      <c r="N1" s="46"/>
      <c r="O1" s="47" t="s">
        <v>1</v>
      </c>
      <c r="P1" s="48"/>
      <c r="Q1" s="48"/>
      <c r="R1" s="48"/>
      <c r="S1" s="48"/>
      <c r="T1" s="48"/>
      <c r="U1" s="48"/>
      <c r="V1" s="49"/>
    </row>
    <row r="2" spans="1:23" ht="16" thickBot="1" x14ac:dyDescent="0.4">
      <c r="E2" s="59" t="s">
        <v>45</v>
      </c>
      <c r="F2" s="60"/>
      <c r="G2" s="50" t="s">
        <v>2</v>
      </c>
      <c r="H2" s="51"/>
      <c r="I2" s="52"/>
      <c r="J2" s="51" t="s">
        <v>3</v>
      </c>
      <c r="K2" s="51"/>
      <c r="L2" s="52"/>
      <c r="M2" s="1"/>
      <c r="N2" s="2"/>
      <c r="O2" s="50" t="s">
        <v>2</v>
      </c>
      <c r="P2" s="51"/>
      <c r="Q2" s="52"/>
      <c r="R2" s="51" t="s">
        <v>3</v>
      </c>
      <c r="S2" s="51"/>
      <c r="T2" s="52"/>
      <c r="U2" s="1"/>
      <c r="V2" s="2"/>
    </row>
    <row r="3" spans="1:23" ht="29.5" thickBot="1" x14ac:dyDescent="0.4">
      <c r="A3" s="3" t="s">
        <v>4</v>
      </c>
      <c r="B3" s="4" t="s">
        <v>5</v>
      </c>
      <c r="C3" s="5" t="s">
        <v>6</v>
      </c>
      <c r="D3" s="5" t="s">
        <v>7</v>
      </c>
      <c r="E3" s="6" t="s">
        <v>8</v>
      </c>
      <c r="F3" s="7" t="s">
        <v>9</v>
      </c>
      <c r="G3" s="8" t="s">
        <v>10</v>
      </c>
      <c r="H3" s="9" t="s">
        <v>11</v>
      </c>
      <c r="I3" s="10" t="s">
        <v>12</v>
      </c>
      <c r="J3" s="11" t="s">
        <v>13</v>
      </c>
      <c r="K3" s="9" t="s">
        <v>14</v>
      </c>
      <c r="L3" s="10" t="s">
        <v>12</v>
      </c>
      <c r="M3" s="11" t="s">
        <v>15</v>
      </c>
      <c r="N3" s="10" t="s">
        <v>16</v>
      </c>
      <c r="O3" s="8" t="s">
        <v>10</v>
      </c>
      <c r="P3" s="9" t="s">
        <v>11</v>
      </c>
      <c r="Q3" s="10" t="s">
        <v>12</v>
      </c>
      <c r="R3" s="11" t="s">
        <v>13</v>
      </c>
      <c r="S3" s="9" t="s">
        <v>14</v>
      </c>
      <c r="T3" s="10" t="s">
        <v>12</v>
      </c>
      <c r="U3" s="11" t="s">
        <v>15</v>
      </c>
      <c r="V3" s="10" t="s">
        <v>16</v>
      </c>
      <c r="W3" s="10" t="s">
        <v>17</v>
      </c>
    </row>
    <row r="4" spans="1:23" ht="16.5" x14ac:dyDescent="0.45">
      <c r="A4" t="s">
        <v>20</v>
      </c>
      <c r="B4" s="32" t="s">
        <v>20</v>
      </c>
      <c r="C4" s="32" t="s">
        <v>21</v>
      </c>
      <c r="D4" s="32" t="s">
        <v>19</v>
      </c>
      <c r="E4" s="32" t="s">
        <v>22</v>
      </c>
      <c r="F4" s="33" t="s">
        <v>23</v>
      </c>
      <c r="G4" s="12">
        <v>50</v>
      </c>
      <c r="H4" s="13">
        <v>8</v>
      </c>
      <c r="I4" s="14">
        <f t="shared" ref="I4:I26" si="0">H4/G4</f>
        <v>0.16</v>
      </c>
      <c r="J4" s="15">
        <v>20</v>
      </c>
      <c r="K4" s="61">
        <v>12.5</v>
      </c>
      <c r="L4" s="14">
        <f t="shared" ref="L4:L24" si="1">K4/J4</f>
        <v>0.625</v>
      </c>
      <c r="M4" s="15">
        <f t="shared" ref="M4:N13" si="2">K4/H4</f>
        <v>1.5625</v>
      </c>
      <c r="N4" s="16">
        <f t="shared" si="2"/>
        <v>3.90625</v>
      </c>
      <c r="O4" s="12">
        <v>8</v>
      </c>
      <c r="P4" s="13">
        <v>12</v>
      </c>
      <c r="Q4" s="14">
        <f t="shared" ref="Q4:Q26" si="3">P4/O4</f>
        <v>1.5</v>
      </c>
      <c r="R4" s="62">
        <v>12.5</v>
      </c>
      <c r="S4" s="13">
        <v>12</v>
      </c>
      <c r="T4" s="14">
        <f t="shared" ref="T4:T13" si="4">S4/R4</f>
        <v>0.96</v>
      </c>
      <c r="U4" s="15">
        <f t="shared" ref="U4:V13" si="5">S4/P4</f>
        <v>1</v>
      </c>
      <c r="V4" s="16">
        <f t="shared" si="5"/>
        <v>0.64</v>
      </c>
      <c r="W4" s="16"/>
    </row>
    <row r="5" spans="1:23" ht="16.5" x14ac:dyDescent="0.45">
      <c r="A5" t="s">
        <v>20</v>
      </c>
      <c r="B5" s="34" t="s">
        <v>20</v>
      </c>
      <c r="C5" s="34" t="s">
        <v>21</v>
      </c>
      <c r="D5" s="34" t="s">
        <v>19</v>
      </c>
      <c r="E5" s="34" t="s">
        <v>22</v>
      </c>
      <c r="F5" s="35" t="s">
        <v>24</v>
      </c>
      <c r="G5" s="17">
        <v>50</v>
      </c>
      <c r="H5" s="18">
        <v>3</v>
      </c>
      <c r="I5" s="19">
        <f t="shared" si="0"/>
        <v>0.06</v>
      </c>
      <c r="J5" s="20">
        <v>20</v>
      </c>
      <c r="K5" s="18">
        <v>18</v>
      </c>
      <c r="L5" s="19">
        <f t="shared" si="1"/>
        <v>0.9</v>
      </c>
      <c r="M5" s="20">
        <f t="shared" si="2"/>
        <v>6</v>
      </c>
      <c r="N5" s="21">
        <f t="shared" si="2"/>
        <v>15.000000000000002</v>
      </c>
      <c r="O5" s="17">
        <v>3</v>
      </c>
      <c r="P5" s="18">
        <v>2</v>
      </c>
      <c r="Q5" s="19">
        <f t="shared" si="3"/>
        <v>0.66666666666666663</v>
      </c>
      <c r="R5" s="20">
        <v>18</v>
      </c>
      <c r="S5" s="18">
        <v>17</v>
      </c>
      <c r="T5" s="19">
        <f t="shared" si="4"/>
        <v>0.94444444444444442</v>
      </c>
      <c r="U5" s="20">
        <f t="shared" si="5"/>
        <v>8.5</v>
      </c>
      <c r="V5" s="21">
        <f t="shared" si="5"/>
        <v>1.4166666666666667</v>
      </c>
      <c r="W5" s="21"/>
    </row>
    <row r="6" spans="1:23" ht="16.5" x14ac:dyDescent="0.45">
      <c r="A6" t="s">
        <v>20</v>
      </c>
      <c r="B6" s="34" t="s">
        <v>20</v>
      </c>
      <c r="C6" s="34" t="s">
        <v>21</v>
      </c>
      <c r="D6" s="34" t="s">
        <v>19</v>
      </c>
      <c r="E6" s="34" t="s">
        <v>22</v>
      </c>
      <c r="F6" s="35" t="s">
        <v>25</v>
      </c>
      <c r="G6" s="17">
        <v>50</v>
      </c>
      <c r="H6" s="18">
        <v>6</v>
      </c>
      <c r="I6" s="19">
        <f t="shared" si="0"/>
        <v>0.12</v>
      </c>
      <c r="J6" s="20">
        <v>20</v>
      </c>
      <c r="K6" s="18">
        <v>3.2</v>
      </c>
      <c r="L6" s="19">
        <f t="shared" si="1"/>
        <v>0.16</v>
      </c>
      <c r="M6" s="20">
        <f t="shared" si="2"/>
        <v>0.53333333333333333</v>
      </c>
      <c r="N6" s="21">
        <f t="shared" si="2"/>
        <v>1.3333333333333335</v>
      </c>
      <c r="O6" s="17">
        <v>6</v>
      </c>
      <c r="P6" s="18">
        <v>2</v>
      </c>
      <c r="Q6" s="19">
        <f t="shared" si="3"/>
        <v>0.33333333333333331</v>
      </c>
      <c r="R6" s="20">
        <v>2</v>
      </c>
      <c r="S6" s="63">
        <v>1.6</v>
      </c>
      <c r="T6" s="19">
        <f t="shared" si="4"/>
        <v>0.8</v>
      </c>
      <c r="U6" s="20">
        <f t="shared" si="5"/>
        <v>0.8</v>
      </c>
      <c r="V6" s="21">
        <f t="shared" si="5"/>
        <v>2.4000000000000004</v>
      </c>
      <c r="W6" s="21"/>
    </row>
    <row r="7" spans="1:23" ht="16.5" x14ac:dyDescent="0.45">
      <c r="A7" t="s">
        <v>20</v>
      </c>
      <c r="B7" s="34" t="s">
        <v>20</v>
      </c>
      <c r="C7" s="34" t="s">
        <v>21</v>
      </c>
      <c r="D7" s="34" t="s">
        <v>19</v>
      </c>
      <c r="E7" s="34" t="s">
        <v>22</v>
      </c>
      <c r="F7" s="35" t="s">
        <v>26</v>
      </c>
      <c r="G7" s="17">
        <v>50</v>
      </c>
      <c r="H7" s="18">
        <v>4</v>
      </c>
      <c r="I7" s="19">
        <f t="shared" si="0"/>
        <v>0.08</v>
      </c>
      <c r="J7" s="20">
        <v>20</v>
      </c>
      <c r="K7" s="18">
        <v>12</v>
      </c>
      <c r="L7" s="19">
        <f t="shared" si="1"/>
        <v>0.6</v>
      </c>
      <c r="M7" s="20">
        <f t="shared" si="2"/>
        <v>3</v>
      </c>
      <c r="N7" s="21">
        <f t="shared" si="2"/>
        <v>7.5</v>
      </c>
      <c r="O7" s="17">
        <v>4</v>
      </c>
      <c r="P7" s="18">
        <v>3</v>
      </c>
      <c r="Q7" s="19">
        <f t="shared" si="3"/>
        <v>0.75</v>
      </c>
      <c r="R7" s="20">
        <v>12</v>
      </c>
      <c r="S7" s="18">
        <v>11</v>
      </c>
      <c r="T7" s="19">
        <f t="shared" si="4"/>
        <v>0.91666666666666663</v>
      </c>
      <c r="U7" s="20">
        <f t="shared" si="5"/>
        <v>3.6666666666666665</v>
      </c>
      <c r="V7" s="21">
        <f t="shared" si="5"/>
        <v>1.2222222222222221</v>
      </c>
      <c r="W7" s="21"/>
    </row>
    <row r="8" spans="1:23" ht="16.5" x14ac:dyDescent="0.45">
      <c r="A8" t="s">
        <v>20</v>
      </c>
      <c r="B8" s="34" t="s">
        <v>20</v>
      </c>
      <c r="C8" s="34" t="s">
        <v>21</v>
      </c>
      <c r="D8" s="34" t="s">
        <v>19</v>
      </c>
      <c r="E8" s="34" t="s">
        <v>22</v>
      </c>
      <c r="F8" s="35" t="s">
        <v>27</v>
      </c>
      <c r="G8" s="17">
        <v>50</v>
      </c>
      <c r="H8" s="18">
        <v>6</v>
      </c>
      <c r="I8" s="19">
        <f t="shared" si="0"/>
        <v>0.12</v>
      </c>
      <c r="J8" s="20">
        <v>20</v>
      </c>
      <c r="K8" s="18">
        <v>9</v>
      </c>
      <c r="L8" s="19">
        <f t="shared" si="1"/>
        <v>0.45</v>
      </c>
      <c r="M8" s="20">
        <f t="shared" si="2"/>
        <v>1.5</v>
      </c>
      <c r="N8" s="21">
        <f t="shared" si="2"/>
        <v>3.7500000000000004</v>
      </c>
      <c r="O8" s="17">
        <v>6</v>
      </c>
      <c r="P8" s="18">
        <v>4</v>
      </c>
      <c r="Q8" s="19">
        <f t="shared" si="3"/>
        <v>0.66666666666666663</v>
      </c>
      <c r="R8" s="20">
        <v>9</v>
      </c>
      <c r="S8" s="18">
        <v>7</v>
      </c>
      <c r="T8" s="19">
        <f t="shared" si="4"/>
        <v>0.77777777777777779</v>
      </c>
      <c r="U8" s="20">
        <f t="shared" si="5"/>
        <v>1.75</v>
      </c>
      <c r="V8" s="21">
        <f t="shared" si="5"/>
        <v>1.1666666666666667</v>
      </c>
      <c r="W8" s="21"/>
    </row>
    <row r="9" spans="1:23" ht="16.5" x14ac:dyDescent="0.45">
      <c r="A9" t="s">
        <v>20</v>
      </c>
      <c r="B9" s="34" t="s">
        <v>20</v>
      </c>
      <c r="C9" s="34" t="s">
        <v>21</v>
      </c>
      <c r="D9" s="34" t="s">
        <v>19</v>
      </c>
      <c r="E9" s="34" t="s">
        <v>22</v>
      </c>
      <c r="F9" s="35" t="s">
        <v>44</v>
      </c>
      <c r="G9" s="17">
        <v>0</v>
      </c>
      <c r="H9" s="18">
        <v>0</v>
      </c>
      <c r="I9" s="19" t="e">
        <f t="shared" si="0"/>
        <v>#DIV/0!</v>
      </c>
      <c r="J9" s="20">
        <v>0</v>
      </c>
      <c r="K9" s="18">
        <v>0</v>
      </c>
      <c r="L9" s="19" t="e">
        <f t="shared" si="1"/>
        <v>#DIV/0!</v>
      </c>
      <c r="M9" s="20" t="e">
        <f t="shared" si="2"/>
        <v>#DIV/0!</v>
      </c>
      <c r="N9" s="21" t="e">
        <f t="shared" si="2"/>
        <v>#DIV/0!</v>
      </c>
      <c r="O9" s="17">
        <v>0</v>
      </c>
      <c r="P9" s="18">
        <v>0</v>
      </c>
      <c r="Q9" s="19" t="e">
        <f t="shared" si="3"/>
        <v>#DIV/0!</v>
      </c>
      <c r="R9" s="20">
        <v>0</v>
      </c>
      <c r="S9" s="18">
        <v>0</v>
      </c>
      <c r="T9" s="19" t="e">
        <f t="shared" si="4"/>
        <v>#DIV/0!</v>
      </c>
      <c r="U9" s="20" t="e">
        <f t="shared" si="5"/>
        <v>#DIV/0!</v>
      </c>
      <c r="V9" s="21" t="e">
        <f t="shared" si="5"/>
        <v>#DIV/0!</v>
      </c>
      <c r="W9" s="21"/>
    </row>
    <row r="10" spans="1:23" ht="16.5" x14ac:dyDescent="0.45">
      <c r="A10" t="s">
        <v>20</v>
      </c>
      <c r="B10" s="34" t="s">
        <v>20</v>
      </c>
      <c r="C10" s="34" t="s">
        <v>21</v>
      </c>
      <c r="D10" s="34" t="s">
        <v>19</v>
      </c>
      <c r="E10" s="34" t="s">
        <v>22</v>
      </c>
      <c r="F10" s="35" t="s">
        <v>28</v>
      </c>
      <c r="G10" s="17">
        <v>0</v>
      </c>
      <c r="H10" s="18">
        <v>0</v>
      </c>
      <c r="I10" s="19" t="e">
        <f t="shared" si="0"/>
        <v>#DIV/0!</v>
      </c>
      <c r="J10" s="20">
        <v>0</v>
      </c>
      <c r="K10" s="18">
        <v>0</v>
      </c>
      <c r="L10" s="19" t="e">
        <f t="shared" si="1"/>
        <v>#DIV/0!</v>
      </c>
      <c r="M10" s="20" t="e">
        <f t="shared" si="2"/>
        <v>#DIV/0!</v>
      </c>
      <c r="N10" s="21" t="e">
        <f t="shared" si="2"/>
        <v>#DIV/0!</v>
      </c>
      <c r="O10" s="17">
        <v>0</v>
      </c>
      <c r="P10" s="18">
        <v>0</v>
      </c>
      <c r="Q10" s="19" t="e">
        <f t="shared" si="3"/>
        <v>#DIV/0!</v>
      </c>
      <c r="R10" s="20">
        <v>0</v>
      </c>
      <c r="S10" s="18">
        <v>0</v>
      </c>
      <c r="T10" s="19" t="e">
        <f t="shared" si="4"/>
        <v>#DIV/0!</v>
      </c>
      <c r="U10" s="20" t="e">
        <f t="shared" si="5"/>
        <v>#DIV/0!</v>
      </c>
      <c r="V10" s="21" t="e">
        <f t="shared" si="5"/>
        <v>#DIV/0!</v>
      </c>
      <c r="W10" s="21"/>
    </row>
    <row r="11" spans="1:23" ht="16.5" x14ac:dyDescent="0.45">
      <c r="A11" t="s">
        <v>20</v>
      </c>
      <c r="B11" s="34" t="s">
        <v>20</v>
      </c>
      <c r="C11" s="34" t="s">
        <v>21</v>
      </c>
      <c r="D11" s="34" t="s">
        <v>19</v>
      </c>
      <c r="E11" s="34" t="s">
        <v>22</v>
      </c>
      <c r="F11" s="35" t="s">
        <v>29</v>
      </c>
      <c r="G11" s="17">
        <v>10</v>
      </c>
      <c r="H11" s="18">
        <v>4</v>
      </c>
      <c r="I11" s="19">
        <f t="shared" si="0"/>
        <v>0.4</v>
      </c>
      <c r="J11" s="20">
        <v>220</v>
      </c>
      <c r="K11" s="18">
        <v>200</v>
      </c>
      <c r="L11" s="19">
        <f t="shared" si="1"/>
        <v>0.90909090909090906</v>
      </c>
      <c r="M11" s="20">
        <f t="shared" si="2"/>
        <v>50</v>
      </c>
      <c r="N11" s="21">
        <f t="shared" si="2"/>
        <v>2.2727272727272725</v>
      </c>
      <c r="O11" s="17">
        <v>2</v>
      </c>
      <c r="P11" s="18">
        <v>2</v>
      </c>
      <c r="Q11" s="19">
        <f t="shared" si="3"/>
        <v>1</v>
      </c>
      <c r="R11" s="20">
        <v>200</v>
      </c>
      <c r="S11" s="18">
        <v>124</v>
      </c>
      <c r="T11" s="19">
        <f t="shared" si="4"/>
        <v>0.62</v>
      </c>
      <c r="U11" s="20">
        <f t="shared" si="5"/>
        <v>62</v>
      </c>
      <c r="V11" s="21">
        <f t="shared" si="5"/>
        <v>0.62</v>
      </c>
      <c r="W11" s="21"/>
    </row>
    <row r="12" spans="1:23" ht="16.5" x14ac:dyDescent="0.45">
      <c r="A12" t="s">
        <v>20</v>
      </c>
      <c r="B12" s="34" t="s">
        <v>20</v>
      </c>
      <c r="C12" s="34" t="s">
        <v>21</v>
      </c>
      <c r="D12" s="34" t="s">
        <v>19</v>
      </c>
      <c r="E12" s="34" t="s">
        <v>22</v>
      </c>
      <c r="F12" s="35" t="s">
        <v>30</v>
      </c>
      <c r="G12" s="17">
        <v>50</v>
      </c>
      <c r="H12" s="18">
        <v>4</v>
      </c>
      <c r="I12" s="19">
        <f t="shared" si="0"/>
        <v>0.08</v>
      </c>
      <c r="J12" s="20"/>
      <c r="K12" s="18"/>
      <c r="L12" s="19" t="e">
        <f t="shared" si="1"/>
        <v>#DIV/0!</v>
      </c>
      <c r="M12" s="20"/>
      <c r="N12" s="21"/>
      <c r="O12" s="17">
        <v>4</v>
      </c>
      <c r="P12" s="18">
        <v>2</v>
      </c>
      <c r="Q12" s="19">
        <f t="shared" si="3"/>
        <v>0.5</v>
      </c>
      <c r="R12" s="20"/>
      <c r="S12" s="18"/>
      <c r="T12" s="19" t="e">
        <f t="shared" si="4"/>
        <v>#DIV/0!</v>
      </c>
      <c r="U12" s="20">
        <f t="shared" si="5"/>
        <v>0</v>
      </c>
      <c r="V12" s="21" t="e">
        <f t="shared" si="5"/>
        <v>#DIV/0!</v>
      </c>
      <c r="W12" s="21"/>
    </row>
    <row r="13" spans="1:23" ht="16.5" x14ac:dyDescent="0.45">
      <c r="A13" t="s">
        <v>20</v>
      </c>
      <c r="B13" s="34" t="s">
        <v>20</v>
      </c>
      <c r="C13" s="34" t="s">
        <v>21</v>
      </c>
      <c r="D13" s="34" t="s">
        <v>19</v>
      </c>
      <c r="E13" s="34" t="s">
        <v>22</v>
      </c>
      <c r="F13" s="35" t="s">
        <v>28</v>
      </c>
      <c r="G13" s="17">
        <v>0</v>
      </c>
      <c r="H13" s="18">
        <v>0</v>
      </c>
      <c r="I13" s="19" t="e">
        <f t="shared" si="0"/>
        <v>#DIV/0!</v>
      </c>
      <c r="J13" s="20">
        <v>0</v>
      </c>
      <c r="K13" s="18">
        <v>0</v>
      </c>
      <c r="L13" s="19" t="e">
        <f t="shared" si="1"/>
        <v>#DIV/0!</v>
      </c>
      <c r="M13" s="20" t="e">
        <f t="shared" si="2"/>
        <v>#DIV/0!</v>
      </c>
      <c r="N13" s="21" t="e">
        <f t="shared" si="2"/>
        <v>#DIV/0!</v>
      </c>
      <c r="O13" s="17">
        <v>1</v>
      </c>
      <c r="P13" s="18">
        <v>1</v>
      </c>
      <c r="Q13" s="19">
        <f t="shared" si="3"/>
        <v>1</v>
      </c>
      <c r="R13" s="20">
        <v>0</v>
      </c>
      <c r="S13" s="18">
        <v>0</v>
      </c>
      <c r="T13" s="19" t="e">
        <f t="shared" si="4"/>
        <v>#DIV/0!</v>
      </c>
      <c r="U13" s="20">
        <f t="shared" si="5"/>
        <v>0</v>
      </c>
      <c r="V13" s="21" t="e">
        <f t="shared" si="5"/>
        <v>#DIV/0!</v>
      </c>
      <c r="W13" s="21"/>
    </row>
    <row r="14" spans="1:23" x14ac:dyDescent="0.35">
      <c r="A14" t="s">
        <v>20</v>
      </c>
      <c r="B14" s="34" t="s">
        <v>20</v>
      </c>
      <c r="C14" s="34" t="s">
        <v>21</v>
      </c>
      <c r="D14" s="53" t="s">
        <v>18</v>
      </c>
      <c r="E14" s="53"/>
      <c r="F14" s="54"/>
      <c r="G14" s="22">
        <f>SUM(G4:G13)</f>
        <v>310</v>
      </c>
      <c r="H14" s="23">
        <f t="shared" ref="H14:K14" si="6">SUM(H4:H13)</f>
        <v>35</v>
      </c>
      <c r="I14" s="24">
        <f t="shared" si="0"/>
        <v>0.11290322580645161</v>
      </c>
      <c r="J14" s="25">
        <f t="shared" si="6"/>
        <v>320</v>
      </c>
      <c r="K14" s="23">
        <f t="shared" si="6"/>
        <v>254.7</v>
      </c>
      <c r="L14" s="24">
        <f>K14/J14</f>
        <v>0.79593749999999996</v>
      </c>
      <c r="M14" s="25">
        <f>K14/H14</f>
        <v>7.2771428571428567</v>
      </c>
      <c r="N14" s="26" t="e">
        <f>AVERAGE(N4:N13)</f>
        <v>#DIV/0!</v>
      </c>
      <c r="O14" s="22">
        <f>SUM(O4:O13)</f>
        <v>34</v>
      </c>
      <c r="P14" s="23">
        <f t="shared" ref="P14" si="7">SUM(P4:P13)</f>
        <v>28</v>
      </c>
      <c r="Q14" s="24">
        <f t="shared" si="3"/>
        <v>0.82352941176470584</v>
      </c>
      <c r="R14" s="25">
        <f t="shared" ref="R14:S14" si="8">SUM(R4:R13)</f>
        <v>253.5</v>
      </c>
      <c r="S14" s="23">
        <f t="shared" si="8"/>
        <v>172.6</v>
      </c>
      <c r="T14" s="24">
        <f>S14/R14</f>
        <v>0.68086785009861928</v>
      </c>
      <c r="U14" s="25">
        <f>S14/P14</f>
        <v>6.1642857142857137</v>
      </c>
      <c r="V14" s="26" t="e">
        <f>AVERAGE(V4:V13)</f>
        <v>#DIV/0!</v>
      </c>
      <c r="W14" s="26"/>
    </row>
    <row r="15" spans="1:23" ht="16.5" x14ac:dyDescent="0.45">
      <c r="A15" t="s">
        <v>20</v>
      </c>
      <c r="B15" s="34" t="s">
        <v>20</v>
      </c>
      <c r="C15" s="34" t="s">
        <v>21</v>
      </c>
      <c r="D15" s="34" t="s">
        <v>31</v>
      </c>
      <c r="E15" s="34" t="s">
        <v>32</v>
      </c>
      <c r="F15" s="36" t="s">
        <v>33</v>
      </c>
      <c r="G15" s="17">
        <v>1</v>
      </c>
      <c r="H15" s="18">
        <v>1</v>
      </c>
      <c r="I15" s="19">
        <f t="shared" si="0"/>
        <v>1</v>
      </c>
      <c r="J15" s="20">
        <v>1</v>
      </c>
      <c r="K15" s="18">
        <v>1</v>
      </c>
      <c r="L15" s="19">
        <f t="shared" si="1"/>
        <v>1</v>
      </c>
      <c r="M15" s="20">
        <f t="shared" ref="M15:M19" si="9">K15/H15</f>
        <v>1</v>
      </c>
      <c r="N15" s="21">
        <v>1</v>
      </c>
      <c r="O15" s="17">
        <v>1</v>
      </c>
      <c r="P15" s="18">
        <v>1</v>
      </c>
      <c r="Q15" s="19">
        <f t="shared" si="3"/>
        <v>1</v>
      </c>
      <c r="R15" s="20">
        <v>1</v>
      </c>
      <c r="S15" s="18">
        <v>1</v>
      </c>
      <c r="T15" s="19">
        <f t="shared" ref="T15:T19" si="10">S15/R15</f>
        <v>1</v>
      </c>
      <c r="U15" s="20">
        <f t="shared" ref="U15:U19" si="11">S15/P15</f>
        <v>1</v>
      </c>
      <c r="V15" s="21">
        <v>1</v>
      </c>
      <c r="W15" s="21"/>
    </row>
    <row r="16" spans="1:23" ht="16.5" x14ac:dyDescent="0.45">
      <c r="A16" t="s">
        <v>20</v>
      </c>
      <c r="B16" s="34" t="s">
        <v>20</v>
      </c>
      <c r="C16" s="34" t="s">
        <v>21</v>
      </c>
      <c r="D16" s="34" t="s">
        <v>31</v>
      </c>
      <c r="E16" s="34" t="s">
        <v>32</v>
      </c>
      <c r="F16" s="36" t="s">
        <v>34</v>
      </c>
      <c r="G16" s="17">
        <v>1</v>
      </c>
      <c r="H16" s="18">
        <v>1</v>
      </c>
      <c r="I16" s="19">
        <f t="shared" si="0"/>
        <v>1</v>
      </c>
      <c r="J16" s="20">
        <v>1</v>
      </c>
      <c r="K16" s="18">
        <v>1</v>
      </c>
      <c r="L16" s="19">
        <f t="shared" si="1"/>
        <v>1</v>
      </c>
      <c r="M16" s="20">
        <f t="shared" si="9"/>
        <v>1</v>
      </c>
      <c r="N16" s="21">
        <v>1</v>
      </c>
      <c r="O16" s="17">
        <v>1</v>
      </c>
      <c r="P16" s="18">
        <v>1</v>
      </c>
      <c r="Q16" s="19">
        <f t="shared" si="3"/>
        <v>1</v>
      </c>
      <c r="R16" s="20">
        <v>1</v>
      </c>
      <c r="S16" s="18">
        <v>1</v>
      </c>
      <c r="T16" s="19">
        <f t="shared" si="10"/>
        <v>1</v>
      </c>
      <c r="U16" s="20">
        <f t="shared" si="11"/>
        <v>1</v>
      </c>
      <c r="V16" s="21">
        <v>1</v>
      </c>
      <c r="W16" s="21"/>
    </row>
    <row r="17" spans="1:23" ht="16.5" x14ac:dyDescent="0.45">
      <c r="A17" t="s">
        <v>20</v>
      </c>
      <c r="B17" s="34" t="s">
        <v>20</v>
      </c>
      <c r="C17" s="34" t="s">
        <v>21</v>
      </c>
      <c r="D17" s="34" t="s">
        <v>31</v>
      </c>
      <c r="E17" s="34" t="s">
        <v>32</v>
      </c>
      <c r="F17" s="36" t="s">
        <v>35</v>
      </c>
      <c r="G17" s="17">
        <v>1</v>
      </c>
      <c r="H17" s="18">
        <v>1</v>
      </c>
      <c r="I17" s="19">
        <f t="shared" si="0"/>
        <v>1</v>
      </c>
      <c r="J17" s="20">
        <v>1</v>
      </c>
      <c r="K17" s="18">
        <v>1</v>
      </c>
      <c r="L17" s="19">
        <f t="shared" si="1"/>
        <v>1</v>
      </c>
      <c r="M17" s="20">
        <f t="shared" si="9"/>
        <v>1</v>
      </c>
      <c r="N17" s="21">
        <v>1</v>
      </c>
      <c r="O17" s="17">
        <v>1</v>
      </c>
      <c r="P17" s="18">
        <v>1</v>
      </c>
      <c r="Q17" s="19">
        <f t="shared" si="3"/>
        <v>1</v>
      </c>
      <c r="R17" s="20">
        <v>1</v>
      </c>
      <c r="S17" s="18">
        <v>1</v>
      </c>
      <c r="T17" s="19">
        <f t="shared" si="10"/>
        <v>1</v>
      </c>
      <c r="U17" s="20">
        <f t="shared" si="11"/>
        <v>1</v>
      </c>
      <c r="V17" s="21">
        <v>1</v>
      </c>
      <c r="W17" s="21"/>
    </row>
    <row r="18" spans="1:23" ht="16.5" x14ac:dyDescent="0.45">
      <c r="A18" t="s">
        <v>20</v>
      </c>
      <c r="B18" s="34" t="s">
        <v>20</v>
      </c>
      <c r="C18" s="34" t="s">
        <v>21</v>
      </c>
      <c r="D18" s="34" t="s">
        <v>31</v>
      </c>
      <c r="E18" s="34" t="s">
        <v>32</v>
      </c>
      <c r="F18" s="36" t="s">
        <v>36</v>
      </c>
      <c r="G18" s="17">
        <v>1</v>
      </c>
      <c r="H18" s="18">
        <v>1</v>
      </c>
      <c r="I18" s="19">
        <f t="shared" si="0"/>
        <v>1</v>
      </c>
      <c r="J18" s="20">
        <v>1</v>
      </c>
      <c r="K18" s="18">
        <v>1</v>
      </c>
      <c r="L18" s="19">
        <f t="shared" si="1"/>
        <v>1</v>
      </c>
      <c r="M18" s="20">
        <f t="shared" si="9"/>
        <v>1</v>
      </c>
      <c r="N18" s="21">
        <v>1</v>
      </c>
      <c r="O18" s="17">
        <v>1</v>
      </c>
      <c r="P18" s="18">
        <v>1</v>
      </c>
      <c r="Q18" s="19">
        <f t="shared" si="3"/>
        <v>1</v>
      </c>
      <c r="R18" s="20">
        <v>1</v>
      </c>
      <c r="S18" s="18">
        <v>1</v>
      </c>
      <c r="T18" s="19">
        <f t="shared" si="10"/>
        <v>1</v>
      </c>
      <c r="U18" s="20">
        <f t="shared" si="11"/>
        <v>1</v>
      </c>
      <c r="V18" s="21">
        <v>1</v>
      </c>
      <c r="W18" s="21"/>
    </row>
    <row r="19" spans="1:23" ht="16.5" x14ac:dyDescent="0.45">
      <c r="A19" t="s">
        <v>20</v>
      </c>
      <c r="B19" s="34" t="s">
        <v>20</v>
      </c>
      <c r="C19" s="34" t="s">
        <v>21</v>
      </c>
      <c r="D19" s="34" t="s">
        <v>31</v>
      </c>
      <c r="E19" s="34" t="s">
        <v>32</v>
      </c>
      <c r="F19" s="36" t="s">
        <v>41</v>
      </c>
      <c r="G19" s="17">
        <v>1</v>
      </c>
      <c r="H19" s="18">
        <v>1</v>
      </c>
      <c r="I19" s="19">
        <f t="shared" si="0"/>
        <v>1</v>
      </c>
      <c r="J19" s="20">
        <v>1</v>
      </c>
      <c r="K19" s="18">
        <v>1</v>
      </c>
      <c r="L19" s="19">
        <f t="shared" si="1"/>
        <v>1</v>
      </c>
      <c r="M19" s="20">
        <f t="shared" si="9"/>
        <v>1</v>
      </c>
      <c r="N19" s="21">
        <v>1</v>
      </c>
      <c r="O19" s="17">
        <v>1</v>
      </c>
      <c r="P19" s="18">
        <v>1</v>
      </c>
      <c r="Q19" s="19">
        <f t="shared" si="3"/>
        <v>1</v>
      </c>
      <c r="R19" s="20">
        <v>1</v>
      </c>
      <c r="S19" s="18">
        <v>1</v>
      </c>
      <c r="T19" s="19">
        <f t="shared" si="10"/>
        <v>1</v>
      </c>
      <c r="U19" s="20">
        <f t="shared" si="11"/>
        <v>1</v>
      </c>
      <c r="V19" s="21">
        <v>1</v>
      </c>
      <c r="W19" s="21"/>
    </row>
    <row r="20" spans="1:23" x14ac:dyDescent="0.35">
      <c r="A20" t="s">
        <v>20</v>
      </c>
      <c r="B20" s="34" t="s">
        <v>20</v>
      </c>
      <c r="C20" s="34" t="s">
        <v>21</v>
      </c>
      <c r="D20" s="53" t="s">
        <v>18</v>
      </c>
      <c r="E20" s="53"/>
      <c r="F20" s="54"/>
      <c r="G20" s="22">
        <f>SUM(G15:G19)</f>
        <v>5</v>
      </c>
      <c r="H20" s="23">
        <f t="shared" ref="H20:K20" si="12">SUM(H15:H19)</f>
        <v>5</v>
      </c>
      <c r="I20" s="24">
        <f t="shared" si="0"/>
        <v>1</v>
      </c>
      <c r="J20" s="25">
        <f t="shared" si="12"/>
        <v>5</v>
      </c>
      <c r="K20" s="23">
        <f t="shared" si="12"/>
        <v>5</v>
      </c>
      <c r="L20" s="24">
        <f>K20/J20</f>
        <v>1</v>
      </c>
      <c r="M20" s="25">
        <f>K20/H20</f>
        <v>1</v>
      </c>
      <c r="N20" s="26">
        <f>AVERAGE(N15:N19)</f>
        <v>1</v>
      </c>
      <c r="O20" s="22">
        <f>SUM(O15:O19)</f>
        <v>5</v>
      </c>
      <c r="P20" s="23">
        <f t="shared" ref="P20" si="13">SUM(P15:P19)</f>
        <v>5</v>
      </c>
      <c r="Q20" s="24">
        <f t="shared" si="3"/>
        <v>1</v>
      </c>
      <c r="R20" s="25">
        <f t="shared" ref="R20:S20" si="14">SUM(R15:R19)</f>
        <v>5</v>
      </c>
      <c r="S20" s="23">
        <f t="shared" si="14"/>
        <v>5</v>
      </c>
      <c r="T20" s="24">
        <f>S20/R20</f>
        <v>1</v>
      </c>
      <c r="U20" s="25">
        <f>S20/P20</f>
        <v>1</v>
      </c>
      <c r="V20" s="26">
        <f>AVERAGE(V15:V19)</f>
        <v>1</v>
      </c>
      <c r="W20" s="26"/>
    </row>
    <row r="21" spans="1:23" ht="16.5" x14ac:dyDescent="0.45">
      <c r="A21" t="s">
        <v>20</v>
      </c>
      <c r="B21" s="34" t="s">
        <v>20</v>
      </c>
      <c r="C21" s="34" t="s">
        <v>21</v>
      </c>
      <c r="D21" s="34" t="s">
        <v>37</v>
      </c>
      <c r="E21" s="34" t="s">
        <v>38</v>
      </c>
      <c r="F21" s="36" t="s">
        <v>42</v>
      </c>
      <c r="G21" s="17">
        <v>1</v>
      </c>
      <c r="H21" s="18">
        <v>1</v>
      </c>
      <c r="I21" s="19">
        <f t="shared" si="0"/>
        <v>1</v>
      </c>
      <c r="J21" s="20">
        <v>1</v>
      </c>
      <c r="K21" s="18">
        <v>1</v>
      </c>
      <c r="L21" s="19">
        <f t="shared" si="1"/>
        <v>1</v>
      </c>
      <c r="M21" s="20">
        <f t="shared" ref="M21:M24" si="15">K21/H21</f>
        <v>1</v>
      </c>
      <c r="N21" s="21">
        <v>1</v>
      </c>
      <c r="O21" s="17">
        <v>1</v>
      </c>
      <c r="P21" s="18">
        <v>1</v>
      </c>
      <c r="Q21" s="19">
        <f t="shared" si="3"/>
        <v>1</v>
      </c>
      <c r="R21" s="20">
        <v>1</v>
      </c>
      <c r="S21" s="18">
        <v>1</v>
      </c>
      <c r="T21" s="19">
        <f t="shared" ref="T21:T24" si="16">S21/R21</f>
        <v>1</v>
      </c>
      <c r="U21" s="20">
        <f t="shared" ref="U21:U24" si="17">S21/P21</f>
        <v>1</v>
      </c>
      <c r="V21" s="21">
        <v>1</v>
      </c>
      <c r="W21" s="21"/>
    </row>
    <row r="22" spans="1:23" ht="16.5" x14ac:dyDescent="0.45">
      <c r="A22" t="s">
        <v>20</v>
      </c>
      <c r="B22" s="34" t="s">
        <v>20</v>
      </c>
      <c r="C22" s="34" t="s">
        <v>21</v>
      </c>
      <c r="D22" s="34" t="s">
        <v>37</v>
      </c>
      <c r="E22" s="34" t="s">
        <v>38</v>
      </c>
      <c r="F22" s="36" t="s">
        <v>43</v>
      </c>
      <c r="G22" s="17">
        <v>1</v>
      </c>
      <c r="H22" s="18">
        <v>1</v>
      </c>
      <c r="I22" s="19">
        <f t="shared" si="0"/>
        <v>1</v>
      </c>
      <c r="J22" s="20">
        <v>1</v>
      </c>
      <c r="K22" s="18">
        <v>1</v>
      </c>
      <c r="L22" s="19">
        <f t="shared" si="1"/>
        <v>1</v>
      </c>
      <c r="M22" s="20">
        <f t="shared" si="15"/>
        <v>1</v>
      </c>
      <c r="N22" s="21">
        <v>1</v>
      </c>
      <c r="O22" s="17">
        <v>1</v>
      </c>
      <c r="P22" s="18">
        <v>1</v>
      </c>
      <c r="Q22" s="19">
        <f t="shared" si="3"/>
        <v>1</v>
      </c>
      <c r="R22" s="20">
        <v>1</v>
      </c>
      <c r="S22" s="18">
        <v>1</v>
      </c>
      <c r="T22" s="19">
        <f t="shared" si="16"/>
        <v>1</v>
      </c>
      <c r="U22" s="20">
        <f t="shared" si="17"/>
        <v>1</v>
      </c>
      <c r="V22" s="21">
        <v>1</v>
      </c>
      <c r="W22" s="21"/>
    </row>
    <row r="23" spans="1:23" ht="16.5" x14ac:dyDescent="0.45">
      <c r="A23" t="s">
        <v>20</v>
      </c>
      <c r="B23" s="34" t="s">
        <v>20</v>
      </c>
      <c r="C23" s="34" t="s">
        <v>21</v>
      </c>
      <c r="D23" s="34" t="s">
        <v>37</v>
      </c>
      <c r="E23" s="34" t="s">
        <v>38</v>
      </c>
      <c r="F23" s="36" t="s">
        <v>39</v>
      </c>
      <c r="G23" s="17">
        <v>1</v>
      </c>
      <c r="H23" s="18">
        <v>1</v>
      </c>
      <c r="I23" s="19">
        <f t="shared" si="0"/>
        <v>1</v>
      </c>
      <c r="J23" s="20">
        <v>1</v>
      </c>
      <c r="K23" s="18">
        <v>1</v>
      </c>
      <c r="L23" s="19">
        <f t="shared" si="1"/>
        <v>1</v>
      </c>
      <c r="M23" s="20">
        <f t="shared" si="15"/>
        <v>1</v>
      </c>
      <c r="N23" s="21">
        <v>1</v>
      </c>
      <c r="O23" s="17">
        <v>1</v>
      </c>
      <c r="P23" s="18">
        <v>1</v>
      </c>
      <c r="Q23" s="19">
        <f t="shared" si="3"/>
        <v>1</v>
      </c>
      <c r="R23" s="20">
        <v>1</v>
      </c>
      <c r="S23" s="18">
        <v>1</v>
      </c>
      <c r="T23" s="19">
        <f t="shared" si="16"/>
        <v>1</v>
      </c>
      <c r="U23" s="20">
        <f t="shared" si="17"/>
        <v>1</v>
      </c>
      <c r="V23" s="21">
        <v>1</v>
      </c>
      <c r="W23" s="21"/>
    </row>
    <row r="24" spans="1:23" ht="16.5" x14ac:dyDescent="0.45">
      <c r="A24" t="s">
        <v>20</v>
      </c>
      <c r="B24" s="34" t="s">
        <v>20</v>
      </c>
      <c r="C24" s="34" t="s">
        <v>21</v>
      </c>
      <c r="D24" s="34" t="s">
        <v>37</v>
      </c>
      <c r="E24" s="34" t="s">
        <v>38</v>
      </c>
      <c r="F24" s="36" t="s">
        <v>28</v>
      </c>
      <c r="G24" s="17">
        <v>1</v>
      </c>
      <c r="H24" s="18">
        <v>1</v>
      </c>
      <c r="I24" s="19">
        <f t="shared" si="0"/>
        <v>1</v>
      </c>
      <c r="J24" s="20">
        <v>1</v>
      </c>
      <c r="K24" s="18">
        <v>1</v>
      </c>
      <c r="L24" s="19">
        <f t="shared" si="1"/>
        <v>1</v>
      </c>
      <c r="M24" s="20">
        <f t="shared" si="15"/>
        <v>1</v>
      </c>
      <c r="N24" s="21">
        <v>1</v>
      </c>
      <c r="O24" s="17">
        <v>1</v>
      </c>
      <c r="P24" s="18">
        <v>1</v>
      </c>
      <c r="Q24" s="19">
        <f t="shared" si="3"/>
        <v>1</v>
      </c>
      <c r="R24" s="20">
        <v>1</v>
      </c>
      <c r="S24" s="18">
        <v>1</v>
      </c>
      <c r="T24" s="19">
        <f t="shared" si="16"/>
        <v>1</v>
      </c>
      <c r="U24" s="20">
        <f t="shared" si="17"/>
        <v>1</v>
      </c>
      <c r="V24" s="21">
        <v>1</v>
      </c>
      <c r="W24" s="21"/>
    </row>
    <row r="25" spans="1:23" ht="15" thickBot="1" x14ac:dyDescent="0.4">
      <c r="A25" t="s">
        <v>20</v>
      </c>
      <c r="B25" s="37" t="s">
        <v>20</v>
      </c>
      <c r="C25" s="37" t="s">
        <v>21</v>
      </c>
      <c r="D25" s="55" t="s">
        <v>18</v>
      </c>
      <c r="E25" s="55"/>
      <c r="F25" s="56"/>
      <c r="G25" s="27">
        <f>SUM(G21:G24)</f>
        <v>4</v>
      </c>
      <c r="H25" s="28">
        <f t="shared" ref="H25:K25" si="18">SUM(H21:H24)</f>
        <v>4</v>
      </c>
      <c r="I25" s="29">
        <f t="shared" si="0"/>
        <v>1</v>
      </c>
      <c r="J25" s="30">
        <f t="shared" si="18"/>
        <v>4</v>
      </c>
      <c r="K25" s="28">
        <f t="shared" si="18"/>
        <v>4</v>
      </c>
      <c r="L25" s="29">
        <f>K25/J25</f>
        <v>1</v>
      </c>
      <c r="M25" s="30">
        <f>K25/H25</f>
        <v>1</v>
      </c>
      <c r="N25" s="31">
        <f>AVERAGE(N21:N24)</f>
        <v>1</v>
      </c>
      <c r="O25" s="27">
        <f>SUM(O21:O24)</f>
        <v>4</v>
      </c>
      <c r="P25" s="28">
        <f t="shared" ref="P25" si="19">SUM(P21:P24)</f>
        <v>4</v>
      </c>
      <c r="Q25" s="29">
        <f t="shared" si="3"/>
        <v>1</v>
      </c>
      <c r="R25" s="30">
        <f t="shared" ref="R25:S25" si="20">SUM(R21:R24)</f>
        <v>4</v>
      </c>
      <c r="S25" s="28">
        <f t="shared" si="20"/>
        <v>4</v>
      </c>
      <c r="T25" s="29">
        <f>S25/R25</f>
        <v>1</v>
      </c>
      <c r="U25" s="30">
        <f>S25/P25</f>
        <v>1</v>
      </c>
      <c r="V25" s="31">
        <f>AVERAGE(V21:V24)</f>
        <v>1</v>
      </c>
      <c r="W25" s="31"/>
    </row>
    <row r="26" spans="1:23" ht="15" thickBot="1" x14ac:dyDescent="0.4">
      <c r="A26" t="s">
        <v>20</v>
      </c>
      <c r="B26" s="57" t="s">
        <v>40</v>
      </c>
      <c r="C26" s="58"/>
      <c r="D26" s="58"/>
      <c r="E26" s="58"/>
      <c r="F26" s="58"/>
      <c r="G26" s="38">
        <f>+G25+G20+G14</f>
        <v>319</v>
      </c>
      <c r="H26" s="39">
        <f t="shared" ref="H26:K26" si="21">+H25+H20+H14</f>
        <v>44</v>
      </c>
      <c r="I26" s="40">
        <f t="shared" si="0"/>
        <v>0.13793103448275862</v>
      </c>
      <c r="J26" s="41">
        <f t="shared" si="21"/>
        <v>329</v>
      </c>
      <c r="K26" s="39">
        <f t="shared" si="21"/>
        <v>263.7</v>
      </c>
      <c r="L26" s="40">
        <f>K26/J26</f>
        <v>0.80151975683890575</v>
      </c>
      <c r="M26" s="41">
        <f>K26/H26</f>
        <v>5.9931818181818182</v>
      </c>
      <c r="N26" s="42"/>
      <c r="O26" s="38">
        <f>+O25+O20+O14</f>
        <v>43</v>
      </c>
      <c r="P26" s="39">
        <f t="shared" ref="P26" si="22">+P25+P20+P14</f>
        <v>37</v>
      </c>
      <c r="Q26" s="40">
        <f t="shared" si="3"/>
        <v>0.86046511627906974</v>
      </c>
      <c r="R26" s="41">
        <f t="shared" ref="R26:S26" si="23">+R25+R20+R14</f>
        <v>262.5</v>
      </c>
      <c r="S26" s="39">
        <f t="shared" si="23"/>
        <v>181.6</v>
      </c>
      <c r="T26" s="40">
        <f>S26/R26</f>
        <v>0.69180952380952376</v>
      </c>
      <c r="U26" s="41">
        <f>S26/P26</f>
        <v>4.9081081081081077</v>
      </c>
      <c r="V26" s="42"/>
      <c r="W26" s="42"/>
    </row>
  </sheetData>
  <mergeCells count="11">
    <mergeCell ref="D20:F20"/>
    <mergeCell ref="D14:F14"/>
    <mergeCell ref="D25:F25"/>
    <mergeCell ref="B26:F26"/>
    <mergeCell ref="E2:F2"/>
    <mergeCell ref="G1:N1"/>
    <mergeCell ref="O1:V1"/>
    <mergeCell ref="G2:I2"/>
    <mergeCell ref="J2:L2"/>
    <mergeCell ref="O2:Q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 Sales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2026-06-24T13:48:59Z</dcterms:modified>
</cp:coreProperties>
</file>