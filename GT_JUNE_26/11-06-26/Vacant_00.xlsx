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0FDE6304-E35E-4AEC-8AE7-A0F14D31E2BF}" xr6:coauthVersionLast="45" xr6:coauthVersionMax="45" xr10:uidLastSave="{00000000-0000-0000-0000-000000000000}"/>
  <bookViews>
    <workbookView xWindow="-110" yWindow="-110" windowWidth="19420" windowHeight="10420" tabRatio="949" activeTab="11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C24" i="33"/>
  <c r="B24" i="33"/>
  <c r="F23" i="33"/>
  <c r="E23" i="33"/>
  <c r="D23" i="33"/>
  <c r="B23" i="33"/>
  <c r="C23" i="33" s="1"/>
  <c r="F22" i="33"/>
  <c r="E22" i="33"/>
  <c r="D22" i="33"/>
  <c r="I22" i="33" s="1"/>
  <c r="C22" i="33"/>
  <c r="B22" i="33"/>
  <c r="F21" i="33"/>
  <c r="E21" i="33"/>
  <c r="D21" i="33"/>
  <c r="I21" i="33" s="1"/>
  <c r="B21" i="33"/>
  <c r="C21" i="33" s="1"/>
  <c r="F20" i="33"/>
  <c r="E20" i="33"/>
  <c r="D20" i="33"/>
  <c r="I20" i="33" s="1"/>
  <c r="C20" i="33"/>
  <c r="B20" i="33"/>
  <c r="F19" i="33"/>
  <c r="E19" i="33"/>
  <c r="D19" i="33"/>
  <c r="B19" i="33"/>
  <c r="C19" i="33" s="1"/>
  <c r="I18" i="33"/>
  <c r="K18" i="33" s="1"/>
  <c r="F18" i="33"/>
  <c r="E18" i="33"/>
  <c r="D18" i="33"/>
  <c r="C18" i="33"/>
  <c r="B18" i="33"/>
  <c r="F17" i="33"/>
  <c r="E17" i="33"/>
  <c r="D17" i="33"/>
  <c r="I17" i="33" s="1"/>
  <c r="B17" i="33"/>
  <c r="C17" i="33" s="1"/>
  <c r="I16" i="33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C24" i="32"/>
  <c r="B24" i="32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C12" i="28"/>
  <c r="N4" i="28"/>
  <c r="N5" i="28" s="1"/>
  <c r="K17" i="33" l="1"/>
  <c r="L17" i="33"/>
  <c r="I16" i="31"/>
  <c r="I17" i="31"/>
  <c r="I18" i="31"/>
  <c r="I19" i="31"/>
  <c r="I20" i="31"/>
  <c r="I21" i="31"/>
  <c r="I22" i="31"/>
  <c r="I23" i="31"/>
  <c r="I24" i="31"/>
  <c r="I23" i="32"/>
  <c r="I19" i="33"/>
  <c r="I23" i="33"/>
  <c r="I24" i="32"/>
  <c r="L18" i="33"/>
  <c r="I24" i="33"/>
  <c r="I25" i="33"/>
  <c r="P28" i="33" s="1"/>
  <c r="I16" i="28"/>
  <c r="I17" i="28"/>
  <c r="I18" i="28"/>
  <c r="I19" i="28"/>
  <c r="I20" i="28"/>
  <c r="I21" i="28"/>
  <c r="I22" i="28"/>
  <c r="I23" i="28"/>
  <c r="I24" i="28"/>
  <c r="L16" i="33"/>
  <c r="I25" i="35"/>
  <c r="P28" i="35" s="1"/>
  <c r="K16" i="35"/>
  <c r="L16" i="35"/>
  <c r="K17" i="35"/>
  <c r="M17" i="35" s="1"/>
  <c r="L17" i="35"/>
  <c r="K18" i="35"/>
  <c r="L18" i="35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M16" i="34" s="1"/>
  <c r="L16" i="34"/>
  <c r="K17" i="34"/>
  <c r="L17" i="34"/>
  <c r="K18" i="34"/>
  <c r="M18" i="34" s="1"/>
  <c r="L18" i="34"/>
  <c r="K19" i="34"/>
  <c r="L19" i="34"/>
  <c r="M19" i="34" s="1"/>
  <c r="K20" i="34"/>
  <c r="L20" i="34"/>
  <c r="M20" i="34" s="1"/>
  <c r="K21" i="34"/>
  <c r="M21" i="34" s="1"/>
  <c r="L21" i="34"/>
  <c r="K22" i="34"/>
  <c r="L22" i="34"/>
  <c r="K23" i="34"/>
  <c r="M23" i="34" s="1"/>
  <c r="L23" i="34"/>
  <c r="K24" i="34"/>
  <c r="L24" i="34"/>
  <c r="M24" i="34" s="1"/>
  <c r="K21" i="33"/>
  <c r="L21" i="33"/>
  <c r="M21" i="33"/>
  <c r="K22" i="33"/>
  <c r="M22" i="33" s="1"/>
  <c r="L22" i="33"/>
  <c r="K19" i="33"/>
  <c r="L19" i="33"/>
  <c r="K23" i="33"/>
  <c r="L23" i="33"/>
  <c r="K20" i="33"/>
  <c r="L20" i="33"/>
  <c r="M20" i="33" s="1"/>
  <c r="K24" i="33"/>
  <c r="L24" i="33"/>
  <c r="M24" i="33"/>
  <c r="M17" i="33"/>
  <c r="M18" i="33"/>
  <c r="K16" i="33"/>
  <c r="K24" i="32"/>
  <c r="L24" i="32"/>
  <c r="I25" i="32"/>
  <c r="P28" i="32" s="1"/>
  <c r="K16" i="32"/>
  <c r="L16" i="32"/>
  <c r="K17" i="32"/>
  <c r="M17" i="32" s="1"/>
  <c r="L17" i="32"/>
  <c r="K18" i="32"/>
  <c r="L18" i="32"/>
  <c r="M18" i="32" s="1"/>
  <c r="K19" i="32"/>
  <c r="M19" i="32" s="1"/>
  <c r="L19" i="32"/>
  <c r="K20" i="32"/>
  <c r="L20" i="32"/>
  <c r="K21" i="32"/>
  <c r="M21" i="32" s="1"/>
  <c r="L21" i="32"/>
  <c r="K23" i="32"/>
  <c r="L23" i="32"/>
  <c r="M23" i="32" s="1"/>
  <c r="K22" i="32"/>
  <c r="M22" i="32" s="1"/>
  <c r="L22" i="32"/>
  <c r="K17" i="31"/>
  <c r="M17" i="31" s="1"/>
  <c r="L17" i="31"/>
  <c r="K19" i="31"/>
  <c r="L19" i="31"/>
  <c r="M19" i="31"/>
  <c r="K21" i="31"/>
  <c r="L21" i="31"/>
  <c r="K22" i="31"/>
  <c r="M22" i="31"/>
  <c r="L22" i="31"/>
  <c r="K24" i="31"/>
  <c r="L24" i="31"/>
  <c r="M24" i="31" s="1"/>
  <c r="I25" i="31"/>
  <c r="P28" i="31" s="1"/>
  <c r="K16" i="31"/>
  <c r="L16" i="31"/>
  <c r="K18" i="31"/>
  <c r="L18" i="31"/>
  <c r="M18" i="31" s="1"/>
  <c r="K20" i="31"/>
  <c r="L20" i="31"/>
  <c r="K23" i="31"/>
  <c r="M23" i="31"/>
  <c r="L23" i="31"/>
  <c r="K18" i="30"/>
  <c r="L18" i="30"/>
  <c r="K20" i="30"/>
  <c r="M20" i="30" s="1"/>
  <c r="L20" i="30"/>
  <c r="K21" i="30"/>
  <c r="L21" i="30"/>
  <c r="M21" i="30" s="1"/>
  <c r="K23" i="30"/>
  <c r="M23" i="30" s="1"/>
  <c r="L23" i="30"/>
  <c r="I25" i="30"/>
  <c r="P28" i="30" s="1"/>
  <c r="K16" i="30"/>
  <c r="M16" i="30" s="1"/>
  <c r="L16" i="30"/>
  <c r="K17" i="30"/>
  <c r="L17" i="30"/>
  <c r="K19" i="30"/>
  <c r="M19" i="30" s="1"/>
  <c r="L19" i="30"/>
  <c r="K22" i="30"/>
  <c r="L22" i="30"/>
  <c r="M22" i="30" s="1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L21" i="29"/>
  <c r="K24" i="29"/>
  <c r="M24" i="29"/>
  <c r="L24" i="29"/>
  <c r="K17" i="29"/>
  <c r="L17" i="29"/>
  <c r="K20" i="29"/>
  <c r="L20" i="29"/>
  <c r="K22" i="29"/>
  <c r="L22" i="29"/>
  <c r="K18" i="29"/>
  <c r="M18" i="29" s="1"/>
  <c r="L18" i="29"/>
  <c r="K23" i="29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L19" i="28"/>
  <c r="M19" i="28" s="1"/>
  <c r="K20" i="28"/>
  <c r="M20" i="28" s="1"/>
  <c r="L20" i="28"/>
  <c r="K21" i="28"/>
  <c r="L21" i="28"/>
  <c r="M21" i="28" s="1"/>
  <c r="K22" i="28"/>
  <c r="L22" i="28"/>
  <c r="M22" i="28"/>
  <c r="K23" i="28"/>
  <c r="M23" i="28" s="1"/>
  <c r="L23" i="28"/>
  <c r="K24" i="28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20" i="29" l="1"/>
  <c r="M21" i="29"/>
  <c r="L25" i="30"/>
  <c r="P29" i="30" s="1"/>
  <c r="M20" i="31"/>
  <c r="M21" i="31"/>
  <c r="M23" i="33"/>
  <c r="M18" i="35"/>
  <c r="L25" i="33"/>
  <c r="P29" i="33" s="1"/>
  <c r="M24" i="28"/>
  <c r="M24" i="32"/>
  <c r="M19" i="33"/>
  <c r="M23" i="29"/>
  <c r="M22" i="29"/>
  <c r="M17" i="29"/>
  <c r="M17" i="30"/>
  <c r="M18" i="30"/>
  <c r="L25" i="31"/>
  <c r="P29" i="31" s="1"/>
  <c r="M20" i="32"/>
  <c r="M16" i="32"/>
  <c r="K25" i="33"/>
  <c r="P30" i="33" s="1"/>
  <c r="M22" i="34"/>
  <c r="M17" i="34"/>
  <c r="N20" i="35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N17" i="32"/>
  <c r="O17" i="32" s="1"/>
  <c r="P17" i="32"/>
  <c r="N23" i="32"/>
  <c r="O23" i="32" s="1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P31" i="32" s="1"/>
  <c r="N22" i="32"/>
  <c r="O22" i="32" s="1"/>
  <c r="P22" i="32" s="1"/>
  <c r="K25" i="32"/>
  <c r="P30" i="32" s="1"/>
  <c r="N21" i="31"/>
  <c r="O21" i="31" s="1"/>
  <c r="P21" i="31"/>
  <c r="N18" i="31"/>
  <c r="O18" i="31" s="1"/>
  <c r="N20" i="31"/>
  <c r="O20" i="31" s="1"/>
  <c r="P20" i="31"/>
  <c r="N24" i="31"/>
  <c r="O24" i="31" s="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 s="1"/>
  <c r="N20" i="28"/>
  <c r="O20" i="28" s="1"/>
  <c r="P20" i="28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P31" i="28" s="1"/>
  <c r="M16" i="28"/>
  <c r="N21" i="28"/>
  <c r="O21" i="28" s="1"/>
  <c r="N18" i="28"/>
  <c r="O18" i="28" s="1"/>
  <c r="P18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P31" i="29" l="1"/>
  <c r="P17" i="33"/>
  <c r="P31" i="33"/>
  <c r="M17" i="26"/>
  <c r="M23" i="27"/>
  <c r="P21" i="30"/>
  <c r="M24" i="26"/>
  <c r="P17" i="31"/>
  <c r="P24" i="31"/>
  <c r="P18" i="31"/>
  <c r="P23" i="32"/>
  <c r="P19" i="32"/>
  <c r="P20" i="34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16" i="32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5" i="24" l="1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P31" i="17" l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<sst xmlns="http://schemas.openxmlformats.org/spreadsheetml/2006/main" count="1579" uniqueCount="108">
  <si>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</si>
  <si>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</si>
  <si>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</si>
  <si>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</si>
  <si>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</si>
  <si>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</si>
  <si>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</si>
  <si>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</si>
  <si>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</si>
  <si>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</si>
  <si>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</si>
  <si>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</si>
  <si>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</si>
  <si>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</si>
  <si>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</si>
  <si>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</si>
  <si>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</si>
  <si>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</si>
  <si>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</si>
  <si>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</si>
  <si>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</si>
  <si>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</si>
  <si>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</si>
  <si>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</si>
  <si>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</si>
  <si>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</si>
  <si>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</si>
  <si>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</si>
  <si>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</si>
  <si>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</si>
  <si>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</si>
  <si>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</si>
  <si>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</si>
  <si>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</si>
  <si>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</si>
  <si>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</si>
  <si>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</si>
  <si>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</si>
  <si>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</si>
  <si>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</si>
  <si>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</si>
  <si>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</si>
  <si>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</si>
  <si>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</si>
  <si>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</si>
  <si>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</si>
  <si>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</si>
  <si>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</si>
  <si>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</si>
  <si>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</si>
  <si>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</si>
  <si>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</si>
  <si>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</si>
  <si>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</si>
  <si>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</si>
  <si>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</si>
  <si>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</si>
  <si>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</si>
  <si>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</si>
  <si>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</si>
  <si>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</si>
  <si>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</si>
  <si>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</si>
  <si>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</si>
  <si>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</si>
  <si>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</si>
  <si>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</si>
  <si>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</si>
  <si>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</si>
  <si>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</si>
  <si>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</si>
  <si>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</si>
  <si>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</si>
  <si>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</si>
  <si>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</si>
  <si>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</si>
  <si>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</si>
  <si>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</si>
  <si>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</si>
  <si>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</si>
  <si>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</si>
  <si>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</si>
  <si>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</si>
  <si>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</si>
  <si>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</si>
  <si>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</si>
  <si>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</si>
  <si>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</si>
  <si>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</si>
  <si>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</si>
  <si>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</si>
  <si>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</si>
  <si>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</si>
  <si>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</si>
  <si>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</si>
  <si>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</si>
  <si>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</si>
  <si>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</si>
  <si>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</si>
  <si>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</si>
  <si>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</si>
  <si>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</si>
  <si>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Shop Name</t>
  </si>
  <si>
    <t>Address: A</t>
  </si>
  <si>
    <t>Shop Bill Summary (Vacant)</t>
  </si>
  <si>
    <t>Vacant</t>
  </si>
  <si>
    <t>Customer Name : Yasir Store</t>
  </si>
  <si>
    <t>Address: Kanak mandi  Mazang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</si>
</sst>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4" sqref="G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4" sqref="G4"/>
      <selection pane="topRight" activeCell="G4" sqref="G4"/>
      <selection pane="bottomLeft" activeCell="G4" sqref="G4"/>
      <selection pane="bottomRight" activeCell="F4" sqref="F4:G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C10" sqref="C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9" t="s">
        <v>45</v>
      </c>
      <c r="B2" s="249"/>
      <c r="C2" s="249"/>
    </row>
    <row r="3" spans="1:21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8" t="s">
        <v>105</v>
      </c>
      <c r="B5" s="248"/>
      <c r="C5" s="248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21 16383:16384" ht="15" customHeight="1" x14ac:dyDescent="0.35">
      <c r="A6" s="248"/>
      <c r="B6" s="248"/>
      <c r="C6" s="248"/>
      <c r="F6" s="70"/>
      <c r="G6" s="74"/>
      <c r="K6" s="233" t="s">
        <v>52</v>
      </c>
      <c r="L6" s="233"/>
      <c r="M6" s="233"/>
      <c r="N6" s="246" t="s">
        <v>42</v>
      </c>
      <c r="O6" s="246"/>
      <c r="P6" s="24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21 16383:16384" hidden="1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21 16383:16384" x14ac:dyDescent="0.35">
      <c r="A10" s="231"/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21 16383:16384" ht="15" thickBot="1" x14ac:dyDescent="0.4">
      <c r="A11" s="231"/>
      <c r="B11" s="76"/>
      <c r="C11" s="77"/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21 16383:16384" ht="14.65" customHeight="1" x14ac:dyDescent="0.35">
      <c r="A12" s="231"/>
      <c r="B12" s="76"/>
      <c r="C12" s="77"/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T12" s="203" t="s">
        <v>104</v>
      </c>
      <c r="U12" s="204"/>
      <c r="XFD12" t="s">
        <v>62</v>
      </c>
    </row>
    <row r="13" spans="1:21 16383:16384" ht="15" thickBot="1" x14ac:dyDescent="0.4">
      <c r="A13" s="232"/>
      <c r="J13" s="78"/>
      <c r="K13" s="78"/>
      <c r="L13" s="79">
        <v>0.05</v>
      </c>
      <c r="T13" s="205"/>
      <c r="U13" s="206"/>
      <c r="XFD13" t="s">
        <v>63</v>
      </c>
    </row>
    <row r="14" spans="1:21 16383:16384" ht="29.25" customHeight="1" x14ac:dyDescent="0.6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41" t="s">
        <v>68</v>
      </c>
      <c r="H14" s="242"/>
      <c r="I14" s="242" t="s">
        <v>69</v>
      </c>
      <c r="J14" s="242" t="s">
        <v>70</v>
      </c>
      <c r="K14" s="242"/>
      <c r="L14" s="244"/>
      <c r="M14" s="236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Shop Name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3"/>
      <c r="J15" s="171" t="s">
        <v>78</v>
      </c>
      <c r="K15" s="171" t="s">
        <v>79</v>
      </c>
      <c r="L15" s="174" t="s">
        <v>80</v>
      </c>
      <c r="M15" s="23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Shop Name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Shop Name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Shop Name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Shop Name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20</v>
      </c>
      <c r="I19" s="1">
        <f t="shared" si="1"/>
        <v>1452.8</v>
      </c>
      <c r="J19" s="172">
        <f>+'1'!J19+'2'!J19+'4'!J19+'3'!J19+'5'!J19+'6'!J19+'7'!J19+'8'!J19+'9'!J19+'10'!J19+'11'!J19+'12'!J19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116.224</v>
      </c>
      <c r="M19" s="118">
        <f t="shared" si="2"/>
        <v>1336.576</v>
      </c>
      <c r="N19" s="101">
        <f>+'1'!N19+'2'!N19+'4'!N19+'3'!N19+'5'!N19+'6'!N19+'7'!N19+'8'!N19+'9'!N19+'10'!N19</f>
        <v>310.02751999999998</v>
      </c>
      <c r="O19" s="101">
        <f>+'1'!O19+'2'!O19+'4'!O19+'3'!O19+'5'!O19+'6'!O19+'7'!O19+'8'!O19+'9'!O19+'10'!O19</f>
        <v>41.165088000000004</v>
      </c>
      <c r="P19" s="120">
        <f t="shared" si="0"/>
        <v>1687.7686080000001</v>
      </c>
      <c r="T19" s="163" t="str">
        <f>+'6'!A5</f>
        <v>Customer Name : Shop Name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20</v>
      </c>
      <c r="I20" s="1">
        <f t="shared" si="1"/>
        <v>1452.8</v>
      </c>
      <c r="J20" s="172">
        <f>+'1'!J20+'2'!J20+'4'!J20+'3'!J20+'5'!J20+'6'!J20+'7'!J20+'8'!J20+'9'!J20+'10'!J20+'11'!J20+'12'!J20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116.224</v>
      </c>
      <c r="M20" s="118">
        <f t="shared" si="2"/>
        <v>1336.576</v>
      </c>
      <c r="N20" s="101">
        <f>+'1'!N20+'2'!N20+'4'!N20+'3'!N20+'5'!N20+'6'!N20+'7'!N20+'8'!N20+'9'!N20+'10'!N20</f>
        <v>310.02751999999998</v>
      </c>
      <c r="O20" s="101">
        <f>+'1'!O20+'2'!O20+'4'!O20+'3'!O20+'5'!O20+'6'!O20+'7'!O20+'8'!O20+'9'!O20+'10'!O20</f>
        <v>41.165088000000004</v>
      </c>
      <c r="P20" s="120">
        <f t="shared" si="0"/>
        <v>1687.7686080000001</v>
      </c>
      <c r="T20" s="163" t="str">
        <f>+'7'!A5</f>
        <v>Customer Name : Shop Name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0</v>
      </c>
      <c r="I21" s="1">
        <f t="shared" si="1"/>
        <v>0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>Customer Name : Shop Name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Yasir Store</v>
      </c>
      <c r="U22" s="164">
        <f>+'9'!P35</f>
        <v>3375.5372160000002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Shop Name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Shop Name</v>
      </c>
      <c r="U24" s="164">
        <f>+'11'!P35</f>
        <v>0</v>
      </c>
    </row>
    <row r="25" spans="1:21 16384:16384" ht="26.5" thickBot="1" x14ac:dyDescent="0.65">
      <c r="A25" s="213" t="s">
        <v>84</v>
      </c>
      <c r="B25" s="214"/>
      <c r="C25" s="215">
        <f>H25/40</f>
        <v>1</v>
      </c>
      <c r="D25" s="209"/>
      <c r="E25" s="209"/>
      <c r="F25" s="209"/>
      <c r="G25" s="176">
        <f t="shared" ref="G25:M25" si="3">SUM(G16:G24)</f>
        <v>0</v>
      </c>
      <c r="H25" s="177">
        <f t="shared" si="3"/>
        <v>40</v>
      </c>
      <c r="I25" s="178">
        <f t="shared" si="3"/>
        <v>2905.6</v>
      </c>
      <c r="J25" s="177">
        <f t="shared" si="3"/>
        <v>2</v>
      </c>
      <c r="K25" s="178">
        <f t="shared" si="3"/>
        <v>0</v>
      </c>
      <c r="L25" s="179">
        <f t="shared" si="3"/>
        <v>232.44800000000001</v>
      </c>
      <c r="M25" s="141">
        <f t="shared" si="3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  <c r="T25" s="163" t="str">
        <f>+'12'!A5</f>
        <v>Customer Name : Shop Name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3375.5372160000002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2905.6</v>
      </c>
    </row>
    <row r="29" spans="1:21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232.44800000000001</v>
      </c>
    </row>
    <row r="30" spans="1:21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21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2673.152</v>
      </c>
    </row>
    <row r="32" spans="1:21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3293.2070400000002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7" t="s">
        <v>92</v>
      </c>
      <c r="O35" s="208"/>
      <c r="P35" s="160">
        <f>P33+P34</f>
        <v>3375.5372160000002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D5" sqref="D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2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4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3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5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6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7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8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abSelected="1"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9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106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107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7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2905.6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232.44800000000001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2673.152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3293.2070400000002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7" t="s">
        <v>92</v>
      </c>
      <c r="O35" s="208"/>
      <c r="P35" s="160">
        <f>P33+P34</f>
        <v>3375.5372160000002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97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97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2026-06-10T11:47:57Z</dcterms:modified>
</cp:coreProperties>
</file>