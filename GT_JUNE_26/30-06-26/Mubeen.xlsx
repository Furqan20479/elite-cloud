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BADC1E3-1EA0-4516-8F72-5CE2DA886C72}" xr6:coauthVersionLast="47" xr6:coauthVersionMax="47" xr10:uidLastSave="{00000000-0000-0000-0000-000000000000}"/>
  <bookViews>
    <workbookView xWindow="-110" yWindow="-110" windowWidth="19420" windowHeight="10420" tabRatio="949" activeTab="10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K20" i="19" s="1"/>
  <c r="I21" i="19"/>
  <c r="I22" i="19"/>
  <c r="L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L20" i="19"/>
  <c r="K18" i="19"/>
  <c r="K24" i="19"/>
  <c r="L24" i="19"/>
  <c r="K22" i="19"/>
  <c r="L21" i="19"/>
  <c r="K21" i="19"/>
  <c r="L21" i="18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18" l="1"/>
  <c r="M22" i="18" s="1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M18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0B63FBC4-3047-4D09-BCAD-77440167A242}">
      <text>
        <r>
          <rPr>
            <b/>
            <sz val="9"/>
            <color indexed="81"/>
            <rFont val="Tahoma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<sst xmlns="http://schemas.openxmlformats.org/spreadsheetml/2006/main" count="1581" uniqueCount="123">
  <si>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</si>
  <si>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</si>
  <si>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</si>
  <si>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</si>
  <si>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</si>
  <si>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</si>
  <si>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</si>
  <si>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</si>
  <si>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</si>
  <si>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</si>
  <si>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</si>
  <si>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</si>
  <si>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</si>
  <si>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</si>
  <si>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</si>
  <si>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</si>
  <si>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</si>
  <si>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</si>
  <si>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</si>
  <si>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</si>
  <si>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</si>
  <si>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</si>
  <si>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</si>
  <si>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</si>
  <si>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</si>
  <si>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</si>
  <si>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</si>
  <si>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</si>
  <si>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</si>
  <si>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</si>
  <si>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</si>
  <si>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</si>
  <si>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</si>
  <si>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</si>
  <si>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</si>
  <si>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</si>
  <si>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</si>
  <si>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</si>
  <si>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</si>
  <si>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</si>
  <si>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</si>
  <si>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</si>
  <si>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</si>
  <si>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</si>
  <si>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</si>
  <si>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</si>
  <si>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</si>
  <si>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</si>
  <si>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</si>
  <si>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</si>
  <si>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</si>
  <si>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</si>
  <si>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</si>
  <si>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</si>
  <si>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</si>
  <si>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</si>
  <si>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</si>
  <si>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</si>
  <si>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</si>
  <si>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</si>
  <si>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</si>
  <si>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</si>
  <si>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</si>
  <si>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</si>
  <si>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</si>
  <si>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</si>
  <si>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</si>
  <si>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</si>
  <si>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</si>
  <si>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</si>
  <si>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</si>
  <si>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</si>
  <si>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</si>
  <si>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</si>
  <si>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</si>
  <si>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</si>
  <si>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</si>
  <si>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</si>
  <si>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</si>
  <si>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</si>
  <si>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</si>
  <si>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</si>
  <si>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</si>
  <si>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</si>
  <si>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</si>
  <si>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</si>
  <si>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</si>
  <si>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</si>
  <si>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</si>
  <si>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</si>
  <si>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</si>
  <si>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</si>
  <si>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</si>
  <si>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</si>
  <si>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</si>
  <si>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</si>
  <si>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</si>
  <si>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</si>
  <si>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</si>
  <si>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</si>
  <si>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</si>
  <si>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</si>
  <si>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</si>
  <si>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</si>
  <si>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</si>
  <si>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</si>
  <si>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 xml:space="preserve">Mubeen </t>
  </si>
  <si>
    <t>Shop Bill Summary (Mubeen)</t>
  </si>
  <si>
    <t>Customer Name : Bismillah Store</t>
  </si>
  <si>
    <t>Address: Nazamia Abad</t>
  </si>
  <si>
    <t>Customer Name : Madina Store</t>
  </si>
  <si>
    <t>Address: Ghazia Abad Road</t>
  </si>
  <si>
    <t xml:space="preserve">Customer Name : MG Mart </t>
  </si>
  <si>
    <t>Customer Name : Haider Store</t>
  </si>
  <si>
    <t>Address: Dry Port Mughalpura</t>
  </si>
  <si>
    <t xml:space="preserve">Customer Name : Madina Bakery </t>
  </si>
  <si>
    <t>Address: Dharampura</t>
  </si>
  <si>
    <t>Customer Name : Tariq Store</t>
  </si>
  <si>
    <t>Address: Nazmia Abad</t>
  </si>
  <si>
    <t>Customer Name : Malilk Super store</t>
  </si>
  <si>
    <t xml:space="preserve">Address: Mughal pura Shell Pertol pump </t>
  </si>
  <si>
    <t xml:space="preserve">Customer Name : W Mart </t>
  </si>
  <si>
    <t>Address: Butt Chowk Taj 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</si>
</sst>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N6" sqref="N6:P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N6" sqref="N6:P6"/>
      <selection pane="topRight" activeCell="N6" sqref="N6:P6"/>
      <selection pane="bottomLeft" activeCell="N6" sqref="N6:P6"/>
      <selection pane="bottomRight" activeCell="N6" sqref="N6:P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0" zoomScale="70" zoomScaleNormal="70" workbookViewId="0">
      <selection activeCell="I24" sqref="I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106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107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Bismillah Store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Madina Store</v>
      </c>
      <c r="U15" s="164">
        <f>+'2'!P35</f>
        <v>3309.6730752000003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20</v>
      </c>
      <c r="I16" s="1">
        <f>(G16*D16)*F16+H16*F16</f>
        <v>1049.25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83.94</v>
      </c>
      <c r="M16" s="106">
        <f>I16-K16-L16</f>
        <v>965.31</v>
      </c>
      <c r="N16" s="101">
        <f>+'1'!N16+'2'!N16+'4'!N16+'3'!N16+'5'!N16+'6'!N16+'7'!N16+'8'!N16+'9'!N16+'10'!N16</f>
        <v>223.90995000000001</v>
      </c>
      <c r="O16" s="101">
        <f>+'1'!O16+'2'!O16+'4'!O16+'3'!O16+'5'!O16+'6'!O16+'7'!O16+'8'!O16+'9'!O16+'10'!O16</f>
        <v>5.9460997500000001</v>
      </c>
      <c r="P16" s="105">
        <f t="shared" ref="P16:P24" si="0">M16+N16+O16</f>
        <v>1195.16604975</v>
      </c>
      <c r="Q16" s="108"/>
      <c r="T16" s="163" t="str">
        <f>+'3'!A5</f>
        <v xml:space="preserve">Customer Name : MG Mart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20</v>
      </c>
      <c r="I17" s="1">
        <f t="shared" ref="I17:I23" si="1">(G17*D17)*F17+H17*F17</f>
        <v>1049.25</v>
      </c>
      <c r="J17" s="172">
        <f>+'1'!J17+'2'!J17+'4'!J17+'3'!J17+'5'!J17+'6'!J17+'7'!J17+'8'!J17+'9'!J17+'10'!J17+'11'!J17+'12'!J17+'13'!J17+'14'!J17+'15'!J17+'16'!J17+'17'!J17+'18'!J17</f>
        <v>1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83.94</v>
      </c>
      <c r="M17" s="118">
        <f t="shared" ref="M17:M23" si="2">I17-K17-L17</f>
        <v>965.31</v>
      </c>
      <c r="N17" s="101">
        <f>+'1'!N17+'2'!N17+'4'!N17+'3'!N17+'5'!N17+'6'!N17+'7'!N17+'8'!N17+'9'!N17+'10'!N17</f>
        <v>223.90995000000001</v>
      </c>
      <c r="O17" s="101">
        <f>+'1'!O17+'2'!O17+'4'!O17+'3'!O17+'5'!O17+'6'!O17+'7'!O17+'8'!O17+'9'!O17+'10'!O17</f>
        <v>5.9460997500000001</v>
      </c>
      <c r="P17" s="120">
        <f t="shared" si="0"/>
        <v>1195.16604975</v>
      </c>
      <c r="S17" s="64"/>
      <c r="T17" s="163" t="str">
        <f>+'4'!A5</f>
        <v>Customer Name : Haider Store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Madina Bakery </v>
      </c>
      <c r="U18" s="164">
        <f>+'5'!P35</f>
        <v>3309.6730752000003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155</v>
      </c>
      <c r="I19" s="1">
        <f t="shared" si="1"/>
        <v>11259.2</v>
      </c>
      <c r="J19" s="172">
        <f>+'1'!J19+'2'!J19+'4'!J19+'3'!J19+'5'!J19+'6'!J19+'7'!J19+'8'!J19+'9'!J19+'10'!J19+'11'!J19+'12'!J19+'13'!J19+'14'!J19+'15'!J19+'16'!J19+'17'!J19+'18'!J19</f>
        <v>7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900.73599999999999</v>
      </c>
      <c r="M19" s="118">
        <f t="shared" si="2"/>
        <v>10358.464</v>
      </c>
      <c r="N19" s="101">
        <f>+'1'!N19+'2'!N19+'4'!N19+'3'!N19+'5'!N19+'6'!N19+'7'!N19+'8'!N19+'9'!N19+'10'!N19</f>
        <v>2390.72768</v>
      </c>
      <c r="O19" s="101">
        <f>+'1'!O19+'2'!O19+'4'!O19+'3'!O19+'5'!O19+'6'!O19+'7'!O19+'8'!O19+'9'!O19+'10'!O19</f>
        <v>63.745958400000006</v>
      </c>
      <c r="P19" s="120">
        <f t="shared" si="0"/>
        <v>12812.937638400001</v>
      </c>
      <c r="T19" s="163" t="str">
        <f>+'6'!A5</f>
        <v>Customer Name : Tariq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50</v>
      </c>
      <c r="I20" s="1">
        <f t="shared" si="1"/>
        <v>3632</v>
      </c>
      <c r="J20" s="172">
        <f>+'1'!J20+'2'!J20+'4'!J20+'3'!J20+'5'!J20+'6'!J20+'7'!J20+'8'!J20+'9'!J20+'10'!J20+'11'!J20+'12'!J20+'13'!J20+'14'!J20+'15'!J20+'16'!J20+'17'!J20+'18'!J20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290.56</v>
      </c>
      <c r="M20" s="118">
        <f t="shared" si="2"/>
        <v>3341.44</v>
      </c>
      <c r="N20" s="101">
        <f>+'1'!N20+'2'!N20+'4'!N20+'3'!N20+'5'!N20+'6'!N20+'7'!N20+'8'!N20+'9'!N20+'10'!N20</f>
        <v>783.05919999999992</v>
      </c>
      <c r="O20" s="101">
        <f>+'1'!O20+'2'!O20+'4'!O20+'3'!O20+'5'!O20+'6'!O20+'7'!O20+'8'!O20+'9'!O20+'10'!O20</f>
        <v>20.622495999999998</v>
      </c>
      <c r="P20" s="120">
        <f t="shared" si="0"/>
        <v>4145.1216960000002</v>
      </c>
      <c r="T20" s="163" t="str">
        <f>+'7'!A5</f>
        <v>Customer Name : Malilk Super store</v>
      </c>
      <c r="U20" s="164">
        <f>+'7'!P35</f>
        <v>5700.0051747000007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115</v>
      </c>
      <c r="I21" s="1">
        <f t="shared" si="1"/>
        <v>8353.6</v>
      </c>
      <c r="J21" s="172">
        <f>+'1'!J21+'2'!J21+'4'!J21+'3'!J21+'5'!J21+'6'!J21+'7'!J21+'8'!J21+'9'!J21+'10'!J21+'11'!J21+'12'!J21+'13'!J21+'14'!J21+'15'!J21+'16'!J21+'17'!J21+'18'!J21</f>
        <v>6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668.28800000000001</v>
      </c>
      <c r="M21" s="118">
        <f t="shared" si="2"/>
        <v>7685.3119999999999</v>
      </c>
      <c r="N21" s="101">
        <f>+'1'!N21+'2'!N21+'4'!N21+'3'!N21+'5'!N21+'6'!N21+'7'!N21+'8'!N21+'9'!N21+'10'!N21</f>
        <v>1786.6534399999998</v>
      </c>
      <c r="O21" s="101">
        <f>+'1'!O21+'2'!O21+'4'!O21+'3'!O21+'5'!O21+'6'!O21+'7'!O21+'8'!O21+'9'!O21+'10'!O21</f>
        <v>47.359827199999998</v>
      </c>
      <c r="P21" s="120">
        <f t="shared" si="0"/>
        <v>9519.3252671999999</v>
      </c>
      <c r="T21" s="163" t="str">
        <f>+'8'!A5</f>
        <v xml:space="preserve">Customer Name : W Mart </v>
      </c>
      <c r="U21" s="164">
        <f>+'8'!P35</f>
        <v>16548.365375999998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9</v>
      </c>
      <c r="D25" s="205"/>
      <c r="E25" s="205"/>
      <c r="F25" s="205"/>
      <c r="G25" s="176">
        <f t="shared" ref="G25:M25" si="3">SUM(G16:G24)</f>
        <v>0</v>
      </c>
      <c r="H25" s="177">
        <f t="shared" si="3"/>
        <v>360</v>
      </c>
      <c r="I25" s="178">
        <f t="shared" si="3"/>
        <v>25343.300000000003</v>
      </c>
      <c r="J25" s="177">
        <f t="shared" si="3"/>
        <v>18</v>
      </c>
      <c r="K25" s="178">
        <f t="shared" si="3"/>
        <v>0</v>
      </c>
      <c r="L25" s="179">
        <f t="shared" si="3"/>
        <v>2027.4639999999999</v>
      </c>
      <c r="M25" s="141">
        <f t="shared" si="3"/>
        <v>23315.835999999999</v>
      </c>
      <c r="N25" s="142">
        <f>SUM(N16:N24)</f>
        <v>5408.2602200000001</v>
      </c>
      <c r="O25" s="143">
        <f>SUM(O16:O24)</f>
        <v>143.62048110000001</v>
      </c>
      <c r="P25" s="144">
        <f>SUM(P16:P24)</f>
        <v>28867.716701099998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28867.716701099998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25343.300000000003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2027.4639999999999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23315.836000000003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5408.2602200000001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28724.096220000003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718.10240550000015</v>
      </c>
    </row>
    <row r="39" spans="2:16" ht="15.75" customHeight="1" thickBot="1" x14ac:dyDescent="0.4">
      <c r="N39" s="203" t="s">
        <v>92</v>
      </c>
      <c r="O39" s="204"/>
      <c r="P39" s="160">
        <f>P37+P38</f>
        <v>29442.198625500005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J5" sqref="J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>
        <v>1</v>
      </c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236.51583999999997</v>
      </c>
      <c r="O21" s="119">
        <f t="shared" si="6"/>
        <v>6.194739199999999</v>
      </c>
      <c r="P21" s="120">
        <f t="shared" si="1"/>
        <v>1245.1425791999998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114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A20" sqref="A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116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9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118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A23" sqref="A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120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8.2330176000000002</v>
      </c>
      <c r="P21" s="120">
        <f t="shared" si="1"/>
        <v>1654.8365376000002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400.32799999999997</v>
      </c>
      <c r="M25" s="141">
        <f t="shared" si="9"/>
        <v>4603.7719999999999</v>
      </c>
      <c r="N25" s="142">
        <f>SUM(N16:N24)</f>
        <v>1067.8749400000002</v>
      </c>
      <c r="O25" s="143">
        <f>SUM(O16:O24)</f>
        <v>28.358234700000001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5004.1000000000004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400.32799999999997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4603.7720000000008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1067.8749400000002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5671.6469400000005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28.358234700000004</v>
      </c>
    </row>
    <row r="35" spans="2:16" ht="15.75" customHeight="1" thickBot="1" x14ac:dyDescent="0.4">
      <c r="N35" s="203" t="s">
        <v>92</v>
      </c>
      <c r="O35" s="204"/>
      <c r="P35" s="160">
        <f>P33+P34</f>
        <v>5700.0051747000007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abSelected="1" topLeftCell="A7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122</v>
      </c>
      <c r="B6" s="229"/>
      <c r="C6" s="229"/>
      <c r="F6" s="70"/>
      <c r="G6" s="74"/>
      <c r="K6" s="229" t="s">
        <v>52</v>
      </c>
      <c r="L6" s="229"/>
      <c r="M6" s="229"/>
      <c r="N6" s="242" t="s">
        <v>99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3320231616954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>
        <v>4</v>
      </c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1240.1100799999999</v>
      </c>
      <c r="O19" s="119">
        <f t="shared" si="6"/>
        <v>32.932070400000001</v>
      </c>
      <c r="P19" s="120">
        <f t="shared" si="1"/>
        <v>6619.3461504000006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1240.1100799999999</v>
      </c>
      <c r="O21" s="119">
        <f t="shared" si="6"/>
        <v>32.932070400000001</v>
      </c>
      <c r="P21" s="120">
        <f t="shared" si="1"/>
        <v>6619.3461504000006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200</v>
      </c>
      <c r="I25" s="137">
        <f t="shared" si="9"/>
        <v>14528</v>
      </c>
      <c r="J25" s="138"/>
      <c r="K25" s="139">
        <f t="shared" si="9"/>
        <v>0</v>
      </c>
      <c r="L25" s="140">
        <f t="shared" si="9"/>
        <v>1162.24</v>
      </c>
      <c r="M25" s="141">
        <f t="shared" si="9"/>
        <v>13365.76</v>
      </c>
      <c r="N25" s="142">
        <f>SUM(N16:N24)</f>
        <v>3100.2752</v>
      </c>
      <c r="O25" s="143">
        <f>SUM(O16:O24)</f>
        <v>82.330175999999994</v>
      </c>
      <c r="P25" s="144">
        <f>SUM(P16:P24)</f>
        <v>16548.365376000002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14528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1162.24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13365.76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3100.2752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16466.035199999998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82.330175999999994</v>
      </c>
    </row>
    <row r="35" spans="2:16" ht="15.75" customHeight="1" thickBot="1" x14ac:dyDescent="0.4">
      <c r="N35" s="203" t="s">
        <v>92</v>
      </c>
      <c r="O35" s="204"/>
      <c r="P35" s="160">
        <f>P33+P34</f>
        <v>16548.365375999998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2026-06-30T13:10:16Z</dcterms:modified>
</cp:coreProperties>
</file>