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71F473A-848F-433D-A57E-13F96AF8D1C0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L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18" i="15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0B63FBC4-3047-4D09-BCAD-77440167A242}">
      <text>
        <r>
          <rPr>
            <b/>
            <sz val="9"/>
            <color indexed="81"/>
            <rFont val="Tahoma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<sst xmlns="http://schemas.openxmlformats.org/spreadsheetml/2006/main" count="1581" uniqueCount="123">
  <si>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</si>
  <si>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</si>
  <si>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</si>
  <si>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</si>
  <si>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</si>
  <si>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</si>
  <si>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</si>
  <si>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</si>
  <si>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</si>
  <si>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</si>
  <si>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</si>
  <si>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</si>
  <si>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</si>
  <si>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</si>
  <si>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</si>
  <si>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</si>
  <si>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</si>
  <si>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</si>
  <si>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</si>
  <si>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</si>
  <si>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</si>
  <si>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</si>
  <si>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</si>
  <si>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</si>
  <si>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</si>
  <si>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</si>
  <si>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</si>
  <si>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</si>
  <si>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</si>
  <si>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</si>
  <si>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</si>
  <si>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</si>
  <si>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</si>
  <si>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</si>
  <si>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</si>
  <si>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</si>
  <si>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</si>
  <si>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</si>
  <si>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</si>
  <si>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</si>
  <si>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</si>
  <si>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</si>
  <si>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</si>
  <si>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</si>
  <si>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</si>
  <si>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</si>
  <si>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</si>
  <si>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</si>
  <si>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</si>
  <si>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</si>
  <si>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</si>
  <si>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</si>
  <si>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</si>
  <si>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</si>
  <si>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</si>
  <si>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</si>
  <si>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</si>
  <si>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</si>
  <si>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</si>
  <si>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</si>
  <si>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</si>
  <si>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</si>
  <si>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</si>
  <si>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</si>
  <si>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</si>
  <si>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</si>
  <si>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</si>
  <si>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</si>
  <si>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</si>
  <si>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</si>
  <si>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</si>
  <si>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</si>
  <si>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</si>
  <si>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</si>
  <si>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</si>
  <si>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</si>
  <si>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</si>
  <si>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</si>
  <si>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</si>
  <si>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</si>
  <si>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</si>
  <si>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</si>
  <si>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</si>
  <si>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</si>
  <si>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</si>
  <si>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</si>
  <si>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</si>
  <si>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</si>
  <si>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</si>
  <si>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</si>
  <si>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</si>
  <si>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</si>
  <si>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</si>
  <si>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</si>
  <si>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</si>
  <si>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</si>
  <si>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</si>
  <si>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</si>
  <si>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</si>
  <si>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</si>
  <si>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</si>
  <si>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</si>
  <si>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</si>
  <si>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</si>
  <si>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</si>
  <si>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</si>
  <si>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 xml:space="preserve">Mubeen </t>
  </si>
  <si>
    <t>Shop Bill Summary (Mubeen)</t>
  </si>
  <si>
    <t>Customer Name : Bismillah Store</t>
  </si>
  <si>
    <t>Address: Nazamia Abad</t>
  </si>
  <si>
    <t>Customer Name : Madina Store</t>
  </si>
  <si>
    <t>Address: Ghazia Abad Road</t>
  </si>
  <si>
    <t xml:space="preserve">Customer Name : MG Mart </t>
  </si>
  <si>
    <t>Customer Name : Haider Store</t>
  </si>
  <si>
    <t>Address: Dry Port Mughalpura</t>
  </si>
  <si>
    <t xml:space="preserve">Customer Name : Madina Bakery </t>
  </si>
  <si>
    <t>Address: Dharampura</t>
  </si>
  <si>
    <t>Customer Name : Tariq Store</t>
  </si>
  <si>
    <t>Address: Nazmia Abad</t>
  </si>
  <si>
    <t>Customer Name : Malilk Super store</t>
  </si>
  <si>
    <t xml:space="preserve">Address: Mughal pura Shell Pertol pump </t>
  </si>
  <si>
    <t xml:space="preserve">Customer Name : W Mart </t>
  </si>
  <si>
    <t>Address: Butt Chowk Taj 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</si>
</sst>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N6" sqref="N6:P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N6" sqref="N6:P6"/>
      <selection pane="topRight" activeCell="N6" sqref="N6:P6"/>
      <selection pane="bottomLeft" activeCell="N6" sqref="N6:P6"/>
      <selection pane="bottomRight" activeCell="N6" sqref="N6:P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4" zoomScale="70" zoomScaleNormal="70" workbookViewId="0">
      <selection activeCell="I24" sqref="I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107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Store</v>
      </c>
      <c r="U14" s="164">
        <f>+'1'!P35</f>
        <v>2560.6933883000002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Madina Store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26</v>
      </c>
      <c r="I16" s="1">
        <f>(G16*D16)*F16+H16*F16</f>
        <v>1364.0249999999999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109.122</v>
      </c>
      <c r="M16" s="106">
        <f>I16-K16-L16</f>
        <v>1254.9029999999998</v>
      </c>
      <c r="N16" s="101">
        <f>+'1'!N16+'2'!N16+'4'!N16+'3'!N16+'5'!N16+'6'!N16+'7'!N16+'8'!N16+'9'!N16+'10'!N16</f>
        <v>287.62040999999999</v>
      </c>
      <c r="O16" s="101">
        <f>+'1'!O16+'2'!O16+'4'!O16+'3'!O16+'5'!O16+'6'!O16+'7'!O16+'8'!O16+'9'!O16+'10'!O16</f>
        <v>7.7126170500000004</v>
      </c>
      <c r="P16" s="105">
        <f t="shared" ref="P16:P24" si="0">M16+N16+O16</f>
        <v>1550.2360270499998</v>
      </c>
      <c r="Q16" s="108"/>
      <c r="T16" s="163" t="str">
        <f>+'3'!A5</f>
        <v xml:space="preserve">Customer Name : MG Mart </v>
      </c>
      <c r="U16" s="164">
        <f>+'3'!P35</f>
        <v>2449.1066723100007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26</v>
      </c>
      <c r="I17" s="1">
        <f t="shared" ref="I17:I23" si="1">(G17*D17)*F17+H17*F17</f>
        <v>1364.0249999999999</v>
      </c>
      <c r="J17" s="172">
        <f>+'1'!J17+'2'!J17+'4'!J17+'3'!J17+'5'!J17+'6'!J17+'7'!J17+'8'!J17+'9'!J17+'10'!J17+'11'!J17+'12'!J17+'13'!J17+'14'!J17+'15'!J17+'16'!J17+'17'!J17+'18'!J17</f>
        <v>1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109.122</v>
      </c>
      <c r="M17" s="118">
        <f t="shared" ref="M17:M23" si="2">I17-K17-L17</f>
        <v>1254.9029999999998</v>
      </c>
      <c r="N17" s="101">
        <f>+'1'!N17+'2'!N17+'4'!N17+'3'!N17+'5'!N17+'6'!N17+'7'!N17+'8'!N17+'9'!N17+'10'!N17</f>
        <v>287.62040999999999</v>
      </c>
      <c r="O17" s="101">
        <f>+'1'!O17+'2'!O17+'4'!O17+'3'!O17+'5'!O17+'6'!O17+'7'!O17+'8'!O17+'9'!O17+'10'!O17</f>
        <v>7.7126170500000004</v>
      </c>
      <c r="P17" s="120">
        <f t="shared" si="0"/>
        <v>1550.2360270499998</v>
      </c>
      <c r="S17" s="64"/>
      <c r="T17" s="163" t="str">
        <f>+'4'!A5</f>
        <v>Customer Name : Haider Store</v>
      </c>
      <c r="U17" s="164">
        <f>+'4'!P35</f>
        <v>538.64712270000007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Madina Bakery </v>
      </c>
      <c r="U18" s="164">
        <f>+'5'!P35</f>
        <v>3309.6730752000003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169</v>
      </c>
      <c r="I19" s="1">
        <f t="shared" si="1"/>
        <v>12276.16</v>
      </c>
      <c r="J19" s="172">
        <f>+'1'!J19+'2'!J19+'4'!J19+'3'!J19+'5'!J19+'6'!J19+'7'!J19+'8'!J19+'9'!J19+'10'!J19+'11'!J19+'12'!J19+'13'!J19+'14'!J19+'15'!J19+'16'!J19+'17'!J19+'18'!J19</f>
        <v>7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982.09280000000012</v>
      </c>
      <c r="M19" s="118">
        <f t="shared" si="2"/>
        <v>11294.0672</v>
      </c>
      <c r="N19" s="101">
        <f>+'1'!N19+'2'!N19+'4'!N19+'3'!N19+'5'!N19+'6'!N19+'7'!N19+'8'!N19+'9'!N19+'10'!N19</f>
        <v>2596.5603839999999</v>
      </c>
      <c r="O19" s="101">
        <f>+'1'!O19+'2'!O19+'4'!O19+'3'!O19+'5'!O19+'6'!O19+'7'!O19+'8'!O19+'9'!O19+'10'!O19</f>
        <v>82.498119680000002</v>
      </c>
      <c r="P19" s="120">
        <f t="shared" si="0"/>
        <v>13973.12570368</v>
      </c>
      <c r="T19" s="163" t="str">
        <f>+'6'!A5</f>
        <v>Customer Name : Tariq Store</v>
      </c>
      <c r="U19" s="164">
        <f>+'6'!P35</f>
        <v>269.32356135000003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</v>
      </c>
      <c r="I20" s="1">
        <f t="shared" si="1"/>
        <v>4648.96</v>
      </c>
      <c r="J20" s="172">
        <f>+'1'!J20+'2'!J20+'4'!J20+'3'!J20+'5'!J20+'6'!J20+'7'!J20+'8'!J20+'9'!J20+'10'!J20+'11'!J20+'12'!J20+'13'!J20+'14'!J20+'15'!J20+'16'!J20+'17'!J20+'18'!J20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371.91680000000002</v>
      </c>
      <c r="M20" s="118">
        <f t="shared" si="2"/>
        <v>4277.0432000000001</v>
      </c>
      <c r="N20" s="101">
        <f>+'1'!N20+'2'!N20+'4'!N20+'3'!N20+'5'!N20+'6'!N20+'7'!N20+'8'!N20+'9'!N20+'10'!N20</f>
        <v>1004.872704</v>
      </c>
      <c r="O20" s="101">
        <f>+'1'!O20+'2'!O20+'4'!O20+'3'!O20+'5'!O20+'6'!O20+'7'!O20+'8'!O20+'9'!O20+'10'!O20</f>
        <v>39.774177280000004</v>
      </c>
      <c r="P20" s="120">
        <f t="shared" si="0"/>
        <v>5321.6900812800004</v>
      </c>
      <c r="T20" s="163" t="str">
        <f>+'7'!A5</f>
        <v>Customer Name : Malilk Super store</v>
      </c>
      <c r="U20" s="164">
        <f>+'7'!P35</f>
        <v>5700.0051747000007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129</v>
      </c>
      <c r="I21" s="1">
        <f t="shared" si="1"/>
        <v>9370.56</v>
      </c>
      <c r="J21" s="172">
        <f>+'1'!J21+'2'!J21+'4'!J21+'3'!J21+'5'!J21+'6'!J21+'7'!J21+'8'!J21+'9'!J21+'10'!J21+'11'!J21+'12'!J21+'13'!J21+'14'!J21+'15'!J21+'16'!J21+'17'!J21+'18'!J21</f>
        <v>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749.64480000000003</v>
      </c>
      <c r="M21" s="118">
        <f t="shared" si="2"/>
        <v>8620.9151999999995</v>
      </c>
      <c r="N21" s="101">
        <f>+'1'!N21+'2'!N21+'4'!N21+'3'!N21+'5'!N21+'6'!N21+'7'!N21+'8'!N21+'9'!N21+'10'!N21</f>
        <v>1992.486144</v>
      </c>
      <c r="O21" s="101">
        <f>+'1'!O21+'2'!O21+'4'!O21+'3'!O21+'5'!O21+'6'!O21+'7'!O21+'8'!O21+'9'!O21+'10'!O21</f>
        <v>66.111988480000008</v>
      </c>
      <c r="P21" s="120">
        <f t="shared" si="0"/>
        <v>10679.513332479999</v>
      </c>
      <c r="T21" s="163" t="str">
        <f>+'8'!A5</f>
        <v xml:space="preserve">Customer Name : W Mart </v>
      </c>
      <c r="U21" s="164">
        <f>+'8'!P35</f>
        <v>16548.365375999998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36</v>
      </c>
      <c r="I22" s="1">
        <f t="shared" si="1"/>
        <v>1412.2800000000002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49.429800000000014</v>
      </c>
      <c r="L22" s="175">
        <f>+'1'!L22+'2'!L22+'4'!L22+'3'!L22+'5'!L22+'6'!L22+'7'!L22+'8'!L22+'9'!L22+'10'!L22</f>
        <v>70.614000000000019</v>
      </c>
      <c r="M22" s="118">
        <f t="shared" si="2"/>
        <v>1292.2362000000001</v>
      </c>
      <c r="N22" s="101">
        <f>+'1'!N22+'2'!N22+'4'!N22+'3'!N22+'5'!N22+'6'!N22+'7'!N22+'8'!N22+'9'!N22+'10'!N22</f>
        <v>284.29196400000001</v>
      </c>
      <c r="O22" s="101">
        <f>+'1'!O22+'2'!O22+'4'!O22+'3'!O22+'5'!O22+'6'!O22+'7'!O22+'8'!O22+'9'!O22+'10'!O22</f>
        <v>34.158110220000012</v>
      </c>
      <c r="P22" s="120">
        <f t="shared" si="0"/>
        <v>1610.6862742200001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11.25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450</v>
      </c>
      <c r="I25" s="178">
        <f t="shared" si="3"/>
        <v>30436.009999999995</v>
      </c>
      <c r="J25" s="177">
        <f t="shared" si="3"/>
        <v>19</v>
      </c>
      <c r="K25" s="178">
        <f t="shared" si="3"/>
        <v>49.429800000000014</v>
      </c>
      <c r="L25" s="179">
        <f t="shared" si="3"/>
        <v>2392.5124000000001</v>
      </c>
      <c r="M25" s="141">
        <f t="shared" si="3"/>
        <v>27994.067799999997</v>
      </c>
      <c r="N25" s="142">
        <f>SUM(N16:N24)</f>
        <v>6453.4520159999993</v>
      </c>
      <c r="O25" s="143">
        <f>SUM(O16:O24)</f>
        <v>237.96762976000002</v>
      </c>
      <c r="P25" s="144">
        <f>SUM(P16:P24)</f>
        <v>34685.487445760002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34685.487445760002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30436.009999999995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2392.5124000000001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49.429800000000014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27994.067799999993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6453.4520159999993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34447.519815999993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861.18799539999986</v>
      </c>
    </row>
    <row r="39" spans="2:16" ht="15.75" customHeight="1" thickBot="1" x14ac:dyDescent="0.4">
      <c r="N39" s="203" t="s">
        <v>92</v>
      </c>
      <c r="O39" s="204"/>
      <c r="P39" s="160">
        <f>P37+P38</f>
        <v>35308.707811399996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3"/>
        <v>581.12</v>
      </c>
      <c r="J19" s="117"/>
      <c r="K19" s="1">
        <f t="shared" si="4"/>
        <v>0</v>
      </c>
      <c r="L19" s="105">
        <f t="shared" si="5"/>
        <v>46.489600000000003</v>
      </c>
      <c r="M19" s="118">
        <f t="shared" si="6"/>
        <v>534.63040000000001</v>
      </c>
      <c r="N19" s="118">
        <f t="shared" si="0"/>
        <v>117.61868800000001</v>
      </c>
      <c r="O19" s="119">
        <f t="shared" si="1"/>
        <v>16.306227200000002</v>
      </c>
      <c r="P19" s="120">
        <f t="shared" si="2"/>
        <v>668.5553152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</v>
      </c>
      <c r="I20" s="116">
        <f t="shared" si="3"/>
        <v>581.12</v>
      </c>
      <c r="J20" s="117">
        <v>1</v>
      </c>
      <c r="K20" s="1">
        <f t="shared" si="4"/>
        <v>0</v>
      </c>
      <c r="L20" s="105">
        <f t="shared" si="5"/>
        <v>46.489600000000003</v>
      </c>
      <c r="M20" s="118">
        <f t="shared" si="6"/>
        <v>534.63040000000001</v>
      </c>
      <c r="N20" s="118">
        <f t="shared" si="0"/>
        <v>133.59948800000001</v>
      </c>
      <c r="O20" s="119">
        <f t="shared" si="1"/>
        <v>16.705747200000001</v>
      </c>
      <c r="P20" s="120">
        <f t="shared" si="2"/>
        <v>684.93563520000009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</v>
      </c>
      <c r="I21" s="116">
        <f t="shared" si="3"/>
        <v>581.12</v>
      </c>
      <c r="J21" s="117"/>
      <c r="K21" s="1">
        <f t="shared" si="4"/>
        <v>0</v>
      </c>
      <c r="L21" s="105">
        <f t="shared" si="5"/>
        <v>46.489600000000003</v>
      </c>
      <c r="M21" s="118">
        <f t="shared" si="6"/>
        <v>534.63040000000001</v>
      </c>
      <c r="N21" s="118">
        <f t="shared" si="0"/>
        <v>117.61868800000001</v>
      </c>
      <c r="O21" s="119">
        <f t="shared" si="1"/>
        <v>16.306227200000002</v>
      </c>
      <c r="P21" s="120">
        <f t="shared" si="2"/>
        <v>668.5553152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13.137734700000003</v>
      </c>
      <c r="P22" s="120">
        <f t="shared" si="2"/>
        <v>538.64712270000007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36</v>
      </c>
      <c r="I25" s="137">
        <f t="shared" si="9"/>
        <v>2214.1200000000003</v>
      </c>
      <c r="J25" s="138"/>
      <c r="K25" s="139">
        <f t="shared" si="9"/>
        <v>16.476600000000005</v>
      </c>
      <c r="L25" s="140">
        <f t="shared" si="9"/>
        <v>163.00680000000003</v>
      </c>
      <c r="M25" s="141">
        <f t="shared" si="9"/>
        <v>2034.6366</v>
      </c>
      <c r="N25" s="142">
        <f>SUM(N16:N24)</f>
        <v>463.60085200000003</v>
      </c>
      <c r="O25" s="143">
        <f>SUM(O16:O24)</f>
        <v>62.455936300000005</v>
      </c>
      <c r="P25" s="144">
        <f>SUM(P16:P24)</f>
        <v>2560.6933883000002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2214.1200000000003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163.00680000000003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2034.6366000000003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463.60085200000003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2498.2374520000003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62.455936300000012</v>
      </c>
    </row>
    <row r="35" spans="2:16" ht="15.75" customHeight="1" thickBot="1" x14ac:dyDescent="0.4">
      <c r="N35" s="203" t="s">
        <v>92</v>
      </c>
      <c r="O35" s="204"/>
      <c r="P35" s="160">
        <f>P33+P34</f>
        <v>2560.6933883000002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1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163.00415999999998</v>
      </c>
      <c r="O20" s="119">
        <f t="shared" si="6"/>
        <v>4.1564607999999996</v>
      </c>
      <c r="P20" s="120">
        <f t="shared" si="1"/>
        <v>835.44862079999996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>
        <v>1</v>
      </c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236.51583999999997</v>
      </c>
      <c r="O21" s="119">
        <f t="shared" si="6"/>
        <v>6.194739199999999</v>
      </c>
      <c r="P21" s="120">
        <f t="shared" si="1"/>
        <v>1245.1425791999998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1.7665172999999998</v>
      </c>
      <c r="P16" s="105">
        <f t="shared" ref="P16:P24" si="1">M16+N16+O16</f>
        <v>355.06997729999995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/>
      <c r="K17" s="1">
        <f t="shared" ref="K17:K21" si="3">I17*$K$13</f>
        <v>0</v>
      </c>
      <c r="L17" s="105">
        <f t="shared" ref="L17:L21" si="4">I17*8%</f>
        <v>25.181999999999999</v>
      </c>
      <c r="M17" s="118">
        <f t="shared" ref="M17:M23" si="5">I17-K17-L17</f>
        <v>289.59299999999996</v>
      </c>
      <c r="N17" s="118">
        <f t="shared" si="0"/>
        <v>63.710459999999991</v>
      </c>
      <c r="O17" s="119">
        <f t="shared" ref="O17:O24" si="6">(N17+M17)*$O$15</f>
        <v>1.7665172999999998</v>
      </c>
      <c r="P17" s="120">
        <f t="shared" si="1"/>
        <v>355.06997729999995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2.4459340800000002</v>
      </c>
      <c r="P19" s="120">
        <f t="shared" si="1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88.214016000000001</v>
      </c>
      <c r="O20" s="119">
        <f t="shared" si="6"/>
        <v>2.4459340800000002</v>
      </c>
      <c r="P20" s="120">
        <f t="shared" si="1"/>
        <v>491.63275007999999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2.4459340800000002</v>
      </c>
      <c r="P21" s="120">
        <f t="shared" si="1"/>
        <v>491.63275007999999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1.3137734700000001</v>
      </c>
      <c r="P22" s="120">
        <f t="shared" si="1"/>
        <v>264.06846747000003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36</v>
      </c>
      <c r="I25" s="137">
        <f t="shared" si="9"/>
        <v>2172.4500000000003</v>
      </c>
      <c r="J25" s="138"/>
      <c r="K25" s="139">
        <f t="shared" si="9"/>
        <v>8.2383000000000024</v>
      </c>
      <c r="L25" s="140">
        <f t="shared" si="9"/>
        <v>166.7346</v>
      </c>
      <c r="M25" s="141">
        <f t="shared" si="9"/>
        <v>1997.4771000000001</v>
      </c>
      <c r="N25" s="142">
        <f>SUM(N16:N24)</f>
        <v>439.44496200000003</v>
      </c>
      <c r="O25" s="143">
        <f>SUM(O16:O24)</f>
        <v>12.18461031</v>
      </c>
      <c r="P25" s="144">
        <f>SUM(P16:P24)</f>
        <v>2449.1066723099998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2172.4500000000003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166.7346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1997.4771000000003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439.44496200000003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2436.9220620000006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12.184610310000004</v>
      </c>
    </row>
    <row r="35" spans="2:16" ht="15.75" customHeight="1" thickBot="1" x14ac:dyDescent="0.4">
      <c r="N35" s="203" t="s">
        <v>92</v>
      </c>
      <c r="O35" s="204"/>
      <c r="P35" s="160">
        <f>P33+P34</f>
        <v>2449.1066723100007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470.76000000000005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23.538000000000004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430.74540000000002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525.50938800000006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03" t="s">
        <v>92</v>
      </c>
      <c r="O35" s="204"/>
      <c r="P35" s="160">
        <f>P33+P34</f>
        <v>538.64712270000007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116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</v>
      </c>
      <c r="I25" s="137">
        <f t="shared" si="9"/>
        <v>235.38000000000002</v>
      </c>
      <c r="J25" s="138"/>
      <c r="K25" s="139">
        <f t="shared" si="9"/>
        <v>8.2383000000000024</v>
      </c>
      <c r="L25" s="140">
        <f t="shared" si="9"/>
        <v>11.769000000000002</v>
      </c>
      <c r="M25" s="141">
        <f t="shared" si="9"/>
        <v>215.37270000000001</v>
      </c>
      <c r="N25" s="142">
        <f>SUM(N16:N24)</f>
        <v>47.381993999999999</v>
      </c>
      <c r="O25" s="143">
        <f>SUM(O16:O24)</f>
        <v>6.5688673500000014</v>
      </c>
      <c r="P25" s="144">
        <f>SUM(P16:P24)</f>
        <v>269.32356135000003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235.38000000000002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11.769000000000002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215.37270000000001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47.381993999999999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262.75469400000003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6.5688673500000014</v>
      </c>
    </row>
    <row r="35" spans="2:16" ht="15.75" customHeight="1" thickBot="1" x14ac:dyDescent="0.4">
      <c r="N35" s="203" t="s">
        <v>92</v>
      </c>
      <c r="O35" s="204"/>
      <c r="P35" s="160">
        <f>P33+P34</f>
        <v>269.32356135000003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P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120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310.02751999999998</v>
      </c>
      <c r="O21" s="119">
        <f t="shared" si="6"/>
        <v>8.2330176000000002</v>
      </c>
      <c r="P21" s="120">
        <f t="shared" si="1"/>
        <v>1654.8365376000002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1067.8749400000002</v>
      </c>
      <c r="O25" s="143">
        <f>SUM(O16:O24)</f>
        <v>28.358234700000001</v>
      </c>
      <c r="P25" s="144">
        <f>SUM(P16:P24)</f>
        <v>5700.0051746999998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400.32799999999997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4603.7720000000008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1067.8749400000002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5671.6469400000005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28.358234700000004</v>
      </c>
    </row>
    <row r="35" spans="2:16" ht="15.75" customHeight="1" thickBot="1" x14ac:dyDescent="0.4">
      <c r="N35" s="203" t="s">
        <v>92</v>
      </c>
      <c r="O35" s="204"/>
      <c r="P35" s="160">
        <f>P33+P34</f>
        <v>5700.0051747000007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3320231616954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1240.1100799999999</v>
      </c>
      <c r="O19" s="119">
        <f t="shared" si="6"/>
        <v>32.932070400000001</v>
      </c>
      <c r="P19" s="120">
        <f t="shared" si="1"/>
        <v>6619.3461504000006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1240.1100799999999</v>
      </c>
      <c r="O21" s="119">
        <f t="shared" si="6"/>
        <v>32.932070400000001</v>
      </c>
      <c r="P21" s="120">
        <f t="shared" si="1"/>
        <v>6619.3461504000006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200</v>
      </c>
      <c r="I25" s="137">
        <f t="shared" si="9"/>
        <v>14528</v>
      </c>
      <c r="J25" s="138"/>
      <c r="K25" s="139">
        <f t="shared" si="9"/>
        <v>0</v>
      </c>
      <c r="L25" s="140">
        <f t="shared" si="9"/>
        <v>1162.24</v>
      </c>
      <c r="M25" s="141">
        <f t="shared" si="9"/>
        <v>13365.76</v>
      </c>
      <c r="N25" s="142">
        <f>SUM(N16:N24)</f>
        <v>3100.2752</v>
      </c>
      <c r="O25" s="143">
        <f>SUM(O16:O24)</f>
        <v>82.330175999999994</v>
      </c>
      <c r="P25" s="144">
        <f>SUM(P16:P24)</f>
        <v>16548.365376000002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14528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1162.24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13365.76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3100.2752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16466.035199999998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82.330175999999994</v>
      </c>
    </row>
    <row r="35" spans="2:16" ht="15.75" customHeight="1" thickBot="1" x14ac:dyDescent="0.4">
      <c r="N35" s="203" t="s">
        <v>92</v>
      </c>
      <c r="O35" s="204"/>
      <c r="P35" s="160">
        <f>P33+P34</f>
        <v>16548.365375999998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46201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2026-06-29T12:52:01Z</dcterms:modified>
</cp:coreProperties>
</file>