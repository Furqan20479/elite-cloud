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C081384-D3B4-4B0C-B127-A1E05504E81A}" xr6:coauthVersionLast="47" xr6:coauthVersionMax="47" xr10:uidLastSave="{00000000-0000-0000-0000-000000000000}"/>
  <bookViews>
    <workbookView xWindow="-110" yWindow="-110" windowWidth="19420" windowHeight="10420" tabRatio="949" activeTab="11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L20" i="25" s="1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L16" i="25"/>
  <c r="K24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25" l="1"/>
  <c r="K17" i="25"/>
  <c r="L22" i="25"/>
  <c r="M22" i="25" s="1"/>
  <c r="N22" i="25" s="1"/>
  <c r="O22" i="25" s="1"/>
  <c r="I25" i="25"/>
  <c r="P28" i="25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M19" i="25" s="1"/>
  <c r="N19" i="25" s="1"/>
  <c r="O19" i="25" s="1"/>
  <c r="L19" i="25"/>
  <c r="L25" i="25" s="1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25" l="1"/>
  <c r="P30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<sst xmlns="http://schemas.openxmlformats.org/spreadsheetml/2006/main" count="1581" uniqueCount="128">
  <si>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</si>
  <si>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</si>
  <si>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</si>
  <si>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</si>
  <si>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</si>
  <si>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</si>
  <si>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</si>
  <si>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</si>
  <si>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</si>
  <si>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</si>
  <si>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</si>
  <si>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</si>
  <si>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</si>
  <si>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</si>
  <si>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</si>
  <si>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</si>
  <si>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</si>
  <si>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</si>
  <si>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</si>
  <si>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</si>
  <si>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</si>
  <si>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</si>
  <si>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</si>
  <si>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</si>
  <si>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</si>
  <si>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</si>
  <si>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</si>
  <si>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</si>
  <si>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</si>
  <si>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</si>
  <si>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</si>
  <si>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</si>
  <si>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</si>
  <si>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</si>
  <si>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</si>
  <si>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</si>
  <si>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</si>
  <si>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</si>
  <si>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</si>
  <si>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</si>
  <si>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</si>
  <si>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</si>
  <si>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</si>
  <si>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</si>
  <si>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</si>
  <si>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</si>
  <si>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</si>
  <si>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</si>
  <si>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</si>
  <si>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</si>
  <si>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</si>
  <si>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</si>
  <si>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</si>
  <si>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</si>
  <si>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</si>
  <si>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</si>
  <si>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</si>
  <si>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</si>
  <si>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</si>
  <si>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</si>
  <si>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</si>
  <si>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</si>
  <si>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</si>
  <si>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</si>
  <si>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</si>
  <si>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</si>
  <si>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</si>
  <si>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</si>
  <si>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</si>
  <si>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</si>
  <si>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</si>
  <si>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</si>
  <si>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</si>
  <si>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</si>
  <si>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</si>
  <si>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</si>
  <si>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</si>
  <si>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</si>
  <si>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</si>
  <si>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</si>
  <si>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</si>
  <si>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</si>
  <si>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</si>
  <si>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</si>
  <si>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</si>
  <si>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</si>
  <si>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</si>
  <si>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</si>
  <si>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</si>
  <si>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</si>
  <si>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</si>
  <si>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</si>
  <si>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</si>
  <si>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</si>
  <si>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</si>
  <si>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</si>
  <si>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</si>
  <si>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</si>
  <si>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</si>
  <si>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</si>
  <si>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</si>
  <si>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</si>
  <si>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</si>
  <si>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</si>
  <si>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</si>
  <si>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</si>
  <si>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 xml:space="preserve">Umair </t>
  </si>
  <si>
    <t>Shop Bill Summary (Umair)</t>
  </si>
  <si>
    <t xml:space="preserve">Customer Name : Somroo Sweet </t>
  </si>
  <si>
    <t xml:space="preserve">Address: Kanchi bazar </t>
  </si>
  <si>
    <t xml:space="preserve">Customer Name : Kashmir Bakey </t>
  </si>
  <si>
    <t xml:space="preserve">Address: Kanchi amer Sadu Pind </t>
  </si>
  <si>
    <t xml:space="preserve">Customer Name : Haaji Chiragh Din </t>
  </si>
  <si>
    <t xml:space="preserve">Address: Kanchi Landa Bazar </t>
  </si>
  <si>
    <t>Customer Name : Ali subhan GS</t>
  </si>
  <si>
    <t xml:space="preserve">Address: Shangai Raod </t>
  </si>
  <si>
    <t xml:space="preserve">Address: Shangai Road </t>
  </si>
  <si>
    <t xml:space="preserve">Customer Name : Agrow Store </t>
  </si>
  <si>
    <t xml:space="preserve">Customer Name : DVA Mart </t>
  </si>
  <si>
    <t xml:space="preserve">Address: DVA Apartment </t>
  </si>
  <si>
    <t xml:space="preserve">Customer Name : Ajwa Mart </t>
  </si>
  <si>
    <t xml:space="preserve">Address: Shahngai Road </t>
  </si>
  <si>
    <t>Customer Name : Palace Sweets</t>
  </si>
  <si>
    <t xml:space="preserve">Address: Kacha Jail Road </t>
  </si>
  <si>
    <t>Customer Name : Ghosia Store</t>
  </si>
  <si>
    <t xml:space="preserve">Address: Abid Market Kanchi </t>
  </si>
  <si>
    <t xml:space="preserve">Customer Name : MN Mart </t>
  </si>
  <si>
    <t xml:space="preserve">Address: Abid Market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</si>
</sst>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S34" sqref="S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Somroo Sweet </v>
      </c>
      <c r="U14" s="164">
        <f>+'1'!P35</f>
        <v>538.64712270000007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Kashmir Bakey </v>
      </c>
      <c r="U15" s="164">
        <f>+'2'!P35</f>
        <v>1795.4904090000002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15</v>
      </c>
      <c r="I16" s="1">
        <f>(G16*D16)*F16+H16*F16</f>
        <v>786.9375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62.954999999999998</v>
      </c>
      <c r="M16" s="106">
        <f>I16-K16-L16</f>
        <v>723.98249999999996</v>
      </c>
      <c r="N16" s="101">
        <f>+'1'!N16+'2'!N16+'4'!N16+'3'!N16+'5'!N16+'6'!N16+'7'!N16+'8'!N16+'9'!N16+'10'!N16</f>
        <v>159.27615</v>
      </c>
      <c r="O16" s="101">
        <f>+'1'!O16+'2'!O16+'4'!O16+'3'!O16+'5'!O16+'6'!O16+'7'!O16+'8'!O16+'9'!O16+'10'!O16</f>
        <v>4.4162932499999998</v>
      </c>
      <c r="P16" s="105">
        <f t="shared" ref="P16:P24" si="0">M16+N16+O16</f>
        <v>887.67494324999996</v>
      </c>
      <c r="Q16" s="108"/>
      <c r="T16" s="163" t="str">
        <f>+'3'!A5</f>
        <v xml:space="preserve">Customer Name : Haaji Chiragh Din </v>
      </c>
      <c r="U16" s="164">
        <f>+'3'!P35</f>
        <v>2227.0634577000001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15</v>
      </c>
      <c r="I17" s="1">
        <f t="shared" ref="I17:I23" si="1">(G17*D17)*F17+H17*F17</f>
        <v>786.9375</v>
      </c>
      <c r="J17" s="172">
        <f>+'1'!J17+'2'!J17+'4'!J17+'3'!J17+'5'!J17+'6'!J17+'7'!J17+'8'!J17+'9'!J17+'10'!J17+'11'!J17+'12'!J17+'13'!J17+'14'!J17+'15'!J17+'16'!J17+'17'!J17+'18'!J17</f>
        <v>1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62.954999999999998</v>
      </c>
      <c r="M17" s="118">
        <f t="shared" ref="M17:M23" si="2">I17-K17-L17</f>
        <v>723.98249999999996</v>
      </c>
      <c r="N17" s="101">
        <f>+'1'!N17+'2'!N17+'4'!N17+'3'!N17+'5'!N17+'6'!N17+'7'!N17+'8'!N17+'9'!N17+'10'!N17</f>
        <v>170.81790000000001</v>
      </c>
      <c r="O17" s="101">
        <f>+'1'!O17+'2'!O17+'4'!O17+'3'!O17+'5'!O17+'6'!O17+'7'!O17+'8'!O17+'9'!O17+'10'!O17</f>
        <v>4.4740019999999996</v>
      </c>
      <c r="P17" s="120">
        <f t="shared" si="0"/>
        <v>899.27440200000001</v>
      </c>
      <c r="S17" s="64"/>
      <c r="T17" s="163" t="str">
        <f>+'4'!A5</f>
        <v>Customer Name : Ali subhan GS</v>
      </c>
      <c r="U17" s="164">
        <f>+'4'!P35</f>
        <v>448.87260225000006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Agrow Store </v>
      </c>
      <c r="U18" s="164">
        <f>+'5'!P35</f>
        <v>1795.4904090000002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DVA Mart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Ajwa Mart </v>
      </c>
      <c r="U20" s="164">
        <f>+'7'!P35</f>
        <v>1760.4564498000002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>Customer Name : Palace Sweets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152</v>
      </c>
      <c r="I22" s="1">
        <f t="shared" si="1"/>
        <v>5962.9600000000009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208.70360000000005</v>
      </c>
      <c r="L22" s="175">
        <f>+'1'!L22+'2'!L22+'4'!L22+'3'!L22+'5'!L22+'6'!L22+'7'!L22+'8'!L22+'9'!L22+'10'!L22</f>
        <v>298.14800000000008</v>
      </c>
      <c r="M22" s="118">
        <f t="shared" si="2"/>
        <v>5456.108400000001</v>
      </c>
      <c r="N22" s="101">
        <f>+'1'!N22+'2'!N22+'4'!N22+'3'!N22+'5'!N22+'6'!N22+'7'!N22+'8'!N22+'9'!N22+'10'!N22</f>
        <v>1200.343848</v>
      </c>
      <c r="O22" s="101">
        <f>+'1'!O22+'2'!O22+'4'!O22+'3'!O22+'5'!O22+'6'!O22+'7'!O22+'8'!O22+'9'!O22+'10'!O22</f>
        <v>122.61885720000002</v>
      </c>
      <c r="P22" s="120">
        <f t="shared" si="0"/>
        <v>6779.0711052000015</v>
      </c>
      <c r="T22" s="163" t="str">
        <f>+'9'!A5</f>
        <v>Customer Name : Ghosia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MN Mart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4.55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182</v>
      </c>
      <c r="I25" s="178">
        <f t="shared" si="3"/>
        <v>7536.8350000000009</v>
      </c>
      <c r="J25" s="177">
        <f t="shared" si="3"/>
        <v>1</v>
      </c>
      <c r="K25" s="178">
        <f t="shared" si="3"/>
        <v>208.70360000000005</v>
      </c>
      <c r="L25" s="179">
        <f t="shared" si="3"/>
        <v>424.05800000000011</v>
      </c>
      <c r="M25" s="141">
        <f t="shared" si="3"/>
        <v>6904.0734000000011</v>
      </c>
      <c r="N25" s="142">
        <f>SUM(N16:N24)</f>
        <v>1530.4378980000001</v>
      </c>
      <c r="O25" s="143">
        <f>SUM(O16:O24)</f>
        <v>131.50915245000002</v>
      </c>
      <c r="P25" s="144">
        <f>SUM(P16:P24)</f>
        <v>8566.0204504500016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8566.0204504500016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7536.8350000000009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424.05800000000011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208.70360000000005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6904.0734000000011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1530.4378980000001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8434.5112980000013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210.86278245000005</v>
      </c>
    </row>
    <row r="39" spans="2:16" ht="15.75" customHeight="1" thickBot="1" x14ac:dyDescent="0.4">
      <c r="N39" s="219" t="s">
        <v>92</v>
      </c>
      <c r="O39" s="220"/>
      <c r="P39" s="160">
        <f>P37+P38</f>
        <v>8645.3740804500012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6"/>
        <v>430.74540000000002</v>
      </c>
      <c r="N22" s="118">
        <f t="shared" si="0"/>
        <v>94.763987999999998</v>
      </c>
      <c r="O22" s="119">
        <f t="shared" si="1"/>
        <v>13.137734700000003</v>
      </c>
      <c r="P22" s="120">
        <f t="shared" si="2"/>
        <v>538.64712270000007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470.76000000000005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23.538000000000004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430.74540000000002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525.50938800000006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19" t="s">
        <v>92</v>
      </c>
      <c r="O35" s="220"/>
      <c r="P35" s="160">
        <f>P33+P34</f>
        <v>538.64712270000007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A23" sqref="A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1569.2000000000003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78.460000000000022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1435.8180000000002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1751.6979600000002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9" t="s">
        <v>92</v>
      </c>
      <c r="O35" s="220"/>
      <c r="P35" s="160">
        <f>P33+P34</f>
        <v>1795.4904090000002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9" workbookViewId="0">
      <selection activeCell="A27" sqref="A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3520122322765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15</v>
      </c>
      <c r="I16" s="102">
        <f>(G16*D16)*F16+H16*F16</f>
        <v>786.9375</v>
      </c>
      <c r="J16" s="103"/>
      <c r="K16" s="104">
        <f>I16*$K$13</f>
        <v>0</v>
      </c>
      <c r="L16" s="105">
        <f>I16*8%</f>
        <v>62.954999999999998</v>
      </c>
      <c r="M16" s="106">
        <f>I16-K16-L16</f>
        <v>723.98249999999996</v>
      </c>
      <c r="N16" s="106">
        <f t="shared" ref="N16:N24" si="0">(M16*$N$15)+(J16*F16)*$N$15</f>
        <v>159.27615</v>
      </c>
      <c r="O16" s="107">
        <f>(N16+M16)*$O$15</f>
        <v>4.4162932499999998</v>
      </c>
      <c r="P16" s="105">
        <f t="shared" ref="P16:P24" si="1">M16+N16+O16</f>
        <v>887.67494324999996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15</v>
      </c>
      <c r="I17" s="116">
        <f t="shared" ref="I17:I23" si="2">(G17*D17)*F17+H17*F17</f>
        <v>786.9375</v>
      </c>
      <c r="J17" s="117">
        <v>1</v>
      </c>
      <c r="K17" s="1">
        <f t="shared" ref="K17:K21" si="3">I17*$K$13</f>
        <v>0</v>
      </c>
      <c r="L17" s="105">
        <f t="shared" ref="L17:L21" si="4">I17*8%</f>
        <v>62.954999999999998</v>
      </c>
      <c r="M17" s="118">
        <f t="shared" ref="M17:M23" si="5">I17-K17-L17</f>
        <v>723.98249999999996</v>
      </c>
      <c r="N17" s="118">
        <f t="shared" si="0"/>
        <v>170.81790000000001</v>
      </c>
      <c r="O17" s="119">
        <f t="shared" ref="O17:O24" si="6">(N17+M17)*$O$15</f>
        <v>4.4740019999999996</v>
      </c>
      <c r="P17" s="120">
        <f t="shared" si="1"/>
        <v>899.27440200000001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1966.1750000000002</v>
      </c>
      <c r="J25" s="138"/>
      <c r="K25" s="139">
        <f t="shared" si="9"/>
        <v>13.730500000000003</v>
      </c>
      <c r="L25" s="140">
        <f t="shared" si="9"/>
        <v>145.52500000000001</v>
      </c>
      <c r="M25" s="141">
        <f t="shared" si="9"/>
        <v>1806.9195</v>
      </c>
      <c r="N25" s="142">
        <f>SUM(N16:N24)</f>
        <v>409.06404000000003</v>
      </c>
      <c r="O25" s="143">
        <f>SUM(O16:O24)</f>
        <v>11.079917699999999</v>
      </c>
      <c r="P25" s="144">
        <f>SUM(P16:P24)</f>
        <v>2227.0634577000001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1966.1750000000002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145.52500000000001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1806.9195000000002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409.06404000000003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2215.9835400000002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11.079917700000001</v>
      </c>
    </row>
    <row r="35" spans="2:16" ht="15.75" customHeight="1" thickBot="1" x14ac:dyDescent="0.4">
      <c r="N35" s="219" t="s">
        <v>92</v>
      </c>
      <c r="O35" s="220"/>
      <c r="P35" s="160">
        <f>P33+P34</f>
        <v>2227.0634577000001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A22" sqref="A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116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1569.2000000000003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78.460000000000022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1435.8180000000002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1751.6979600000002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9" t="s">
        <v>92</v>
      </c>
      <c r="O35" s="220"/>
      <c r="P35" s="160">
        <f>P33+P34</f>
        <v>1795.4904090000002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9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119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24" sqref="A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121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8.7584898000000013</v>
      </c>
      <c r="P25" s="144">
        <f>SUM(P16:P24)</f>
        <v>1760.4564498000002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1569.2000000000003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78.460000000000022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1435.8180000000002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1751.6979600000002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8.7584898000000013</v>
      </c>
    </row>
    <row r="35" spans="2:16" ht="15.75" customHeight="1" thickBot="1" x14ac:dyDescent="0.4">
      <c r="N35" s="219" t="s">
        <v>92</v>
      </c>
      <c r="O35" s="220"/>
      <c r="P35" s="160">
        <f>P33+P34</f>
        <v>1760.4564498000002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123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3520127602341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abSelected="1" topLeftCell="A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125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1720162142491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3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127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4743204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46203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46202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2026-06-30T13:14:26Z</dcterms:modified>
</cp:coreProperties>
</file>