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B41E0CD6-0EC0-4C72-9AA0-68A44F8D0B3B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I19" i="33" s="1"/>
  <c r="B19" i="33"/>
  <c r="C19" i="33" s="1"/>
  <c r="F18" i="33"/>
  <c r="E18" i="33"/>
  <c r="D18" i="33"/>
  <c r="I18" i="33" s="1"/>
  <c r="K18" i="33" s="1"/>
  <c r="B18" i="33"/>
  <c r="C18" i="33" s="1"/>
  <c r="F17" i="33"/>
  <c r="I17" i="33" s="1"/>
  <c r="E17" i="33"/>
  <c r="D17" i="33"/>
  <c r="B17" i="33"/>
  <c r="C17" i="33" s="1"/>
  <c r="F16" i="33"/>
  <c r="I16" i="33" s="1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C12" i="28"/>
  <c r="C11" i="28"/>
  <c r="N4" i="28"/>
  <c r="N5" i="28" s="1"/>
  <c r="I16" i="31" l="1"/>
  <c r="I17" i="31"/>
  <c r="I18" i="31"/>
  <c r="I19" i="31"/>
  <c r="I20" i="31"/>
  <c r="I21" i="31"/>
  <c r="I22" i="31"/>
  <c r="I23" i="31"/>
  <c r="I24" i="31"/>
  <c r="I20" i="33"/>
  <c r="I23" i="33"/>
  <c r="L16" i="33"/>
  <c r="K17" i="33"/>
  <c r="L17" i="33"/>
  <c r="L18" i="33"/>
  <c r="I16" i="28"/>
  <c r="I18" i="28"/>
  <c r="I20" i="28"/>
  <c r="L20" i="28" s="1"/>
  <c r="I22" i="28"/>
  <c r="I24" i="28"/>
  <c r="I16" i="30"/>
  <c r="I18" i="30"/>
  <c r="K18" i="30" s="1"/>
  <c r="I20" i="30"/>
  <c r="I23" i="30"/>
  <c r="I16" i="32"/>
  <c r="I18" i="32"/>
  <c r="I21" i="33"/>
  <c r="I17" i="28"/>
  <c r="I19" i="28"/>
  <c r="I21" i="28"/>
  <c r="K21" i="28" s="1"/>
  <c r="I23" i="28"/>
  <c r="I17" i="30"/>
  <c r="I19" i="30"/>
  <c r="I21" i="30"/>
  <c r="K21" i="30" s="1"/>
  <c r="I22" i="30"/>
  <c r="I24" i="30"/>
  <c r="I17" i="32"/>
  <c r="I19" i="32"/>
  <c r="L19" i="32" s="1"/>
  <c r="I20" i="32"/>
  <c r="I21" i="32"/>
  <c r="I22" i="32"/>
  <c r="I22" i="33"/>
  <c r="L22" i="33" s="1"/>
  <c r="I16" i="34"/>
  <c r="I17" i="34"/>
  <c r="I18" i="34"/>
  <c r="L18" i="34" s="1"/>
  <c r="I19" i="34"/>
  <c r="L19" i="34" s="1"/>
  <c r="I20" i="34"/>
  <c r="I21" i="34"/>
  <c r="I22" i="34"/>
  <c r="I23" i="34"/>
  <c r="K23" i="34" s="1"/>
  <c r="I24" i="34"/>
  <c r="I25" i="35"/>
  <c r="P28" i="35" s="1"/>
  <c r="K16" i="35"/>
  <c r="L16" i="35"/>
  <c r="K17" i="35"/>
  <c r="L17" i="35"/>
  <c r="M17" i="35" s="1"/>
  <c r="K18" i="35"/>
  <c r="L18" i="35"/>
  <c r="K19" i="35"/>
  <c r="L19" i="35"/>
  <c r="M19" i="35"/>
  <c r="K20" i="35"/>
  <c r="L20" i="35"/>
  <c r="K21" i="35"/>
  <c r="L21" i="35"/>
  <c r="M21" i="35" s="1"/>
  <c r="K22" i="35"/>
  <c r="L22" i="35"/>
  <c r="M22" i="35"/>
  <c r="K23" i="35"/>
  <c r="M23" i="35" s="1"/>
  <c r="L23" i="35"/>
  <c r="K24" i="35"/>
  <c r="L24" i="35"/>
  <c r="K16" i="34"/>
  <c r="L16" i="34"/>
  <c r="K17" i="34"/>
  <c r="L17" i="34"/>
  <c r="K18" i="34"/>
  <c r="K20" i="34"/>
  <c r="L20" i="34"/>
  <c r="M20" i="34" s="1"/>
  <c r="K21" i="34"/>
  <c r="L21" i="34"/>
  <c r="K22" i="34"/>
  <c r="L22" i="34"/>
  <c r="K24" i="34"/>
  <c r="L24" i="34"/>
  <c r="M24" i="34" s="1"/>
  <c r="K21" i="33"/>
  <c r="M21" i="33" s="1"/>
  <c r="L21" i="33"/>
  <c r="K19" i="33"/>
  <c r="L19" i="33"/>
  <c r="K23" i="33"/>
  <c r="L23" i="33"/>
  <c r="K20" i="33"/>
  <c r="L20" i="33"/>
  <c r="M20" i="33" s="1"/>
  <c r="K24" i="33"/>
  <c r="L24" i="33"/>
  <c r="M24" i="33" s="1"/>
  <c r="M17" i="33"/>
  <c r="M18" i="33"/>
  <c r="K16" i="33"/>
  <c r="K24" i="32"/>
  <c r="L24" i="32"/>
  <c r="K16" i="32"/>
  <c r="M16" i="32" s="1"/>
  <c r="L16" i="32"/>
  <c r="K17" i="32"/>
  <c r="L17" i="32"/>
  <c r="K19" i="32"/>
  <c r="K20" i="32"/>
  <c r="L20" i="32"/>
  <c r="K21" i="32"/>
  <c r="L21" i="32"/>
  <c r="K23" i="32"/>
  <c r="L23" i="32"/>
  <c r="K22" i="32"/>
  <c r="L22" i="32"/>
  <c r="K17" i="31"/>
  <c r="L17" i="31"/>
  <c r="K19" i="31"/>
  <c r="M19" i="31" s="1"/>
  <c r="L19" i="31"/>
  <c r="K21" i="31"/>
  <c r="L21" i="31"/>
  <c r="K22" i="31"/>
  <c r="M22" i="31" s="1"/>
  <c r="L22" i="31"/>
  <c r="K24" i="31"/>
  <c r="L24" i="31"/>
  <c r="I25" i="31"/>
  <c r="P28" i="31" s="1"/>
  <c r="K16" i="31"/>
  <c r="L16" i="31"/>
  <c r="K18" i="31"/>
  <c r="L18" i="31"/>
  <c r="K20" i="31"/>
  <c r="L20" i="31"/>
  <c r="K23" i="31"/>
  <c r="M23" i="31" s="1"/>
  <c r="L23" i="31"/>
  <c r="K20" i="30"/>
  <c r="L20" i="30"/>
  <c r="K23" i="30"/>
  <c r="M23" i="30" s="1"/>
  <c r="L23" i="30"/>
  <c r="K16" i="30"/>
  <c r="L16" i="30"/>
  <c r="K17" i="30"/>
  <c r="M17" i="30" s="1"/>
  <c r="L17" i="30"/>
  <c r="K19" i="30"/>
  <c r="M19" i="30" s="1"/>
  <c r="L19" i="30"/>
  <c r="K22" i="30"/>
  <c r="M22" i="30" s="1"/>
  <c r="L22" i="30"/>
  <c r="K24" i="30"/>
  <c r="M24" i="30" s="1"/>
  <c r="L24" i="30"/>
  <c r="I25" i="29"/>
  <c r="P28" i="29" s="1"/>
  <c r="K16" i="29"/>
  <c r="L16" i="29"/>
  <c r="M16" i="29" s="1"/>
  <c r="K19" i="29"/>
  <c r="L19" i="29"/>
  <c r="K21" i="29"/>
  <c r="L21" i="29"/>
  <c r="K24" i="29"/>
  <c r="M24" i="29" s="1"/>
  <c r="L24" i="29"/>
  <c r="K17" i="29"/>
  <c r="M17" i="29" s="1"/>
  <c r="L17" i="29"/>
  <c r="K20" i="29"/>
  <c r="L20" i="29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 s="1"/>
  <c r="L17" i="28"/>
  <c r="K18" i="28"/>
  <c r="M18" i="28" s="1"/>
  <c r="L18" i="28"/>
  <c r="K19" i="28"/>
  <c r="M19" i="28"/>
  <c r="L19" i="28"/>
  <c r="K20" i="28"/>
  <c r="L21" i="28"/>
  <c r="K22" i="28"/>
  <c r="M22" i="28" s="1"/>
  <c r="L22" i="28"/>
  <c r="K23" i="28"/>
  <c r="M23" i="28" s="1"/>
  <c r="L23" i="28"/>
  <c r="K24" i="28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M17" i="32" l="1"/>
  <c r="K22" i="33"/>
  <c r="M17" i="34"/>
  <c r="M24" i="35"/>
  <c r="M19" i="29"/>
  <c r="M18" i="31"/>
  <c r="M17" i="31"/>
  <c r="M20" i="32"/>
  <c r="M21" i="34"/>
  <c r="M16" i="34"/>
  <c r="I25" i="33"/>
  <c r="P28" i="33" s="1"/>
  <c r="M18" i="34"/>
  <c r="I25" i="34"/>
  <c r="P28" i="34" s="1"/>
  <c r="I25" i="32"/>
  <c r="P28" i="32" s="1"/>
  <c r="M16" i="30"/>
  <c r="M20" i="30"/>
  <c r="M22" i="32"/>
  <c r="M21" i="32"/>
  <c r="M22" i="34"/>
  <c r="M19" i="32"/>
  <c r="M24" i="28"/>
  <c r="M21" i="28"/>
  <c r="I25" i="30"/>
  <c r="P28" i="30" s="1"/>
  <c r="L21" i="30"/>
  <c r="M21" i="30" s="1"/>
  <c r="L18" i="30"/>
  <c r="M18" i="30" s="1"/>
  <c r="M24" i="31"/>
  <c r="M23" i="32"/>
  <c r="L18" i="32"/>
  <c r="M24" i="32"/>
  <c r="M19" i="33"/>
  <c r="M20" i="28"/>
  <c r="L25" i="33"/>
  <c r="P29" i="33" s="1"/>
  <c r="L25" i="31"/>
  <c r="P29" i="31" s="1"/>
  <c r="K18" i="32"/>
  <c r="K25" i="33"/>
  <c r="P30" i="33" s="1"/>
  <c r="M22" i="33"/>
  <c r="L23" i="34"/>
  <c r="M23" i="34" s="1"/>
  <c r="K19" i="34"/>
  <c r="M19" i="34" s="1"/>
  <c r="M20" i="29"/>
  <c r="M21" i="29"/>
  <c r="L25" i="30"/>
  <c r="P29" i="30" s="1"/>
  <c r="M20" i="31"/>
  <c r="M21" i="31"/>
  <c r="M23" i="33"/>
  <c r="M20" i="35"/>
  <c r="M18" i="35"/>
  <c r="N18" i="35" s="1"/>
  <c r="O18" i="35" s="1"/>
  <c r="N20" i="35"/>
  <c r="O20" i="35" s="1"/>
  <c r="P20" i="35" s="1"/>
  <c r="N24" i="35"/>
  <c r="O24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2" i="34"/>
  <c r="O22" i="34" s="1"/>
  <c r="N20" i="34"/>
  <c r="O20" i="34" s="1"/>
  <c r="P20" i="34" s="1"/>
  <c r="N17" i="34"/>
  <c r="O17" i="34" s="1"/>
  <c r="N24" i="34"/>
  <c r="O24" i="34" s="1"/>
  <c r="N18" i="34"/>
  <c r="O18" i="34" s="1"/>
  <c r="P18" i="34" s="1"/>
  <c r="N21" i="34"/>
  <c r="O21" i="34" s="1"/>
  <c r="L25" i="34"/>
  <c r="P29" i="34" s="1"/>
  <c r="P31" i="34" s="1"/>
  <c r="K25" i="34"/>
  <c r="P30" i="34" s="1"/>
  <c r="N16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1" i="32"/>
  <c r="O21" i="32" s="1"/>
  <c r="N19" i="32"/>
  <c r="O19" i="32" s="1"/>
  <c r="N17" i="32"/>
  <c r="O17" i="32" s="1"/>
  <c r="P17" i="32"/>
  <c r="N23" i="32"/>
  <c r="O23" i="32" s="1"/>
  <c r="N24" i="32"/>
  <c r="O24" i="32" s="1"/>
  <c r="P24" i="32"/>
  <c r="N20" i="32"/>
  <c r="O20" i="32" s="1"/>
  <c r="N16" i="32"/>
  <c r="L25" i="32"/>
  <c r="P29" i="32" s="1"/>
  <c r="N22" i="32"/>
  <c r="O22" i="32" s="1"/>
  <c r="K25" i="32"/>
  <c r="P30" i="32" s="1"/>
  <c r="N21" i="31"/>
  <c r="O21" i="31" s="1"/>
  <c r="N18" i="31"/>
  <c r="O18" i="31" s="1"/>
  <c r="N20" i="31"/>
  <c r="O20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N16" i="30"/>
  <c r="N20" i="30"/>
  <c r="O20" i="30" s="1"/>
  <c r="N21" i="30"/>
  <c r="O21" i="30" s="1"/>
  <c r="N17" i="30"/>
  <c r="O17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M25" i="29"/>
  <c r="N16" i="29"/>
  <c r="N20" i="29"/>
  <c r="O20" i="29" s="1"/>
  <c r="N18" i="29"/>
  <c r="O18" i="29" s="1"/>
  <c r="P18" i="29" s="1"/>
  <c r="N19" i="29"/>
  <c r="O19" i="29" s="1"/>
  <c r="N24" i="29"/>
  <c r="O24" i="29" s="1"/>
  <c r="L25" i="29"/>
  <c r="P29" i="29" s="1"/>
  <c r="K25" i="29"/>
  <c r="P30" i="29" s="1"/>
  <c r="N24" i="28"/>
  <c r="O24" i="28" s="1"/>
  <c r="N20" i="28"/>
  <c r="O20" i="28" s="1"/>
  <c r="N22" i="28"/>
  <c r="O22" i="28" s="1"/>
  <c r="K25" i="28"/>
  <c r="P30" i="28" s="1"/>
  <c r="N23" i="28"/>
  <c r="O23" i="28" s="1"/>
  <c r="N19" i="28"/>
  <c r="O19" i="28" s="1"/>
  <c r="L25" i="28"/>
  <c r="P29" i="28" s="1"/>
  <c r="M16" i="28"/>
  <c r="N21" i="28"/>
  <c r="O21" i="28" s="1"/>
  <c r="N18" i="28"/>
  <c r="O18" i="28" s="1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P18" i="28" l="1"/>
  <c r="P18" i="31"/>
  <c r="P31" i="32"/>
  <c r="M24" i="26"/>
  <c r="P23" i="28"/>
  <c r="P20" i="28"/>
  <c r="P17" i="31"/>
  <c r="M25" i="34"/>
  <c r="N19" i="34"/>
  <c r="O19" i="34" s="1"/>
  <c r="N23" i="34"/>
  <c r="O23" i="34" s="1"/>
  <c r="M25" i="30"/>
  <c r="N18" i="30"/>
  <c r="O18" i="30" s="1"/>
  <c r="M17" i="26"/>
  <c r="M23" i="27"/>
  <c r="P22" i="28"/>
  <c r="P24" i="28"/>
  <c r="P24" i="29"/>
  <c r="P17" i="29"/>
  <c r="P21" i="30"/>
  <c r="P23" i="31"/>
  <c r="P20" i="31"/>
  <c r="P21" i="31"/>
  <c r="P23" i="32"/>
  <c r="P19" i="32"/>
  <c r="P22" i="35"/>
  <c r="P31" i="33"/>
  <c r="M18" i="32"/>
  <c r="P17" i="33"/>
  <c r="P31" i="35"/>
  <c r="P31" i="29"/>
  <c r="P22" i="32"/>
  <c r="P24" i="34"/>
  <c r="P24" i="35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O16" i="32"/>
  <c r="P20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N20" i="26" s="1"/>
  <c r="O20" i="26" s="1"/>
  <c r="M20" i="27"/>
  <c r="N20" i="27" s="1"/>
  <c r="O20" i="27" s="1"/>
  <c r="M23" i="26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L25" i="27"/>
  <c r="P29" i="27" s="1"/>
  <c r="K25" i="27"/>
  <c r="P30" i="27" s="1"/>
  <c r="L25" i="26"/>
  <c r="P29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24" i="25" l="1"/>
  <c r="P23" i="34"/>
  <c r="N18" i="32"/>
  <c r="M25" i="32"/>
  <c r="P18" i="30"/>
  <c r="I16" i="22"/>
  <c r="I17" i="22"/>
  <c r="I18" i="22"/>
  <c r="I19" i="22"/>
  <c r="I20" i="22"/>
  <c r="I21" i="22"/>
  <c r="I22" i="22"/>
  <c r="P16" i="32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18" i="32" l="1"/>
  <c r="O25" i="32" s="1"/>
  <c r="N25" i="32"/>
  <c r="P32" i="32" s="1"/>
  <c r="P33" i="32" s="1"/>
  <c r="P34" i="32" s="1"/>
  <c r="P35" i="32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L20" i="24"/>
  <c r="K19" i="24"/>
  <c r="M19" i="24" s="1"/>
  <c r="N19" i="24" s="1"/>
  <c r="O19" i="24" s="1"/>
  <c r="P19" i="24" s="1"/>
  <c r="L24" i="21"/>
  <c r="L17" i="20"/>
  <c r="K17" i="19"/>
  <c r="M17" i="19" s="1"/>
  <c r="N17" i="19" s="1"/>
  <c r="O17" i="19" s="1"/>
  <c r="L16" i="17"/>
  <c r="M16" i="17" s="1"/>
  <c r="K20" i="18"/>
  <c r="M20" i="18" s="1"/>
  <c r="L17" i="17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M23" i="18" s="1"/>
  <c r="N23" i="18" s="1"/>
  <c r="O23" i="18" s="1"/>
  <c r="O25" i="27"/>
  <c r="M23" i="25"/>
  <c r="M16" i="24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24" i="22"/>
  <c r="M19" i="22"/>
  <c r="N19" i="22" s="1"/>
  <c r="O19" i="22" s="1"/>
  <c r="M18" i="22"/>
  <c r="I25" i="21"/>
  <c r="P28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K25" i="25"/>
  <c r="P30" i="25" s="1"/>
  <c r="M16" i="25"/>
  <c r="N23" i="25"/>
  <c r="O23" i="25" s="1"/>
  <c r="P23" i="25" s="1"/>
  <c r="N24" i="24"/>
  <c r="O24" i="24" s="1"/>
  <c r="N18" i="24"/>
  <c r="O18" i="24" s="1"/>
  <c r="N16" i="24"/>
  <c r="K25" i="24"/>
  <c r="P30" i="24" s="1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21" i="19"/>
  <c r="N23" i="19"/>
  <c r="O23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I23" i="15"/>
  <c r="K25" i="19" l="1"/>
  <c r="P30" i="19" s="1"/>
  <c r="P18" i="32"/>
  <c r="P25" i="32" s="1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0" i="16"/>
  <c r="N20" i="16" s="1"/>
  <c r="L25" i="16"/>
  <c r="P29" i="16" s="1"/>
  <c r="P31" i="21" l="1"/>
  <c r="P31" i="17"/>
  <c r="M16" i="15"/>
  <c r="M22" i="16"/>
  <c r="N22" i="16" s="1"/>
  <c r="N22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<sst xmlns="http://schemas.openxmlformats.org/spreadsheetml/2006/main" count="1602" uniqueCount="127">
  <si>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</si>
  <si>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</si>
  <si>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</si>
  <si>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</si>
  <si>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</si>
  <si>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</si>
  <si>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</si>
  <si>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</si>
  <si>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</si>
  <si>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</si>
  <si>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</si>
  <si>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</si>
  <si>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</si>
  <si>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</si>
  <si>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</si>
  <si>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</si>
  <si>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</si>
  <si>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</si>
  <si>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</si>
  <si>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</si>
  <si>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</si>
  <si>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</si>
  <si>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</si>
  <si>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</si>
  <si>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</si>
  <si>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</si>
  <si>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</si>
  <si>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</si>
  <si>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</si>
  <si>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</si>
  <si>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</si>
  <si>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</si>
  <si>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</si>
  <si>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</si>
  <si>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</si>
  <si>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</si>
  <si>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</si>
  <si>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</si>
  <si>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</si>
  <si>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</si>
  <si>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</si>
  <si>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</si>
  <si>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</si>
  <si>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</si>
  <si>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</si>
  <si>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</si>
  <si>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</si>
  <si>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</si>
  <si>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</si>
  <si>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</si>
  <si>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</si>
  <si>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</si>
  <si>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</si>
  <si>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</si>
  <si>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</si>
  <si>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</si>
  <si>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</si>
  <si>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</si>
  <si>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</si>
  <si>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</si>
  <si>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</si>
  <si>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</si>
  <si>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</si>
  <si>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</si>
  <si>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</si>
  <si>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</si>
  <si>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</si>
  <si>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</si>
  <si>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</si>
  <si>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</si>
  <si>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</si>
  <si>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</si>
  <si>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</si>
  <si>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</si>
  <si>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</si>
  <si>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</si>
  <si>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</si>
  <si>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</si>
  <si>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</si>
  <si>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</si>
  <si>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</si>
  <si>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</si>
  <si>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</si>
  <si>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</si>
  <si>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</si>
  <si>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</si>
  <si>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</si>
  <si>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</si>
  <si>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</si>
  <si>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</si>
  <si>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</si>
  <si>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</si>
  <si>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</si>
  <si>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</si>
  <si>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</si>
  <si>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</si>
  <si>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</si>
  <si>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</si>
  <si>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</si>
  <si>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</si>
  <si>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</si>
  <si>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</si>
  <si>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</si>
  <si>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Mobeen Ahmad</t>
  </si>
  <si>
    <t>Rana Bilal Tso</t>
  </si>
  <si>
    <t>Shakoor</t>
  </si>
  <si>
    <t>Address: Gawal Mandi</t>
  </si>
  <si>
    <t>Customer Name : Tuqeer Store</t>
  </si>
  <si>
    <t xml:space="preserve">Zeshan </t>
  </si>
  <si>
    <t>Shop Bill Summary (Zeshan)</t>
  </si>
  <si>
    <t>Customer Name : Adeel Pharmacy</t>
  </si>
  <si>
    <t>Address: RA Bazar</t>
  </si>
  <si>
    <t>4592867-1</t>
  </si>
  <si>
    <t>Customer Name : Faizan Store</t>
  </si>
  <si>
    <t>214755-6</t>
  </si>
  <si>
    <t>Customer Name : Lal Store</t>
  </si>
  <si>
    <t>Address:  Mariam Colony</t>
  </si>
  <si>
    <t>f251821-1</t>
  </si>
  <si>
    <t>Customer Name : Mian Store</t>
  </si>
  <si>
    <t>Address: Marium Colony</t>
  </si>
  <si>
    <t>Customer Name : Khan Store</t>
  </si>
  <si>
    <t>Customer Name : Bilal Store</t>
  </si>
  <si>
    <t>Customer Name : Sharif Mart</t>
  </si>
  <si>
    <t>9616030-7</t>
  </si>
  <si>
    <t>Customer Name : Euro Store</t>
  </si>
  <si>
    <t>Address: Bedian Road</t>
  </si>
  <si>
    <t>6616156-4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</si>
</sst>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3" fontId="14" fillId="4" borderId="1" xfId="0" applyNumberFormat="1" applyFont="1" applyFill="1" applyBorder="1" applyAlignment="1">
      <alignment horizontal="center" vertical="top" shrinkToFi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103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104</v>
      </c>
    </row>
    <row r="13" spans="1:2" x14ac:dyDescent="0.35">
      <c r="A13">
        <v>8</v>
      </c>
      <c r="B13" t="s">
        <v>105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zoomScale="70" zoomScaleNormal="70" workbookViewId="0">
      <selection activeCell="S21" sqref="S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3" t="s">
        <v>45</v>
      </c>
      <c r="B2" s="203"/>
      <c r="C2" s="203"/>
    </row>
    <row r="3" spans="1:21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8" t="s">
        <v>108</v>
      </c>
      <c r="B5" s="208"/>
      <c r="C5" s="208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21 16383:16384" ht="15" customHeight="1" x14ac:dyDescent="0.35">
      <c r="A6" s="208"/>
      <c r="B6" s="208"/>
      <c r="C6" s="208"/>
      <c r="F6" s="70"/>
      <c r="G6" s="74"/>
      <c r="K6" s="205" t="s">
        <v>52</v>
      </c>
      <c r="L6" s="205"/>
      <c r="M6" s="205"/>
      <c r="N6" s="207" t="s">
        <v>42</v>
      </c>
      <c r="O6" s="207"/>
      <c r="P6" s="20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21 16383:16384" hidden="1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21 16383:16384" x14ac:dyDescent="0.35">
      <c r="A10" s="210"/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21 16383:16384" ht="15" thickBot="1" x14ac:dyDescent="0.4">
      <c r="A11" s="210"/>
      <c r="B11" s="76"/>
      <c r="C11" s="77"/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21 16383:16384" ht="14.65" customHeight="1" x14ac:dyDescent="0.35">
      <c r="A12" s="210"/>
      <c r="B12" s="76"/>
      <c r="C12" s="77"/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T12" s="219" t="s">
        <v>109</v>
      </c>
      <c r="U12" s="220"/>
      <c r="XFD12" t="s">
        <v>62</v>
      </c>
    </row>
    <row r="13" spans="1:21 16383:16384" ht="15" thickBot="1" x14ac:dyDescent="0.4">
      <c r="A13" s="247"/>
      <c r="J13" s="78"/>
      <c r="K13" s="78"/>
      <c r="L13" s="79">
        <v>0.05</v>
      </c>
      <c r="T13" s="221"/>
      <c r="U13" s="222"/>
      <c r="XFD13" t="s">
        <v>63</v>
      </c>
    </row>
    <row r="14" spans="1:21 16383:16384" ht="29.25" customHeight="1" x14ac:dyDescent="0.6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13" t="s">
        <v>68</v>
      </c>
      <c r="H14" s="214"/>
      <c r="I14" s="214" t="s">
        <v>69</v>
      </c>
      <c r="J14" s="214" t="s">
        <v>70</v>
      </c>
      <c r="K14" s="214"/>
      <c r="L14" s="216"/>
      <c r="M14" s="21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Adeel Pharmacy</v>
      </c>
      <c r="U14" s="164">
        <f>+'1'!P35</f>
        <v>3270.5603244000004</v>
      </c>
      <c r="XFD14" t="s">
        <v>75</v>
      </c>
    </row>
    <row r="15" spans="1:21 16383:16384" ht="29.25" customHeight="1" thickBot="1" x14ac:dyDescent="0.65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5"/>
      <c r="J15" s="171" t="s">
        <v>78</v>
      </c>
      <c r="K15" s="171" t="s">
        <v>79</v>
      </c>
      <c r="L15" s="174" t="s">
        <v>80</v>
      </c>
      <c r="M15" s="21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Faizan Store</v>
      </c>
      <c r="U15" s="164">
        <f>+'2'!P35</f>
        <v>1736.7753292800001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257">
        <f>+'1'!H16+'2'!H16+'4'!H16+'3'!H16+'5'!H16+'6'!H16+'7'!H16+'8'!H16+'9'!H16+'10'!H16+'11'!H16+'12'!H16</f>
        <v>20</v>
      </c>
      <c r="I16" s="1">
        <f>(G16*D16)*F16+H16*F16</f>
        <v>1049.25</v>
      </c>
      <c r="J16" s="257">
        <f>+'1'!J16+'2'!J16+'4'!J16+'3'!J16+'5'!J16+'6'!J16+'7'!J16+'8'!J16+'9'!J16+'10'!J16+'11'!J16+'12'!J16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83.94</v>
      </c>
      <c r="M16" s="106">
        <f>I16-K16-L16</f>
        <v>965.31</v>
      </c>
      <c r="N16" s="101">
        <f>+'1'!N16+'2'!N16+'4'!N16+'3'!N16+'5'!N16+'6'!N16+'7'!N16+'8'!N16+'9'!N16+'10'!N16</f>
        <v>223.90995000000001</v>
      </c>
      <c r="O16" s="101">
        <f>+'1'!O16+'2'!O16+'4'!O16+'3'!O16+'5'!O16+'6'!O16+'7'!O16+'8'!O16+'9'!O16+'10'!O16</f>
        <v>5.9460997500000001</v>
      </c>
      <c r="P16" s="105">
        <f t="shared" ref="P16:P24" si="0">M16+N16+O16</f>
        <v>1195.16604975</v>
      </c>
      <c r="Q16" s="108"/>
      <c r="T16" s="163" t="str">
        <f>+'4'!A5</f>
        <v>Customer Name : Mian Store</v>
      </c>
      <c r="U16" s="164">
        <f>+'4'!P35</f>
        <v>448.87260225000006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257">
        <f>+'1'!H17+'2'!H17+'4'!H17+'3'!H17+'5'!H17+'6'!H17+'7'!H17+'8'!H17+'9'!H17+'10'!H17+'11'!H17+'12'!H17</f>
        <v>20</v>
      </c>
      <c r="I17" s="1">
        <f t="shared" ref="I17:I23" si="1">(G17*D17)*F17+H17*F17</f>
        <v>1049.25</v>
      </c>
      <c r="J17" s="257">
        <f>+'1'!J17+'2'!J17+'4'!J17+'3'!J17+'5'!J17+'6'!J17+'7'!J17+'8'!J17+'9'!J17+'10'!J17+'11'!J17+'12'!J17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83.94</v>
      </c>
      <c r="M17" s="118">
        <f t="shared" ref="M17:M23" si="2">I17-K17-L17</f>
        <v>965.31</v>
      </c>
      <c r="N17" s="101">
        <f>+'1'!N17+'2'!N17+'4'!N17+'3'!N17+'5'!N17+'6'!N17+'7'!N17+'8'!N17+'9'!N17+'10'!N17</f>
        <v>223.90995000000001</v>
      </c>
      <c r="O17" s="101">
        <f>+'1'!O17+'2'!O17+'4'!O17+'3'!O17+'5'!O17+'6'!O17+'7'!O17+'8'!O17+'9'!O17+'10'!O17</f>
        <v>5.9460997500000001</v>
      </c>
      <c r="P17" s="120">
        <f t="shared" si="0"/>
        <v>1195.16604975</v>
      </c>
      <c r="S17" s="64"/>
      <c r="T17" s="163" t="str">
        <f>+'3'!A5</f>
        <v>Customer Name : Lal Store</v>
      </c>
      <c r="U17" s="164">
        <f>+'3'!P35</f>
        <v>440.11411245000005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257">
        <f>+'1'!H18+'2'!H18+'4'!H18+'3'!H18+'5'!H18+'6'!H18+'7'!H18+'8'!H18+'9'!H18+'10'!H18+'11'!H18+'12'!H18</f>
        <v>80</v>
      </c>
      <c r="I18" s="1">
        <f t="shared" si="1"/>
        <v>4197</v>
      </c>
      <c r="J18" s="257">
        <f>+'1'!J18+'2'!J18+'4'!J18+'3'!J18+'5'!J18+'6'!J18+'7'!J18+'8'!J18+'9'!J18+'10'!J18+'11'!J18+'12'!J18</f>
        <v>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335.76</v>
      </c>
      <c r="M18" s="118">
        <f t="shared" si="2"/>
        <v>3861.24</v>
      </c>
      <c r="N18" s="101">
        <f>+'1'!N18+'2'!N18+'4'!N18+'3'!N18+'5'!N18+'6'!N18+'7'!N18+'8'!N18+'9'!N18+'10'!N18</f>
        <v>732.7962</v>
      </c>
      <c r="O18" s="101">
        <f>+'1'!O18+'2'!O18+'4'!O18+'3'!O18+'5'!O18+'6'!O18+'7'!O18+'8'!O18+'9'!O18+'10'!O18</f>
        <v>22.970180999999997</v>
      </c>
      <c r="P18" s="120">
        <f t="shared" si="0"/>
        <v>4617.0063809999992</v>
      </c>
      <c r="T18" s="163" t="str">
        <f>+'5'!A5</f>
        <v>Customer Name : Khan Store</v>
      </c>
      <c r="U18" s="164">
        <f>+'5'!P35</f>
        <v>448.87260225000006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257">
        <f>+'1'!H19+'2'!H19+'4'!H19+'3'!H19+'5'!H19+'6'!H19+'7'!H19+'8'!H19+'9'!H19+'10'!H19+'11'!H19+'12'!H19</f>
        <v>10</v>
      </c>
      <c r="I19" s="1">
        <f t="shared" si="1"/>
        <v>726.4</v>
      </c>
      <c r="J19" s="257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58.112000000000002</v>
      </c>
      <c r="M19" s="118">
        <f t="shared" si="2"/>
        <v>668.28800000000001</v>
      </c>
      <c r="N19" s="101">
        <f>+'1'!N19+'2'!N19+'4'!N19+'3'!N19+'5'!N19+'6'!N19+'7'!N19+'8'!N19+'9'!N19+'10'!N19</f>
        <v>147.02336</v>
      </c>
      <c r="O19" s="101">
        <f>+'1'!O19+'2'!O19+'4'!O19+'3'!O19+'5'!O19+'6'!O19+'7'!O19+'8'!O19+'9'!O19+'10'!O19</f>
        <v>4.0765568000000005</v>
      </c>
      <c r="P19" s="120">
        <f t="shared" si="0"/>
        <v>819.38791680000008</v>
      </c>
      <c r="T19" s="163" t="str">
        <f>+'6'!A5</f>
        <v>Customer Name : Bilal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257">
        <f>+'1'!H20+'2'!H20+'4'!H20+'3'!H20+'5'!H20+'6'!H20+'7'!H20+'8'!H20+'9'!H20+'10'!H20+'11'!H20+'12'!H20</f>
        <v>5</v>
      </c>
      <c r="I20" s="1">
        <f t="shared" si="1"/>
        <v>363.2</v>
      </c>
      <c r="J20" s="257">
        <f>+'1'!J20+'2'!J20+'4'!J20+'3'!J20+'5'!J20+'6'!J20+'7'!J20+'8'!J20+'9'!J20+'10'!J20+'11'!J20+'12'!J20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29.056000000000001</v>
      </c>
      <c r="M20" s="118">
        <f t="shared" si="2"/>
        <v>334.14400000000001</v>
      </c>
      <c r="N20" s="101">
        <f>+'1'!N20+'2'!N20+'4'!N20+'3'!N20+'5'!N20+'6'!N20+'7'!N20+'8'!N20+'9'!N20+'10'!N20</f>
        <v>89.49248</v>
      </c>
      <c r="O20" s="101">
        <f>+'1'!O20+'2'!O20+'4'!O20+'3'!O20+'5'!O20+'6'!O20+'7'!O20+'8'!O20+'9'!O20+'10'!O20</f>
        <v>2.1181824000000002</v>
      </c>
      <c r="P20" s="120">
        <f t="shared" si="0"/>
        <v>425.75466240000003</v>
      </c>
      <c r="T20" s="163" t="str">
        <f>+'7'!A5</f>
        <v>Customer Name : Sharif Mart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257">
        <f>+'1'!H21+'2'!H21+'4'!H21+'3'!H21+'5'!H21+'6'!H21+'7'!H21+'8'!H21+'9'!H21+'10'!H21+'11'!H21+'12'!H21</f>
        <v>6</v>
      </c>
      <c r="I21" s="1">
        <f t="shared" si="1"/>
        <v>435.84000000000003</v>
      </c>
      <c r="J21" s="257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34.867200000000004</v>
      </c>
      <c r="M21" s="118">
        <f t="shared" si="2"/>
        <v>400.97280000000001</v>
      </c>
      <c r="N21" s="101">
        <f>+'1'!N21+'2'!N21+'4'!N21+'3'!N21+'5'!N21+'6'!N21+'7'!N21+'8'!N21+'9'!N21+'10'!N21</f>
        <v>88.214016000000001</v>
      </c>
      <c r="O21" s="101">
        <f>+'1'!O21+'2'!O21+'4'!O21+'3'!O21+'5'!O21+'6'!O21+'7'!O21+'8'!O21+'9'!O21+'10'!O21</f>
        <v>2.4459340800000002</v>
      </c>
      <c r="P21" s="120">
        <f t="shared" si="0"/>
        <v>491.63275007999999</v>
      </c>
      <c r="T21" s="163" t="str">
        <f>+'8'!A5</f>
        <v>Customer Name : Euro Store</v>
      </c>
      <c r="U21" s="164">
        <f>+'8'!P35</f>
        <v>4617.0063809999992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257">
        <f>+'1'!H22+'2'!H22+'4'!H22+'3'!H22+'5'!H22+'6'!H22+'7'!H22+'8'!H22+'9'!H22+'10'!H22+'11'!H22+'12'!H22</f>
        <v>130</v>
      </c>
      <c r="I22" s="1">
        <f t="shared" si="1"/>
        <v>5099.9000000000005</v>
      </c>
      <c r="J22" s="257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178.49650000000003</v>
      </c>
      <c r="L22" s="175">
        <f>+'1'!L22+'2'!L22+'4'!L22+'3'!L22+'5'!L22+'6'!L22+'7'!L22+'8'!L22+'9'!L22+'10'!L22</f>
        <v>254.99500000000006</v>
      </c>
      <c r="M22" s="118">
        <f t="shared" si="2"/>
        <v>4666.4085000000005</v>
      </c>
      <c r="N22" s="101">
        <f>+'1'!N22+'2'!N22+'4'!N22+'3'!N22+'5'!N22+'6'!N22+'7'!N22+'8'!N22+'9'!N22+'10'!N22</f>
        <v>1026.6098700000002</v>
      </c>
      <c r="O22" s="101">
        <f>+'1'!O22+'2'!O22+'4'!O22+'3'!O22+'5'!O22+'6'!O22+'7'!O22+'8'!O22+'9'!O22+'10'!O22</f>
        <v>116.04998985000002</v>
      </c>
      <c r="P22" s="120">
        <f t="shared" si="0"/>
        <v>5809.0683598500009</v>
      </c>
      <c r="T22" s="163" t="str">
        <f>+'9'!A5</f>
        <v>Customer Name : Bilal Store</v>
      </c>
      <c r="U22" s="164">
        <f>+'9'!P35</f>
        <v>3590.9808180000005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9" t="s">
        <v>84</v>
      </c>
      <c r="B25" s="230"/>
      <c r="C25" s="231">
        <f>H25/40</f>
        <v>6.7750000000000004</v>
      </c>
      <c r="D25" s="225"/>
      <c r="E25" s="225"/>
      <c r="F25" s="225"/>
      <c r="G25" s="176">
        <f t="shared" ref="G25:M25" si="3">SUM(G16:G24)</f>
        <v>0</v>
      </c>
      <c r="H25" s="177">
        <f t="shared" si="3"/>
        <v>271</v>
      </c>
      <c r="I25" s="178">
        <f t="shared" si="3"/>
        <v>12920.84</v>
      </c>
      <c r="J25" s="177">
        <f t="shared" si="3"/>
        <v>7</v>
      </c>
      <c r="K25" s="178">
        <f t="shared" si="3"/>
        <v>178.49650000000003</v>
      </c>
      <c r="L25" s="179">
        <f t="shared" si="3"/>
        <v>880.67020000000002</v>
      </c>
      <c r="M25" s="141">
        <f t="shared" si="3"/>
        <v>11861.673299999999</v>
      </c>
      <c r="N25" s="142">
        <f>SUM(N16:N24)</f>
        <v>2531.9558259999999</v>
      </c>
      <c r="O25" s="143">
        <f>SUM(O16:O24)</f>
        <v>159.55304363000002</v>
      </c>
      <c r="P25" s="144">
        <f>SUM(P16:P24)</f>
        <v>14553.182169629999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14553.182169629999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12920.84</v>
      </c>
    </row>
    <row r="29" spans="1:21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880.67020000000002</v>
      </c>
    </row>
    <row r="30" spans="1:21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178.49650000000003</v>
      </c>
    </row>
    <row r="31" spans="1:21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11861.6733</v>
      </c>
    </row>
    <row r="32" spans="1:21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2531.9558259999999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14393.629126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359.84072815000002</v>
      </c>
    </row>
    <row r="35" spans="2:16" ht="15.75" customHeight="1" thickBot="1" x14ac:dyDescent="0.4">
      <c r="N35" s="223" t="s">
        <v>92</v>
      </c>
      <c r="O35" s="224"/>
      <c r="P35" s="160">
        <f>P33+P34</f>
        <v>14753.46985415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D11" sqref="D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110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111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112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 t="shared" ref="O16:O24" si="1">(N16+M16)*$O$15</f>
        <v>5.9460997500000001</v>
      </c>
      <c r="P16" s="105">
        <f t="shared" ref="P16:P24" si="2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223.90995000000001</v>
      </c>
      <c r="O17" s="119">
        <f t="shared" si="1"/>
        <v>5.9460997500000001</v>
      </c>
      <c r="P17" s="120">
        <f t="shared" si="2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3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6"/>
        <v>717.90900000000011</v>
      </c>
      <c r="N22" s="118">
        <f t="shared" si="0"/>
        <v>157.93998000000002</v>
      </c>
      <c r="O22" s="119">
        <f t="shared" si="1"/>
        <v>4.3792449000000007</v>
      </c>
      <c r="P22" s="120">
        <f t="shared" si="2"/>
        <v>880.2282249000001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60</v>
      </c>
      <c r="I25" s="137">
        <f t="shared" si="9"/>
        <v>2883.1000000000004</v>
      </c>
      <c r="J25" s="138"/>
      <c r="K25" s="139">
        <f t="shared" si="9"/>
        <v>27.461000000000006</v>
      </c>
      <c r="L25" s="140">
        <f t="shared" si="9"/>
        <v>207.11</v>
      </c>
      <c r="M25" s="141">
        <f t="shared" si="9"/>
        <v>2648.529</v>
      </c>
      <c r="N25" s="142">
        <f>SUM(N16:N24)</f>
        <v>605.75988000000007</v>
      </c>
      <c r="O25" s="143">
        <f>SUM(O16:O24)</f>
        <v>16.2714444</v>
      </c>
      <c r="P25" s="144">
        <f>SUM(P16:P24)</f>
        <v>3270.5603243999999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2883.1000000000004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207.11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27.461000000000006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2648.5290000000005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605.75988000000007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3254.2888800000005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16.271444400000004</v>
      </c>
    </row>
    <row r="35" spans="2:16" ht="15.75" customHeight="1" thickBot="1" x14ac:dyDescent="0.4">
      <c r="N35" s="223" t="s">
        <v>92</v>
      </c>
      <c r="O35" s="224"/>
      <c r="P35" s="160">
        <f>P33+P34</f>
        <v>3270.5603244000004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2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113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111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114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89.49248</v>
      </c>
      <c r="O20" s="119">
        <f t="shared" si="6"/>
        <v>2.1181824000000002</v>
      </c>
      <c r="P20" s="120">
        <f t="shared" si="1"/>
        <v>425.75466240000003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2.4459340800000002</v>
      </c>
      <c r="P21" s="120">
        <f t="shared" si="1"/>
        <v>491.63275007999999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21</v>
      </c>
      <c r="I25" s="137">
        <f t="shared" si="9"/>
        <v>1525.44</v>
      </c>
      <c r="J25" s="138"/>
      <c r="K25" s="139">
        <f t="shared" si="9"/>
        <v>0</v>
      </c>
      <c r="L25" s="140">
        <f t="shared" si="9"/>
        <v>122.0352</v>
      </c>
      <c r="M25" s="141">
        <f t="shared" si="9"/>
        <v>1403.4048</v>
      </c>
      <c r="N25" s="142">
        <f>SUM(N16:N24)</f>
        <v>324.72985599999998</v>
      </c>
      <c r="O25" s="143">
        <f>SUM(O16:O24)</f>
        <v>8.6406732800000015</v>
      </c>
      <c r="P25" s="144">
        <f>SUM(P16:P24)</f>
        <v>1736.7753292800001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1525.44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122.0352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1403.4048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324.72985599999998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1728.1346559999999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8.6406732799999997</v>
      </c>
    </row>
    <row r="35" spans="2:16" ht="15.75" customHeight="1" thickBot="1" x14ac:dyDescent="0.4">
      <c r="N35" s="223" t="s">
        <v>92</v>
      </c>
      <c r="O35" s="224"/>
      <c r="P35" s="160">
        <f>P33+P34</f>
        <v>1736.7753292800001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A8" sqref="A8:C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4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 t="s">
        <v>117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2.1896224500000003</v>
      </c>
      <c r="P25" s="144">
        <f>SUM(P16:P24)</f>
        <v>440.11411245000005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392.30000000000007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19.615000000000006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13.730500000000003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358.95450000000005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437.92449000000005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2.1896224500000003</v>
      </c>
    </row>
    <row r="35" spans="2:16" ht="15.75" customHeight="1" thickBot="1" x14ac:dyDescent="0.4">
      <c r="N35" s="223" t="s">
        <v>92</v>
      </c>
      <c r="O35" s="224"/>
      <c r="P35" s="160">
        <f>P33+P34</f>
        <v>440.11411245000005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3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118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119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392.30000000000007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19.615000000000006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13.730500000000003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358.95450000000005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437.92449000000005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3" t="s">
        <v>92</v>
      </c>
      <c r="O35" s="224"/>
      <c r="P35" s="160">
        <f>P33+P34</f>
        <v>448.87260225000006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A8" sqref="A8:C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5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120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119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392.30000000000007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19.615000000000006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13.730500000000003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358.95450000000005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437.92449000000005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23" t="s">
        <v>92</v>
      </c>
      <c r="O35" s="224"/>
      <c r="P35" s="160">
        <f>P33+P34</f>
        <v>448.87260225000006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6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6" workbookViewId="0">
      <selection activeCell="J36" sqref="J36:K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7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122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 t="s">
        <v>123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1" workbookViewId="0">
      <selection activeCell="A41" sqref="A4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8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124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125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126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3277876197882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>
        <v>4</v>
      </c>
      <c r="K18" s="1">
        <f t="shared" si="3"/>
        <v>0</v>
      </c>
      <c r="L18" s="105">
        <f t="shared" si="4"/>
        <v>335.76</v>
      </c>
      <c r="M18" s="118">
        <f t="shared" si="5"/>
        <v>3861.24</v>
      </c>
      <c r="N18" s="118">
        <f t="shared" si="0"/>
        <v>732.7962</v>
      </c>
      <c r="O18" s="119">
        <f t="shared" si="6"/>
        <v>22.970180999999997</v>
      </c>
      <c r="P18" s="120">
        <f t="shared" si="1"/>
        <v>4617.0063809999992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80</v>
      </c>
      <c r="I25" s="137">
        <f t="shared" si="9"/>
        <v>4197</v>
      </c>
      <c r="J25" s="138"/>
      <c r="K25" s="139">
        <f t="shared" si="9"/>
        <v>0</v>
      </c>
      <c r="L25" s="140">
        <f t="shared" si="9"/>
        <v>335.76</v>
      </c>
      <c r="M25" s="141">
        <f t="shared" si="9"/>
        <v>3861.24</v>
      </c>
      <c r="N25" s="142">
        <f>SUM(N16:N24)</f>
        <v>732.7962</v>
      </c>
      <c r="O25" s="143">
        <f>SUM(O16:O24)</f>
        <v>22.970180999999997</v>
      </c>
      <c r="P25" s="144">
        <f>SUM(P16:P24)</f>
        <v>4617.0063809999992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4197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335.76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3861.24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732.7962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4594.0361999999996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22.970180999999997</v>
      </c>
    </row>
    <row r="35" spans="2:16" ht="15.75" customHeight="1" thickBot="1" x14ac:dyDescent="0.4">
      <c r="N35" s="223" t="s">
        <v>92</v>
      </c>
      <c r="O35" s="224"/>
      <c r="P35" s="160">
        <f>P33+P34</f>
        <v>4617.0063809999992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9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9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7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631.75992000000008</v>
      </c>
      <c r="O22" s="119">
        <f t="shared" si="6"/>
        <v>87.58489800000001</v>
      </c>
      <c r="P22" s="120">
        <f t="shared" si="1"/>
        <v>3590.9808180000005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80</v>
      </c>
      <c r="I25" s="137">
        <f t="shared" si="9"/>
        <v>3138.4000000000005</v>
      </c>
      <c r="J25" s="138"/>
      <c r="K25" s="139">
        <f t="shared" si="9"/>
        <v>109.84400000000002</v>
      </c>
      <c r="L25" s="140">
        <f t="shared" si="9"/>
        <v>156.92000000000004</v>
      </c>
      <c r="M25" s="141">
        <f t="shared" si="9"/>
        <v>2871.6360000000004</v>
      </c>
      <c r="N25" s="142">
        <f>SUM(N16:N24)</f>
        <v>631.75992000000008</v>
      </c>
      <c r="O25" s="143">
        <f>SUM(O16:O24)</f>
        <v>87.58489800000001</v>
      </c>
      <c r="P25" s="144">
        <f>SUM(P16:P24)</f>
        <v>3590.9808180000005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3138.4000000000005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156.92000000000004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109.84400000000002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2871.6360000000004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631.75992000000008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3503.3959200000004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87.58489800000001</v>
      </c>
    </row>
    <row r="35" spans="2:16" ht="15.75" customHeight="1" thickBot="1" x14ac:dyDescent="0.4">
      <c r="N35" s="223" t="s">
        <v>92</v>
      </c>
      <c r="O35" s="224"/>
      <c r="P35" s="160">
        <f>P33+P34</f>
        <v>3590.9808180000005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106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>
        <v>3628249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97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46184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46183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2026-06-11T05:23:00Z</dcterms:modified>
</cp:coreProperties>
</file>