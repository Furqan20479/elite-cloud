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842EC1C-F5C9-460C-B0E9-7E7D9A609750}" xr6:coauthVersionLast="47" xr6:coauthVersionMax="47" xr10:uidLastSave="{00000000-0000-0000-0000-000000000000}"/>
  <bookViews>
    <workbookView xWindow="-110" yWindow="-110" windowWidth="19420" windowHeight="10420" tabRatio="949" activeTab="6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8" l="1"/>
  <c r="L18" i="18"/>
  <c r="L19" i="18"/>
  <c r="L20" i="18"/>
  <c r="L21" i="18"/>
  <c r="L16" i="18"/>
  <c r="U16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8" l="1"/>
  <c r="M16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<sst xmlns="http://schemas.openxmlformats.org/spreadsheetml/2006/main" count="1580" uniqueCount="110">
  <si>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</si>
  <si>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</si>
  <si>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</si>
  <si>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</si>
  <si>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</si>
  <si>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</si>
  <si>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</si>
  <si>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</si>
  <si>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</si>
  <si>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</si>
  <si>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</si>
  <si>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</si>
  <si>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</si>
  <si>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</si>
  <si>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</si>
  <si>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</si>
  <si>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</si>
  <si>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</si>
  <si>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</si>
  <si>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</si>
  <si>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</si>
  <si>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</si>
  <si>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</si>
  <si>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</si>
  <si>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</si>
  <si>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</si>
  <si>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</si>
  <si>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</si>
  <si>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</si>
  <si>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</si>
  <si>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</si>
  <si>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</si>
  <si>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</si>
  <si>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</si>
  <si>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</si>
  <si>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</si>
  <si>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</si>
  <si>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</si>
  <si>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</si>
  <si>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</si>
  <si>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</si>
  <si>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</si>
  <si>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</si>
  <si>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</si>
  <si>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</si>
  <si>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</si>
  <si>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</si>
  <si>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</si>
  <si>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</si>
  <si>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</si>
  <si>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</si>
  <si>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</si>
  <si>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</si>
  <si>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</si>
  <si>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</si>
  <si>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</si>
  <si>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</si>
  <si>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</si>
  <si>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</si>
  <si>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</si>
  <si>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</si>
  <si>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</si>
  <si>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</si>
  <si>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</si>
  <si>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</si>
  <si>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</si>
  <si>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</si>
  <si>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</si>
  <si>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</si>
  <si>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</si>
  <si>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</si>
  <si>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</si>
  <si>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</si>
  <si>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</si>
  <si>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</si>
  <si>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</si>
  <si>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</si>
  <si>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</si>
  <si>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</si>
  <si>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</si>
  <si>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</si>
  <si>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</si>
  <si>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</si>
  <si>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</si>
  <si>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</si>
  <si>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</si>
  <si>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</si>
  <si>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</si>
  <si>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</si>
  <si>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</si>
  <si>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</si>
  <si>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</si>
  <si>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</si>
  <si>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</si>
  <si>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</si>
  <si>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</si>
  <si>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</si>
  <si>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</si>
  <si>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</si>
  <si>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</si>
  <si>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</si>
  <si>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</si>
  <si>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</si>
  <si>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</si>
  <si>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Vacant_01</t>
  </si>
  <si>
    <t>Shop Bill Summary (Vacant_01)</t>
  </si>
  <si>
    <t>Umair Rehman</t>
  </si>
  <si>
    <t>Umer Nawaz</t>
  </si>
  <si>
    <t xml:space="preserve">Customer Name : Rana Bilal </t>
  </si>
  <si>
    <t>Address: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</si>
</sst>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106</v>
      </c>
    </row>
    <row r="15" spans="1:2" x14ac:dyDescent="0.35">
      <c r="A15">
        <v>10</v>
      </c>
      <c r="B15" t="s">
        <v>107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16" zoomScale="70" zoomScaleNormal="70" workbookViewId="0">
      <selection activeCell="G5" sqref="G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104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105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15</v>
      </c>
      <c r="I16" s="1">
        <f>(G16*D16)*F16+H16*F16</f>
        <v>786.9375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110.17125000000001</v>
      </c>
      <c r="M16" s="106">
        <f>I16-K16-L16</f>
        <v>676.76625000000001</v>
      </c>
      <c r="N16" s="101">
        <f>+'1'!N16+'2'!N16+'4'!N16+'3'!N16+'5'!N16+'6'!N16+'7'!N16+'8'!N16+'9'!N16+'10'!N16</f>
        <v>148.888575</v>
      </c>
      <c r="O16" s="101">
        <f>+'1'!O16+'2'!O16+'4'!O16+'3'!O16+'5'!O16+'6'!O16+'7'!O16+'8'!O16+'9'!O16+'10'!O16</f>
        <v>20.641370625000004</v>
      </c>
      <c r="P16" s="105">
        <f t="shared" ref="P16:P24" si="0">M16+N16+O16</f>
        <v>846.29619562500011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15</v>
      </c>
      <c r="I17" s="1">
        <f t="shared" ref="I17:I23" si="1">(G17*D17)*F17+H17*F17</f>
        <v>786.9375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110.17125000000001</v>
      </c>
      <c r="M17" s="118">
        <f t="shared" ref="M17:M23" si="2">I17-K17-L17</f>
        <v>676.76625000000001</v>
      </c>
      <c r="N17" s="101">
        <f>+'1'!N17+'2'!N17+'4'!N17+'3'!N17+'5'!N17+'6'!N17+'7'!N17+'8'!N17+'9'!N17+'10'!N17</f>
        <v>148.888575</v>
      </c>
      <c r="O17" s="101">
        <f>+'1'!O17+'2'!O17+'4'!O17+'3'!O17+'5'!O17+'6'!O17+'7'!O17+'8'!O17+'9'!O17+'10'!O17</f>
        <v>20.641370625000004</v>
      </c>
      <c r="P17" s="120">
        <f t="shared" si="0"/>
        <v>846.29619562500011</v>
      </c>
      <c r="S17" s="64"/>
      <c r="T17" s="163" t="str">
        <f>+'4'!A5</f>
        <v xml:space="preserve">Customer Name : Rana Bilal </v>
      </c>
      <c r="U17" s="164">
        <f>+'4'!P35</f>
        <v>2256.789855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10</v>
      </c>
      <c r="I18" s="1">
        <f t="shared" si="1"/>
        <v>524.625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73.447500000000005</v>
      </c>
      <c r="M18" s="118">
        <f t="shared" si="2"/>
        <v>451.17750000000001</v>
      </c>
      <c r="N18" s="101">
        <f>+'1'!N18+'2'!N18+'4'!N18+'3'!N18+'5'!N18+'6'!N18+'7'!N18+'8'!N18+'9'!N18+'10'!N18</f>
        <v>99.259050000000002</v>
      </c>
      <c r="O18" s="101">
        <f>+'1'!O18+'2'!O18+'4'!O18+'3'!O18+'5'!O18+'6'!O18+'7'!O18+'8'!O18+'9'!O18+'10'!O18</f>
        <v>13.76091375</v>
      </c>
      <c r="P18" s="120">
        <f t="shared" si="0"/>
        <v>564.19746375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</v>
      </c>
      <c r="D25" s="221"/>
      <c r="E25" s="221"/>
      <c r="F25" s="221"/>
      <c r="G25" s="176">
        <f t="shared" ref="G25:M25" si="3">SUM(G16:G24)</f>
        <v>0</v>
      </c>
      <c r="H25" s="177">
        <f t="shared" si="3"/>
        <v>40</v>
      </c>
      <c r="I25" s="178">
        <f t="shared" si="3"/>
        <v>2098.5</v>
      </c>
      <c r="J25" s="177">
        <f t="shared" si="3"/>
        <v>0</v>
      </c>
      <c r="K25" s="178">
        <f t="shared" si="3"/>
        <v>0</v>
      </c>
      <c r="L25" s="179">
        <f t="shared" si="3"/>
        <v>293.79000000000002</v>
      </c>
      <c r="M25" s="141">
        <f t="shared" si="3"/>
        <v>1804.71</v>
      </c>
      <c r="N25" s="142">
        <f>SUM(N16:N24)</f>
        <v>397.03620000000001</v>
      </c>
      <c r="O25" s="143">
        <f>SUM(O16:O24)</f>
        <v>55.043655000000008</v>
      </c>
      <c r="P25" s="144">
        <f>SUM(P16:P24)</f>
        <v>2256.789855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2256.789855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2098.5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293.79000000000002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1804.71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397.03620000000001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2201.7462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55.043655000000001</v>
      </c>
    </row>
    <row r="39" spans="2:16" ht="15.75" customHeight="1" thickBot="1" x14ac:dyDescent="0.4">
      <c r="N39" s="219" t="s">
        <v>92</v>
      </c>
      <c r="O39" s="220"/>
      <c r="P39" s="160">
        <f>P37+P38</f>
        <v>2256.789855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106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workbookViewId="0">
      <selection activeCell="N12" sqref="N12:P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100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I16*14%</f>
        <v>110.17125000000001</v>
      </c>
      <c r="M16" s="106">
        <f>I16-K16-L16</f>
        <v>676.76625000000001</v>
      </c>
      <c r="N16" s="106">
        <f t="shared" ref="N16:N24" si="0">(M16*$N$15)+(J16*F16)*$N$15</f>
        <v>148.888575</v>
      </c>
      <c r="O16" s="107">
        <f>(N16+M16)*$O$15</f>
        <v>20.641370625000004</v>
      </c>
      <c r="P16" s="105">
        <f t="shared" ref="P16:P24" si="1">M16+N16+O16</f>
        <v>846.29619562500011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15</v>
      </c>
      <c r="I17" s="116">
        <f t="shared" ref="I17:I23" si="2">(G17*D17)*F17+H17*F17</f>
        <v>786.9375</v>
      </c>
      <c r="J17" s="117"/>
      <c r="K17" s="1">
        <f t="shared" ref="K17:K21" si="3">I17*$K$13</f>
        <v>0</v>
      </c>
      <c r="L17" s="105">
        <f t="shared" ref="L17:L21" si="4">I17*14%</f>
        <v>110.17125000000001</v>
      </c>
      <c r="M17" s="118">
        <f t="shared" ref="M17:M23" si="5">I17-K17-L17</f>
        <v>676.76625000000001</v>
      </c>
      <c r="N17" s="118">
        <f t="shared" si="0"/>
        <v>148.888575</v>
      </c>
      <c r="O17" s="119">
        <f t="shared" ref="O17:O24" si="6">(N17+M17)*$O$15</f>
        <v>20.641370625000004</v>
      </c>
      <c r="P17" s="120">
        <f t="shared" si="1"/>
        <v>846.29619562500011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10</v>
      </c>
      <c r="I18" s="116">
        <f t="shared" si="2"/>
        <v>524.625</v>
      </c>
      <c r="J18" s="117"/>
      <c r="K18" s="1">
        <f t="shared" si="3"/>
        <v>0</v>
      </c>
      <c r="L18" s="105">
        <f t="shared" si="4"/>
        <v>73.447500000000005</v>
      </c>
      <c r="M18" s="118">
        <f t="shared" si="5"/>
        <v>451.17750000000001</v>
      </c>
      <c r="N18" s="118">
        <f t="shared" si="0"/>
        <v>99.259050000000002</v>
      </c>
      <c r="O18" s="119">
        <f t="shared" si="6"/>
        <v>13.76091375</v>
      </c>
      <c r="P18" s="120">
        <f t="shared" si="1"/>
        <v>564.19746375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293.79000000000002</v>
      </c>
      <c r="M25" s="141">
        <f t="shared" si="9"/>
        <v>1804.71</v>
      </c>
      <c r="N25" s="142">
        <f>SUM(N16:N24)</f>
        <v>397.03620000000001</v>
      </c>
      <c r="O25" s="143">
        <f>SUM(O16:O24)</f>
        <v>55.043655000000008</v>
      </c>
      <c r="P25" s="144">
        <f>SUM(P16:P24)</f>
        <v>2256.789855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293.79000000000002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1804.71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397.03620000000001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2201.7462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55.043655000000001</v>
      </c>
    </row>
    <row r="35" spans="2:16" ht="15.75" customHeight="1" thickBot="1" x14ac:dyDescent="0.4">
      <c r="N35" s="219" t="s">
        <v>92</v>
      </c>
      <c r="O35" s="220"/>
      <c r="P35" s="160">
        <f>P33+P34</f>
        <v>2256.789855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2026-06-29T10:37:10Z</dcterms:modified>
</cp:coreProperties>
</file>