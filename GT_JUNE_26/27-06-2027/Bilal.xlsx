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4CD52EB-80D8-4030-AF7F-3B2887575219}" xr6:coauthVersionLast="47" xr6:coauthVersionMax="47" xr10:uidLastSave="{00000000-0000-0000-0000-000000000000}"/>
  <bookViews>
    <workbookView xWindow="-110" yWindow="-110" windowWidth="19420" windowHeight="10420" tabRatio="949" activeTab="6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8" l="1"/>
  <c r="L18" i="18"/>
  <c r="L19" i="18"/>
  <c r="L20" i="18"/>
  <c r="L21" i="18"/>
  <c r="L16" i="18"/>
  <c r="U16" i="15"/>
  <c r="T17" i="15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8" l="1"/>
  <c r="M16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<sst xmlns="http://schemas.openxmlformats.org/spreadsheetml/2006/main" count="1580" uniqueCount="110">
  <si>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</si>
  <si>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</si>
  <si>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</si>
  <si>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</si>
  <si>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</si>
  <si>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</si>
  <si>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</si>
  <si>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</si>
  <si>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</si>
  <si>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</si>
  <si>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</si>
  <si>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</si>
  <si>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</si>
  <si>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</si>
  <si>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</si>
  <si>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</si>
  <si>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</si>
  <si>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</si>
  <si>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</si>
  <si>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</si>
  <si>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</si>
  <si>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</si>
  <si>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</si>
  <si>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</si>
  <si>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</si>
  <si>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</si>
  <si>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</si>
  <si>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</si>
  <si>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</si>
  <si>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</si>
  <si>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</si>
  <si>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</si>
  <si>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</si>
  <si>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</si>
  <si>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</si>
  <si>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</si>
  <si>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</si>
  <si>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</si>
  <si>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</si>
  <si>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</si>
  <si>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</si>
  <si>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</si>
  <si>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</si>
  <si>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</si>
  <si>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</si>
  <si>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</si>
  <si>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</si>
  <si>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</si>
  <si>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</si>
  <si>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</si>
  <si>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</si>
  <si>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</si>
  <si>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</si>
  <si>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</si>
  <si>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</si>
  <si>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</si>
  <si>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</si>
  <si>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</si>
  <si>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</si>
  <si>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</si>
  <si>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</si>
  <si>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</si>
  <si>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</si>
  <si>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</si>
  <si>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</si>
  <si>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</si>
  <si>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</si>
  <si>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</si>
  <si>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</si>
  <si>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</si>
  <si>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</si>
  <si>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</si>
  <si>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</si>
  <si>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</si>
  <si>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</si>
  <si>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</si>
  <si>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</si>
  <si>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</si>
  <si>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</si>
  <si>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</si>
  <si>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</si>
  <si>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</si>
  <si>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</si>
  <si>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</si>
  <si>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</si>
  <si>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</si>
  <si>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</si>
  <si>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</si>
  <si>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</si>
  <si>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</si>
  <si>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</si>
  <si>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</si>
  <si>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</si>
  <si>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</si>
  <si>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</si>
  <si>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</si>
  <si>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</si>
  <si>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</si>
  <si>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</si>
  <si>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</si>
  <si>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</si>
  <si>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</si>
  <si>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</si>
  <si>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</si>
  <si>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</si>
  <si>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>Shop Bill Summary (Vacant_01)</t>
  </si>
  <si>
    <t>Umair Rehman</t>
  </si>
  <si>
    <t>Umer Nawaz</t>
  </si>
  <si>
    <t xml:space="preserve">Customer Name : Rana Bilal </t>
  </si>
  <si>
    <t>Address: 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</si>
</sst>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106</v>
      </c>
    </row>
    <row r="15" spans="1:2" x14ac:dyDescent="0.35">
      <c r="A15">
        <v>10</v>
      </c>
      <c r="B15" t="s">
        <v>107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6" zoomScale="70" zoomScaleNormal="70" workbookViewId="0">
      <selection activeCell="G5" sqref="G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104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105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0"/>
      <c r="J15" s="171" t="s">
        <v>78</v>
      </c>
      <c r="K15" s="171" t="s">
        <v>79</v>
      </c>
      <c r="L15" s="174" t="s">
        <v>80</v>
      </c>
      <c r="M15" s="23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15</v>
      </c>
      <c r="I16" s="1">
        <f>(G16*D16)*F16+H16*F16</f>
        <v>786.9375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110.17125000000001</v>
      </c>
      <c r="M16" s="106">
        <f>I16-K16-L16</f>
        <v>676.76625000000001</v>
      </c>
      <c r="N16" s="101">
        <f>+'1'!N16+'2'!N16+'4'!N16+'3'!N16+'5'!N16+'6'!N16+'7'!N16+'8'!N16+'9'!N16+'10'!N16</f>
        <v>148.888575</v>
      </c>
      <c r="O16" s="101">
        <f>+'1'!O16+'2'!O16+'4'!O16+'3'!O16+'5'!O16+'6'!O16+'7'!O16+'8'!O16+'9'!O16+'10'!O16</f>
        <v>20.641370625000004</v>
      </c>
      <c r="P16" s="105">
        <f t="shared" ref="P16:P24" si="0">M16+N16+O16</f>
        <v>846.29619562500011</v>
      </c>
      <c r="Q16" s="108"/>
      <c r="T16" s="163" t="str">
        <f>+'3'!A5</f>
        <v xml:space="preserve">Customer Name : 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15</v>
      </c>
      <c r="I17" s="1">
        <f t="shared" ref="I17:I23" si="1">(G17*D17)*F17+H17*F17</f>
        <v>786.9375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110.17125000000001</v>
      </c>
      <c r="M17" s="118">
        <f t="shared" ref="M17:M23" si="2">I17-K17-L17</f>
        <v>676.76625000000001</v>
      </c>
      <c r="N17" s="101">
        <f>+'1'!N17+'2'!N17+'4'!N17+'3'!N17+'5'!N17+'6'!N17+'7'!N17+'8'!N17+'9'!N17+'10'!N17</f>
        <v>148.888575</v>
      </c>
      <c r="O17" s="101">
        <f>+'1'!O17+'2'!O17+'4'!O17+'3'!O17+'5'!O17+'6'!O17+'7'!O17+'8'!O17+'9'!O17+'10'!O17</f>
        <v>20.641370625000004</v>
      </c>
      <c r="P17" s="120">
        <f t="shared" si="0"/>
        <v>846.29619562500011</v>
      </c>
      <c r="S17" s="64"/>
      <c r="T17" s="163" t="str">
        <f>+'4'!A5</f>
        <v xml:space="preserve">Customer Name : Rana Bilal </v>
      </c>
      <c r="U17" s="164">
        <f>+'4'!P35</f>
        <v>2256.789855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10</v>
      </c>
      <c r="I18" s="1">
        <f t="shared" si="1"/>
        <v>524.625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73.447500000000005</v>
      </c>
      <c r="M18" s="118">
        <f t="shared" si="2"/>
        <v>451.17750000000001</v>
      </c>
      <c r="N18" s="101">
        <f>+'1'!N18+'2'!N18+'4'!N18+'3'!N18+'5'!N18+'6'!N18+'7'!N18+'8'!N18+'9'!N18+'10'!N18</f>
        <v>99.259050000000002</v>
      </c>
      <c r="O18" s="101">
        <f>+'1'!O18+'2'!O18+'4'!O18+'3'!O18+'5'!O18+'6'!O18+'7'!O18+'8'!O18+'9'!O18+'10'!O18</f>
        <v>13.76091375</v>
      </c>
      <c r="P18" s="120">
        <f t="shared" si="0"/>
        <v>564.19746375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1</v>
      </c>
      <c r="D25" s="206"/>
      <c r="E25" s="206"/>
      <c r="F25" s="206"/>
      <c r="G25" s="176">
        <f t="shared" ref="G25:M25" si="3">SUM(G16:G24)</f>
        <v>0</v>
      </c>
      <c r="H25" s="177">
        <f t="shared" si="3"/>
        <v>40</v>
      </c>
      <c r="I25" s="178">
        <f t="shared" si="3"/>
        <v>2098.5</v>
      </c>
      <c r="J25" s="177">
        <f t="shared" si="3"/>
        <v>0</v>
      </c>
      <c r="K25" s="178">
        <f t="shared" si="3"/>
        <v>0</v>
      </c>
      <c r="L25" s="179">
        <f t="shared" si="3"/>
        <v>293.79000000000002</v>
      </c>
      <c r="M25" s="141">
        <f t="shared" si="3"/>
        <v>1804.71</v>
      </c>
      <c r="N25" s="142">
        <f>SUM(N16:N24)</f>
        <v>397.03620000000001</v>
      </c>
      <c r="O25" s="143">
        <f>SUM(O16:O24)</f>
        <v>55.043655000000008</v>
      </c>
      <c r="P25" s="144">
        <f>SUM(P16:P24)</f>
        <v>2256.789855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2256.789855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3" t="s">
        <v>85</v>
      </c>
      <c r="C32" s="214"/>
      <c r="D32" s="214"/>
      <c r="E32" s="214"/>
      <c r="F32" s="214"/>
      <c r="G32" s="214"/>
      <c r="H32" s="214"/>
      <c r="I32" s="214"/>
      <c r="J32" s="214"/>
      <c r="K32" s="214"/>
      <c r="L32" s="215"/>
      <c r="N32" s="222" t="s">
        <v>86</v>
      </c>
      <c r="O32" s="223"/>
      <c r="P32" s="152">
        <f>I25</f>
        <v>2098.5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N33" s="224" t="s">
        <v>87</v>
      </c>
      <c r="O33" s="225"/>
      <c r="P33" s="153">
        <f>L25</f>
        <v>293.79000000000002</v>
      </c>
    </row>
    <row r="34" spans="2:16" ht="15" customHeight="1" x14ac:dyDescent="0.35">
      <c r="B34" s="216"/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N34" s="224" t="s">
        <v>4</v>
      </c>
      <c r="O34" s="225"/>
      <c r="P34" s="154">
        <f>K25</f>
        <v>0</v>
      </c>
    </row>
    <row r="35" spans="2:16" ht="15" customHeight="1" x14ac:dyDescent="0.35">
      <c r="B35" s="216"/>
      <c r="C35" s="217"/>
      <c r="D35" s="217"/>
      <c r="E35" s="217"/>
      <c r="F35" s="217"/>
      <c r="G35" s="217"/>
      <c r="H35" s="217"/>
      <c r="I35" s="217"/>
      <c r="J35" s="217"/>
      <c r="K35" s="217"/>
      <c r="L35" s="218"/>
      <c r="M35" s="2"/>
      <c r="N35" s="224" t="s">
        <v>88</v>
      </c>
      <c r="O35" s="225"/>
      <c r="P35" s="153">
        <f>P32-P33-P34</f>
        <v>1804.71</v>
      </c>
    </row>
    <row r="36" spans="2:16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M36" s="2"/>
      <c r="N36" s="155" t="s">
        <v>89</v>
      </c>
      <c r="O36" s="156">
        <f>IF(B12="Registered",18%,22%)</f>
        <v>0.22</v>
      </c>
      <c r="P36" s="153">
        <f>N25</f>
        <v>397.03620000000001</v>
      </c>
    </row>
    <row r="37" spans="2:16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M37" s="2"/>
      <c r="N37" s="226" t="s">
        <v>90</v>
      </c>
      <c r="O37" s="227"/>
      <c r="P37" s="153">
        <f>P35+P36</f>
        <v>2201.7462</v>
      </c>
    </row>
    <row r="38" spans="2:16" ht="15" customHeight="1" thickBot="1" x14ac:dyDescent="0.4">
      <c r="B38" s="219"/>
      <c r="C38" s="220"/>
      <c r="D38" s="220"/>
      <c r="E38" s="220"/>
      <c r="F38" s="220"/>
      <c r="G38" s="220"/>
      <c r="H38" s="220"/>
      <c r="I38" s="220"/>
      <c r="J38" s="220"/>
      <c r="K38" s="220"/>
      <c r="L38" s="221"/>
      <c r="M38" s="157"/>
      <c r="N38" s="158" t="s">
        <v>91</v>
      </c>
      <c r="O38" s="159">
        <f>IF(B11="Filer",0.5%,2.5%)</f>
        <v>2.5000000000000001E-2</v>
      </c>
      <c r="P38" s="153">
        <f>O38*P37</f>
        <v>55.043655000000001</v>
      </c>
    </row>
    <row r="39" spans="2:16" ht="15.75" customHeight="1" thickBot="1" x14ac:dyDescent="0.4">
      <c r="N39" s="204" t="s">
        <v>92</v>
      </c>
      <c r="O39" s="205"/>
      <c r="P39" s="160">
        <f>P37+P38</f>
        <v>2256.789855</v>
      </c>
    </row>
    <row r="40" spans="2:16" ht="15" thickBot="1" x14ac:dyDescent="0.4">
      <c r="B40" s="161" t="s">
        <v>93</v>
      </c>
      <c r="C40" s="206"/>
      <c r="D40" s="206"/>
      <c r="E40" s="206"/>
      <c r="F40" s="206"/>
      <c r="G40" s="206"/>
      <c r="H40" s="206"/>
      <c r="I40" s="207"/>
      <c r="J40" s="208"/>
      <c r="K40" s="209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106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workbookViewId="0">
      <selection activeCell="H4" sqref="H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108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109</v>
      </c>
      <c r="B6" s="230"/>
      <c r="C6" s="230"/>
      <c r="F6" s="70"/>
      <c r="G6" s="74"/>
      <c r="K6" s="230" t="s">
        <v>52</v>
      </c>
      <c r="L6" s="230"/>
      <c r="M6" s="230"/>
      <c r="N6" s="243" t="s">
        <v>100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I16*14%</f>
        <v>110.17125000000001</v>
      </c>
      <c r="M16" s="106">
        <f>I16-K16-L16</f>
        <v>676.76625000000001</v>
      </c>
      <c r="N16" s="106">
        <f t="shared" ref="N16:N24" si="0">(M16*$N$15)+(J16*F16)*$N$15</f>
        <v>148.888575</v>
      </c>
      <c r="O16" s="107">
        <f>(N16+M16)*$O$15</f>
        <v>20.641370625000004</v>
      </c>
      <c r="P16" s="105">
        <f t="shared" ref="P16:P24" si="1">M16+N16+O16</f>
        <v>846.29619562500011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15</v>
      </c>
      <c r="I17" s="116">
        <f t="shared" ref="I17:I23" si="2">(G17*D17)*F17+H17*F17</f>
        <v>786.9375</v>
      </c>
      <c r="J17" s="117"/>
      <c r="K17" s="1">
        <f t="shared" ref="K17:K21" si="3">I17*$K$13</f>
        <v>0</v>
      </c>
      <c r="L17" s="105">
        <f t="shared" ref="L17:L21" si="4">I17*14%</f>
        <v>110.17125000000001</v>
      </c>
      <c r="M17" s="118">
        <f t="shared" ref="M17:M23" si="5">I17-K17-L17</f>
        <v>676.76625000000001</v>
      </c>
      <c r="N17" s="118">
        <f t="shared" si="0"/>
        <v>148.888575</v>
      </c>
      <c r="O17" s="119">
        <f t="shared" ref="O17:O24" si="6">(N17+M17)*$O$15</f>
        <v>20.641370625000004</v>
      </c>
      <c r="P17" s="120">
        <f t="shared" si="1"/>
        <v>846.29619562500011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</v>
      </c>
      <c r="I18" s="116">
        <f t="shared" si="2"/>
        <v>524.625</v>
      </c>
      <c r="J18" s="117"/>
      <c r="K18" s="1">
        <f t="shared" si="3"/>
        <v>0</v>
      </c>
      <c r="L18" s="105">
        <f t="shared" si="4"/>
        <v>73.447500000000005</v>
      </c>
      <c r="M18" s="118">
        <f t="shared" si="5"/>
        <v>451.17750000000001</v>
      </c>
      <c r="N18" s="118">
        <f t="shared" si="0"/>
        <v>99.259050000000002</v>
      </c>
      <c r="O18" s="119">
        <f t="shared" si="6"/>
        <v>13.76091375</v>
      </c>
      <c r="P18" s="120">
        <f t="shared" si="1"/>
        <v>564.19746375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293.79000000000002</v>
      </c>
      <c r="M25" s="141">
        <f t="shared" si="9"/>
        <v>1804.71</v>
      </c>
      <c r="N25" s="142">
        <f>SUM(N16:N24)</f>
        <v>397.03620000000001</v>
      </c>
      <c r="O25" s="143">
        <f>SUM(O16:O24)</f>
        <v>55.043655000000008</v>
      </c>
      <c r="P25" s="144">
        <f>SUM(P16:P24)</f>
        <v>2256.789855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2098.5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293.79000000000002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1804.71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397.03620000000001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2201.7462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55.043655000000001</v>
      </c>
    </row>
    <row r="35" spans="2:16" ht="15.75" customHeight="1" thickBot="1" x14ac:dyDescent="0.4">
      <c r="N35" s="204" t="s">
        <v>92</v>
      </c>
      <c r="O35" s="205"/>
      <c r="P35" s="160">
        <f>P33+P34</f>
        <v>2256.789855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7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80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46202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>
        <v>0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2026-06-30T07:02:15Z</dcterms:modified>
</cp:coreProperties>
</file>