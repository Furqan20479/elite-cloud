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0ECE4A3-C3AC-4EE3-B14D-51962055B75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<sst xmlns="http://schemas.openxmlformats.org/spreadsheetml/2006/main" count="1582" uniqueCount="117">
  <si>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</si>
  <si>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</si>
  <si>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</si>
  <si>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</si>
  <si>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</si>
  <si>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</si>
  <si>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</si>
  <si>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</si>
  <si>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</si>
  <si>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</si>
  <si>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</si>
  <si>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</si>
  <si>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</si>
  <si>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</si>
  <si>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</si>
  <si>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</si>
  <si>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</si>
  <si>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</si>
  <si>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</si>
  <si>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</si>
  <si>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</si>
  <si>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</si>
  <si>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</si>
  <si>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</si>
  <si>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</si>
  <si>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</si>
  <si>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</si>
  <si>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</si>
  <si>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</si>
  <si>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</si>
  <si>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</si>
  <si>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</si>
  <si>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</si>
  <si>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</si>
  <si>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</si>
  <si>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</si>
  <si>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</si>
  <si>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</si>
  <si>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</si>
  <si>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</si>
  <si>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</si>
  <si>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</si>
  <si>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</si>
  <si>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</si>
  <si>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</si>
  <si>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</si>
  <si>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</si>
  <si>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</si>
  <si>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</si>
  <si>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</si>
  <si>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</si>
  <si>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</si>
  <si>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</si>
  <si>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</si>
  <si>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</si>
  <si>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</si>
  <si>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</si>
  <si>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</si>
  <si>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</si>
  <si>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</si>
  <si>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</si>
  <si>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</si>
  <si>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</si>
  <si>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</si>
  <si>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</si>
  <si>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</si>
  <si>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</si>
  <si>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</si>
  <si>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</si>
  <si>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</si>
  <si>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</si>
  <si>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</si>
  <si>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</si>
  <si>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</si>
  <si>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</si>
  <si>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</si>
  <si>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</si>
  <si>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</si>
  <si>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</si>
  <si>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</si>
  <si>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</si>
  <si>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</si>
  <si>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</si>
  <si>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</si>
  <si>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</si>
  <si>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</si>
  <si>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</si>
  <si>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</si>
  <si>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</si>
  <si>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</si>
  <si>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</si>
  <si>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</si>
  <si>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</si>
  <si>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</si>
  <si>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</si>
  <si>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</si>
  <si>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</si>
  <si>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</si>
  <si>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</si>
  <si>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</si>
  <si>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</si>
  <si>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</si>
  <si>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</si>
  <si>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</si>
  <si>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</si>
  <si>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</si>
  <si>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Mubeen </t>
  </si>
  <si>
    <t>Shop Bill Summary (Mubeen)</t>
  </si>
  <si>
    <t xml:space="preserve">Customer Name : Basic Store </t>
  </si>
  <si>
    <t>Address: Upper Mall</t>
  </si>
  <si>
    <t>Customer Name : Bhai jan Medical Store</t>
  </si>
  <si>
    <t xml:space="preserve">Address: Dharampura </t>
  </si>
  <si>
    <t>Customer Name : Imran Store</t>
  </si>
  <si>
    <t>Address: Dharampura</t>
  </si>
  <si>
    <t>Customer Name : Food Rite</t>
  </si>
  <si>
    <t>Address: Iqbal Road</t>
  </si>
  <si>
    <t>0159676-4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</si>
</sst>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4" zoomScale="70" zoomScaleNormal="70" workbookViewId="0">
      <selection activeCell="T36" sqref="T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Basic Store </v>
      </c>
      <c r="U14" s="164">
        <f>+'1'!P35</f>
        <v>7354.8417123000008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Bhai jan Medical Store</v>
      </c>
      <c r="U15" s="164">
        <f>+'2'!P35</f>
        <v>1654.8365376000002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223.90995000000001</v>
      </c>
      <c r="O16" s="101">
        <f>+'1'!O16+'2'!O16+'4'!O16+'3'!O16+'5'!O16+'6'!O16+'7'!O16+'8'!O16+'9'!O16+'10'!O16</f>
        <v>5.9460997500000001</v>
      </c>
      <c r="P16" s="105">
        <f t="shared" ref="P16:P24" si="0">M16+N16+O16</f>
        <v>1195.16604975</v>
      </c>
      <c r="Q16" s="108"/>
      <c r="T16" s="163" t="str">
        <f>+'3'!A5</f>
        <v>Customer Name : Imran Store</v>
      </c>
      <c r="U16" s="164">
        <f>+'3'!P35</f>
        <v>7970.0248807500002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35.676598499999997</v>
      </c>
      <c r="P17" s="120">
        <f t="shared" si="0"/>
        <v>2414.1164985</v>
      </c>
      <c r="S17" s="64"/>
      <c r="T17" s="163" t="str">
        <f>+'4'!A5</f>
        <v>Customer Name : Food Rite</v>
      </c>
      <c r="U17" s="164">
        <f>+'4'!P35</f>
        <v>3375.5372160000002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70</v>
      </c>
      <c r="I19" s="1">
        <f t="shared" si="1"/>
        <v>5084.8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406.78399999999999</v>
      </c>
      <c r="M19" s="118">
        <f t="shared" si="2"/>
        <v>4678.0160000000005</v>
      </c>
      <c r="N19" s="101">
        <f>+'1'!N19+'2'!N19+'4'!N19+'3'!N19+'5'!N19+'6'!N19+'7'!N19+'8'!N19+'9'!N19+'10'!N19</f>
        <v>1077.10592</v>
      </c>
      <c r="O19" s="101">
        <f>+'1'!O19+'2'!O19+'4'!O19+'3'!O19+'5'!O19+'6'!O19+'7'!O19+'8'!O19+'9'!O19+'10'!O19</f>
        <v>94.639750400000011</v>
      </c>
      <c r="P19" s="120">
        <f t="shared" si="0"/>
        <v>5849.7616704000002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55</v>
      </c>
      <c r="I20" s="1">
        <f t="shared" si="1"/>
        <v>3995.2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319.61599999999999</v>
      </c>
      <c r="M20" s="118">
        <f t="shared" si="2"/>
        <v>3675.5839999999998</v>
      </c>
      <c r="N20" s="101">
        <f>+'1'!N20+'2'!N20+'4'!N20+'3'!N20+'5'!N20+'6'!N20+'7'!N20+'8'!N20+'9'!N20+'10'!N20</f>
        <v>872.55167999999992</v>
      </c>
      <c r="O20" s="101">
        <f>+'1'!O20+'2'!O20+'4'!O20+'3'!O20+'5'!O20+'6'!O20+'7'!O20+'8'!O20+'9'!O20+'10'!O20</f>
        <v>72.298592000000014</v>
      </c>
      <c r="P20" s="120">
        <f t="shared" si="0"/>
        <v>4620.4342719999995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75</v>
      </c>
      <c r="I21" s="1">
        <f t="shared" si="1"/>
        <v>5448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435.84000000000003</v>
      </c>
      <c r="M21" s="118">
        <f t="shared" si="2"/>
        <v>5012.16</v>
      </c>
      <c r="N21" s="101">
        <f>+'1'!N21+'2'!N21+'4'!N21+'3'!N21+'5'!N21+'6'!N21+'7'!N21+'8'!N21+'9'!N21+'10'!N21</f>
        <v>1150.6176</v>
      </c>
      <c r="O21" s="101">
        <f>+'1'!O21+'2'!O21+'4'!O21+'3'!O21+'5'!O21+'6'!O21+'7'!O21+'8'!O21+'9'!O21+'10'!O21</f>
        <v>112.98425600000002</v>
      </c>
      <c r="P21" s="120">
        <f t="shared" si="0"/>
        <v>6275.7618559999992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6.5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260</v>
      </c>
      <c r="I25" s="178">
        <f t="shared" si="3"/>
        <v>17675.75</v>
      </c>
      <c r="J25" s="177">
        <f t="shared" si="3"/>
        <v>13</v>
      </c>
      <c r="K25" s="178">
        <f t="shared" si="3"/>
        <v>0</v>
      </c>
      <c r="L25" s="179">
        <f t="shared" si="3"/>
        <v>1414.06</v>
      </c>
      <c r="M25" s="141">
        <f t="shared" si="3"/>
        <v>16261.689999999999</v>
      </c>
      <c r="N25" s="142">
        <f>SUM(N16:N24)</f>
        <v>3772.0050500000002</v>
      </c>
      <c r="O25" s="143">
        <f>SUM(O16:O24)</f>
        <v>321.54529665000007</v>
      </c>
      <c r="P25" s="144">
        <f>SUM(P16:P24)</f>
        <v>20355.240346649996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20355.24034665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17675.75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1414.06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16261.69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3772.0050500000002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20033.695050000002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500.84237625000009</v>
      </c>
    </row>
    <row r="39" spans="2:16" ht="15.75" customHeight="1" thickBot="1" x14ac:dyDescent="0.4">
      <c r="N39" s="203" t="s">
        <v>92</v>
      </c>
      <c r="O39" s="204"/>
      <c r="P39" s="160">
        <f>P37+P38</f>
        <v>20534.537426250001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3520114555018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8.2330176000000002</v>
      </c>
      <c r="P19" s="120">
        <f t="shared" si="2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8.2330176000000002</v>
      </c>
      <c r="P20" s="120">
        <f t="shared" si="2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100</v>
      </c>
      <c r="I25" s="137">
        <f t="shared" si="9"/>
        <v>6456.9000000000005</v>
      </c>
      <c r="J25" s="138"/>
      <c r="K25" s="139">
        <f t="shared" si="9"/>
        <v>0</v>
      </c>
      <c r="L25" s="140">
        <f t="shared" si="9"/>
        <v>516.55200000000002</v>
      </c>
      <c r="M25" s="141">
        <f t="shared" si="9"/>
        <v>5940.348</v>
      </c>
      <c r="N25" s="142">
        <f>SUM(N16:N24)</f>
        <v>1377.9024600000002</v>
      </c>
      <c r="O25" s="143">
        <f>SUM(O16:O24)</f>
        <v>36.591252300000001</v>
      </c>
      <c r="P25" s="144">
        <f>SUM(P16:P24)</f>
        <v>7354.8417122999999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6456.9000000000005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516.55200000000002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5940.3480000000009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1377.9024600000002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7318.2504600000011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36.591252300000008</v>
      </c>
    </row>
    <row r="35" spans="2:16" ht="15.75" customHeight="1" thickBot="1" x14ac:dyDescent="0.4">
      <c r="N35" s="203" t="s">
        <v>92</v>
      </c>
      <c r="O35" s="204"/>
      <c r="P35" s="160">
        <f>P33+P34</f>
        <v>7354.8417123000008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">
        <f t="shared" si="3"/>
        <v>0</v>
      </c>
      <c r="L21" s="105">
        <f t="shared" si="4"/>
        <v>29.056000000000001</v>
      </c>
      <c r="M21" s="118">
        <f t="shared" si="5"/>
        <v>334.14400000000001</v>
      </c>
      <c r="N21" s="118">
        <f t="shared" si="0"/>
        <v>73.511679999999998</v>
      </c>
      <c r="O21" s="119">
        <f t="shared" si="6"/>
        <v>2.0382784000000003</v>
      </c>
      <c r="P21" s="120">
        <f t="shared" si="1"/>
        <v>409.69395840000004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03" t="s">
        <v>92</v>
      </c>
      <c r="O35" s="204"/>
      <c r="P35" s="160">
        <f>P33+P34</f>
        <v>1654.8365376000002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100</v>
      </c>
      <c r="I25" s="137">
        <f t="shared" si="9"/>
        <v>6860.4500000000007</v>
      </c>
      <c r="J25" s="138"/>
      <c r="K25" s="139">
        <f t="shared" si="9"/>
        <v>0</v>
      </c>
      <c r="L25" s="140">
        <f t="shared" si="9"/>
        <v>548.83600000000001</v>
      </c>
      <c r="M25" s="141">
        <f t="shared" si="9"/>
        <v>6311.6139999999996</v>
      </c>
      <c r="N25" s="142">
        <f>SUM(N16:N24)</f>
        <v>1464.0200299999999</v>
      </c>
      <c r="O25" s="143">
        <f>SUM(O16:O24)</f>
        <v>194.39085075000003</v>
      </c>
      <c r="P25" s="144">
        <f>SUM(P16:P24)</f>
        <v>7970.0248807500011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6860.4500000000007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548.83600000000001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6311.6140000000005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1464.0200299999999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7775.6340300000002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194.39085075000003</v>
      </c>
    </row>
    <row r="35" spans="2:16" ht="15.75" customHeight="1" thickBot="1" x14ac:dyDescent="0.4">
      <c r="N35" s="203" t="s">
        <v>92</v>
      </c>
      <c r="O35" s="204"/>
      <c r="P35" s="160">
        <f>P33+P34</f>
        <v>7970.0248807500002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2026-06-29T04:37:31Z</dcterms:modified>
</cp:coreProperties>
</file>