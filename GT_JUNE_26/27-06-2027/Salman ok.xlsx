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482D7F7-44C2-4D4D-909A-1DC72F8C56A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<sst xmlns="http://schemas.openxmlformats.org/spreadsheetml/2006/main" count="1581" uniqueCount="117">
  <si>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</si>
  <si>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</si>
  <si>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</si>
  <si>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</si>
  <si>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</si>
  <si>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</si>
  <si>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</si>
  <si>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</si>
  <si>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</si>
  <si>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</si>
  <si>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</si>
  <si>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</si>
  <si>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</si>
  <si>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</si>
  <si>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</si>
  <si>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</si>
  <si>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</si>
  <si>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</si>
  <si>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</si>
  <si>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</si>
  <si>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</si>
  <si>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</si>
  <si>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</si>
  <si>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</si>
  <si>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</si>
  <si>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</si>
  <si>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</si>
  <si>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</si>
  <si>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</si>
  <si>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</si>
  <si>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</si>
  <si>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</si>
  <si>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</si>
  <si>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</si>
  <si>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</si>
  <si>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</si>
  <si>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</si>
  <si>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</si>
  <si>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</si>
  <si>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</si>
  <si>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</si>
  <si>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</si>
  <si>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</si>
  <si>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</si>
  <si>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</si>
  <si>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</si>
  <si>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</si>
  <si>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</si>
  <si>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</si>
  <si>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</si>
  <si>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</si>
  <si>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</si>
  <si>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</si>
  <si>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</si>
  <si>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</si>
  <si>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</si>
  <si>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</si>
  <si>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</si>
  <si>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</si>
  <si>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</si>
  <si>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</si>
  <si>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</si>
  <si>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</si>
  <si>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</si>
  <si>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</si>
  <si>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</si>
  <si>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</si>
  <si>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</si>
  <si>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</si>
  <si>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</si>
  <si>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</si>
  <si>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</si>
  <si>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</si>
  <si>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</si>
  <si>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</si>
  <si>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</si>
  <si>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</si>
  <si>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</si>
  <si>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</si>
  <si>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</si>
  <si>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</si>
  <si>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</si>
  <si>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</si>
  <si>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</si>
  <si>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</si>
  <si>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</si>
  <si>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</si>
  <si>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</si>
  <si>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</si>
  <si>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</si>
  <si>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</si>
  <si>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</si>
  <si>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</si>
  <si>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</si>
  <si>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</si>
  <si>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</si>
  <si>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</si>
  <si>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</si>
  <si>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</si>
  <si>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</si>
  <si>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</si>
  <si>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</si>
  <si>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</si>
  <si>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</si>
  <si>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</si>
  <si>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</si>
  <si>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Salman</t>
  </si>
  <si>
    <t>Shop Bill Summary (Salman)</t>
  </si>
  <si>
    <t>Customer Name : Al Falah Bakers</t>
  </si>
  <si>
    <t>Address: 7 Up Road</t>
  </si>
  <si>
    <t xml:space="preserve">Customer Name : Al Harmain  Mart </t>
  </si>
  <si>
    <t>Address: Calvery Ground</t>
  </si>
  <si>
    <t>Customer Name : Bhola GS</t>
  </si>
  <si>
    <t xml:space="preserve">Address: Calevery </t>
  </si>
  <si>
    <t xml:space="preserve">Customer Name : K mart </t>
  </si>
  <si>
    <t>Customer Name : Al Fatah Super Store</t>
  </si>
  <si>
    <t>Address: Calevery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</si>
</sst>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7" zoomScale="70" zoomScaleNormal="70" workbookViewId="0">
      <selection activeCell="V20" sqref="V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 Falah Bakers</v>
      </c>
      <c r="U14" s="164">
        <f>+'1'!P35</f>
        <v>5070.1295250000003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Al Harmain  Mart </v>
      </c>
      <c r="U15" s="164">
        <f>+'2'!P35</f>
        <v>2585.5138125000003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Bhola GS</v>
      </c>
      <c r="U16" s="164">
        <f>+'3'!P35</f>
        <v>1687.7686080000003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K mart </v>
      </c>
      <c r="U17" s="164">
        <f>+'4'!P35</f>
        <v>4044.0925311999999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Al Fatah Super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16</v>
      </c>
      <c r="I19" s="1">
        <f t="shared" si="1"/>
        <v>1162.24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92.979200000000006</v>
      </c>
      <c r="M19" s="118">
        <f t="shared" si="2"/>
        <v>1069.2608</v>
      </c>
      <c r="N19" s="101">
        <f>+'1'!N19+'2'!N19+'4'!N19+'3'!N19+'5'!N19+'6'!N19+'7'!N19+'8'!N19+'9'!N19+'10'!N19</f>
        <v>251.21817599999997</v>
      </c>
      <c r="O19" s="101">
        <f>+'1'!O19+'2'!O19+'4'!O19+'3'!O19+'5'!O19+'6'!O19+'7'!O19+'8'!O19+'9'!O19+'10'!O19</f>
        <v>16.386131200000001</v>
      </c>
      <c r="P19" s="120">
        <f t="shared" si="0"/>
        <v>1336.8651071999998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620.05503999999996</v>
      </c>
      <c r="O20" s="101">
        <f>+'1'!O20+'2'!O20+'4'!O20+'3'!O20+'5'!O20+'6'!O20+'7'!O20+'8'!O20+'9'!O20+'10'!O20</f>
        <v>66.023948799999999</v>
      </c>
      <c r="P20" s="120">
        <f t="shared" si="0"/>
        <v>3359.2309888000004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72</v>
      </c>
      <c r="I21" s="1">
        <f t="shared" si="1"/>
        <v>5230.08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418.40640000000002</v>
      </c>
      <c r="M21" s="118">
        <f t="shared" si="2"/>
        <v>4811.6736000000001</v>
      </c>
      <c r="N21" s="101">
        <f>+'1'!N21+'2'!N21+'4'!N21+'3'!N21+'5'!N21+'6'!N21+'7'!N21+'8'!N21+'9'!N21+'10'!N21</f>
        <v>1106.5105919999999</v>
      </c>
      <c r="O21" s="101">
        <f>+'1'!O21+'2'!O21+'4'!O21+'3'!O21+'5'!O21+'6'!O21+'7'!O21+'8'!O21+'9'!O21+'10'!O21</f>
        <v>115.02253440000001</v>
      </c>
      <c r="P21" s="120">
        <f t="shared" si="0"/>
        <v>6033.2067263999998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117.69000000000003</v>
      </c>
      <c r="M22" s="118">
        <f t="shared" si="2"/>
        <v>2153.7270000000003</v>
      </c>
      <c r="N22" s="101">
        <f>+'1'!N22+'2'!N22+'4'!N22+'3'!N22+'5'!N22+'6'!N22+'7'!N22+'8'!N22+'9'!N22+'10'!N22</f>
        <v>473.81994000000009</v>
      </c>
      <c r="O22" s="101">
        <f>+'1'!O22+'2'!O22+'4'!O22+'3'!O22+'5'!O22+'6'!O22+'7'!O22+'8'!O22+'9'!O22+'10'!O22</f>
        <v>30.654714300000002</v>
      </c>
      <c r="P22" s="120">
        <f t="shared" si="0"/>
        <v>2658.2016543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4.7</v>
      </c>
      <c r="D25" s="205"/>
      <c r="E25" s="205"/>
      <c r="F25" s="205"/>
      <c r="G25" s="176">
        <f t="shared" ref="G25:M25" si="3">SUM(G16:G24)</f>
        <v>0</v>
      </c>
      <c r="H25" s="177">
        <f t="shared" si="3"/>
        <v>188</v>
      </c>
      <c r="I25" s="178">
        <f t="shared" si="3"/>
        <v>11651.720000000001</v>
      </c>
      <c r="J25" s="177">
        <f t="shared" si="3"/>
        <v>6</v>
      </c>
      <c r="K25" s="178">
        <f t="shared" si="3"/>
        <v>82.38300000000001</v>
      </c>
      <c r="L25" s="179">
        <f t="shared" si="3"/>
        <v>861.5236000000001</v>
      </c>
      <c r="M25" s="141">
        <f t="shared" si="3"/>
        <v>10707.813400000001</v>
      </c>
      <c r="N25" s="142">
        <f>SUM(N16:N24)</f>
        <v>2451.6037479999995</v>
      </c>
      <c r="O25" s="143">
        <f>SUM(O16:O24)</f>
        <v>228.0873287</v>
      </c>
      <c r="P25" s="144">
        <f>SUM(P16:P24)</f>
        <v>13387.5044767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13387.5044767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11651.720000000001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861.5236000000001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82.38300000000001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10707.813400000001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2451.6037479999995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13159.417148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328.98542870000006</v>
      </c>
    </row>
    <row r="39" spans="2:16" ht="15.75" customHeight="1" thickBot="1" x14ac:dyDescent="0.4">
      <c r="N39" s="203" t="s">
        <v>92</v>
      </c>
      <c r="O39" s="204"/>
      <c r="P39" s="160">
        <f>P37+P38</f>
        <v>13488.4025767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3520114769301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>
        <v>1</v>
      </c>
      <c r="K19" s="1">
        <f t="shared" si="4"/>
        <v>0</v>
      </c>
      <c r="L19" s="105">
        <f t="shared" si="5"/>
        <v>58.112000000000002</v>
      </c>
      <c r="M19" s="118">
        <f t="shared" si="6"/>
        <v>668.28800000000001</v>
      </c>
      <c r="N19" s="118">
        <f t="shared" si="0"/>
        <v>163.00415999999998</v>
      </c>
      <c r="O19" s="119">
        <f t="shared" si="1"/>
        <v>4.1564607999999996</v>
      </c>
      <c r="P19" s="120">
        <f t="shared" si="2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147.02336</v>
      </c>
      <c r="O20" s="119">
        <f t="shared" si="1"/>
        <v>4.0765568000000005</v>
      </c>
      <c r="P20" s="120">
        <f t="shared" si="2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8.7584898000000013</v>
      </c>
      <c r="P22" s="120">
        <f t="shared" si="2"/>
        <v>1760.4564498000002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4474.8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310.90800000000002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4108.97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5044.9050000000007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03" t="s">
        <v>92</v>
      </c>
      <c r="O35" s="204"/>
      <c r="P35" s="160">
        <f>P33+P34</f>
        <v>5070.1295250000003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2237.4</v>
      </c>
      <c r="J25" s="138"/>
      <c r="K25" s="139">
        <f t="shared" si="9"/>
        <v>27.461000000000006</v>
      </c>
      <c r="L25" s="140">
        <f t="shared" si="9"/>
        <v>155.45400000000001</v>
      </c>
      <c r="M25" s="141">
        <f t="shared" si="9"/>
        <v>2054.4850000000001</v>
      </c>
      <c r="N25" s="142">
        <f>SUM(N16:N24)</f>
        <v>467.96749999999997</v>
      </c>
      <c r="O25" s="143">
        <f>SUM(O16:O24)</f>
        <v>63.061312500000007</v>
      </c>
      <c r="P25" s="144">
        <f>SUM(P16:P24)</f>
        <v>2585.5138125000003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2237.4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155.45400000000001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27.461000000000006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2054.4850000000001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467.96749999999997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2522.4525000000003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63.061312500000014</v>
      </c>
    </row>
    <row r="35" spans="2:16" ht="15.75" customHeight="1" thickBot="1" x14ac:dyDescent="0.4">
      <c r="N35" s="203" t="s">
        <v>92</v>
      </c>
      <c r="O35" s="204"/>
      <c r="P35" s="160">
        <f>P33+P34</f>
        <v>2585.5138125000003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>
        <v>1</v>
      </c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104.194816</v>
      </c>
      <c r="O20" s="119">
        <f t="shared" si="6"/>
        <v>12.629190400000001</v>
      </c>
      <c r="P20" s="120">
        <f t="shared" si="1"/>
        <v>517.79680640000004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117.61868800000001</v>
      </c>
      <c r="O21" s="119">
        <f t="shared" si="6"/>
        <v>16.306227200000002</v>
      </c>
      <c r="P21" s="120">
        <f t="shared" si="1"/>
        <v>668.5553152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1452.8000000000002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116.22400000000002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1336.5760000000002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1646.6035200000003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41.165088000000011</v>
      </c>
    </row>
    <row r="35" spans="2:16" ht="15.75" customHeight="1" thickBot="1" x14ac:dyDescent="0.4">
      <c r="N35" s="203" t="s">
        <v>92</v>
      </c>
      <c r="O35" s="204"/>
      <c r="P35" s="160">
        <f>P33+P34</f>
        <v>1687.7686080000003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</v>
      </c>
      <c r="I20" s="116">
        <f t="shared" si="2"/>
        <v>1743.3600000000001</v>
      </c>
      <c r="J20" s="117">
        <v>1</v>
      </c>
      <c r="K20" s="1">
        <f t="shared" si="3"/>
        <v>0</v>
      </c>
      <c r="L20" s="105">
        <f t="shared" si="4"/>
        <v>139.46880000000002</v>
      </c>
      <c r="M20" s="118">
        <f t="shared" si="5"/>
        <v>1603.8912</v>
      </c>
      <c r="N20" s="118">
        <f t="shared" si="0"/>
        <v>368.83686399999999</v>
      </c>
      <c r="O20" s="119">
        <f t="shared" si="6"/>
        <v>49.318201600000002</v>
      </c>
      <c r="P20" s="120">
        <f t="shared" si="1"/>
        <v>2022.0462656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</v>
      </c>
      <c r="I21" s="116">
        <f t="shared" si="2"/>
        <v>1743.3600000000001</v>
      </c>
      <c r="J21" s="117">
        <v>1</v>
      </c>
      <c r="K21" s="1">
        <f t="shared" si="3"/>
        <v>0</v>
      </c>
      <c r="L21" s="105">
        <f t="shared" si="4"/>
        <v>139.46880000000002</v>
      </c>
      <c r="M21" s="118">
        <f t="shared" si="5"/>
        <v>1603.8912</v>
      </c>
      <c r="N21" s="118">
        <f t="shared" si="0"/>
        <v>368.83686399999999</v>
      </c>
      <c r="O21" s="119">
        <f t="shared" si="6"/>
        <v>49.318201600000002</v>
      </c>
      <c r="P21" s="120">
        <f t="shared" si="1"/>
        <v>2022.0462656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48</v>
      </c>
      <c r="I25" s="137">
        <f t="shared" si="9"/>
        <v>3486.7200000000003</v>
      </c>
      <c r="J25" s="138"/>
      <c r="K25" s="139">
        <f t="shared" si="9"/>
        <v>0</v>
      </c>
      <c r="L25" s="140">
        <f t="shared" si="9"/>
        <v>278.93760000000003</v>
      </c>
      <c r="M25" s="141">
        <f t="shared" si="9"/>
        <v>3207.7824000000001</v>
      </c>
      <c r="N25" s="142">
        <f>SUM(N16:N24)</f>
        <v>737.67372799999998</v>
      </c>
      <c r="O25" s="143">
        <f>SUM(O16:O24)</f>
        <v>98.636403200000004</v>
      </c>
      <c r="P25" s="144">
        <f>SUM(P16:P24)</f>
        <v>4044.0925311999999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3486.7200000000003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278.93760000000003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3207.7824000000001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737.67372799999998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3945.4561279999998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98.636403200000004</v>
      </c>
    </row>
    <row r="35" spans="2:16" ht="15.75" customHeight="1" thickBot="1" x14ac:dyDescent="0.4">
      <c r="N35" s="203" t="s">
        <v>92</v>
      </c>
      <c r="O35" s="204"/>
      <c r="P35" s="160">
        <f>P33+P34</f>
        <v>4044.0925311999999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I9" sqref="I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98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2026-06-29T12:38:56Z</dcterms:modified>
</cp:coreProperties>
</file>