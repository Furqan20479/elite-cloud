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985F917-0289-480C-87A7-5F2DCD38A60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8" l="1"/>
  <c r="L18" i="18"/>
  <c r="L19" i="18"/>
  <c r="L20" i="18"/>
  <c r="L21" i="18"/>
  <c r="L16" i="18"/>
  <c r="L17" i="16"/>
  <c r="L18" i="16"/>
  <c r="L19" i="16"/>
  <c r="L20" i="16"/>
  <c r="L21" i="16"/>
  <c r="L16" i="16"/>
  <c r="L17" i="17"/>
  <c r="L18" i="17"/>
  <c r="L19" i="17"/>
  <c r="L20" i="17"/>
  <c r="L21" i="17"/>
  <c r="L16" i="17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19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K20" i="18"/>
  <c r="M20" i="18" s="1"/>
  <c r="N20" i="18" s="1"/>
  <c r="O20" i="18" s="1"/>
  <c r="M17" i="17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8" l="1"/>
  <c r="M16" i="15"/>
  <c r="M22" i="15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N25" i="18" l="1"/>
  <c r="P32" i="18" s="1"/>
  <c r="P33" i="18" s="1"/>
  <c r="O16" i="18"/>
  <c r="P16" i="18" s="1"/>
  <c r="P25" i="18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<sst xmlns="http://schemas.openxmlformats.org/spreadsheetml/2006/main" count="1581" uniqueCount="117">
  <si>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</si>
  <si>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</si>
  <si>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</si>
  <si>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</si>
  <si>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</si>
  <si>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</si>
  <si>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</si>
  <si>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</si>
  <si>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</si>
  <si>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</si>
  <si>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</si>
  <si>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</si>
  <si>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</si>
  <si>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</si>
  <si>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</si>
  <si>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</si>
  <si>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</si>
  <si>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</si>
  <si>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</si>
  <si>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</si>
  <si>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</si>
  <si>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</si>
  <si>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</si>
  <si>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</si>
  <si>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</si>
  <si>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</si>
  <si>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</si>
  <si>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</si>
  <si>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</si>
  <si>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</si>
  <si>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</si>
  <si>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</si>
  <si>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</si>
  <si>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</si>
  <si>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</si>
  <si>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</si>
  <si>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</si>
  <si>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</si>
  <si>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</si>
  <si>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</si>
  <si>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</si>
  <si>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</si>
  <si>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</si>
  <si>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</si>
  <si>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</si>
  <si>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</si>
  <si>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</si>
  <si>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</si>
  <si>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</si>
  <si>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</si>
  <si>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</si>
  <si>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</si>
  <si>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</si>
  <si>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</si>
  <si>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</si>
  <si>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</si>
  <si>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</si>
  <si>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</si>
  <si>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</si>
  <si>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</si>
  <si>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</si>
  <si>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</si>
  <si>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</si>
  <si>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</si>
  <si>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</si>
  <si>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</si>
  <si>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</si>
  <si>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</si>
  <si>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</si>
  <si>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</si>
  <si>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</si>
  <si>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</si>
  <si>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</si>
  <si>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</si>
  <si>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</si>
  <si>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</si>
  <si>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</si>
  <si>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</si>
  <si>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</si>
  <si>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</si>
  <si>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</si>
  <si>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</si>
  <si>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</si>
  <si>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</si>
  <si>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</si>
  <si>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</si>
  <si>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</si>
  <si>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</si>
  <si>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</si>
  <si>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</si>
  <si>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</si>
  <si>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</si>
  <si>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</si>
  <si>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</si>
  <si>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</si>
  <si>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</si>
  <si>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</si>
  <si>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</si>
  <si>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</si>
  <si>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</si>
  <si>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</si>
  <si>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</si>
  <si>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</si>
  <si>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</si>
  <si>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 xml:space="preserve">Salman </t>
  </si>
  <si>
    <t>Shop Bill Summary (Salman)</t>
  </si>
  <si>
    <t xml:space="preserve">Customer Name : Khan Store </t>
  </si>
  <si>
    <t>Address: Makkah Colony</t>
  </si>
  <si>
    <t xml:space="preserve">Customer Name : My Store Falcon Society </t>
  </si>
  <si>
    <t xml:space="preserve">Customer Name : Bakhtawer Sweet </t>
  </si>
  <si>
    <t>Customer Name : Shaheen Store</t>
  </si>
  <si>
    <t xml:space="preserve">Address: Falcon society </t>
  </si>
  <si>
    <t>Customer Name : Lala Gee Super Store</t>
  </si>
  <si>
    <t xml:space="preserve">Address: Falcon Society </t>
  </si>
  <si>
    <t>3255339-7</t>
  </si>
  <si>
    <t>1436856-7</t>
  </si>
  <si>
    <t>G194327-8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</si>
</sst>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5" zoomScale="70" zoomScaleNormal="70" workbookViewId="0">
      <selection activeCell="S25" sqref="S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104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105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Khan Store </v>
      </c>
      <c r="U14" s="164">
        <f>+'1'!P35</f>
        <v>12669.624638399999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My Store Falcon Society </v>
      </c>
      <c r="U15" s="164">
        <f>+'2'!P35</f>
        <v>10878.362767799999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70</v>
      </c>
      <c r="I16" s="1">
        <f>(G16*D16)*F16+H16*F16</f>
        <v>3672.375</v>
      </c>
      <c r="J16" s="172">
        <f>+'1'!J16+'2'!J16+'4'!J16+'3'!J16+'5'!J16+'6'!J16+'7'!J16+'8'!J16+'9'!J16+'10'!J16+'11'!J16+'12'!J16+'13'!J16+'14'!J16+'15'!J16+'16'!J16+'17'!J16+'18'!J16</f>
        <v>4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398.71499999999997</v>
      </c>
      <c r="M16" s="106">
        <f>I16-K16-L16</f>
        <v>3273.66</v>
      </c>
      <c r="N16" s="101">
        <f>+'1'!N16+'2'!N16+'4'!N16+'3'!N16+'5'!N16+'6'!N16+'7'!N16+'8'!N16+'9'!N16+'10'!N16</f>
        <v>766.37220000000002</v>
      </c>
      <c r="O16" s="101">
        <f>+'1'!O16+'2'!O16+'4'!O16+'3'!O16+'5'!O16+'6'!O16+'7'!O16+'8'!O16+'9'!O16+'10'!O16</f>
        <v>31.695744000000005</v>
      </c>
      <c r="P16" s="105">
        <f t="shared" ref="P16:P24" si="0">M16+N16+O16</f>
        <v>4071.7279439999998</v>
      </c>
      <c r="Q16" s="108"/>
      <c r="T16" s="163" t="str">
        <f>+'4'!A5</f>
        <v>Customer Name : Shaheen Store</v>
      </c>
      <c r="U16" s="164">
        <f>+'4'!P35</f>
        <v>2332.9339275000002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70</v>
      </c>
      <c r="I17" s="1">
        <f t="shared" ref="I17:I23" si="1">(G17*D17)*F17+H17*F17</f>
        <v>3672.375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398.71499999999997</v>
      </c>
      <c r="M17" s="118">
        <f t="shared" ref="M17:M23" si="2">I17-K17-L17</f>
        <v>3273.66</v>
      </c>
      <c r="N17" s="101">
        <f>+'1'!N17+'2'!N17+'4'!N17+'3'!N17+'5'!N17+'6'!N17+'7'!N17+'8'!N17+'9'!N17+'10'!N17</f>
        <v>754.83045000000004</v>
      </c>
      <c r="O17" s="101">
        <f>+'1'!O17+'2'!O17+'4'!O17+'3'!O17+'5'!O17+'6'!O17+'7'!O17+'8'!O17+'9'!O17+'10'!O17</f>
        <v>31.407200250000002</v>
      </c>
      <c r="P17" s="120">
        <f t="shared" si="0"/>
        <v>4059.89765025</v>
      </c>
      <c r="S17" s="64"/>
      <c r="T17" s="163" t="str">
        <f>+'3'!A5</f>
        <v xml:space="preserve">Customer Name : Bakhtawer Sweet </v>
      </c>
      <c r="U17" s="164">
        <f>+'3'!P35</f>
        <v>4150.7885492999994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20</v>
      </c>
      <c r="I18" s="1">
        <f t="shared" si="1"/>
        <v>1049.25</v>
      </c>
      <c r="J18" s="172">
        <f>+'1'!J18+'2'!J18+'4'!J18+'3'!J18+'5'!J18+'6'!J18+'7'!J18+'8'!J18+'9'!J18+'10'!J18+'11'!J18+'12'!J18+'13'!J18+'14'!J18+'15'!J18+'16'!J18+'17'!J18+'18'!J18</f>
        <v>1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125.91</v>
      </c>
      <c r="M18" s="118">
        <f t="shared" si="2"/>
        <v>923.34</v>
      </c>
      <c r="N18" s="101">
        <f>+'1'!N18+'2'!N18+'4'!N18+'3'!N18+'5'!N18+'6'!N18+'7'!N18+'8'!N18+'9'!N18+'10'!N18</f>
        <v>214.67655000000002</v>
      </c>
      <c r="O18" s="101">
        <f>+'1'!O18+'2'!O18+'4'!O18+'3'!O18+'5'!O18+'6'!O18+'7'!O18+'8'!O18+'9'!O18+'10'!O18</f>
        <v>28.450413750000003</v>
      </c>
      <c r="P18" s="120">
        <f t="shared" si="0"/>
        <v>1166.4669637500001</v>
      </c>
      <c r="T18" s="163" t="str">
        <f>+'5'!A5</f>
        <v>Customer Name : Lala Gee Super Store</v>
      </c>
      <c r="U18" s="164">
        <f>+'5'!P35</f>
        <v>4452.8314614000001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95</v>
      </c>
      <c r="I19" s="1">
        <f t="shared" si="1"/>
        <v>6900.8</v>
      </c>
      <c r="J19" s="172">
        <f>+'1'!J19+'2'!J19+'4'!J19+'3'!J19+'5'!J19+'6'!J19+'7'!J19+'8'!J19+'9'!J19+'10'!J19+'11'!J19+'12'!J19+'13'!J19+'14'!J19+'15'!J19+'16'!J19+'17'!J19+'18'!J19</f>
        <v>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784.51199999999994</v>
      </c>
      <c r="M19" s="118">
        <f t="shared" si="2"/>
        <v>6116.2880000000005</v>
      </c>
      <c r="N19" s="101">
        <f>+'1'!N19+'2'!N19+'4'!N19+'3'!N19+'5'!N19+'6'!N19+'7'!N19+'8'!N19+'9'!N19+'10'!N19</f>
        <v>1301.4182399999997</v>
      </c>
      <c r="O19" s="101">
        <f>+'1'!O19+'2'!O19+'4'!O19+'3'!O19+'5'!O19+'6'!O19+'7'!O19+'8'!O19+'9'!O19+'10'!O19</f>
        <v>61.547871999999998</v>
      </c>
      <c r="P19" s="120">
        <f t="shared" si="0"/>
        <v>7479.2541120000005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70</v>
      </c>
      <c r="I20" s="1">
        <f t="shared" si="1"/>
        <v>5084.8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581.11999999999989</v>
      </c>
      <c r="M20" s="118">
        <f t="shared" si="2"/>
        <v>4503.68</v>
      </c>
      <c r="N20" s="101">
        <f>+'1'!N20+'2'!N20+'4'!N20+'3'!N20+'5'!N20+'6'!N20+'7'!N20+'8'!N20+'9'!N20+'10'!N20</f>
        <v>962.62527999999998</v>
      </c>
      <c r="O20" s="101">
        <f>+'1'!O20+'2'!O20+'4'!O20+'3'!O20+'5'!O20+'6'!O20+'7'!O20+'8'!O20+'9'!O20+'10'!O20</f>
        <v>44.276985600000003</v>
      </c>
      <c r="P20" s="120">
        <f t="shared" si="0"/>
        <v>5510.5822656000009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75</v>
      </c>
      <c r="I21" s="1">
        <f t="shared" si="1"/>
        <v>5448</v>
      </c>
      <c r="J21" s="172">
        <f>+'1'!J21+'2'!J21+'4'!J21+'3'!J21+'5'!J21+'6'!J21+'7'!J21+'8'!J21+'9'!J21+'10'!J21+'11'!J21+'12'!J21+'13'!J21+'14'!J21+'15'!J21+'16'!J21+'17'!J21+'18'!J21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610.17599999999993</v>
      </c>
      <c r="M21" s="118">
        <f t="shared" si="2"/>
        <v>4837.8240000000005</v>
      </c>
      <c r="N21" s="101">
        <f>+'1'!N21+'2'!N21+'4'!N21+'3'!N21+'5'!N21+'6'!N21+'7'!N21+'8'!N21+'9'!N21+'10'!N21</f>
        <v>1004.17536</v>
      </c>
      <c r="O21" s="101">
        <f>+'1'!O21+'2'!O21+'4'!O21+'3'!O21+'5'!O21+'6'!O21+'7'!O21+'8'!O21+'9'!O21+'10'!O21</f>
        <v>53.669337599999999</v>
      </c>
      <c r="P21" s="120">
        <f t="shared" si="0"/>
        <v>5895.668697600001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144</v>
      </c>
      <c r="I22" s="1">
        <f t="shared" si="1"/>
        <v>5649.1200000000008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197.71920000000003</v>
      </c>
      <c r="L22" s="175">
        <f>+'1'!L22+'2'!L22+'4'!L22+'3'!L22+'5'!L22+'6'!L22+'7'!L22+'8'!L22+'9'!L22+'10'!L22</f>
        <v>282.45600000000007</v>
      </c>
      <c r="M22" s="118">
        <f t="shared" si="2"/>
        <v>5168.9448000000002</v>
      </c>
      <c r="N22" s="101">
        <f>+'1'!N22+'2'!N22+'4'!N22+'3'!N22+'5'!N22+'6'!N22+'7'!N22+'8'!N22+'9'!N22+'10'!N22</f>
        <v>1079.7351360000002</v>
      </c>
      <c r="O22" s="101">
        <f>+'1'!O22+'2'!O22+'4'!O22+'3'!O22+'5'!O22+'6'!O22+'7'!O22+'8'!O22+'9'!O22+'10'!O22</f>
        <v>52.263775200000012</v>
      </c>
      <c r="P22" s="120">
        <f t="shared" si="0"/>
        <v>6300.9437112000005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13.6</v>
      </c>
      <c r="D25" s="222"/>
      <c r="E25" s="222"/>
      <c r="F25" s="222"/>
      <c r="G25" s="176">
        <f t="shared" ref="G25:M25" si="3">SUM(G16:G24)</f>
        <v>0</v>
      </c>
      <c r="H25" s="177">
        <f t="shared" si="3"/>
        <v>544</v>
      </c>
      <c r="I25" s="178">
        <f t="shared" si="3"/>
        <v>31476.720000000001</v>
      </c>
      <c r="J25" s="177">
        <f t="shared" si="3"/>
        <v>20</v>
      </c>
      <c r="K25" s="178">
        <f t="shared" si="3"/>
        <v>197.71920000000003</v>
      </c>
      <c r="L25" s="179">
        <f t="shared" si="3"/>
        <v>3181.6039999999998</v>
      </c>
      <c r="M25" s="141">
        <f t="shared" si="3"/>
        <v>28097.396800000002</v>
      </c>
      <c r="N25" s="142">
        <f>SUM(N16:N24)</f>
        <v>6083.8332160000009</v>
      </c>
      <c r="O25" s="143">
        <f>SUM(O16:O24)</f>
        <v>303.31132839999998</v>
      </c>
      <c r="P25" s="144">
        <f>SUM(P16:P24)</f>
        <v>34484.541344400001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34484.541344399993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9" t="s">
        <v>85</v>
      </c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N32" s="238" t="s">
        <v>86</v>
      </c>
      <c r="O32" s="239"/>
      <c r="P32" s="152">
        <f>I25</f>
        <v>31476.720000000001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N33" s="240" t="s">
        <v>87</v>
      </c>
      <c r="O33" s="241"/>
      <c r="P33" s="153">
        <f>L25</f>
        <v>3181.6039999999998</v>
      </c>
    </row>
    <row r="34" spans="2:16" ht="15" customHeight="1" x14ac:dyDescent="0.35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N34" s="240" t="s">
        <v>4</v>
      </c>
      <c r="O34" s="241"/>
      <c r="P34" s="154">
        <f>K25</f>
        <v>197.71920000000003</v>
      </c>
    </row>
    <row r="35" spans="2:16" ht="15" customHeight="1" x14ac:dyDescent="0.35">
      <c r="B35" s="232"/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"/>
      <c r="N35" s="240" t="s">
        <v>88</v>
      </c>
      <c r="O35" s="241"/>
      <c r="P35" s="153">
        <f>P32-P33-P34</f>
        <v>28097.396800000002</v>
      </c>
    </row>
    <row r="36" spans="2:16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"/>
      <c r="N36" s="155" t="s">
        <v>89</v>
      </c>
      <c r="O36" s="156">
        <f>IF(B12="Registered",18%,22%)</f>
        <v>0.22</v>
      </c>
      <c r="P36" s="153">
        <f>N25</f>
        <v>6083.8332160000009</v>
      </c>
    </row>
    <row r="37" spans="2:16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"/>
      <c r="N37" s="242" t="s">
        <v>90</v>
      </c>
      <c r="O37" s="243"/>
      <c r="P37" s="153">
        <f>P35+P36</f>
        <v>34181.230016000001</v>
      </c>
    </row>
    <row r="38" spans="2:16" ht="15" customHeight="1" thickBot="1" x14ac:dyDescent="0.4"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37"/>
      <c r="M38" s="157"/>
      <c r="N38" s="158" t="s">
        <v>91</v>
      </c>
      <c r="O38" s="159">
        <f>IF(B11="Filer",0.5%,2.5%)</f>
        <v>2.5000000000000001E-2</v>
      </c>
      <c r="P38" s="153">
        <f>O38*P37</f>
        <v>854.5307504000001</v>
      </c>
    </row>
    <row r="39" spans="2:16" ht="15.75" customHeight="1" thickBot="1" x14ac:dyDescent="0.4">
      <c r="N39" s="220" t="s">
        <v>92</v>
      </c>
      <c r="O39" s="221"/>
      <c r="P39" s="160">
        <f>P37+P38</f>
        <v>35035.760766400002</v>
      </c>
    </row>
    <row r="40" spans="2:16" ht="15" thickBot="1" x14ac:dyDescent="0.4">
      <c r="B40" s="161" t="s">
        <v>93</v>
      </c>
      <c r="C40" s="222"/>
      <c r="D40" s="222"/>
      <c r="E40" s="222"/>
      <c r="F40" s="222"/>
      <c r="G40" s="222"/>
      <c r="H40" s="222"/>
      <c r="I40" s="223"/>
      <c r="J40" s="224"/>
      <c r="K40" s="225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L26" sqref="L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98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114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I16*12%</f>
        <v>251.82</v>
      </c>
      <c r="M16" s="106">
        <f>I16-K16-L16</f>
        <v>1846.68</v>
      </c>
      <c r="N16" s="106">
        <f t="shared" ref="N16:N24" si="0">(M16*$N$15)+(J16*F16)*$N$15</f>
        <v>429.35310000000004</v>
      </c>
      <c r="O16" s="107">
        <f t="shared" ref="O16:O24" si="1">(N16+M16)*$O$15</f>
        <v>11.3801655</v>
      </c>
      <c r="P16" s="105">
        <f t="shared" ref="P16:P24" si="2">M16+N16+O16</f>
        <v>2287.4132655000003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ref="L17:L21" si="5">I17*12%</f>
        <v>251.82</v>
      </c>
      <c r="M17" s="118">
        <f t="shared" ref="M17:M23" si="6">I17-K17-L17</f>
        <v>1846.68</v>
      </c>
      <c r="N17" s="118">
        <f t="shared" si="0"/>
        <v>429.35310000000004</v>
      </c>
      <c r="O17" s="119">
        <f t="shared" si="1"/>
        <v>11.3801655</v>
      </c>
      <c r="P17" s="120">
        <f t="shared" si="2"/>
        <v>2287.4132655000003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348.67199999999997</v>
      </c>
      <c r="M19" s="118">
        <f t="shared" si="6"/>
        <v>2556.9279999999999</v>
      </c>
      <c r="N19" s="118">
        <f t="shared" si="0"/>
        <v>594.48575999999991</v>
      </c>
      <c r="O19" s="119">
        <f t="shared" si="1"/>
        <v>15.757068800000001</v>
      </c>
      <c r="P19" s="120">
        <f t="shared" si="2"/>
        <v>3167.1708288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174.33599999999998</v>
      </c>
      <c r="M20" s="118">
        <f t="shared" si="6"/>
        <v>1278.4639999999999</v>
      </c>
      <c r="N20" s="118">
        <f t="shared" si="0"/>
        <v>297.24287999999996</v>
      </c>
      <c r="O20" s="119">
        <f t="shared" si="1"/>
        <v>7.8785344000000004</v>
      </c>
      <c r="P20" s="120">
        <f t="shared" si="2"/>
        <v>1583.5854144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174.33599999999998</v>
      </c>
      <c r="M21" s="118">
        <f t="shared" si="6"/>
        <v>1278.4639999999999</v>
      </c>
      <c r="N21" s="118">
        <f t="shared" si="0"/>
        <v>297.24287999999996</v>
      </c>
      <c r="O21" s="119">
        <f t="shared" si="1"/>
        <v>7.8785344000000004</v>
      </c>
      <c r="P21" s="120">
        <f t="shared" si="2"/>
        <v>1583.5854144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200</v>
      </c>
      <c r="I25" s="137">
        <f t="shared" si="9"/>
        <v>11577.4</v>
      </c>
      <c r="J25" s="138"/>
      <c r="K25" s="139">
        <f t="shared" si="9"/>
        <v>54.922000000000011</v>
      </c>
      <c r="L25" s="140">
        <f t="shared" si="9"/>
        <v>1279.444</v>
      </c>
      <c r="M25" s="141">
        <f t="shared" si="9"/>
        <v>10243.034</v>
      </c>
      <c r="N25" s="142">
        <f>SUM(N16:N24)</f>
        <v>2363.5576800000003</v>
      </c>
      <c r="O25" s="143">
        <f>SUM(O16:O24)</f>
        <v>63.032958399999998</v>
      </c>
      <c r="P25" s="144">
        <f>SUM(P16:P24)</f>
        <v>12669.624638400001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11577.4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1279.444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54.922000000000011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10243.034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2363.5576800000003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12606.59168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63.032958399999998</v>
      </c>
    </row>
    <row r="35" spans="2:16" ht="15.75" customHeight="1" thickBot="1" x14ac:dyDescent="0.4">
      <c r="N35" s="220" t="s">
        <v>92</v>
      </c>
      <c r="O35" s="221"/>
      <c r="P35" s="160">
        <f>P33+P34</f>
        <v>12669.624638399999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H39" sqref="H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108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98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116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3277876368337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348.67199999999997</v>
      </c>
      <c r="M19" s="118">
        <f t="shared" si="5"/>
        <v>2556.9279999999999</v>
      </c>
      <c r="N19" s="118">
        <f t="shared" si="0"/>
        <v>486.39743999999996</v>
      </c>
      <c r="O19" s="119">
        <f t="shared" si="6"/>
        <v>15.216627199999998</v>
      </c>
      <c r="P19" s="120">
        <f t="shared" si="1"/>
        <v>3058.5420671999996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348.67199999999997</v>
      </c>
      <c r="M20" s="118">
        <f t="shared" si="5"/>
        <v>2556.9279999999999</v>
      </c>
      <c r="N20" s="118">
        <f t="shared" si="0"/>
        <v>486.39743999999996</v>
      </c>
      <c r="O20" s="119">
        <f t="shared" si="6"/>
        <v>15.216627199999998</v>
      </c>
      <c r="P20" s="120">
        <f t="shared" si="1"/>
        <v>3058.5420671999996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348.67199999999997</v>
      </c>
      <c r="M21" s="118">
        <f t="shared" si="5"/>
        <v>2556.9279999999999</v>
      </c>
      <c r="N21" s="118">
        <f t="shared" si="0"/>
        <v>486.39743999999996</v>
      </c>
      <c r="O21" s="119">
        <f t="shared" si="6"/>
        <v>15.216627199999998</v>
      </c>
      <c r="P21" s="120">
        <f t="shared" si="1"/>
        <v>3058.5420671999996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54.922000000000011</v>
      </c>
      <c r="L25" s="140">
        <f t="shared" si="9"/>
        <v>1124.4759999999999</v>
      </c>
      <c r="M25" s="141">
        <f t="shared" si="9"/>
        <v>9106.601999999999</v>
      </c>
      <c r="N25" s="142">
        <f>SUM(N16:N24)</f>
        <v>1717.6395599999998</v>
      </c>
      <c r="O25" s="143">
        <f>SUM(O16:O24)</f>
        <v>54.121207799999993</v>
      </c>
      <c r="P25" s="144">
        <f>SUM(P16:P24)</f>
        <v>10878.362767799998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10286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1124.4759999999999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54.922000000000011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9106.601999999999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1717.6395599999998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10824.241559999999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54.121207799999993</v>
      </c>
    </row>
    <row r="35" spans="2:16" ht="15.75" customHeight="1" thickBot="1" x14ac:dyDescent="0.4">
      <c r="N35" s="220" t="s">
        <v>92</v>
      </c>
      <c r="O35" s="221"/>
      <c r="P35" s="160">
        <f>P33+P34</f>
        <v>10878.362767799999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G13" sqref="G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109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98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115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80</v>
      </c>
      <c r="I25" s="137">
        <f t="shared" si="9"/>
        <v>3667.7000000000003</v>
      </c>
      <c r="J25" s="138"/>
      <c r="K25" s="139">
        <f t="shared" si="9"/>
        <v>54.922000000000011</v>
      </c>
      <c r="L25" s="140">
        <f t="shared" si="9"/>
        <v>246.34000000000003</v>
      </c>
      <c r="M25" s="141">
        <f t="shared" si="9"/>
        <v>3366.4380000000001</v>
      </c>
      <c r="N25" s="142">
        <f>SUM(N16:N24)</f>
        <v>763.69986000000006</v>
      </c>
      <c r="O25" s="143">
        <f>SUM(O16:O24)</f>
        <v>20.650689300000003</v>
      </c>
      <c r="P25" s="144">
        <f>SUM(P16:P24)</f>
        <v>4150.7885493000003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3667.7000000000003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246.34000000000003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54.922000000000011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3366.4380000000001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763.69986000000006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4130.1378599999998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20.6506893</v>
      </c>
    </row>
    <row r="35" spans="2:16" ht="15.75" customHeight="1" thickBot="1" x14ac:dyDescent="0.4">
      <c r="N35" s="220" t="s">
        <v>92</v>
      </c>
      <c r="O35" s="221"/>
      <c r="P35" s="160">
        <f>P33+P34</f>
        <v>4150.7885492999994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L19" sqref="L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110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111</v>
      </c>
      <c r="B6" s="202"/>
      <c r="C6" s="202"/>
      <c r="F6" s="70"/>
      <c r="G6" s="74"/>
      <c r="K6" s="202" t="s">
        <v>52</v>
      </c>
      <c r="L6" s="202"/>
      <c r="M6" s="202"/>
      <c r="N6" s="204" t="s">
        <v>98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I16*12%</f>
        <v>62.954999999999998</v>
      </c>
      <c r="M16" s="106">
        <f>I16-K16-L16</f>
        <v>461.67</v>
      </c>
      <c r="N16" s="106">
        <f t="shared" ref="N16:N24" si="0">(M16*$N$15)+(J16*F16)*$N$15</f>
        <v>113.10915</v>
      </c>
      <c r="O16" s="107">
        <f>(N16+M16)*$O$15</f>
        <v>14.369478750000003</v>
      </c>
      <c r="P16" s="105">
        <f t="shared" ref="P16:P24" si="1">M16+N16+O16</f>
        <v>589.14862875000006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I17*12%</f>
        <v>62.954999999999998</v>
      </c>
      <c r="M17" s="118">
        <f t="shared" ref="M17:M23" si="5">I17-K17-L17</f>
        <v>461.67</v>
      </c>
      <c r="N17" s="118">
        <f t="shared" si="0"/>
        <v>101.56740000000001</v>
      </c>
      <c r="O17" s="119">
        <f t="shared" ref="O17:O24" si="6">(N17+M17)*$O$15</f>
        <v>14.080935</v>
      </c>
      <c r="P17" s="120">
        <f t="shared" si="1"/>
        <v>577.31833499999993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125.91</v>
      </c>
      <c r="M18" s="118">
        <f t="shared" si="5"/>
        <v>923.34</v>
      </c>
      <c r="N18" s="118">
        <f t="shared" si="0"/>
        <v>214.67655000000002</v>
      </c>
      <c r="O18" s="119">
        <f t="shared" si="6"/>
        <v>28.450413750000003</v>
      </c>
      <c r="P18" s="120">
        <f t="shared" si="1"/>
        <v>1166.4669637500001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251.82</v>
      </c>
      <c r="M25" s="141">
        <f t="shared" si="9"/>
        <v>1846.68</v>
      </c>
      <c r="N25" s="142">
        <f>SUM(N16:N24)</f>
        <v>429.35310000000004</v>
      </c>
      <c r="O25" s="143">
        <f>SUM(O16:O24)</f>
        <v>56.900827500000005</v>
      </c>
      <c r="P25" s="144">
        <f>SUM(P16:P24)</f>
        <v>2332.9339275000002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2098.5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251.82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1846.68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429.35310000000004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2276.0331000000001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56.900827500000005</v>
      </c>
    </row>
    <row r="35" spans="2:16" ht="15.75" customHeight="1" thickBot="1" x14ac:dyDescent="0.4">
      <c r="N35" s="220" t="s">
        <v>92</v>
      </c>
      <c r="O35" s="221"/>
      <c r="P35" s="160">
        <f>P33+P34</f>
        <v>2332.9339275000002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113</v>
      </c>
      <c r="B6" s="202"/>
      <c r="C6" s="202"/>
      <c r="F6" s="70"/>
      <c r="G6" s="74"/>
      <c r="K6" s="202" t="s">
        <v>52</v>
      </c>
      <c r="L6" s="202"/>
      <c r="M6" s="202"/>
      <c r="N6" s="204" t="s">
        <v>98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30.574176000000001</v>
      </c>
      <c r="P19" s="120">
        <f t="shared" si="1"/>
        <v>1253.5412160000001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21.181824000000002</v>
      </c>
      <c r="P20" s="120">
        <f t="shared" si="1"/>
        <v>868.45478400000002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189.527976</v>
      </c>
      <c r="O22" s="119">
        <f t="shared" si="6"/>
        <v>26.275469400000006</v>
      </c>
      <c r="P22" s="120">
        <f t="shared" si="1"/>
        <v>1077.2942454000001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64</v>
      </c>
      <c r="I25" s="137">
        <f t="shared" si="9"/>
        <v>3847.12</v>
      </c>
      <c r="J25" s="138"/>
      <c r="K25" s="139">
        <f t="shared" si="9"/>
        <v>32.95320000000001</v>
      </c>
      <c r="L25" s="140">
        <f t="shared" si="9"/>
        <v>279.524</v>
      </c>
      <c r="M25" s="141">
        <f t="shared" si="9"/>
        <v>3534.6427999999996</v>
      </c>
      <c r="N25" s="142">
        <f>SUM(N16:N24)</f>
        <v>809.58301599999993</v>
      </c>
      <c r="O25" s="143">
        <f>SUM(O16:O24)</f>
        <v>108.6056454</v>
      </c>
      <c r="P25" s="144">
        <f>SUM(P16:P24)</f>
        <v>4452.8314614000001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3847.12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279.524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32.95320000000001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3534.6428000000001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809.58301599999993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4344.2258160000001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108.60564540000001</v>
      </c>
    </row>
    <row r="35" spans="2:16" ht="15.75" customHeight="1" thickBot="1" x14ac:dyDescent="0.4">
      <c r="N35" s="220" t="s">
        <v>92</v>
      </c>
      <c r="O35" s="221"/>
      <c r="P35" s="160">
        <f>P33+P34</f>
        <v>4452.8314614000001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2026-06-19T08:49:20Z</dcterms:modified>
</cp:coreProperties>
</file>