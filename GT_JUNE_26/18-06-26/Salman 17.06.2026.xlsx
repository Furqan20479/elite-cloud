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7B30808-F05F-4819-97AD-7A3DFACE9B1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4" l="1"/>
  <c r="L21" i="24"/>
  <c r="L20" i="24"/>
  <c r="L19" i="24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C12" i="35" s="1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C12" i="33" s="1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1" i="33"/>
  <c r="N4" i="33"/>
  <c r="N5" i="33" s="1"/>
  <c r="O34" i="32"/>
  <c r="C11" i="32" s="1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B23" i="28"/>
  <c r="C23" i="28" s="1"/>
  <c r="F22" i="28"/>
  <c r="E22" i="28"/>
  <c r="D22" i="28"/>
  <c r="I22" i="28" s="1"/>
  <c r="B22" i="28"/>
  <c r="C22" i="28" s="1"/>
  <c r="F21" i="28"/>
  <c r="E21" i="28"/>
  <c r="D21" i="28"/>
  <c r="B21" i="28"/>
  <c r="C21" i="28" s="1"/>
  <c r="F20" i="28"/>
  <c r="E20" i="28"/>
  <c r="D20" i="28"/>
  <c r="I20" i="28" s="1"/>
  <c r="B20" i="28"/>
  <c r="C20" i="28" s="1"/>
  <c r="F19" i="28"/>
  <c r="E19" i="28"/>
  <c r="D19" i="28"/>
  <c r="B19" i="28"/>
  <c r="C19" i="28" s="1"/>
  <c r="F18" i="28"/>
  <c r="E18" i="28"/>
  <c r="D18" i="28"/>
  <c r="I18" i="28" s="1"/>
  <c r="B18" i="28"/>
  <c r="C18" i="28" s="1"/>
  <c r="F17" i="28"/>
  <c r="E17" i="28"/>
  <c r="D17" i="28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7" i="28" l="1"/>
  <c r="I19" i="28"/>
  <c r="I21" i="28"/>
  <c r="I23" i="28"/>
  <c r="I17" i="33"/>
  <c r="K17" i="33" s="1"/>
  <c r="I21" i="33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I19" i="34"/>
  <c r="L19" i="34" s="1"/>
  <c r="I20" i="34"/>
  <c r="K20" i="34" s="1"/>
  <c r="I21" i="34"/>
  <c r="I22" i="34"/>
  <c r="L22" i="34" s="1"/>
  <c r="I23" i="34"/>
  <c r="L23" i="34" s="1"/>
  <c r="I24" i="34"/>
  <c r="L24" i="34" s="1"/>
  <c r="I16" i="29"/>
  <c r="I17" i="29"/>
  <c r="I18" i="29"/>
  <c r="I19" i="29"/>
  <c r="K19" i="29" s="1"/>
  <c r="I20" i="29"/>
  <c r="I21" i="29"/>
  <c r="K21" i="29" s="1"/>
  <c r="I22" i="29"/>
  <c r="I23" i="29"/>
  <c r="L23" i="29" s="1"/>
  <c r="I24" i="29"/>
  <c r="I24" i="32"/>
  <c r="I19" i="33"/>
  <c r="I23" i="33"/>
  <c r="L23" i="33" s="1"/>
  <c r="L17" i="33"/>
  <c r="L18" i="33"/>
  <c r="M18" i="33" s="1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 s="1"/>
  <c r="K23" i="35"/>
  <c r="L23" i="35"/>
  <c r="K24" i="35"/>
  <c r="L24" i="35"/>
  <c r="L16" i="34"/>
  <c r="K17" i="34"/>
  <c r="L17" i="34"/>
  <c r="K18" i="34"/>
  <c r="L18" i="34"/>
  <c r="K19" i="34"/>
  <c r="L20" i="34"/>
  <c r="K21" i="34"/>
  <c r="L21" i="34"/>
  <c r="K22" i="34"/>
  <c r="K23" i="34"/>
  <c r="K24" i="34"/>
  <c r="K21" i="33"/>
  <c r="L21" i="33"/>
  <c r="K22" i="33"/>
  <c r="M22" i="33" s="1"/>
  <c r="L22" i="33"/>
  <c r="K19" i="33"/>
  <c r="L19" i="33"/>
  <c r="K20" i="33"/>
  <c r="L20" i="33"/>
  <c r="K24" i="33"/>
  <c r="L24" i="33"/>
  <c r="M17" i="33"/>
  <c r="K16" i="33"/>
  <c r="K24" i="32"/>
  <c r="L24" i="32"/>
  <c r="K16" i="32"/>
  <c r="L16" i="32"/>
  <c r="K17" i="32"/>
  <c r="L17" i="32"/>
  <c r="K18" i="32"/>
  <c r="L18" i="32"/>
  <c r="K19" i="32"/>
  <c r="L19" i="32"/>
  <c r="K20" i="32"/>
  <c r="L20" i="32"/>
  <c r="K21" i="32"/>
  <c r="L21" i="32"/>
  <c r="K22" i="32"/>
  <c r="L22" i="32"/>
  <c r="L17" i="31"/>
  <c r="L19" i="31"/>
  <c r="K21" i="31"/>
  <c r="L21" i="31"/>
  <c r="K22" i="31"/>
  <c r="L22" i="31"/>
  <c r="M22" i="31" s="1"/>
  <c r="K24" i="31"/>
  <c r="L24" i="3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K23" i="30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4" i="29"/>
  <c r="M24" i="29" s="1"/>
  <c r="L24" i="29"/>
  <c r="K17" i="29"/>
  <c r="L17" i="29"/>
  <c r="K20" i="29"/>
  <c r="L20" i="29"/>
  <c r="K22" i="29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B19" i="27"/>
  <c r="C19" i="27" s="1"/>
  <c r="F18" i="27"/>
  <c r="E18" i="27"/>
  <c r="D18" i="27"/>
  <c r="I18" i="27" s="1"/>
  <c r="B18" i="27"/>
  <c r="C18" i="27" s="1"/>
  <c r="F17" i="27"/>
  <c r="E17" i="27"/>
  <c r="D17" i="27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4" l="1"/>
  <c r="M17" i="31"/>
  <c r="M24" i="31"/>
  <c r="M24" i="33"/>
  <c r="I25" i="32"/>
  <c r="P28" i="32" s="1"/>
  <c r="M22" i="29"/>
  <c r="L21" i="29"/>
  <c r="L25" i="29" s="1"/>
  <c r="P29" i="29" s="1"/>
  <c r="M23" i="30"/>
  <c r="N23" i="30" s="1"/>
  <c r="O23" i="30" s="1"/>
  <c r="M21" i="35"/>
  <c r="M24" i="28"/>
  <c r="M21" i="30"/>
  <c r="L23" i="32"/>
  <c r="M23" i="32" s="1"/>
  <c r="M24" i="32"/>
  <c r="K23" i="33"/>
  <c r="M24" i="35"/>
  <c r="N24" i="35" s="1"/>
  <c r="O24" i="35" s="1"/>
  <c r="P24" i="35" s="1"/>
  <c r="M23" i="35"/>
  <c r="N23" i="35" s="1"/>
  <c r="O23" i="35" s="1"/>
  <c r="I17" i="27"/>
  <c r="I19" i="27"/>
  <c r="I23" i="27"/>
  <c r="M24" i="34"/>
  <c r="I25" i="34"/>
  <c r="P28" i="34" s="1"/>
  <c r="M23" i="33"/>
  <c r="I16" i="26"/>
  <c r="K16" i="26" s="1"/>
  <c r="I17" i="26"/>
  <c r="K17" i="26" s="1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19" i="34"/>
  <c r="O19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17" i="26" l="1"/>
  <c r="L16" i="26"/>
  <c r="P24" i="3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I21" i="22" s="1"/>
  <c r="B21" i="22"/>
  <c r="C21" i="22" s="1"/>
  <c r="F20" i="22"/>
  <c r="E20" i="22"/>
  <c r="D20" i="22"/>
  <c r="B20" i="22"/>
  <c r="C20" i="22" s="1"/>
  <c r="F19" i="22"/>
  <c r="E19" i="22"/>
  <c r="D19" i="22"/>
  <c r="I19" i="22" s="1"/>
  <c r="B19" i="22"/>
  <c r="C19" i="22" s="1"/>
  <c r="F18" i="22"/>
  <c r="E18" i="22"/>
  <c r="D18" i="22"/>
  <c r="B18" i="22"/>
  <c r="C18" i="22" s="1"/>
  <c r="F17" i="22"/>
  <c r="E17" i="22"/>
  <c r="D17" i="22"/>
  <c r="I17" i="22" s="1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8" i="22"/>
  <c r="I20" i="22"/>
  <c r="K20" i="22" s="1"/>
  <c r="I22" i="22"/>
  <c r="I16" i="25"/>
  <c r="L16" i="25" s="1"/>
  <c r="I17" i="25"/>
  <c r="I18" i="25"/>
  <c r="I19" i="25"/>
  <c r="I25" i="25" s="1"/>
  <c r="P28" i="25" s="1"/>
  <c r="I20" i="25"/>
  <c r="K20" i="25" s="1"/>
  <c r="I22" i="25"/>
  <c r="K22" i="25" s="1"/>
  <c r="I23" i="25"/>
  <c r="L23" i="25" s="1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L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L20" i="25"/>
  <c r="K16" i="25"/>
  <c r="K24" i="25"/>
  <c r="L22" i="25"/>
  <c r="L17" i="25"/>
  <c r="K17" i="25"/>
  <c r="K23" i="25"/>
  <c r="K17" i="24"/>
  <c r="L23" i="24"/>
  <c r="K23" i="24"/>
  <c r="K17" i="23"/>
  <c r="L23" i="23"/>
  <c r="K16" i="22"/>
  <c r="L16" i="22"/>
  <c r="K18" i="22"/>
  <c r="L18" i="22"/>
  <c r="L20" i="22"/>
  <c r="K22" i="22"/>
  <c r="L22" i="22"/>
  <c r="L17" i="22"/>
  <c r="K17" i="22"/>
  <c r="L19" i="22"/>
  <c r="K19" i="22"/>
  <c r="L21" i="22"/>
  <c r="K21" i="22"/>
  <c r="L24" i="20"/>
  <c r="K20" i="19"/>
  <c r="L20" i="19"/>
  <c r="K24" i="19"/>
  <c r="K22" i="19"/>
  <c r="L22" i="19"/>
  <c r="L21" i="19"/>
  <c r="K21" i="19"/>
  <c r="L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K18" i="19"/>
  <c r="K21" i="24"/>
  <c r="L18" i="17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20" i="24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P31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22" i="15"/>
  <c r="M18" i="15"/>
  <c r="P22" i="20"/>
  <c r="M25" i="20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P33" i="20"/>
  <c r="P34" i="20" s="1"/>
  <c r="P35" i="20" s="1"/>
  <c r="U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7ECF88F7-F9C1-4CF6-8B79-520F2FC30CCC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<sst xmlns="http://schemas.openxmlformats.org/spreadsheetml/2006/main" count="1580" uniqueCount="121">
  <si>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</si>
  <si>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</si>
  <si>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</si>
  <si>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</si>
  <si>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</si>
  <si>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</si>
  <si>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</si>
  <si>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</si>
  <si>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</si>
  <si>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</si>
  <si>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</si>
  <si>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</si>
  <si>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</si>
  <si>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</si>
  <si>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</si>
  <si>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</si>
  <si>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</si>
  <si>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</si>
  <si>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</si>
  <si>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</si>
  <si>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</si>
  <si>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</si>
  <si>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</si>
  <si>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</si>
  <si>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</si>
  <si>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</si>
  <si>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</si>
  <si>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</si>
  <si>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</si>
  <si>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</si>
  <si>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</si>
  <si>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</si>
  <si>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</si>
  <si>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</si>
  <si>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</si>
  <si>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</si>
  <si>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</si>
  <si>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</si>
  <si>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</si>
  <si>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</si>
  <si>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</si>
  <si>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</si>
  <si>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</si>
  <si>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</si>
  <si>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</si>
  <si>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</si>
  <si>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</si>
  <si>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</si>
  <si>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</si>
  <si>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</si>
  <si>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</si>
  <si>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</si>
  <si>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</si>
  <si>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</si>
  <si>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</si>
  <si>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</si>
  <si>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</si>
  <si>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</si>
  <si>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</si>
  <si>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</si>
  <si>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</si>
  <si>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</si>
  <si>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</si>
  <si>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</si>
  <si>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</si>
  <si>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</si>
  <si>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</si>
  <si>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</si>
  <si>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</si>
  <si>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</si>
  <si>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</si>
  <si>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</si>
  <si>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</si>
  <si>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</si>
  <si>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</si>
  <si>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</si>
  <si>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</si>
  <si>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</si>
  <si>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</si>
  <si>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</si>
  <si>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</si>
  <si>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</si>
  <si>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</si>
  <si>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</si>
  <si>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</si>
  <si>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</si>
  <si>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</si>
  <si>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</si>
  <si>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</si>
  <si>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</si>
  <si>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</si>
  <si>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</si>
  <si>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</si>
  <si>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</si>
  <si>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</si>
  <si>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</si>
  <si>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</si>
  <si>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</si>
  <si>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</si>
  <si>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</si>
  <si>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</si>
  <si>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</si>
  <si>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</si>
  <si>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</si>
  <si>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Salman </t>
  </si>
  <si>
    <t>Customer Name : Hikma Super Store</t>
  </si>
  <si>
    <t>Address: Askari 5</t>
  </si>
  <si>
    <t>Customer Name : Express Store</t>
  </si>
  <si>
    <t xml:space="preserve">Customer Name : Askari Cash &amp; Carry </t>
  </si>
  <si>
    <t>Customer Name : Haider Store</t>
  </si>
  <si>
    <t>G8079276</t>
  </si>
  <si>
    <t>Customer Name : Quality Store</t>
  </si>
  <si>
    <t xml:space="preserve">Customer Name : Kashmir Bakery </t>
  </si>
  <si>
    <t>Address: Gopal Nager</t>
  </si>
  <si>
    <t>Customer Name : Mian Sons Store</t>
  </si>
  <si>
    <t>Address: Gopal Nager Bazar</t>
  </si>
  <si>
    <t>Customer Name : Rehman GS</t>
  </si>
  <si>
    <t>Address: Gopal Nager Jamea Maasjid Madina</t>
  </si>
  <si>
    <t>Customer Name : Five Start GS</t>
  </si>
  <si>
    <t>Address: Main Gopal Nager</t>
  </si>
  <si>
    <t>Shop Bill Summary (Salman) (17.06.2026)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</si>
</sst>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179687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1796875" defaultRowHeight="14.5" x14ac:dyDescent="0.35"/>
  <cols>
    <col min="1" max="1" width="2.81640625" bestFit="1" customWidth="1"/>
    <col min="2" max="2" width="5.1796875" style="3" bestFit="1" customWidth="1"/>
    <col min="3" max="4" width="4.81640625" style="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179687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81640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H17" sqref="H1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81640625" hidden="1" customWidth="1"/>
    <col min="17" max="17" width="4.54296875" hidden="1" customWidth="1"/>
    <col min="18" max="18" width="7.1796875" hidden="1" customWidth="1"/>
    <col min="20" max="20" width="61.6328125" bestFit="1" customWidth="1"/>
    <col min="21" max="21" width="10.906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7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120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Hikma Super Store</v>
      </c>
      <c r="U14" s="164">
        <f>+'1'!P35</f>
        <v>1760.4564498000002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Express Store</v>
      </c>
      <c r="U15" s="164">
        <f>+'2'!P35</f>
        <v>2390.3320994999999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436.27815000000004</v>
      </c>
      <c r="O16" s="101">
        <f>+'1'!O16+'2'!O16+'4'!O16+'3'!O16+'5'!O16+'6'!O16+'7'!O16+'8'!O16+'9'!O16+'10'!O16</f>
        <v>11.834490749999999</v>
      </c>
      <c r="P16" s="105">
        <f t="shared" ref="P16:P24" si="0">M16+N16+O16</f>
        <v>2378.73264075</v>
      </c>
      <c r="Q16" s="108"/>
      <c r="T16" s="163" t="str">
        <f>+'4'!A5</f>
        <v>Customer Name : Haider Store</v>
      </c>
      <c r="U16" s="164">
        <f>+'4'!P35</f>
        <v>1056.2738698800001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45</v>
      </c>
      <c r="I17" s="1">
        <f t="shared" ref="I17:I23" si="1">(G17*D17)*F17+H17*F17</f>
        <v>2360.8125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188.86500000000001</v>
      </c>
      <c r="M17" s="118">
        <f t="shared" ref="M17:M23" si="2">I17-K17-L17</f>
        <v>2171.9475000000002</v>
      </c>
      <c r="N17" s="101">
        <f>+'1'!N17+'2'!N17+'4'!N17+'3'!N17+'5'!N17+'6'!N17+'7'!N17+'8'!N17+'9'!N17+'10'!N17</f>
        <v>512.45370000000003</v>
      </c>
      <c r="O17" s="101">
        <f>+'1'!O17+'2'!O17+'4'!O17+'3'!O17+'5'!O17+'6'!O17+'7'!O17+'8'!O17+'9'!O17+'10'!O17</f>
        <v>25.198787999999997</v>
      </c>
      <c r="P17" s="120">
        <f t="shared" si="0"/>
        <v>2709.5999880000004</v>
      </c>
      <c r="S17" s="64"/>
      <c r="T17" s="163" t="str">
        <f>+'3'!A5</f>
        <v xml:space="preserve">Customer Name : Askari Cash &amp; Carry </v>
      </c>
      <c r="U17" s="164">
        <f>+'3'!P35</f>
        <v>2390.3320994999999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45</v>
      </c>
      <c r="I18" s="1">
        <f t="shared" si="1"/>
        <v>2360.8125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188.86500000000001</v>
      </c>
      <c r="M18" s="118">
        <f t="shared" si="2"/>
        <v>2171.9475000000002</v>
      </c>
      <c r="N18" s="101">
        <f>+'1'!N18+'2'!N18+'4'!N18+'3'!N18+'5'!N18+'6'!N18+'7'!N18+'8'!N18+'9'!N18+'10'!N18</f>
        <v>500.91195000000005</v>
      </c>
      <c r="O18" s="101">
        <f>+'1'!O18+'2'!O18+'4'!O18+'3'!O18+'5'!O18+'6'!O18+'7'!O18+'8'!O18+'9'!O18+'10'!O18</f>
        <v>13.36429725</v>
      </c>
      <c r="P18" s="120">
        <f t="shared" si="0"/>
        <v>2686.2237472500005</v>
      </c>
      <c r="T18" s="163" t="str">
        <f>+'5'!A5</f>
        <v>Customer Name : Quality Store</v>
      </c>
      <c r="U18" s="164">
        <f>+'5'!P35</f>
        <v>1052.43267975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</v>
      </c>
      <c r="I19" s="1">
        <f t="shared" si="1"/>
        <v>1452.8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174.33599999999998</v>
      </c>
      <c r="M19" s="118">
        <f t="shared" si="2"/>
        <v>1278.4639999999999</v>
      </c>
      <c r="N19" s="101">
        <f>+'1'!N19+'2'!N19+'4'!N19+'3'!N19+'5'!N19+'6'!N19+'7'!N19+'8'!N19+'9'!N19+'10'!N19</f>
        <v>297.24287999999996</v>
      </c>
      <c r="O19" s="101">
        <f>+'1'!O19+'2'!O19+'4'!O19+'3'!O19+'5'!O19+'6'!O19+'7'!O19+'8'!O19+'9'!O19+'10'!O19</f>
        <v>39.392672000000005</v>
      </c>
      <c r="P19" s="120">
        <f t="shared" si="0"/>
        <v>1615.0995519999999</v>
      </c>
      <c r="T19" s="163" t="str">
        <f>+'6'!A5</f>
        <v xml:space="preserve">Customer Name : Kashmir Bakery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87.167999999999992</v>
      </c>
      <c r="M20" s="118">
        <f t="shared" si="2"/>
        <v>639.23199999999997</v>
      </c>
      <c r="N20" s="101">
        <f>+'1'!N20+'2'!N20+'4'!N20+'3'!N20+'5'!N20+'6'!N20+'7'!N20+'8'!N20+'9'!N20+'10'!N20</f>
        <v>156.61183999999997</v>
      </c>
      <c r="O20" s="101">
        <f>+'1'!O20+'2'!O20+'4'!O20+'3'!O20+'5'!O20+'6'!O20+'7'!O20+'8'!O20+'9'!O20+'10'!O20</f>
        <v>19.896096</v>
      </c>
      <c r="P20" s="120">
        <f t="shared" si="0"/>
        <v>815.73993599999994</v>
      </c>
      <c r="T20" s="163" t="str">
        <f>+'7'!A5</f>
        <v>Customer Name : Mian Sons Store</v>
      </c>
      <c r="U20" s="164">
        <f>+'7'!P35</f>
        <v>2390.3320994999999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10</v>
      </c>
      <c r="I21" s="1">
        <f t="shared" si="1"/>
        <v>726.4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87.167999999999992</v>
      </c>
      <c r="M21" s="118">
        <f t="shared" si="2"/>
        <v>639.23199999999997</v>
      </c>
      <c r="N21" s="101">
        <f>+'1'!N21+'2'!N21+'4'!N21+'3'!N21+'5'!N21+'6'!N21+'7'!N21+'8'!N21+'9'!N21+'10'!N21</f>
        <v>140.63103999999998</v>
      </c>
      <c r="O21" s="101">
        <f>+'1'!O21+'2'!O21+'4'!O21+'3'!O21+'5'!O21+'6'!O21+'7'!O21+'8'!O21+'9'!O21+'10'!O21</f>
        <v>19.496576000000001</v>
      </c>
      <c r="P21" s="120">
        <f t="shared" si="0"/>
        <v>799.35961599999996</v>
      </c>
      <c r="T21" s="163" t="str">
        <f>+'8'!A5</f>
        <v>Customer Name : Rehman GS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114</v>
      </c>
      <c r="I22" s="1">
        <f t="shared" si="1"/>
        <v>4472.22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156.52770000000004</v>
      </c>
      <c r="L22" s="175">
        <f>+'1'!L22+'2'!L22+'4'!L22+'3'!L22+'5'!L22+'6'!L22+'7'!L22+'8'!L22+'9'!L22+'10'!L22</f>
        <v>223.61100000000005</v>
      </c>
      <c r="M22" s="118">
        <f t="shared" si="2"/>
        <v>4092.0813000000007</v>
      </c>
      <c r="N22" s="101">
        <f>+'1'!N22+'2'!N22+'4'!N22+'3'!N22+'5'!N22+'6'!N22+'7'!N22+'8'!N22+'9'!N22+'10'!N22</f>
        <v>900.2578860000001</v>
      </c>
      <c r="O22" s="101">
        <f>+'1'!O22+'2'!O22+'4'!O22+'3'!O22+'5'!O22+'6'!O22+'7'!O22+'8'!O22+'9'!O22+'10'!O22</f>
        <v>68.75414493000001</v>
      </c>
      <c r="P22" s="120">
        <f t="shared" si="0"/>
        <v>5061.0933309300008</v>
      </c>
      <c r="T22" s="163" t="str">
        <f>+'9'!A5</f>
        <v>Customer Name : Five Start GS</v>
      </c>
      <c r="U22" s="164">
        <f>+'9'!P35</f>
        <v>5025.6895130000003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7.1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284</v>
      </c>
      <c r="I25" s="178">
        <f t="shared" si="3"/>
        <v>14197.945</v>
      </c>
      <c r="J25" s="177">
        <f t="shared" si="3"/>
        <v>8</v>
      </c>
      <c r="K25" s="178">
        <f t="shared" si="3"/>
        <v>156.52770000000004</v>
      </c>
      <c r="L25" s="179">
        <f t="shared" si="3"/>
        <v>1117.893</v>
      </c>
      <c r="M25" s="141">
        <f t="shared" si="3"/>
        <v>12923.524300000001</v>
      </c>
      <c r="N25" s="142">
        <f>SUM(N16:N24)</f>
        <v>2944.3874460000006</v>
      </c>
      <c r="O25" s="143">
        <f>SUM(O16:O24)</f>
        <v>197.93706493000002</v>
      </c>
      <c r="P25" s="144">
        <f>SUM(P16:P24)</f>
        <v>16065.848810930001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16065.848810930001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14197.945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1117.893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156.52770000000004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12923.524299999999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2944.3874460000006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15867.911746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396.69779364999999</v>
      </c>
    </row>
    <row r="39" spans="2:16" ht="15.75" customHeight="1" thickBot="1" x14ac:dyDescent="0.4">
      <c r="N39" s="203" t="s">
        <v>92</v>
      </c>
      <c r="O39" s="204"/>
      <c r="P39" s="160">
        <f>P37+P38</f>
        <v>16264.60953965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/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179687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23026448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03" t="s">
        <v>92</v>
      </c>
      <c r="O35" s="204"/>
      <c r="P35" s="160">
        <f>P33+P34</f>
        <v>1760.4564498000002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" workbookViewId="0">
      <selection sqref="A1:Q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3520123465409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" workbookViewId="0">
      <selection activeCell="H5" sqref="H5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41197127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5.9460997500000001</v>
      </c>
      <c r="P18" s="120">
        <f t="shared" si="1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N22" sqref="N2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5.2550938800000004</v>
      </c>
      <c r="P22" s="120">
        <f t="shared" si="1"/>
        <v>1056.2738698800001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189.527976</v>
      </c>
      <c r="O25" s="143">
        <f>SUM(O16:O24)</f>
        <v>5.2550938800000004</v>
      </c>
      <c r="P25" s="144">
        <f>SUM(P16:P24)</f>
        <v>1056.2738698800001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941.5200000000001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47.076000000000008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32.95320000000001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861.49080000000004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189.527976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1051.0187760000001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5.2550938800000004</v>
      </c>
    </row>
    <row r="35" spans="2:16" ht="15.75" customHeight="1" thickBot="1" x14ac:dyDescent="0.4">
      <c r="N35" s="203" t="s">
        <v>92</v>
      </c>
      <c r="O35" s="204"/>
      <c r="P35" s="160">
        <f>P33+P34</f>
        <v>1056.2738698800001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Q38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8164062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916.92500000000007</v>
      </c>
      <c r="J25" s="138"/>
      <c r="K25" s="139">
        <f t="shared" si="9"/>
        <v>13.730500000000003</v>
      </c>
      <c r="L25" s="140">
        <f t="shared" si="9"/>
        <v>61.585000000000008</v>
      </c>
      <c r="M25" s="141">
        <f t="shared" si="9"/>
        <v>841.60950000000003</v>
      </c>
      <c r="N25" s="142">
        <f>SUM(N16:N24)</f>
        <v>185.15409</v>
      </c>
      <c r="O25" s="143">
        <f>SUM(O16:O24)</f>
        <v>25.669089749999998</v>
      </c>
      <c r="P25" s="144">
        <f>SUM(P16:P24)</f>
        <v>1052.43267975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916.92500000000007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61.585000000000008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841.60950000000003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185.15409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1026.76359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25.669089750000001</v>
      </c>
    </row>
    <row r="35" spans="2:16" ht="15.75" customHeight="1" thickBot="1" x14ac:dyDescent="0.4">
      <c r="N35" s="203" t="s">
        <v>92</v>
      </c>
      <c r="O35" s="204"/>
      <c r="P35" s="160">
        <f>P33+P34</f>
        <v>1052.43267975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3420103553549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Q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3520129848969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1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170.81790000000001</v>
      </c>
      <c r="O17" s="119">
        <f t="shared" ref="O17:O24" si="6">(N17+M17)*$O$15</f>
        <v>4.4740019999999996</v>
      </c>
      <c r="P17" s="120">
        <f t="shared" si="1"/>
        <v>899.27440200000001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>
        <v>1</v>
      </c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170.81790000000001</v>
      </c>
      <c r="O18" s="119">
        <f t="shared" si="6"/>
        <v>4.4740019999999996</v>
      </c>
      <c r="P18" s="120">
        <f t="shared" si="1"/>
        <v>899.27440200000001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3" workbookViewId="0">
      <selection activeCell="H35" sqref="H35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3520231216927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4" workbookViewId="0">
      <selection activeCell="L35" sqref="L35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18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>I19*12%</f>
        <v>174.33599999999998</v>
      </c>
      <c r="M19" s="118">
        <f t="shared" si="5"/>
        <v>1278.4639999999999</v>
      </c>
      <c r="N19" s="118">
        <f t="shared" si="0"/>
        <v>297.24287999999996</v>
      </c>
      <c r="O19" s="119">
        <f t="shared" si="6"/>
        <v>39.392672000000005</v>
      </c>
      <c r="P19" s="120">
        <f t="shared" si="1"/>
        <v>1615.0995519999999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>I20*12%</f>
        <v>87.167999999999992</v>
      </c>
      <c r="M20" s="118">
        <f t="shared" si="5"/>
        <v>639.23199999999997</v>
      </c>
      <c r="N20" s="118">
        <f t="shared" si="0"/>
        <v>156.61183999999997</v>
      </c>
      <c r="O20" s="119">
        <f t="shared" si="6"/>
        <v>19.896096</v>
      </c>
      <c r="P20" s="120">
        <f t="shared" si="1"/>
        <v>815.73993599999994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>I21*12%</f>
        <v>87.167999999999992</v>
      </c>
      <c r="M21" s="118">
        <f t="shared" si="5"/>
        <v>639.23199999999997</v>
      </c>
      <c r="N21" s="118">
        <f t="shared" si="0"/>
        <v>140.63103999999998</v>
      </c>
      <c r="O21" s="119">
        <f t="shared" si="6"/>
        <v>19.496576000000001</v>
      </c>
      <c r="P21" s="120">
        <f t="shared" si="1"/>
        <v>799.35961599999996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427.13200000000001</v>
      </c>
      <c r="M25" s="141">
        <f t="shared" si="9"/>
        <v>3992.7460000000001</v>
      </c>
      <c r="N25" s="142">
        <f>SUM(N16:N24)</f>
        <v>910.36572000000001</v>
      </c>
      <c r="O25" s="143">
        <f>SUM(O16:O24)</f>
        <v>122.57779300000001</v>
      </c>
      <c r="P25" s="144">
        <f>SUM(P16:P24)</f>
        <v>5025.6895129999994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4474.8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427.13200000000001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3992.7460000000001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910.36572000000001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4903.1117199999999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122.577793</v>
      </c>
    </row>
    <row r="35" spans="2:16" ht="15.75" customHeight="1" thickBot="1" x14ac:dyDescent="0.4">
      <c r="N35" s="203" t="s">
        <v>92</v>
      </c>
      <c r="O35" s="204"/>
      <c r="P35" s="160">
        <f>P33+P34</f>
        <v>5025.6895130000003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3" workbookViewId="0">
      <selection activeCell="H27" sqref="H2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7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2026-06-19T08:32:06Z</dcterms:modified>
</cp:coreProperties>
</file>