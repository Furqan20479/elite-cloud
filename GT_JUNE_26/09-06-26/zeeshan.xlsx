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9A39D93-B1A3-4FFB-8FBE-8C699629EC5A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22" i="17"/>
  <c r="L23" i="17"/>
  <c r="L24" i="17"/>
  <c r="L16" i="17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K20" i="18"/>
  <c r="M20" i="18" s="1"/>
  <c r="L19" i="20"/>
  <c r="K16" i="23"/>
  <c r="L24" i="24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1" i="23"/>
  <c r="M23" i="17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5" i="24" l="1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16" i="15" l="1"/>
  <c r="M17" i="15"/>
  <c r="P31" i="17"/>
  <c r="L25" i="16"/>
  <c r="P29" i="16" s="1"/>
  <c r="M22" i="16"/>
  <c r="N22" i="16" s="1"/>
  <c r="O22" i="16" s="1"/>
  <c r="O22" i="15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N20" i="15"/>
  <c r="O24" i="16"/>
  <c r="O24" i="15" s="1"/>
  <c r="N24" i="15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5" i="23" l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<sst xmlns="http://schemas.openxmlformats.org/spreadsheetml/2006/main" count="1600" uniqueCount="129">
  <si>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</si>
  <si>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</si>
  <si>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</si>
  <si>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</si>
  <si>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</si>
  <si>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</si>
  <si>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</si>
  <si>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</si>
  <si>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</si>
  <si>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</si>
  <si>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</si>
  <si>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</si>
  <si>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</si>
  <si>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</si>
  <si>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</si>
  <si>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</si>
  <si>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</si>
  <si>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</si>
  <si>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</si>
  <si>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</si>
  <si>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</si>
  <si>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</si>
  <si>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</si>
  <si>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</si>
  <si>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</si>
  <si>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</si>
  <si>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</si>
  <si>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</si>
  <si>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</si>
  <si>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</si>
  <si>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</si>
  <si>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</si>
  <si>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</si>
  <si>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</si>
  <si>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</si>
  <si>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</si>
  <si>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</si>
  <si>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</si>
  <si>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</si>
  <si>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</si>
  <si>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</si>
  <si>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</si>
  <si>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</si>
  <si>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</si>
  <si>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</si>
  <si>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</si>
  <si>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</si>
  <si>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</si>
  <si>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</si>
  <si>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</si>
  <si>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</si>
  <si>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</si>
  <si>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</si>
  <si>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</si>
  <si>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</si>
  <si>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</si>
  <si>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</si>
  <si>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</si>
  <si>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</si>
  <si>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</si>
  <si>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</si>
  <si>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</si>
  <si>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</si>
  <si>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</si>
  <si>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</si>
  <si>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</si>
  <si>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</si>
  <si>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</si>
  <si>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</si>
  <si>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</si>
  <si>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</si>
  <si>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</si>
  <si>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</si>
  <si>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</si>
  <si>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</si>
  <si>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</si>
  <si>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</si>
  <si>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</si>
  <si>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</si>
  <si>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</si>
  <si>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</si>
  <si>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</si>
  <si>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</si>
  <si>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</si>
  <si>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</si>
  <si>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</si>
  <si>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</si>
  <si>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</si>
  <si>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</si>
  <si>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</si>
  <si>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</si>
  <si>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</si>
  <si>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</si>
  <si>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</si>
  <si>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</si>
  <si>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</si>
  <si>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</si>
  <si>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</si>
  <si>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</si>
  <si>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</si>
  <si>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</si>
  <si>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</si>
  <si>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</si>
  <si>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</si>
  <si>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</si>
  <si>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Toheed Store</t>
  </si>
  <si>
    <t>Address: Al falah Town bedian Road</t>
  </si>
  <si>
    <t>E260396-8</t>
  </si>
  <si>
    <t>Customer Name : Euro Store</t>
  </si>
  <si>
    <t>Address:  Airport Road</t>
  </si>
  <si>
    <t>1218925-1</t>
  </si>
  <si>
    <t>Customer Name : Moon Store</t>
  </si>
  <si>
    <t>Address:  Gulshan Ali colony</t>
  </si>
  <si>
    <t>Customer Name : Khan Store</t>
  </si>
  <si>
    <t>Address: Gulshan Ali Colony</t>
  </si>
  <si>
    <t>Customer Name : Biilal Store</t>
  </si>
  <si>
    <t>Address: Gulshan Colony</t>
  </si>
  <si>
    <t>Customer Name : Sherry Mart</t>
  </si>
  <si>
    <t>Address: Ali park</t>
  </si>
  <si>
    <t>Customer Name : Waqar Store</t>
  </si>
  <si>
    <t xml:space="preserve">Address: Ali park </t>
  </si>
  <si>
    <t>Customer Name : Khatak Store</t>
  </si>
  <si>
    <t>Customer Name : MS Store</t>
  </si>
  <si>
    <t>Customer Name : Mian Store</t>
  </si>
  <si>
    <t>Address: Bedian Road</t>
  </si>
  <si>
    <t>Customer Name : Fakhar Grocery</t>
  </si>
  <si>
    <t xml:space="preserve">Address: Bedian Road </t>
  </si>
  <si>
    <t xml:space="preserve">Zeeshan </t>
  </si>
  <si>
    <t>Shop Bill Summary (Zeshan)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</si>
</sst>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101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102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97</v>
      </c>
    </row>
    <row r="12" spans="1:2" x14ac:dyDescent="0.35">
      <c r="A12">
        <v>7</v>
      </c>
      <c r="B12" t="s">
        <v>103</v>
      </c>
    </row>
    <row r="13" spans="1:2" x14ac:dyDescent="0.35">
      <c r="A13">
        <v>8</v>
      </c>
      <c r="B13" t="s">
        <v>104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11" zoomScale="70" zoomScaleNormal="70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127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128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Toheed Store</v>
      </c>
      <c r="U14" s="164">
        <f>+'1'!P35</f>
        <v>11291.852892599998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Euro Store</v>
      </c>
      <c r="U15" s="164">
        <f>+'2'!P35</f>
        <v>8513.6451435000017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Khan Store</v>
      </c>
      <c r="U16" s="164">
        <f>+'4'!P35</f>
        <v>538.64712270000007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209.85000000000002</v>
      </c>
      <c r="M17" s="118">
        <f t="shared" ref="M17:M23" si="2">I17-K17-L17</f>
        <v>1888.65</v>
      </c>
      <c r="N17" s="101">
        <f>+'1'!N17+'2'!N17+'4'!N17+'3'!N17+'5'!N17+'6'!N17+'7'!N17+'8'!N17+'9'!N17+'10'!N17</f>
        <v>358.84350000000001</v>
      </c>
      <c r="O17" s="101">
        <f>+'1'!O17+'2'!O17+'4'!O17+'3'!O17+'5'!O17+'6'!O17+'7'!O17+'8'!O17+'9'!O17+'10'!O17</f>
        <v>11.237467500000001</v>
      </c>
      <c r="P17" s="120">
        <f t="shared" si="0"/>
        <v>2258.7309675000001</v>
      </c>
      <c r="S17" s="64"/>
      <c r="T17" s="163" t="str">
        <f>+'3'!A5</f>
        <v>Customer Name : Moon Store</v>
      </c>
      <c r="U17" s="164">
        <f>+'3'!P35</f>
        <v>3749.7871876499999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Biilal Store</v>
      </c>
      <c r="U18" s="164">
        <f>+'5'!P35</f>
        <v>538.64712270000007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70</v>
      </c>
      <c r="I19" s="1">
        <f t="shared" si="1"/>
        <v>5084.8</v>
      </c>
      <c r="J19" s="172">
        <f>+'1'!J19+'2'!J19+'4'!J19+'3'!J19+'5'!J19+'6'!J19+'7'!J19+'8'!J19+'9'!J19+'10'!J19+'11'!J19+'12'!J19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406.78399999999999</v>
      </c>
      <c r="M19" s="118">
        <f t="shared" si="2"/>
        <v>4678.0160000000005</v>
      </c>
      <c r="N19" s="101">
        <f>+'1'!N19+'2'!N19+'4'!N19+'3'!N19+'5'!N19+'6'!N19+'7'!N19+'8'!N19+'9'!N19+'10'!N19</f>
        <v>948.38783999999987</v>
      </c>
      <c r="O19" s="101">
        <f>+'1'!O19+'2'!O19+'4'!O19+'3'!O19+'5'!O19+'6'!O19+'7'!O19+'8'!O19+'9'!O19+'10'!O19</f>
        <v>28.132019200000002</v>
      </c>
      <c r="P19" s="120">
        <f t="shared" si="0"/>
        <v>5654.5358592000011</v>
      </c>
      <c r="T19" s="163" t="str">
        <f>+'6'!A5</f>
        <v>Customer Name : Sherry Mart</v>
      </c>
      <c r="U19" s="164">
        <f>+'6'!P35</f>
        <v>3749.7871876499999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100</v>
      </c>
      <c r="I20" s="1">
        <f t="shared" si="1"/>
        <v>7264</v>
      </c>
      <c r="J20" s="172">
        <f>+'1'!J20+'2'!J20+'4'!J20+'3'!J20+'5'!J20+'6'!J20+'7'!J20+'8'!J20+'9'!J20+'10'!J20+'11'!J20+'12'!J20</f>
        <v>8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639.23199999999997</v>
      </c>
      <c r="M20" s="118">
        <f t="shared" si="2"/>
        <v>6624.768</v>
      </c>
      <c r="N20" s="101">
        <f>+'1'!N20+'2'!N20+'4'!N20+'3'!N20+'5'!N20+'6'!N20+'7'!N20+'8'!N20+'9'!N20+'10'!N20</f>
        <v>1362.14528</v>
      </c>
      <c r="O20" s="101">
        <f>+'1'!O20+'2'!O20+'4'!O20+'3'!O20+'5'!O20+'6'!O20+'7'!O20+'8'!O20+'9'!O20+'10'!O20</f>
        <v>39.934566400000008</v>
      </c>
      <c r="P20" s="120">
        <f t="shared" si="0"/>
        <v>8026.8478464</v>
      </c>
      <c r="T20" s="163" t="str">
        <f>+'7'!A5</f>
        <v>Customer Name : Waqar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110</v>
      </c>
      <c r="I21" s="1">
        <f t="shared" si="1"/>
        <v>7990.4</v>
      </c>
      <c r="J21" s="172">
        <f>+'1'!J21+'2'!J21+'4'!J21+'3'!J21+'5'!J21+'6'!J21+'7'!J21+'8'!J21+'9'!J21+'10'!J21+'11'!J21+'12'!J21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697.34400000000005</v>
      </c>
      <c r="M21" s="118">
        <f t="shared" si="2"/>
        <v>7293.0559999999996</v>
      </c>
      <c r="N21" s="101">
        <f>+'1'!N21+'2'!N21+'4'!N21+'3'!N21+'5'!N21+'6'!N21+'7'!N21+'8'!N21+'9'!N21+'10'!N21</f>
        <v>1445.2454399999999</v>
      </c>
      <c r="O21" s="101">
        <f>+'1'!O21+'2'!O21+'4'!O21+'3'!O21+'5'!O21+'6'!O21+'7'!O21+'8'!O21+'9'!O21+'10'!O21</f>
        <v>43.691507200000004</v>
      </c>
      <c r="P21" s="120">
        <f t="shared" si="0"/>
        <v>8781.9929471999985</v>
      </c>
      <c r="T21" s="163" t="str">
        <f>+'8'!A5</f>
        <v>Customer Name : Khatak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84</v>
      </c>
      <c r="I22" s="1">
        <f t="shared" si="1"/>
        <v>3295.32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115.33620000000003</v>
      </c>
      <c r="L22" s="175">
        <f>+'1'!L22+'2'!L22+'4'!L22+'3'!L22+'5'!L22+'6'!L22+'7'!L22+'8'!L22+'9'!L22+'10'!L22</f>
        <v>164.76600000000005</v>
      </c>
      <c r="M22" s="118">
        <f t="shared" si="2"/>
        <v>3015.2177999999999</v>
      </c>
      <c r="N22" s="101">
        <f>+'1'!N22+'2'!N22+'4'!N22+'3'!N22+'5'!N22+'6'!N22+'7'!N22+'8'!N22+'9'!N22+'10'!N22</f>
        <v>605.91519600000004</v>
      </c>
      <c r="O22" s="101">
        <f>+'1'!O22+'2'!O22+'4'!O22+'3'!O22+'5'!O22+'6'!O22+'7'!O22+'8'!O22+'9'!O22+'10'!O22</f>
        <v>39.126040500000009</v>
      </c>
      <c r="P22" s="120">
        <f t="shared" si="0"/>
        <v>3660.2590364999996</v>
      </c>
      <c r="T22" s="163" t="str">
        <f>+'9'!A5</f>
        <v>Customer Name : MS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Mian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Fakhar Grocery</v>
      </c>
      <c r="U24" s="164">
        <f>+'11'!P35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>
        <f t="shared" si="3"/>
        <v>404</v>
      </c>
      <c r="I25" s="178">
        <f t="shared" si="3"/>
        <v>25733.019999999997</v>
      </c>
      <c r="J25" s="177">
        <f t="shared" si="3"/>
        <v>16</v>
      </c>
      <c r="K25" s="178">
        <f t="shared" si="3"/>
        <v>115.33620000000003</v>
      </c>
      <c r="L25" s="179">
        <f t="shared" si="3"/>
        <v>2117.9760000000001</v>
      </c>
      <c r="M25" s="141">
        <f t="shared" si="3"/>
        <v>23499.7078</v>
      </c>
      <c r="N25" s="142">
        <f>SUM(N16:N24)</f>
        <v>4720.5372559999996</v>
      </c>
      <c r="O25" s="143">
        <f>SUM(O16:O24)</f>
        <v>162.12160080000001</v>
      </c>
      <c r="P25" s="144">
        <f>SUM(P16:P24)</f>
        <v>28382.366656799997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28382.366656799997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25733.019999999997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2117.9760000000001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115.33620000000003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23499.707799999996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4720.5372559999996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28220.245055999996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705.50612639999997</v>
      </c>
    </row>
    <row r="35" spans="2:16" ht="15.75" customHeight="1" thickBot="1" x14ac:dyDescent="0.4">
      <c r="N35" s="200" t="s">
        <v>92</v>
      </c>
      <c r="O35" s="201"/>
      <c r="P35" s="160">
        <f>P33+P34</f>
        <v>28925.751182399996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105</v>
      </c>
      <c r="B5" s="249"/>
      <c r="C5" s="249"/>
      <c r="F5" s="70"/>
      <c r="G5" s="71"/>
      <c r="K5" s="226" t="s">
        <v>51</v>
      </c>
      <c r="L5" s="226"/>
      <c r="M5" s="226"/>
      <c r="N5" s="240">
        <f ca="1">N4</f>
        <v>46189</v>
      </c>
      <c r="O5" s="227"/>
      <c r="P5" s="227"/>
      <c r="R5" s="70"/>
      <c r="S5" s="71"/>
    </row>
    <row r="6" spans="1:19 16383:16384" ht="15" customHeight="1" x14ac:dyDescent="0.35">
      <c r="A6" s="226" t="s">
        <v>106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107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507.31775999999996</v>
      </c>
      <c r="O19" s="119">
        <f t="shared" si="1"/>
        <v>15.9023488</v>
      </c>
      <c r="P19" s="120">
        <f t="shared" si="2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507.31775999999996</v>
      </c>
      <c r="O20" s="119">
        <f t="shared" si="1"/>
        <v>15.9023488</v>
      </c>
      <c r="P20" s="120">
        <f t="shared" si="2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507.31775999999996</v>
      </c>
      <c r="O21" s="119">
        <f t="shared" si="1"/>
        <v>15.9023488</v>
      </c>
      <c r="P21" s="120">
        <f t="shared" si="2"/>
        <v>3196.3721087999998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258.44724000000002</v>
      </c>
      <c r="O22" s="119">
        <f t="shared" si="1"/>
        <v>8.4713262000000018</v>
      </c>
      <c r="P22" s="120">
        <f t="shared" si="2"/>
        <v>1702.7365662000002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54.922000000000011</v>
      </c>
      <c r="L25" s="140">
        <f t="shared" si="9"/>
        <v>775.80400000000009</v>
      </c>
      <c r="M25" s="141">
        <f t="shared" si="9"/>
        <v>9455.2740000000013</v>
      </c>
      <c r="N25" s="142">
        <f>SUM(N16:N24)</f>
        <v>1780.4005199999999</v>
      </c>
      <c r="O25" s="143">
        <f>SUM(O16:O24)</f>
        <v>56.178372600000003</v>
      </c>
      <c r="P25" s="144">
        <f>SUM(P16:P24)</f>
        <v>11291.8528926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10286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775.80400000000009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54.922000000000011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9455.2739999999994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1780.4005199999999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11235.674519999999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56.178372599999996</v>
      </c>
    </row>
    <row r="35" spans="2:16" ht="15.75" customHeight="1" thickBot="1" x14ac:dyDescent="0.4">
      <c r="N35" s="200" t="s">
        <v>92</v>
      </c>
      <c r="O35" s="201"/>
      <c r="P35" s="160">
        <f>P33+P34</f>
        <v>11291.852892599998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108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109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110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>
        <v>6110119374299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I16*10%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4" si="4">I17*10%</f>
        <v>209.85000000000002</v>
      </c>
      <c r="M17" s="118">
        <f t="shared" ref="M17:M23" si="5">I17-K17-L17</f>
        <v>1888.65</v>
      </c>
      <c r="N17" s="118">
        <f t="shared" si="0"/>
        <v>358.84350000000001</v>
      </c>
      <c r="O17" s="119">
        <f t="shared" ref="O17:O24" si="6">(N17+M17)*$O$15</f>
        <v>11.237467500000001</v>
      </c>
      <c r="P17" s="120">
        <f t="shared" si="1"/>
        <v>2258.7309675000001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290.56</v>
      </c>
      <c r="M20" s="118">
        <f t="shared" si="5"/>
        <v>2615.04</v>
      </c>
      <c r="N20" s="118">
        <f t="shared" si="0"/>
        <v>496.85759999999999</v>
      </c>
      <c r="O20" s="119">
        <f t="shared" si="6"/>
        <v>15.559488</v>
      </c>
      <c r="P20" s="120">
        <f t="shared" si="1"/>
        <v>3127.4570879999997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290.56</v>
      </c>
      <c r="M21" s="118">
        <f t="shared" si="5"/>
        <v>2615.04</v>
      </c>
      <c r="N21" s="118">
        <f t="shared" si="0"/>
        <v>496.85759999999999</v>
      </c>
      <c r="O21" s="119">
        <f t="shared" si="6"/>
        <v>15.559488</v>
      </c>
      <c r="P21" s="120">
        <f t="shared" si="1"/>
        <v>3127.4570879999997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8">SUM(G16:G24)</f>
        <v>0</v>
      </c>
      <c r="H25" s="136">
        <f t="shared" si="8"/>
        <v>120</v>
      </c>
      <c r="I25" s="137">
        <f t="shared" si="8"/>
        <v>7909.7000000000007</v>
      </c>
      <c r="J25" s="138"/>
      <c r="K25" s="139">
        <f t="shared" si="8"/>
        <v>0</v>
      </c>
      <c r="L25" s="140">
        <f t="shared" si="8"/>
        <v>790.97</v>
      </c>
      <c r="M25" s="141">
        <f t="shared" si="8"/>
        <v>7118.7300000000005</v>
      </c>
      <c r="N25" s="142">
        <f>SUM(N16:N24)</f>
        <v>1352.5587</v>
      </c>
      <c r="O25" s="143">
        <f>SUM(O16:O24)</f>
        <v>42.356443500000005</v>
      </c>
      <c r="P25" s="144">
        <f>SUM(P16:P24)</f>
        <v>8513.6451434999999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7909.7000000000007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790.97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7118.7300000000005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1352.5587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8471.288700000001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42.356443500000005</v>
      </c>
    </row>
    <row r="35" spans="2:16" ht="15.75" customHeight="1" thickBot="1" x14ac:dyDescent="0.4">
      <c r="N35" s="200" t="s">
        <v>92</v>
      </c>
      <c r="O35" s="201"/>
      <c r="P35" s="160">
        <f>P33+P34</f>
        <v>8513.6451435000017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111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112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3520115412447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50</v>
      </c>
      <c r="I25" s="137">
        <f t="shared" si="9"/>
        <v>3297.9</v>
      </c>
      <c r="J25" s="138"/>
      <c r="K25" s="139">
        <f t="shared" si="9"/>
        <v>13.730500000000003</v>
      </c>
      <c r="L25" s="140">
        <f t="shared" si="9"/>
        <v>252.06299999999999</v>
      </c>
      <c r="M25" s="141">
        <f t="shared" si="9"/>
        <v>3032.1064999999999</v>
      </c>
      <c r="N25" s="142">
        <f>SUM(N16:N24)</f>
        <v>699.02503000000002</v>
      </c>
      <c r="O25" s="143">
        <f>SUM(O16:O24)</f>
        <v>18.655657650000002</v>
      </c>
      <c r="P25" s="144">
        <f>SUM(P16:P24)</f>
        <v>3749.7871876499999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3297.9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252.06299999999999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13.730500000000003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3032.1064999999999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699.02503000000002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3731.1315299999997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18.655657649999998</v>
      </c>
    </row>
    <row r="35" spans="2:16" ht="15.75" customHeight="1" thickBot="1" x14ac:dyDescent="0.4">
      <c r="N35" s="200" t="s">
        <v>92</v>
      </c>
      <c r="O35" s="201"/>
      <c r="P35" s="160">
        <f>P33+P34</f>
        <v>3749.7871876499999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113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114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470.76000000000005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23.538000000000004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16.476600000000005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430.74540000000002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525.50938800000006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0" t="s">
        <v>92</v>
      </c>
      <c r="O35" s="201"/>
      <c r="P35" s="160">
        <f>P33+P34</f>
        <v>538.64712270000007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116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470.76000000000005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23.538000000000004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16.476600000000005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430.74540000000002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525.50938800000006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0" t="s">
        <v>92</v>
      </c>
      <c r="O35" s="201"/>
      <c r="P35" s="160">
        <f>P33+P34</f>
        <v>538.64712270000007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117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118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>
        <v>3310010547887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50</v>
      </c>
      <c r="I25" s="137">
        <f t="shared" si="9"/>
        <v>3297.9</v>
      </c>
      <c r="J25" s="138"/>
      <c r="K25" s="139">
        <f t="shared" si="9"/>
        <v>13.730500000000003</v>
      </c>
      <c r="L25" s="140">
        <f t="shared" si="9"/>
        <v>252.06299999999999</v>
      </c>
      <c r="M25" s="141">
        <f t="shared" si="9"/>
        <v>3032.1064999999999</v>
      </c>
      <c r="N25" s="142">
        <f>SUM(N16:N24)</f>
        <v>699.02503000000002</v>
      </c>
      <c r="O25" s="143">
        <f>SUM(O16:O24)</f>
        <v>18.655657650000002</v>
      </c>
      <c r="P25" s="144">
        <f>SUM(P16:P24)</f>
        <v>3749.7871876499999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3297.9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252.06299999999999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13.730500000000003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3032.1064999999999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699.02503000000002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3731.1315299999997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18.655657649999998</v>
      </c>
    </row>
    <row r="35" spans="2:16" ht="15.75" customHeight="1" thickBot="1" x14ac:dyDescent="0.4">
      <c r="N35" s="200" t="s">
        <v>92</v>
      </c>
      <c r="O35" s="201"/>
      <c r="P35" s="160">
        <f>P33+P34</f>
        <v>3749.7871876499999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120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121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120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122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120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7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123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124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126</v>
      </c>
      <c r="B6" s="226"/>
      <c r="C6" s="226"/>
      <c r="F6" s="70"/>
      <c r="G6" s="74"/>
      <c r="K6" s="226" t="s">
        <v>52</v>
      </c>
      <c r="L6" s="226"/>
      <c r="M6" s="226"/>
      <c r="N6" s="239" t="s">
        <v>41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98</v>
      </c>
      <c r="B6" s="226"/>
      <c r="C6" s="226"/>
      <c r="F6" s="70"/>
      <c r="G6" s="74"/>
      <c r="K6" s="226" t="s">
        <v>52</v>
      </c>
      <c r="L6" s="226"/>
      <c r="M6" s="226"/>
      <c r="N6" s="239" t="s">
        <v>100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99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98</v>
      </c>
      <c r="B6" s="226"/>
      <c r="C6" s="226"/>
      <c r="F6" s="70"/>
      <c r="G6" s="74"/>
      <c r="K6" s="226" t="s">
        <v>52</v>
      </c>
      <c r="L6" s="226"/>
      <c r="M6" s="226"/>
      <c r="N6" s="239" t="s">
        <v>100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99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98</v>
      </c>
      <c r="B6" s="226"/>
      <c r="C6" s="226"/>
      <c r="F6" s="70"/>
      <c r="G6" s="74"/>
      <c r="K6" s="226" t="s">
        <v>52</v>
      </c>
      <c r="L6" s="226"/>
      <c r="M6" s="226"/>
      <c r="N6" s="239" t="s">
        <v>100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99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98</v>
      </c>
      <c r="B6" s="226"/>
      <c r="C6" s="226"/>
      <c r="F6" s="70"/>
      <c r="G6" s="74"/>
      <c r="K6" s="226" t="s">
        <v>52</v>
      </c>
      <c r="L6" s="226"/>
      <c r="M6" s="226"/>
      <c r="N6" s="239" t="s">
        <v>100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99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98</v>
      </c>
      <c r="B6" s="226"/>
      <c r="C6" s="226"/>
      <c r="F6" s="70"/>
      <c r="G6" s="74"/>
      <c r="K6" s="226" t="s">
        <v>52</v>
      </c>
      <c r="L6" s="226"/>
      <c r="M6" s="226"/>
      <c r="N6" s="239" t="s">
        <v>100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99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98</v>
      </c>
      <c r="B6" s="226"/>
      <c r="C6" s="226"/>
      <c r="F6" s="70"/>
      <c r="G6" s="74"/>
      <c r="K6" s="226" t="s">
        <v>52</v>
      </c>
      <c r="L6" s="226"/>
      <c r="M6" s="226"/>
      <c r="N6" s="239" t="s">
        <v>100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99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98</v>
      </c>
      <c r="B6" s="226"/>
      <c r="C6" s="226"/>
      <c r="F6" s="70"/>
      <c r="G6" s="74"/>
      <c r="K6" s="226" t="s">
        <v>52</v>
      </c>
      <c r="L6" s="226"/>
      <c r="M6" s="226"/>
      <c r="N6" s="239" t="s">
        <v>100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99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98</v>
      </c>
      <c r="B6" s="226"/>
      <c r="C6" s="226"/>
      <c r="F6" s="70"/>
      <c r="G6" s="74"/>
      <c r="K6" s="226" t="s">
        <v>52</v>
      </c>
      <c r="L6" s="226"/>
      <c r="M6" s="226"/>
      <c r="N6" s="239" t="s">
        <v>100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99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98</v>
      </c>
      <c r="B6" s="226"/>
      <c r="C6" s="226"/>
      <c r="F6" s="70"/>
      <c r="G6" s="74"/>
      <c r="K6" s="226" t="s">
        <v>52</v>
      </c>
      <c r="L6" s="226"/>
      <c r="M6" s="226"/>
      <c r="N6" s="239" t="s">
        <v>100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99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2026-06-16T09:20:30Z</dcterms:modified>
</cp:coreProperties>
</file>