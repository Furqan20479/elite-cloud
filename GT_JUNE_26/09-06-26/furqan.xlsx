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4691F6D5-14EF-418A-B8D6-DC9A14F48D08}" xr6:coauthVersionLast="45" xr6:coauthVersionMax="45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21" l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M17" i="20" s="1"/>
  <c r="N17" i="20" s="1"/>
  <c r="O17" i="20" s="1"/>
  <c r="K17" i="19"/>
  <c r="L16" i="17"/>
  <c r="K20" i="18"/>
  <c r="M20" i="18" s="1"/>
  <c r="L17" i="17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K18" i="15" s="1"/>
  <c r="I19" i="16"/>
  <c r="L19" i="16" s="1"/>
  <c r="I20" i="16"/>
  <c r="K20" i="16" s="1"/>
  <c r="I21" i="16"/>
  <c r="L21" i="16" s="1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L17" i="15" l="1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P31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M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M18" i="16"/>
  <c r="N18" i="16" s="1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0" i="16"/>
  <c r="N20" i="16" s="1"/>
  <c r="L25" i="16"/>
  <c r="P29" i="16" s="1"/>
  <c r="P31" i="17" l="1"/>
  <c r="M22" i="16"/>
  <c r="N22" i="16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25" i="23" l="1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<sst xmlns="http://schemas.openxmlformats.org/spreadsheetml/2006/main" count="1600" uniqueCount="127">
  <si>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</si>
  <si>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</si>
  <si>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</si>
  <si>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</si>
  <si>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</si>
  <si>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</si>
  <si>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</si>
  <si>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</si>
  <si>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</si>
  <si>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</si>
  <si>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</si>
  <si>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</si>
  <si>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</si>
  <si>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</si>
  <si>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</si>
  <si>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</si>
  <si>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</si>
  <si>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</si>
  <si>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</si>
  <si>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</si>
  <si>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</si>
  <si>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</si>
  <si>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</si>
  <si>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</si>
  <si>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</si>
  <si>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</si>
  <si>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</si>
  <si>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</si>
  <si>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</si>
  <si>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</si>
  <si>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</si>
  <si>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</si>
  <si>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</si>
  <si>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</si>
  <si>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</si>
  <si>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</si>
  <si>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</si>
  <si>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</si>
  <si>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</si>
  <si>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</si>
  <si>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</si>
  <si>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</si>
  <si>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</si>
  <si>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</si>
  <si>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</si>
  <si>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</si>
  <si>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</si>
  <si>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</si>
  <si>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</si>
  <si>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</si>
  <si>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</si>
  <si>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</si>
  <si>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</si>
  <si>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</si>
  <si>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</si>
  <si>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</si>
  <si>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</si>
  <si>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</si>
  <si>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</si>
  <si>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</si>
  <si>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</si>
  <si>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</si>
  <si>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</si>
  <si>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</si>
  <si>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</si>
  <si>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</si>
  <si>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</si>
  <si>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</si>
  <si>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</si>
  <si>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</si>
  <si>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</si>
  <si>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</si>
  <si>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</si>
  <si>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</si>
  <si>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</si>
  <si>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</si>
  <si>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</si>
  <si>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</si>
  <si>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</si>
  <si>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</si>
  <si>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</si>
  <si>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</si>
  <si>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</si>
  <si>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</si>
  <si>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</si>
  <si>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</si>
  <si>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</si>
  <si>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</si>
  <si>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</si>
  <si>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</si>
  <si>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</si>
  <si>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</si>
  <si>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</si>
  <si>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</si>
  <si>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</si>
  <si>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</si>
  <si>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</si>
  <si>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</si>
  <si>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</si>
  <si>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</si>
  <si>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</si>
  <si>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</si>
  <si>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</si>
  <si>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Mobeen Ahmad</t>
  </si>
  <si>
    <t>Rana Bilal Tso</t>
  </si>
  <si>
    <t>Shakoor</t>
  </si>
  <si>
    <t>Address: Gawal Mandi</t>
  </si>
  <si>
    <t>Customer Name : Rehman Store</t>
  </si>
  <si>
    <t>Customer Name : Tuqeer Store</t>
  </si>
  <si>
    <t>Shop Bill Summary (Furqan)</t>
  </si>
  <si>
    <t>Customer Name : Wahid Pharmacy</t>
  </si>
  <si>
    <t>Address: Main Market</t>
  </si>
  <si>
    <t>Customer Name : Ajmair Bakery</t>
  </si>
  <si>
    <t>Address:  main market</t>
  </si>
  <si>
    <t>Customer Name : Shehzad Store</t>
  </si>
  <si>
    <t xml:space="preserve">Address: main market </t>
  </si>
  <si>
    <t>Customer Name : Jameel bakery</t>
  </si>
  <si>
    <t xml:space="preserve">Address: Canal park main Market </t>
  </si>
  <si>
    <t xml:space="preserve">Customer Name :Bakes &amp; Bite </t>
  </si>
  <si>
    <t>Address: Canal main market</t>
  </si>
  <si>
    <t>Customer Name : Kamal Store</t>
  </si>
  <si>
    <t>Address: Canal park</t>
  </si>
  <si>
    <t>Customer Name : Umer Store</t>
  </si>
  <si>
    <t>D1615558-8</t>
  </si>
  <si>
    <t>6660458-8</t>
  </si>
  <si>
    <t>Customer Name : Kinza Store</t>
  </si>
  <si>
    <t>0160815-7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</si>
</sst>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8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top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22" sqref="B22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103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104</v>
      </c>
    </row>
    <row r="13" spans="1:2" x14ac:dyDescent="0.35">
      <c r="A13">
        <v>8</v>
      </c>
      <c r="B13" t="s">
        <v>105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20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8"/>
      <c r="B3" s="188"/>
      <c r="C3" s="188"/>
      <c r="D3" s="188"/>
      <c r="E3" s="188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</row>
    <row r="4" spans="1:29" x14ac:dyDescent="0.35">
      <c r="A4" s="190" t="s">
        <v>6</v>
      </c>
      <c r="B4" s="5" t="s">
        <v>7</v>
      </c>
      <c r="C4" s="5"/>
      <c r="D4" s="192" t="s">
        <v>8</v>
      </c>
      <c r="E4" s="194" t="s">
        <v>9</v>
      </c>
      <c r="F4" s="196" t="s">
        <v>3</v>
      </c>
      <c r="G4" s="196"/>
      <c r="H4" s="197" t="s">
        <v>10</v>
      </c>
      <c r="I4" s="197"/>
      <c r="J4" s="198" t="s">
        <v>11</v>
      </c>
      <c r="K4" s="199"/>
      <c r="L4" s="198" t="s">
        <v>12</v>
      </c>
      <c r="M4" s="199"/>
      <c r="N4" s="200" t="s">
        <v>13</v>
      </c>
      <c r="O4" s="200"/>
      <c r="P4" s="198" t="s">
        <v>4</v>
      </c>
      <c r="Q4" s="199"/>
      <c r="R4" s="198" t="s">
        <v>14</v>
      </c>
      <c r="S4" s="199"/>
      <c r="T4" s="201" t="s">
        <v>15</v>
      </c>
      <c r="U4" s="201"/>
      <c r="V4" s="202" t="s">
        <v>16</v>
      </c>
      <c r="W4" s="203"/>
      <c r="X4" s="202" t="s">
        <v>17</v>
      </c>
      <c r="Y4" s="203"/>
    </row>
    <row r="5" spans="1:29" ht="26.25" customHeight="1" thickBot="1" x14ac:dyDescent="0.4">
      <c r="A5" s="191"/>
      <c r="B5" s="7" t="s">
        <v>18</v>
      </c>
      <c r="C5" s="7" t="s">
        <v>8</v>
      </c>
      <c r="D5" s="193"/>
      <c r="E5" s="19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abSelected="1" topLeftCell="A11" zoomScale="70" zoomScaleNormal="70" workbookViewId="0">
      <selection activeCell="J15" sqref="J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customWidth="1"/>
    <col min="6" max="6" width="6.54296875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customWidth="1"/>
    <col min="12" max="12" width="7.453125" customWidth="1"/>
    <col min="13" max="13" width="8" customWidth="1"/>
    <col min="14" max="14" width="10" style="69" customWidth="1"/>
    <col min="15" max="15" width="9.54296875" customWidth="1"/>
    <col min="16" max="16" width="9.7265625" customWidth="1"/>
    <col min="17" max="17" width="4.54296875" customWidth="1"/>
    <col min="18" max="18" width="7.26953125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04" t="s">
        <v>45</v>
      </c>
      <c r="B2" s="204"/>
      <c r="C2" s="204"/>
    </row>
    <row r="3" spans="1:21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1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46183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9" t="s">
        <v>98</v>
      </c>
      <c r="B5" s="209"/>
      <c r="C5" s="209"/>
      <c r="F5" s="70"/>
      <c r="G5" s="71"/>
      <c r="K5" s="206" t="s">
        <v>51</v>
      </c>
      <c r="L5" s="206"/>
      <c r="M5" s="206"/>
      <c r="N5" s="207">
        <f ca="1">N4-1</f>
        <v>46182</v>
      </c>
      <c r="O5" s="205"/>
      <c r="P5" s="205"/>
      <c r="R5" s="70"/>
      <c r="S5" s="71"/>
    </row>
    <row r="6" spans="1:21 16383:16384" ht="15" customHeight="1" x14ac:dyDescent="0.35">
      <c r="A6" s="209"/>
      <c r="B6" s="209"/>
      <c r="C6" s="209"/>
      <c r="F6" s="70"/>
      <c r="G6" s="74"/>
      <c r="K6" s="206" t="s">
        <v>52</v>
      </c>
      <c r="L6" s="206"/>
      <c r="M6" s="206"/>
      <c r="N6" s="208" t="s">
        <v>42</v>
      </c>
      <c r="O6" s="208"/>
      <c r="P6" s="208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21 16383:16384" hidden="1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21 16383:16384" x14ac:dyDescent="0.35">
      <c r="A10" s="211"/>
      <c r="B10" s="75"/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21 16383:16384" ht="15" thickBot="1" x14ac:dyDescent="0.4">
      <c r="A11" s="211"/>
      <c r="B11" s="76"/>
      <c r="C11" s="77"/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21 16383:16384" ht="14.65" customHeight="1" x14ac:dyDescent="0.35">
      <c r="A12" s="211"/>
      <c r="B12" s="76"/>
      <c r="C12" s="77"/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T12" s="220" t="s">
        <v>109</v>
      </c>
      <c r="U12" s="221"/>
      <c r="XFD12" t="s">
        <v>62</v>
      </c>
    </row>
    <row r="13" spans="1:21 16383:16384" ht="15" thickBot="1" x14ac:dyDescent="0.4">
      <c r="A13" s="248"/>
      <c r="J13" s="78"/>
      <c r="K13" s="78"/>
      <c r="L13" s="79">
        <v>0.05</v>
      </c>
      <c r="T13" s="222"/>
      <c r="U13" s="223"/>
      <c r="XFD13" t="s">
        <v>63</v>
      </c>
    </row>
    <row r="14" spans="1:21 16383:16384" ht="29.25" customHeight="1" x14ac:dyDescent="0.6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14" t="s">
        <v>68</v>
      </c>
      <c r="H14" s="215"/>
      <c r="I14" s="215" t="s">
        <v>69</v>
      </c>
      <c r="J14" s="215" t="s">
        <v>70</v>
      </c>
      <c r="K14" s="215"/>
      <c r="L14" s="217"/>
      <c r="M14" s="218" t="s">
        <v>71</v>
      </c>
      <c r="N14" s="83" t="s">
        <v>72</v>
      </c>
      <c r="O14" s="84" t="s">
        <v>73</v>
      </c>
      <c r="P14" s="85" t="s">
        <v>74</v>
      </c>
      <c r="S14" s="69">
        <v>1</v>
      </c>
      <c r="T14" s="163" t="str">
        <f>+'1'!A5</f>
        <v>Customer Name : Wahid Pharmacy</v>
      </c>
      <c r="U14" s="164">
        <f>+'1'!P35</f>
        <v>1077.2942454000001</v>
      </c>
      <c r="XFD14" t="s">
        <v>75</v>
      </c>
    </row>
    <row r="15" spans="1:21 16383:16384" ht="29.25" customHeight="1" thickBot="1" x14ac:dyDescent="0.65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6"/>
      <c r="J15" s="171" t="s">
        <v>78</v>
      </c>
      <c r="K15" s="171" t="s">
        <v>79</v>
      </c>
      <c r="L15" s="174" t="s">
        <v>80</v>
      </c>
      <c r="M15" s="21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S15" s="69">
        <v>2</v>
      </c>
      <c r="T15" s="163" t="str">
        <f>+'2'!A5</f>
        <v>Customer Name : Ajmair Bakery</v>
      </c>
      <c r="U15" s="164">
        <f>+'2'!P35</f>
        <v>1262.9192157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10</v>
      </c>
      <c r="I16" s="1">
        <f>(G16*D16)*F16+H16*F16</f>
        <v>524.625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41.97</v>
      </c>
      <c r="M16" s="106">
        <f>I16-K16-L16</f>
        <v>482.65499999999997</v>
      </c>
      <c r="N16" s="101">
        <f>+'1'!N16+'2'!N16+'4'!N16+'3'!N16+'5'!N16+'6'!N16+'7'!N16+'8'!N16+'9'!N16+'10'!N16</f>
        <v>106.1841</v>
      </c>
      <c r="O16" s="101">
        <f>+'1'!O16+'2'!O16+'4'!O16+'3'!O16+'5'!O16+'6'!O16+'7'!O16+'8'!O16+'9'!O16+'10'!O16</f>
        <v>2.9441954999999997</v>
      </c>
      <c r="P16" s="105">
        <f t="shared" ref="P16:P24" si="0">M16+N16+O16</f>
        <v>591.78329549999989</v>
      </c>
      <c r="Q16" s="108"/>
      <c r="S16" s="69">
        <v>3</v>
      </c>
      <c r="T16" s="163" t="str">
        <f>+'4'!A5</f>
        <v>Customer Name : Jameel bakery</v>
      </c>
      <c r="U16" s="164">
        <f>+'4'!P35</f>
        <v>1702.7365662000002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10</v>
      </c>
      <c r="I17" s="1">
        <f t="shared" ref="I17:I23" si="1">(G17*D17)*F17+H17*F17</f>
        <v>524.625</v>
      </c>
      <c r="J17" s="172">
        <f>+'1'!J17+'2'!J17+'4'!J17+'3'!J17+'5'!J17+'6'!J17+'7'!J17+'8'!J17+'9'!J17+'10'!J17+'11'!J17+'12'!J17</f>
        <v>1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41.97</v>
      </c>
      <c r="M17" s="118">
        <f t="shared" ref="M17:M23" si="2">I17-K17-L17</f>
        <v>482.65499999999997</v>
      </c>
      <c r="N17" s="101">
        <f>+'1'!N17+'2'!N17+'4'!N17+'3'!N17+'5'!N17+'6'!N17+'7'!N17+'8'!N17+'9'!N17+'10'!N17</f>
        <v>117.72585000000001</v>
      </c>
      <c r="O17" s="101">
        <f>+'1'!O17+'2'!O17+'4'!O17+'3'!O17+'5'!O17+'6'!O17+'7'!O17+'8'!O17+'9'!O17+'10'!O17</f>
        <v>3.0019042499999999</v>
      </c>
      <c r="P17" s="120">
        <f t="shared" si="0"/>
        <v>603.38275425000006</v>
      </c>
      <c r="S17" s="69">
        <v>4</v>
      </c>
      <c r="T17" s="163" t="str">
        <f>+'3'!A5</f>
        <v>Customer Name : Shehzad Store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32</v>
      </c>
      <c r="I18" s="1">
        <f t="shared" si="1"/>
        <v>1678.8</v>
      </c>
      <c r="J18" s="172">
        <f>+'1'!J18+'2'!J18+'4'!J18+'3'!J18+'5'!J18+'6'!J18+'7'!J18+'8'!J18+'9'!J18+'10'!J18+'11'!J18+'12'!J18</f>
        <v>1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134.304</v>
      </c>
      <c r="M18" s="118">
        <f t="shared" si="2"/>
        <v>1544.4959999999999</v>
      </c>
      <c r="N18" s="101">
        <f>+'1'!N18+'2'!N18+'4'!N18+'3'!N18+'5'!N18+'6'!N18+'7'!N18+'8'!N18+'9'!N18+'10'!N18</f>
        <v>351.33087</v>
      </c>
      <c r="O18" s="101">
        <f>+'1'!O18+'2'!O18+'4'!O18+'3'!O18+'5'!O18+'6'!O18+'7'!O18+'8'!O18+'9'!O18+'10'!O18</f>
        <v>23.611272749999998</v>
      </c>
      <c r="P18" s="120">
        <f t="shared" si="0"/>
        <v>1919.4381427499998</v>
      </c>
      <c r="S18" s="69">
        <v>5</v>
      </c>
      <c r="T18" s="163" t="str">
        <f>+'5'!A5</f>
        <v xml:space="preserve">Customer Name :Bakes &amp; Bite </v>
      </c>
      <c r="U18" s="164">
        <f>+'5'!P35</f>
        <v>2390.3320994999999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15</v>
      </c>
      <c r="I19" s="1">
        <f t="shared" si="1"/>
        <v>1089.5999999999999</v>
      </c>
      <c r="J19" s="172">
        <f>+'1'!J19+'2'!J19+'4'!J19+'3'!J19+'5'!J19+'6'!J19+'7'!J19+'8'!J19+'9'!J19+'10'!J19+'11'!J19+'12'!J19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87.168000000000006</v>
      </c>
      <c r="M19" s="118">
        <f t="shared" si="2"/>
        <v>1002.4319999999999</v>
      </c>
      <c r="N19" s="101">
        <f>+'1'!N19+'2'!N19+'4'!N19+'3'!N19+'5'!N19+'6'!N19+'7'!N19+'8'!N19+'9'!N19+'10'!N19</f>
        <v>220.53503999999998</v>
      </c>
      <c r="O19" s="101">
        <f>+'1'!O19+'2'!O19+'4'!O19+'3'!O19+'5'!O19+'6'!O19+'7'!O19+'8'!O19+'9'!O19+'10'!O19</f>
        <v>6.1148352000000008</v>
      </c>
      <c r="P19" s="120">
        <f t="shared" si="0"/>
        <v>1229.0818752</v>
      </c>
      <c r="S19" s="69">
        <v>6</v>
      </c>
      <c r="T19" s="163" t="str">
        <f>+'6'!A5</f>
        <v>Customer Name : Kamal Store</v>
      </c>
      <c r="U19" s="164">
        <f>+'6'!P35</f>
        <v>1918.90500507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15</v>
      </c>
      <c r="I20" s="1">
        <f t="shared" si="1"/>
        <v>1089.5999999999999</v>
      </c>
      <c r="J20" s="172">
        <f>+'1'!J20+'2'!J20+'4'!J20+'3'!J20+'5'!J20+'6'!J20+'7'!J20+'8'!J20+'9'!J20+'10'!J20+'11'!J20+'12'!J20</f>
        <v>2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87.168000000000006</v>
      </c>
      <c r="M20" s="118">
        <f t="shared" si="2"/>
        <v>1002.4319999999999</v>
      </c>
      <c r="N20" s="101">
        <f>+'1'!N20+'2'!N20+'4'!N20+'3'!N20+'5'!N20+'6'!N20+'7'!N20+'8'!N20+'9'!N20+'10'!N20</f>
        <v>252.49663999999999</v>
      </c>
      <c r="O20" s="101">
        <f>+'1'!O20+'2'!O20+'4'!O20+'3'!O20+'5'!O20+'6'!O20+'7'!O20+'8'!O20+'9'!O20+'10'!O20</f>
        <v>6.2746431999999999</v>
      </c>
      <c r="P20" s="120">
        <f t="shared" si="0"/>
        <v>1261.2032831999998</v>
      </c>
      <c r="S20" s="69">
        <v>7</v>
      </c>
      <c r="T20" s="163" t="str">
        <f>+'7'!A5</f>
        <v>Customer Name : Umer Store</v>
      </c>
      <c r="U20" s="164">
        <f>+'7'!P35</f>
        <v>5070.1295250000003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30</v>
      </c>
      <c r="I21" s="1">
        <f t="shared" si="1"/>
        <v>2179.1999999999998</v>
      </c>
      <c r="J21" s="172">
        <f>+'1'!J21+'2'!J21+'4'!J21+'3'!J21+'5'!J21+'6'!J21+'7'!J21+'8'!J21+'9'!J21+'10'!J21+'11'!J21+'12'!J21</f>
        <v>1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174.33600000000001</v>
      </c>
      <c r="M21" s="118">
        <f t="shared" si="2"/>
        <v>2004.8639999999998</v>
      </c>
      <c r="N21" s="101">
        <f>+'1'!N21+'2'!N21+'4'!N21+'3'!N21+'5'!N21+'6'!N21+'7'!N21+'8'!N21+'9'!N21+'10'!N21</f>
        <v>457.05088000000001</v>
      </c>
      <c r="O21" s="101">
        <f>+'1'!O21+'2'!O21+'4'!O21+'3'!O21+'5'!O21+'6'!O21+'7'!O21+'8'!O21+'9'!O21+'10'!O21</f>
        <v>12.309574400000001</v>
      </c>
      <c r="P21" s="120">
        <f t="shared" si="0"/>
        <v>2474.2244544</v>
      </c>
      <c r="S21" s="69">
        <v>8</v>
      </c>
      <c r="T21" s="163" t="str">
        <f>+'8'!A5</f>
        <v>Customer Name : Kinza Store</v>
      </c>
      <c r="U21" s="164">
        <f>+'8'!P35</f>
        <v>1702.7365662000002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162</v>
      </c>
      <c r="I22" s="1">
        <f t="shared" si="1"/>
        <v>6355.26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222.43410000000006</v>
      </c>
      <c r="L22" s="175">
        <f>+'1'!L22+'2'!L22+'4'!L22+'3'!L22+'5'!L22+'6'!L22+'7'!L22+'8'!L22+'9'!L22+'10'!L22</f>
        <v>317.76300000000009</v>
      </c>
      <c r="M22" s="118">
        <f t="shared" si="2"/>
        <v>5815.0628999999999</v>
      </c>
      <c r="N22" s="101">
        <f>+'1'!N22+'2'!N22+'4'!N22+'3'!N22+'5'!N22+'6'!N22+'7'!N22+'8'!N22+'9'!N22+'10'!N22</f>
        <v>1164.448398</v>
      </c>
      <c r="O22" s="101">
        <f>+'1'!O22+'2'!O22+'4'!O22+'3'!O22+'5'!O22+'6'!O22+'7'!O22+'8'!O22+'9'!O22+'10'!O22</f>
        <v>66.428119770000009</v>
      </c>
      <c r="P22" s="120">
        <f t="shared" si="0"/>
        <v>7045.9394177699996</v>
      </c>
      <c r="S22" s="69">
        <v>9</v>
      </c>
      <c r="T22" s="163" t="str">
        <f>+'9'!A5</f>
        <v>Customer Name : Rehman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S23" s="69">
        <v>10</v>
      </c>
      <c r="T23" s="163" t="str">
        <f>+'10'!A5</f>
        <v>Customer Name : Tuqeer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S24" s="69">
        <v>11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0" t="s">
        <v>84</v>
      </c>
      <c r="B25" s="231"/>
      <c r="C25" s="232"/>
      <c r="D25" s="226"/>
      <c r="E25" s="226"/>
      <c r="F25" s="226"/>
      <c r="G25" s="176">
        <f t="shared" ref="G25:M25" si="3">SUM(G16:G24)</f>
        <v>0</v>
      </c>
      <c r="H25" s="177">
        <f t="shared" si="3"/>
        <v>274</v>
      </c>
      <c r="I25" s="178">
        <f t="shared" si="3"/>
        <v>13441.71</v>
      </c>
      <c r="J25" s="177">
        <f t="shared" si="3"/>
        <v>5</v>
      </c>
      <c r="K25" s="178">
        <f t="shared" si="3"/>
        <v>222.43410000000006</v>
      </c>
      <c r="L25" s="179">
        <f t="shared" si="3"/>
        <v>884.67900000000009</v>
      </c>
      <c r="M25" s="141">
        <f t="shared" si="3"/>
        <v>12334.596899999999</v>
      </c>
      <c r="N25" s="142">
        <f>SUM(N16:N24)</f>
        <v>2669.7717780000003</v>
      </c>
      <c r="O25" s="143">
        <f>SUM(O16:O24)</f>
        <v>120.68454507000001</v>
      </c>
      <c r="P25" s="144">
        <f>SUM(P16:P24)</f>
        <v>15125.053223069999</v>
      </c>
      <c r="S25" s="69">
        <v>12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15125.053223070001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13441.71</v>
      </c>
    </row>
    <row r="29" spans="1:21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884.67900000000009</v>
      </c>
    </row>
    <row r="30" spans="1:21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222.43410000000006</v>
      </c>
    </row>
    <row r="31" spans="1:21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12334.596899999999</v>
      </c>
    </row>
    <row r="32" spans="1:21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2669.7717780000003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15004.368677999999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2.5000000000000001E-2</v>
      </c>
      <c r="P34" s="153">
        <f>O34*P33</f>
        <v>375.10921695000002</v>
      </c>
    </row>
    <row r="35" spans="2:16" ht="15.75" customHeight="1" thickBot="1" x14ac:dyDescent="0.4">
      <c r="N35" s="224" t="s">
        <v>92</v>
      </c>
      <c r="O35" s="225"/>
      <c r="P35" s="160">
        <f>P33+P34</f>
        <v>15379.47789495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1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46183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110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46182</v>
      </c>
      <c r="O5" s="205"/>
      <c r="P5" s="205"/>
      <c r="R5" s="70"/>
      <c r="S5" s="71"/>
    </row>
    <row r="6" spans="1:19 16383:16384" ht="15" customHeight="1" x14ac:dyDescent="0.35">
      <c r="A6" s="206" t="s">
        <v>111</v>
      </c>
      <c r="B6" s="206"/>
      <c r="C6" s="206"/>
      <c r="F6" s="70"/>
      <c r="G6" s="74"/>
      <c r="K6" s="206" t="s">
        <v>52</v>
      </c>
      <c r="L6" s="206"/>
      <c r="M6" s="206"/>
      <c r="N6" s="208" t="s">
        <v>98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75"/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50</v>
      </c>
      <c r="C11" s="77" t="str">
        <f>IF($O34&gt;2.49%,"No","Yes")</f>
        <v>No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3"/>
        <v>941.5200000000001</v>
      </c>
      <c r="J22" s="117"/>
      <c r="K22" s="1">
        <f>I22*3.5%</f>
        <v>32.95320000000001</v>
      </c>
      <c r="L22" s="120">
        <f>I22*5%</f>
        <v>47.076000000000008</v>
      </c>
      <c r="M22" s="118">
        <f t="shared" si="6"/>
        <v>861.49080000000004</v>
      </c>
      <c r="N22" s="118">
        <f t="shared" si="0"/>
        <v>189.527976</v>
      </c>
      <c r="O22" s="119">
        <f t="shared" si="1"/>
        <v>26.275469400000006</v>
      </c>
      <c r="P22" s="120">
        <f t="shared" si="2"/>
        <v>1077.2942454000001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24</v>
      </c>
      <c r="I25" s="137">
        <f t="shared" si="9"/>
        <v>941.5200000000001</v>
      </c>
      <c r="J25" s="138"/>
      <c r="K25" s="139">
        <f t="shared" si="9"/>
        <v>32.95320000000001</v>
      </c>
      <c r="L25" s="140">
        <f t="shared" si="9"/>
        <v>47.076000000000008</v>
      </c>
      <c r="M25" s="141">
        <f t="shared" si="9"/>
        <v>861.49080000000004</v>
      </c>
      <c r="N25" s="142">
        <f>SUM(N16:N24)</f>
        <v>189.527976</v>
      </c>
      <c r="O25" s="143">
        <f>SUM(O16:O24)</f>
        <v>26.275469400000006</v>
      </c>
      <c r="P25" s="144">
        <f>SUM(P16:P24)</f>
        <v>1077.2942454000001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941.5200000000001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47.076000000000008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32.95320000000001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861.49080000000004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189.527976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1051.0187760000001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2.5000000000000001E-2</v>
      </c>
      <c r="P34" s="153">
        <f>O34*P33</f>
        <v>26.275469400000006</v>
      </c>
    </row>
    <row r="35" spans="2:16" ht="15.75" customHeight="1" thickBot="1" x14ac:dyDescent="0.4">
      <c r="N35" s="224" t="s">
        <v>92</v>
      </c>
      <c r="O35" s="225"/>
      <c r="P35" s="160">
        <f>P33+P34</f>
        <v>1077.2942454000001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3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2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46183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112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46182</v>
      </c>
      <c r="O5" s="205"/>
      <c r="P5" s="205"/>
      <c r="R5" s="70"/>
      <c r="S5" s="71"/>
    </row>
    <row r="6" spans="1:19 16383:16384" ht="15" customHeight="1" x14ac:dyDescent="0.35">
      <c r="A6" s="206" t="s">
        <v>113</v>
      </c>
      <c r="B6" s="206"/>
      <c r="C6" s="206"/>
      <c r="F6" s="70"/>
      <c r="G6" s="74"/>
      <c r="K6" s="206" t="s">
        <v>52</v>
      </c>
      <c r="L6" s="206"/>
      <c r="M6" s="206"/>
      <c r="N6" s="208" t="s">
        <v>98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75"/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50</v>
      </c>
      <c r="C11" s="77" t="str">
        <f>IF($O34&gt;2.49%,"No","Yes")</f>
        <v>No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</v>
      </c>
      <c r="I18" s="116">
        <f t="shared" si="2"/>
        <v>629.54999999999995</v>
      </c>
      <c r="J18" s="117"/>
      <c r="K18" s="1">
        <f t="shared" si="3"/>
        <v>0</v>
      </c>
      <c r="L18" s="105">
        <f t="shared" si="4"/>
        <v>50.363999999999997</v>
      </c>
      <c r="M18" s="118">
        <f t="shared" si="5"/>
        <v>579.18599999999992</v>
      </c>
      <c r="N18" s="118">
        <f t="shared" si="0"/>
        <v>127.42091999999998</v>
      </c>
      <c r="O18" s="119">
        <f t="shared" si="6"/>
        <v>17.665172999999999</v>
      </c>
      <c r="P18" s="120">
        <f t="shared" si="1"/>
        <v>724.27209299999993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24</v>
      </c>
      <c r="I25" s="137">
        <f t="shared" si="9"/>
        <v>1100.31</v>
      </c>
      <c r="J25" s="138"/>
      <c r="K25" s="139">
        <f t="shared" si="9"/>
        <v>16.476600000000005</v>
      </c>
      <c r="L25" s="140">
        <f t="shared" si="9"/>
        <v>73.902000000000001</v>
      </c>
      <c r="M25" s="141">
        <f t="shared" si="9"/>
        <v>1009.9313999999999</v>
      </c>
      <c r="N25" s="142">
        <f>SUM(N16:N24)</f>
        <v>222.18490799999998</v>
      </c>
      <c r="O25" s="143">
        <f>SUM(O16:O24)</f>
        <v>30.802907700000002</v>
      </c>
      <c r="P25" s="144">
        <f>SUM(P16:P24)</f>
        <v>1262.9192157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1100.31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73.902000000000001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16.476600000000005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1009.9313999999999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222.18490799999998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1232.1163079999999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2.5000000000000001E-2</v>
      </c>
      <c r="P34" s="153">
        <f>O34*P33</f>
        <v>30.802907699999999</v>
      </c>
    </row>
    <row r="35" spans="2:16" ht="15.75" customHeight="1" thickBot="1" x14ac:dyDescent="0.4">
      <c r="N35" s="224" t="s">
        <v>92</v>
      </c>
      <c r="O35" s="225"/>
      <c r="P35" s="160">
        <f>P33+P34</f>
        <v>1262.9192157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4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46183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114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46182</v>
      </c>
      <c r="O5" s="205"/>
      <c r="P5" s="205"/>
      <c r="R5" s="70"/>
      <c r="S5" s="71"/>
    </row>
    <row r="6" spans="1:19 16383:16384" ht="15" customHeight="1" x14ac:dyDescent="0.35">
      <c r="A6" s="206" t="s">
        <v>115</v>
      </c>
      <c r="B6" s="206"/>
      <c r="C6" s="206"/>
      <c r="F6" s="70"/>
      <c r="G6" s="74"/>
      <c r="K6" s="206" t="s">
        <v>52</v>
      </c>
      <c r="L6" s="206"/>
      <c r="M6" s="206"/>
      <c r="N6" s="208" t="s">
        <v>98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169"/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50</v>
      </c>
      <c r="C11" s="77" t="str">
        <f>IF($O34&gt;2.49%,"No","Yes")</f>
        <v>No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3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46183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116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46182</v>
      </c>
      <c r="O5" s="205"/>
      <c r="P5" s="205"/>
      <c r="R5" s="70"/>
      <c r="S5" s="71"/>
    </row>
    <row r="6" spans="1:19 16383:16384" ht="15" customHeight="1" x14ac:dyDescent="0.35">
      <c r="A6" s="206" t="s">
        <v>117</v>
      </c>
      <c r="B6" s="206"/>
      <c r="C6" s="206"/>
      <c r="F6" s="70"/>
      <c r="G6" s="74"/>
      <c r="K6" s="206" t="s">
        <v>52</v>
      </c>
      <c r="L6" s="206"/>
      <c r="M6" s="206"/>
      <c r="N6" s="208" t="s">
        <v>98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75"/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48</v>
      </c>
      <c r="C11" s="77" t="str">
        <f>IF($O34&gt;2.49%,"No","Yes")</f>
        <v>Yes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258.44724000000002</v>
      </c>
      <c r="O25" s="143">
        <f>SUM(O16:O24)</f>
        <v>8.4713262000000018</v>
      </c>
      <c r="P25" s="144">
        <f>SUM(P16:P24)</f>
        <v>1702.7365662000002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1569.2000000000003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78.460000000000022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54.922000000000011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1435.8180000000002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0.18</v>
      </c>
      <c r="P32" s="153">
        <f>N25</f>
        <v>258.44724000000002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1694.2652400000002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5.0000000000000001E-3</v>
      </c>
      <c r="P34" s="153">
        <f>O34*P33</f>
        <v>8.4713262000000018</v>
      </c>
    </row>
    <row r="35" spans="2:16" ht="15.75" customHeight="1" thickBot="1" x14ac:dyDescent="0.4">
      <c r="N35" s="224" t="s">
        <v>92</v>
      </c>
      <c r="O35" s="225"/>
      <c r="P35" s="160">
        <f>P33+P34</f>
        <v>1702.7365662000002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A10" sqref="A10:A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5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46183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118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46182</v>
      </c>
      <c r="O5" s="205"/>
      <c r="P5" s="205"/>
      <c r="R5" s="70"/>
      <c r="S5" s="71"/>
    </row>
    <row r="6" spans="1:19 16383:16384" ht="15" customHeight="1" x14ac:dyDescent="0.35">
      <c r="A6" s="206" t="s">
        <v>119</v>
      </c>
      <c r="B6" s="206"/>
      <c r="C6" s="206"/>
      <c r="F6" s="70"/>
      <c r="G6" s="74"/>
      <c r="K6" s="206" t="s">
        <v>52</v>
      </c>
      <c r="L6" s="206"/>
      <c r="M6" s="206"/>
      <c r="N6" s="208" t="s">
        <v>98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169" t="s">
        <v>124</v>
      </c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48</v>
      </c>
      <c r="C11" s="77" t="str">
        <f>IF($O34&gt;2.49%,"No","Yes")</f>
        <v>Yes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2.9441954999999997</v>
      </c>
      <c r="P16" s="105">
        <f t="shared" ref="P16:P24" si="1">M16+N16+O16</f>
        <v>591.78329549999989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3.0019042499999999</v>
      </c>
      <c r="P17" s="120">
        <f t="shared" si="1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2"/>
        <v>1049.25</v>
      </c>
      <c r="J18" s="117">
        <v>1</v>
      </c>
      <c r="K18" s="1">
        <f t="shared" si="3"/>
        <v>0</v>
      </c>
      <c r="L18" s="105">
        <f t="shared" si="4"/>
        <v>83.94</v>
      </c>
      <c r="M18" s="118">
        <f t="shared" si="5"/>
        <v>965.31</v>
      </c>
      <c r="N18" s="118">
        <f t="shared" si="0"/>
        <v>223.90995000000001</v>
      </c>
      <c r="O18" s="119">
        <f t="shared" si="6"/>
        <v>5.9460997500000001</v>
      </c>
      <c r="P18" s="120">
        <f t="shared" si="1"/>
        <v>1195.16604975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11.8921995</v>
      </c>
      <c r="P25" s="144">
        <f>SUM(P16:P24)</f>
        <v>2390.3320994999999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2098.5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167.88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1930.62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2378.4398999999999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24" t="s">
        <v>92</v>
      </c>
      <c r="O35" s="225"/>
      <c r="P35" s="160">
        <f>P33+P34</f>
        <v>2390.3320994999999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A8" sqref="A8:C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6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46183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120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46182</v>
      </c>
      <c r="O5" s="205"/>
      <c r="P5" s="205"/>
      <c r="R5" s="70"/>
      <c r="S5" s="71"/>
    </row>
    <row r="6" spans="1:19 16383:16384" ht="15" customHeight="1" x14ac:dyDescent="0.35">
      <c r="A6" s="206" t="s">
        <v>121</v>
      </c>
      <c r="B6" s="206"/>
      <c r="C6" s="206"/>
      <c r="F6" s="70"/>
      <c r="G6" s="74"/>
      <c r="K6" s="206" t="s">
        <v>52</v>
      </c>
      <c r="L6" s="206"/>
      <c r="M6" s="206"/>
      <c r="N6" s="208" t="s">
        <v>98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187">
        <v>3540498913215</v>
      </c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48</v>
      </c>
      <c r="C11" s="77" t="str">
        <f>IF($O34&gt;2.49%,"No","Yes")</f>
        <v>Yes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5</v>
      </c>
      <c r="I19" s="116">
        <f t="shared" si="2"/>
        <v>363.2</v>
      </c>
      <c r="J19" s="117"/>
      <c r="K19" s="1">
        <f t="shared" si="3"/>
        <v>0</v>
      </c>
      <c r="L19" s="105">
        <f t="shared" si="4"/>
        <v>29.056000000000001</v>
      </c>
      <c r="M19" s="118">
        <f t="shared" si="5"/>
        <v>334.14400000000001</v>
      </c>
      <c r="N19" s="118">
        <f t="shared" si="0"/>
        <v>73.511679999999998</v>
      </c>
      <c r="O19" s="119">
        <f t="shared" si="6"/>
        <v>2.0382784000000003</v>
      </c>
      <c r="P19" s="120">
        <f t="shared" si="1"/>
        <v>409.69395840000004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2"/>
        <v>363.2</v>
      </c>
      <c r="J20" s="117">
        <v>1</v>
      </c>
      <c r="K20" s="1">
        <f t="shared" si="3"/>
        <v>0</v>
      </c>
      <c r="L20" s="105">
        <f t="shared" si="4"/>
        <v>29.056000000000001</v>
      </c>
      <c r="M20" s="118">
        <f t="shared" si="5"/>
        <v>334.14400000000001</v>
      </c>
      <c r="N20" s="118">
        <f t="shared" si="0"/>
        <v>89.49248</v>
      </c>
      <c r="O20" s="119">
        <f t="shared" si="6"/>
        <v>2.1181824000000002</v>
      </c>
      <c r="P20" s="120">
        <f t="shared" si="1"/>
        <v>425.75466240000003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">
        <f>I22*3.5%</f>
        <v>8.2383000000000024</v>
      </c>
      <c r="L22" s="120">
        <f>I22*5%</f>
        <v>11.769000000000002</v>
      </c>
      <c r="M22" s="118">
        <f t="shared" si="5"/>
        <v>215.37270000000001</v>
      </c>
      <c r="N22" s="118">
        <f t="shared" si="0"/>
        <v>47.381993999999999</v>
      </c>
      <c r="O22" s="119">
        <f t="shared" si="6"/>
        <v>1.3137734700000001</v>
      </c>
      <c r="P22" s="120">
        <f t="shared" si="1"/>
        <v>264.06846747000003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26</v>
      </c>
      <c r="I25" s="137">
        <f t="shared" si="9"/>
        <v>1688.18</v>
      </c>
      <c r="J25" s="138"/>
      <c r="K25" s="139">
        <f t="shared" si="9"/>
        <v>8.2383000000000024</v>
      </c>
      <c r="L25" s="140">
        <f t="shared" si="9"/>
        <v>127.99300000000001</v>
      </c>
      <c r="M25" s="141">
        <f t="shared" si="9"/>
        <v>1551.9486999999999</v>
      </c>
      <c r="N25" s="142">
        <f>SUM(N16:N24)</f>
        <v>357.409514</v>
      </c>
      <c r="O25" s="143">
        <f>SUM(O16:O24)</f>
        <v>9.5467910700000012</v>
      </c>
      <c r="P25" s="144">
        <f>SUM(P16:P24)</f>
        <v>1918.9050050700002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1688.18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127.99300000000001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8.2383000000000024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1551.9487000000001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357.409514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1909.3582140000001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5.0000000000000001E-3</v>
      </c>
      <c r="P34" s="153">
        <f>O34*P33</f>
        <v>9.5467910700000012</v>
      </c>
    </row>
    <row r="35" spans="2:16" ht="15.75" customHeight="1" thickBot="1" x14ac:dyDescent="0.4">
      <c r="N35" s="224" t="s">
        <v>92</v>
      </c>
      <c r="O35" s="225"/>
      <c r="P35" s="160">
        <f>P33+P34</f>
        <v>1918.90500507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7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46183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122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46182</v>
      </c>
      <c r="O5" s="205"/>
      <c r="P5" s="205"/>
      <c r="R5" s="70"/>
      <c r="S5" s="71"/>
    </row>
    <row r="6" spans="1:19 16383:16384" ht="15" customHeight="1" x14ac:dyDescent="0.35">
      <c r="A6" s="206" t="s">
        <v>121</v>
      </c>
      <c r="B6" s="206"/>
      <c r="C6" s="206"/>
      <c r="F6" s="70"/>
      <c r="G6" s="74"/>
      <c r="K6" s="206" t="s">
        <v>52</v>
      </c>
      <c r="L6" s="206"/>
      <c r="M6" s="206"/>
      <c r="N6" s="208" t="s">
        <v>98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169" t="s">
        <v>123</v>
      </c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48</v>
      </c>
      <c r="C11" s="77" t="str">
        <f>IF($O34&gt;2.49%,"No","Yes")</f>
        <v>Yes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4.0765568000000005</v>
      </c>
      <c r="P19" s="120">
        <f t="shared" si="1"/>
        <v>819.38791680000008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8.2330176000000002</v>
      </c>
      <c r="P21" s="120">
        <f t="shared" si="1"/>
        <v>1654.8365376000002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54.922000000000011</v>
      </c>
      <c r="L25" s="140">
        <f t="shared" si="9"/>
        <v>310.90800000000002</v>
      </c>
      <c r="M25" s="141">
        <f t="shared" si="9"/>
        <v>4108.97</v>
      </c>
      <c r="N25" s="142">
        <f>SUM(N16:N24)</f>
        <v>935.93499999999995</v>
      </c>
      <c r="O25" s="143">
        <f>SUM(O16:O24)</f>
        <v>25.224525</v>
      </c>
      <c r="P25" s="144">
        <f>SUM(P16:P24)</f>
        <v>5070.1295250000003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4474.8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310.90800000000002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54.922000000000011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4108.97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935.93499999999995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5044.9050000000007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5.0000000000000001E-3</v>
      </c>
      <c r="P34" s="153">
        <f>O34*P33</f>
        <v>25.224525000000003</v>
      </c>
    </row>
    <row r="35" spans="2:16" ht="15.75" customHeight="1" thickBot="1" x14ac:dyDescent="0.4">
      <c r="N35" s="224" t="s">
        <v>92</v>
      </c>
      <c r="O35" s="225"/>
      <c r="P35" s="160">
        <f>P33+P34</f>
        <v>5070.1295250000003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zoomScale="85" zoomScaleNormal="85" workbookViewId="0">
      <selection activeCell="G8" sqref="G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8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46183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125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46182</v>
      </c>
      <c r="O5" s="205"/>
      <c r="P5" s="205"/>
      <c r="R5" s="70"/>
      <c r="S5" s="71"/>
    </row>
    <row r="6" spans="1:19 16383:16384" ht="15" customHeight="1" x14ac:dyDescent="0.35">
      <c r="A6" s="206" t="s">
        <v>121</v>
      </c>
      <c r="B6" s="206"/>
      <c r="C6" s="206"/>
      <c r="F6" s="70"/>
      <c r="G6" s="74"/>
      <c r="K6" s="206" t="s">
        <v>52</v>
      </c>
      <c r="L6" s="206"/>
      <c r="M6" s="206"/>
      <c r="N6" s="208" t="s">
        <v>98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75" t="s">
        <v>126</v>
      </c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48</v>
      </c>
      <c r="C11" s="77" t="str">
        <f>IF($O34&gt;2.49%,"No","Yes")</f>
        <v>Yes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64">
        <v>3520225590257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258.44724000000002</v>
      </c>
      <c r="O25" s="143">
        <f>SUM(O16:O24)</f>
        <v>8.4713262000000018</v>
      </c>
      <c r="P25" s="144">
        <f>SUM(P16:P24)</f>
        <v>1702.7365662000002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1569.2000000000003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78.460000000000022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54.922000000000011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1435.8180000000002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0.18</v>
      </c>
      <c r="P32" s="153">
        <f>N25</f>
        <v>258.44724000000002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1694.2652400000002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5.0000000000000001E-3</v>
      </c>
      <c r="P34" s="153">
        <f>O34*P33</f>
        <v>8.4713262000000018</v>
      </c>
    </row>
    <row r="35" spans="2:16" ht="15.75" customHeight="1" thickBot="1" x14ac:dyDescent="0.4">
      <c r="N35" s="224" t="s">
        <v>92</v>
      </c>
      <c r="O35" s="225"/>
      <c r="P35" s="160">
        <f>P33+P34</f>
        <v>1702.7365662000002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3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9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46183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107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46182</v>
      </c>
      <c r="O5" s="205"/>
      <c r="P5" s="205"/>
      <c r="R5" s="70"/>
      <c r="S5" s="71"/>
    </row>
    <row r="6" spans="1:19 16383:16384" ht="15" customHeight="1" x14ac:dyDescent="0.35">
      <c r="A6" s="206" t="s">
        <v>106</v>
      </c>
      <c r="B6" s="206"/>
      <c r="C6" s="206"/>
      <c r="F6" s="70"/>
      <c r="G6" s="74"/>
      <c r="K6" s="206" t="s">
        <v>52</v>
      </c>
      <c r="L6" s="206"/>
      <c r="M6" s="206"/>
      <c r="N6" s="208" t="s">
        <v>44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167"/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50</v>
      </c>
      <c r="C11" s="77" t="str">
        <f>IF($O34&gt;2.49%,"No","Yes")</f>
        <v>No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10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46183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108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46182</v>
      </c>
      <c r="O5" s="205"/>
      <c r="P5" s="205"/>
      <c r="R5" s="70"/>
      <c r="S5" s="71"/>
    </row>
    <row r="6" spans="1:19 16383:16384" ht="15" customHeight="1" x14ac:dyDescent="0.35">
      <c r="A6" s="206" t="s">
        <v>106</v>
      </c>
      <c r="B6" s="206"/>
      <c r="C6" s="206"/>
      <c r="F6" s="70"/>
      <c r="G6" s="74"/>
      <c r="K6" s="206" t="s">
        <v>52</v>
      </c>
      <c r="L6" s="206"/>
      <c r="M6" s="206"/>
      <c r="N6" s="208" t="s">
        <v>44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75">
        <v>3628249</v>
      </c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48</v>
      </c>
      <c r="C11" s="77" t="str">
        <f>IF($O34&gt;2.49%,"No","Yes")</f>
        <v>Yes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64">
        <v>3520230571269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10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46183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46182</v>
      </c>
      <c r="O5" s="205"/>
      <c r="P5" s="205"/>
      <c r="R5" s="70"/>
      <c r="S5" s="71"/>
    </row>
    <row r="6" spans="1:19 16383:16384" ht="15" customHeight="1" x14ac:dyDescent="0.35">
      <c r="A6" s="206" t="s">
        <v>97</v>
      </c>
      <c r="B6" s="206"/>
      <c r="C6" s="206"/>
      <c r="F6" s="70"/>
      <c r="G6" s="74"/>
      <c r="K6" s="206" t="s">
        <v>52</v>
      </c>
      <c r="L6" s="206"/>
      <c r="M6" s="206"/>
      <c r="N6" s="208" t="s">
        <v>101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75"/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50</v>
      </c>
      <c r="C11" s="77" t="str">
        <f>IF($O34&gt;2.49%,"No","Yes")</f>
        <v>No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I7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10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46183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46182</v>
      </c>
      <c r="O5" s="205"/>
      <c r="P5" s="205"/>
      <c r="R5" s="70"/>
      <c r="S5" s="71"/>
    </row>
    <row r="6" spans="1:19 16383:16384" ht="15" customHeight="1" x14ac:dyDescent="0.35">
      <c r="A6" s="206" t="s">
        <v>99</v>
      </c>
      <c r="B6" s="206"/>
      <c r="C6" s="206"/>
      <c r="F6" s="70"/>
      <c r="G6" s="74"/>
      <c r="K6" s="206" t="s">
        <v>52</v>
      </c>
      <c r="L6" s="206"/>
      <c r="M6" s="206"/>
      <c r="N6" s="208" t="s">
        <v>101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75" t="s">
        <v>100</v>
      </c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48</v>
      </c>
      <c r="C11" s="77" t="str">
        <f>IF($O34&gt;2.49%,"No","Yes")</f>
        <v>Yes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180"/>
      <c r="G3" s="71"/>
      <c r="K3" s="206" t="s">
        <v>47</v>
      </c>
      <c r="L3" s="206"/>
      <c r="M3" s="206"/>
      <c r="N3" s="205">
        <v>10</v>
      </c>
      <c r="O3" s="205"/>
      <c r="P3" s="20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180"/>
      <c r="G4" s="71"/>
      <c r="K4" s="206" t="s">
        <v>49</v>
      </c>
      <c r="L4" s="206"/>
      <c r="M4" s="206"/>
      <c r="N4" s="207">
        <f ca="1">TODAY()</f>
        <v>46183</v>
      </c>
      <c r="O4" s="207"/>
      <c r="P4" s="20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180"/>
      <c r="G5" s="71"/>
      <c r="K5" s="206" t="s">
        <v>51</v>
      </c>
      <c r="L5" s="206"/>
      <c r="M5" s="206"/>
      <c r="N5" s="207">
        <f ca="1">N4-1</f>
        <v>46182</v>
      </c>
      <c r="O5" s="205"/>
      <c r="P5" s="205"/>
      <c r="R5" s="180"/>
      <c r="S5" s="71"/>
    </row>
    <row r="6" spans="1:19 16383:16384" ht="15" customHeight="1" x14ac:dyDescent="0.35">
      <c r="A6" s="206" t="s">
        <v>99</v>
      </c>
      <c r="B6" s="206"/>
      <c r="C6" s="206"/>
      <c r="F6" s="180"/>
      <c r="G6" s="74"/>
      <c r="K6" s="206" t="s">
        <v>52</v>
      </c>
      <c r="L6" s="206"/>
      <c r="M6" s="206"/>
      <c r="N6" s="208" t="s">
        <v>101</v>
      </c>
      <c r="O6" s="208"/>
      <c r="P6" s="208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180"/>
      <c r="G7" s="74"/>
      <c r="K7" s="206"/>
      <c r="L7" s="206"/>
      <c r="M7" s="206"/>
      <c r="N7" s="208"/>
      <c r="O7" s="208"/>
      <c r="P7" s="208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180"/>
      <c r="G8" s="74"/>
      <c r="K8" s="206"/>
      <c r="L8" s="206"/>
      <c r="M8" s="206"/>
      <c r="N8" s="208"/>
      <c r="O8" s="208"/>
      <c r="P8" s="208"/>
      <c r="R8" s="180"/>
      <c r="S8" s="74"/>
    </row>
    <row r="9" spans="1:19 16383:16384" x14ac:dyDescent="0.35">
      <c r="A9" s="210"/>
      <c r="B9" s="210"/>
      <c r="C9" s="210"/>
      <c r="F9" s="180"/>
      <c r="G9" s="74"/>
      <c r="K9" s="206"/>
      <c r="L9" s="206"/>
      <c r="M9" s="206"/>
      <c r="N9" s="208"/>
      <c r="O9" s="208"/>
      <c r="P9" s="208"/>
      <c r="R9" s="180"/>
      <c r="S9" s="74"/>
      <c r="XFD9" t="s">
        <v>55</v>
      </c>
    </row>
    <row r="10" spans="1:19 16383:16384" x14ac:dyDescent="0.35">
      <c r="A10" s="211" t="s">
        <v>96</v>
      </c>
      <c r="B10" s="75" t="s">
        <v>100</v>
      </c>
      <c r="C10" s="75"/>
      <c r="F10" s="18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180"/>
      <c r="S10" s="71"/>
      <c r="XFD10" t="s">
        <v>58</v>
      </c>
    </row>
    <row r="11" spans="1:19 16383:16384" x14ac:dyDescent="0.35">
      <c r="A11" s="211"/>
      <c r="B11" s="76" t="s">
        <v>48</v>
      </c>
      <c r="C11" s="181" t="str">
        <f>IF($O34&gt;2.49%,"No","Yes")</f>
        <v>Yes</v>
      </c>
      <c r="F11" s="18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180"/>
      <c r="S11" s="71"/>
    </row>
    <row r="12" spans="1:19 16383:16384" ht="14.65" customHeight="1" x14ac:dyDescent="0.35">
      <c r="A12" s="21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6" t="s">
        <v>61</v>
      </c>
      <c r="L12" s="206"/>
      <c r="M12" s="206"/>
      <c r="N12" s="205"/>
      <c r="O12" s="205"/>
      <c r="P12" s="205"/>
      <c r="R12" s="180"/>
      <c r="S12" s="71"/>
      <c r="XFD12" t="s">
        <v>62</v>
      </c>
    </row>
    <row r="13" spans="1:19 16383:16384" ht="15" thickBot="1" x14ac:dyDescent="0.4">
      <c r="A13" s="248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86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180"/>
      <c r="G3" s="71"/>
      <c r="K3" s="206" t="s">
        <v>47</v>
      </c>
      <c r="L3" s="206"/>
      <c r="M3" s="206"/>
      <c r="N3" s="205">
        <v>10</v>
      </c>
      <c r="O3" s="205"/>
      <c r="P3" s="20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180"/>
      <c r="G4" s="71"/>
      <c r="K4" s="206" t="s">
        <v>49</v>
      </c>
      <c r="L4" s="206"/>
      <c r="M4" s="206"/>
      <c r="N4" s="207">
        <f ca="1">TODAY()</f>
        <v>46183</v>
      </c>
      <c r="O4" s="207"/>
      <c r="P4" s="20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180"/>
      <c r="G5" s="71"/>
      <c r="K5" s="206" t="s">
        <v>51</v>
      </c>
      <c r="L5" s="206"/>
      <c r="M5" s="206"/>
      <c r="N5" s="207">
        <f ca="1">N4-1</f>
        <v>46182</v>
      </c>
      <c r="O5" s="205"/>
      <c r="P5" s="205"/>
      <c r="R5" s="180"/>
      <c r="S5" s="71"/>
    </row>
    <row r="6" spans="1:19 16383:16384" ht="15" customHeight="1" x14ac:dyDescent="0.35">
      <c r="A6" s="206" t="s">
        <v>99</v>
      </c>
      <c r="B6" s="206"/>
      <c r="C6" s="206"/>
      <c r="F6" s="180"/>
      <c r="G6" s="74"/>
      <c r="K6" s="206" t="s">
        <v>52</v>
      </c>
      <c r="L6" s="206"/>
      <c r="M6" s="206"/>
      <c r="N6" s="208" t="s">
        <v>101</v>
      </c>
      <c r="O6" s="208"/>
      <c r="P6" s="208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180"/>
      <c r="G7" s="74"/>
      <c r="K7" s="206"/>
      <c r="L7" s="206"/>
      <c r="M7" s="206"/>
      <c r="N7" s="208"/>
      <c r="O7" s="208"/>
      <c r="P7" s="208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180"/>
      <c r="G8" s="74"/>
      <c r="K8" s="206"/>
      <c r="L8" s="206"/>
      <c r="M8" s="206"/>
      <c r="N8" s="208"/>
      <c r="O8" s="208"/>
      <c r="P8" s="208"/>
      <c r="R8" s="180"/>
      <c r="S8" s="74"/>
    </row>
    <row r="9" spans="1:19 16383:16384" x14ac:dyDescent="0.35">
      <c r="A9" s="210"/>
      <c r="B9" s="210"/>
      <c r="C9" s="210"/>
      <c r="F9" s="180"/>
      <c r="G9" s="74"/>
      <c r="K9" s="206"/>
      <c r="L9" s="206"/>
      <c r="M9" s="206"/>
      <c r="N9" s="208"/>
      <c r="O9" s="208"/>
      <c r="P9" s="208"/>
      <c r="R9" s="180"/>
      <c r="S9" s="74"/>
      <c r="XFD9" t="s">
        <v>55</v>
      </c>
    </row>
    <row r="10" spans="1:19 16383:16384" x14ac:dyDescent="0.35">
      <c r="A10" s="211" t="s">
        <v>96</v>
      </c>
      <c r="B10" s="75" t="s">
        <v>100</v>
      </c>
      <c r="C10" s="75"/>
      <c r="F10" s="18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180"/>
      <c r="S10" s="71"/>
      <c r="XFD10" t="s">
        <v>58</v>
      </c>
    </row>
    <row r="11" spans="1:19 16383:16384" x14ac:dyDescent="0.35">
      <c r="A11" s="211"/>
      <c r="B11" s="76" t="s">
        <v>48</v>
      </c>
      <c r="C11" s="181" t="str">
        <f>IF($O34&gt;2.49%,"No","Yes")</f>
        <v>Yes</v>
      </c>
      <c r="F11" s="18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180"/>
      <c r="S11" s="71"/>
    </row>
    <row r="12" spans="1:19 16383:16384" ht="14.65" customHeight="1" x14ac:dyDescent="0.35">
      <c r="A12" s="21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6" t="s">
        <v>61</v>
      </c>
      <c r="L12" s="206"/>
      <c r="M12" s="206"/>
      <c r="N12" s="205"/>
      <c r="O12" s="205"/>
      <c r="P12" s="205"/>
      <c r="R12" s="180"/>
      <c r="S12" s="71"/>
      <c r="XFD12" t="s">
        <v>62</v>
      </c>
    </row>
    <row r="13" spans="1:19 16383:16384" ht="15" thickBot="1" x14ac:dyDescent="0.4">
      <c r="A13" s="248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86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180"/>
      <c r="G3" s="71"/>
      <c r="K3" s="206" t="s">
        <v>47</v>
      </c>
      <c r="L3" s="206"/>
      <c r="M3" s="206"/>
      <c r="N3" s="205">
        <v>10</v>
      </c>
      <c r="O3" s="205"/>
      <c r="P3" s="20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180"/>
      <c r="G4" s="71"/>
      <c r="K4" s="206" t="s">
        <v>49</v>
      </c>
      <c r="L4" s="206"/>
      <c r="M4" s="206"/>
      <c r="N4" s="207">
        <f ca="1">TODAY()</f>
        <v>46183</v>
      </c>
      <c r="O4" s="207"/>
      <c r="P4" s="20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180"/>
      <c r="G5" s="71"/>
      <c r="K5" s="206" t="s">
        <v>51</v>
      </c>
      <c r="L5" s="206"/>
      <c r="M5" s="206"/>
      <c r="N5" s="207">
        <f ca="1">N4-1</f>
        <v>46182</v>
      </c>
      <c r="O5" s="205"/>
      <c r="P5" s="205"/>
      <c r="R5" s="180"/>
      <c r="S5" s="71"/>
    </row>
    <row r="6" spans="1:19 16383:16384" ht="15" customHeight="1" x14ac:dyDescent="0.35">
      <c r="A6" s="206" t="s">
        <v>99</v>
      </c>
      <c r="B6" s="206"/>
      <c r="C6" s="206"/>
      <c r="F6" s="180"/>
      <c r="G6" s="74"/>
      <c r="K6" s="206" t="s">
        <v>52</v>
      </c>
      <c r="L6" s="206"/>
      <c r="M6" s="206"/>
      <c r="N6" s="208" t="s">
        <v>101</v>
      </c>
      <c r="O6" s="208"/>
      <c r="P6" s="208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180"/>
      <c r="G7" s="74"/>
      <c r="K7" s="206"/>
      <c r="L7" s="206"/>
      <c r="M7" s="206"/>
      <c r="N7" s="208"/>
      <c r="O7" s="208"/>
      <c r="P7" s="208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180"/>
      <c r="G8" s="74"/>
      <c r="K8" s="206"/>
      <c r="L8" s="206"/>
      <c r="M8" s="206"/>
      <c r="N8" s="208"/>
      <c r="O8" s="208"/>
      <c r="P8" s="208"/>
      <c r="R8" s="180"/>
      <c r="S8" s="74"/>
    </row>
    <row r="9" spans="1:19 16383:16384" x14ac:dyDescent="0.35">
      <c r="A9" s="210"/>
      <c r="B9" s="210"/>
      <c r="C9" s="210"/>
      <c r="F9" s="180"/>
      <c r="G9" s="74"/>
      <c r="K9" s="206"/>
      <c r="L9" s="206"/>
      <c r="M9" s="206"/>
      <c r="N9" s="208"/>
      <c r="O9" s="208"/>
      <c r="P9" s="208"/>
      <c r="R9" s="180"/>
      <c r="S9" s="74"/>
      <c r="XFD9" t="s">
        <v>55</v>
      </c>
    </row>
    <row r="10" spans="1:19 16383:16384" x14ac:dyDescent="0.35">
      <c r="A10" s="211" t="s">
        <v>96</v>
      </c>
      <c r="B10" s="75" t="s">
        <v>100</v>
      </c>
      <c r="C10" s="75"/>
      <c r="F10" s="18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180"/>
      <c r="S10" s="71"/>
      <c r="XFD10" t="s">
        <v>58</v>
      </c>
    </row>
    <row r="11" spans="1:19 16383:16384" x14ac:dyDescent="0.35">
      <c r="A11" s="211"/>
      <c r="B11" s="76" t="s">
        <v>48</v>
      </c>
      <c r="C11" s="181" t="str">
        <f>IF($O34&gt;2.49%,"No","Yes")</f>
        <v>Yes</v>
      </c>
      <c r="F11" s="18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180"/>
      <c r="S11" s="71"/>
    </row>
    <row r="12" spans="1:19 16383:16384" ht="14.65" customHeight="1" x14ac:dyDescent="0.35">
      <c r="A12" s="21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6" t="s">
        <v>61</v>
      </c>
      <c r="L12" s="206"/>
      <c r="M12" s="206"/>
      <c r="N12" s="205"/>
      <c r="O12" s="205"/>
      <c r="P12" s="205"/>
      <c r="R12" s="180"/>
      <c r="S12" s="71"/>
      <c r="XFD12" t="s">
        <v>62</v>
      </c>
    </row>
    <row r="13" spans="1:19 16383:16384" ht="15" thickBot="1" x14ac:dyDescent="0.4">
      <c r="A13" s="248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86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180"/>
      <c r="G3" s="71"/>
      <c r="K3" s="206" t="s">
        <v>47</v>
      </c>
      <c r="L3" s="206"/>
      <c r="M3" s="206"/>
      <c r="N3" s="205">
        <v>10</v>
      </c>
      <c r="O3" s="205"/>
      <c r="P3" s="20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180"/>
      <c r="G4" s="71"/>
      <c r="K4" s="206" t="s">
        <v>49</v>
      </c>
      <c r="L4" s="206"/>
      <c r="M4" s="206"/>
      <c r="N4" s="207">
        <f ca="1">TODAY()</f>
        <v>46183</v>
      </c>
      <c r="O4" s="207"/>
      <c r="P4" s="20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180"/>
      <c r="G5" s="71"/>
      <c r="K5" s="206" t="s">
        <v>51</v>
      </c>
      <c r="L5" s="206"/>
      <c r="M5" s="206"/>
      <c r="N5" s="207">
        <f ca="1">N4-1</f>
        <v>46182</v>
      </c>
      <c r="O5" s="205"/>
      <c r="P5" s="205"/>
      <c r="R5" s="180"/>
      <c r="S5" s="71"/>
    </row>
    <row r="6" spans="1:19 16383:16384" ht="15" customHeight="1" x14ac:dyDescent="0.35">
      <c r="A6" s="206" t="s">
        <v>99</v>
      </c>
      <c r="B6" s="206"/>
      <c r="C6" s="206"/>
      <c r="F6" s="180"/>
      <c r="G6" s="74"/>
      <c r="K6" s="206" t="s">
        <v>52</v>
      </c>
      <c r="L6" s="206"/>
      <c r="M6" s="206"/>
      <c r="N6" s="208" t="s">
        <v>101</v>
      </c>
      <c r="O6" s="208"/>
      <c r="P6" s="208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180"/>
      <c r="G7" s="74"/>
      <c r="K7" s="206"/>
      <c r="L7" s="206"/>
      <c r="M7" s="206"/>
      <c r="N7" s="208"/>
      <c r="O7" s="208"/>
      <c r="P7" s="208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180"/>
      <c r="G8" s="74"/>
      <c r="K8" s="206"/>
      <c r="L8" s="206"/>
      <c r="M8" s="206"/>
      <c r="N8" s="208"/>
      <c r="O8" s="208"/>
      <c r="P8" s="208"/>
      <c r="R8" s="180"/>
      <c r="S8" s="74"/>
    </row>
    <row r="9" spans="1:19 16383:16384" x14ac:dyDescent="0.35">
      <c r="A9" s="210"/>
      <c r="B9" s="210"/>
      <c r="C9" s="210"/>
      <c r="F9" s="180"/>
      <c r="G9" s="74"/>
      <c r="K9" s="206"/>
      <c r="L9" s="206"/>
      <c r="M9" s="206"/>
      <c r="N9" s="208"/>
      <c r="O9" s="208"/>
      <c r="P9" s="208"/>
      <c r="R9" s="180"/>
      <c r="S9" s="74"/>
      <c r="XFD9" t="s">
        <v>55</v>
      </c>
    </row>
    <row r="10" spans="1:19 16383:16384" x14ac:dyDescent="0.35">
      <c r="A10" s="211" t="s">
        <v>96</v>
      </c>
      <c r="B10" s="75" t="s">
        <v>100</v>
      </c>
      <c r="C10" s="75"/>
      <c r="F10" s="18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180"/>
      <c r="S10" s="71"/>
      <c r="XFD10" t="s">
        <v>58</v>
      </c>
    </row>
    <row r="11" spans="1:19 16383:16384" x14ac:dyDescent="0.35">
      <c r="A11" s="211"/>
      <c r="B11" s="76" t="s">
        <v>48</v>
      </c>
      <c r="C11" s="181" t="str">
        <f>IF($O34&gt;2.49%,"No","Yes")</f>
        <v>Yes</v>
      </c>
      <c r="F11" s="18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180"/>
      <c r="S11" s="71"/>
    </row>
    <row r="12" spans="1:19 16383:16384" ht="14.65" customHeight="1" x14ac:dyDescent="0.35">
      <c r="A12" s="21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6" t="s">
        <v>61</v>
      </c>
      <c r="L12" s="206"/>
      <c r="M12" s="206"/>
      <c r="N12" s="205"/>
      <c r="O12" s="205"/>
      <c r="P12" s="205"/>
      <c r="R12" s="180"/>
      <c r="S12" s="71"/>
      <c r="XFD12" t="s">
        <v>62</v>
      </c>
    </row>
    <row r="13" spans="1:19 16383:16384" ht="15" thickBot="1" x14ac:dyDescent="0.4">
      <c r="A13" s="248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86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180"/>
      <c r="G3" s="71"/>
      <c r="K3" s="206" t="s">
        <v>47</v>
      </c>
      <c r="L3" s="206"/>
      <c r="M3" s="206"/>
      <c r="N3" s="205">
        <v>10</v>
      </c>
      <c r="O3" s="205"/>
      <c r="P3" s="20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180"/>
      <c r="G4" s="71"/>
      <c r="K4" s="206" t="s">
        <v>49</v>
      </c>
      <c r="L4" s="206"/>
      <c r="M4" s="206"/>
      <c r="N4" s="207">
        <f ca="1">TODAY()</f>
        <v>46183</v>
      </c>
      <c r="O4" s="207"/>
      <c r="P4" s="20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180"/>
      <c r="G5" s="71"/>
      <c r="K5" s="206" t="s">
        <v>51</v>
      </c>
      <c r="L5" s="206"/>
      <c r="M5" s="206"/>
      <c r="N5" s="207">
        <f ca="1">N4-1</f>
        <v>46182</v>
      </c>
      <c r="O5" s="205"/>
      <c r="P5" s="205"/>
      <c r="R5" s="180"/>
      <c r="S5" s="71"/>
    </row>
    <row r="6" spans="1:19 16383:16384" ht="15" customHeight="1" x14ac:dyDescent="0.35">
      <c r="A6" s="206" t="s">
        <v>99</v>
      </c>
      <c r="B6" s="206"/>
      <c r="C6" s="206"/>
      <c r="F6" s="180"/>
      <c r="G6" s="74"/>
      <c r="K6" s="206" t="s">
        <v>52</v>
      </c>
      <c r="L6" s="206"/>
      <c r="M6" s="206"/>
      <c r="N6" s="208" t="s">
        <v>101</v>
      </c>
      <c r="O6" s="208"/>
      <c r="P6" s="208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180"/>
      <c r="G7" s="74"/>
      <c r="K7" s="206"/>
      <c r="L7" s="206"/>
      <c r="M7" s="206"/>
      <c r="N7" s="208"/>
      <c r="O7" s="208"/>
      <c r="P7" s="208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180"/>
      <c r="G8" s="74"/>
      <c r="K8" s="206"/>
      <c r="L8" s="206"/>
      <c r="M8" s="206"/>
      <c r="N8" s="208"/>
      <c r="O8" s="208"/>
      <c r="P8" s="208"/>
      <c r="R8" s="180"/>
      <c r="S8" s="74"/>
    </row>
    <row r="9" spans="1:19 16383:16384" x14ac:dyDescent="0.35">
      <c r="A9" s="210"/>
      <c r="B9" s="210"/>
      <c r="C9" s="210"/>
      <c r="F9" s="180"/>
      <c r="G9" s="74"/>
      <c r="K9" s="206"/>
      <c r="L9" s="206"/>
      <c r="M9" s="206"/>
      <c r="N9" s="208"/>
      <c r="O9" s="208"/>
      <c r="P9" s="208"/>
      <c r="R9" s="180"/>
      <c r="S9" s="74"/>
      <c r="XFD9" t="s">
        <v>55</v>
      </c>
    </row>
    <row r="10" spans="1:19 16383:16384" x14ac:dyDescent="0.35">
      <c r="A10" s="211" t="s">
        <v>96</v>
      </c>
      <c r="B10" s="75" t="s">
        <v>100</v>
      </c>
      <c r="C10" s="75"/>
      <c r="F10" s="18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180"/>
      <c r="S10" s="71"/>
      <c r="XFD10" t="s">
        <v>58</v>
      </c>
    </row>
    <row r="11" spans="1:19 16383:16384" x14ac:dyDescent="0.35">
      <c r="A11" s="211"/>
      <c r="B11" s="76" t="s">
        <v>48</v>
      </c>
      <c r="C11" s="181" t="str">
        <f>IF($O34&gt;2.49%,"No","Yes")</f>
        <v>Yes</v>
      </c>
      <c r="F11" s="18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180"/>
      <c r="S11" s="71"/>
    </row>
    <row r="12" spans="1:19 16383:16384" ht="14.65" customHeight="1" x14ac:dyDescent="0.35">
      <c r="A12" s="21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6" t="s">
        <v>61</v>
      </c>
      <c r="L12" s="206"/>
      <c r="M12" s="206"/>
      <c r="N12" s="205"/>
      <c r="O12" s="205"/>
      <c r="P12" s="205"/>
      <c r="R12" s="180"/>
      <c r="S12" s="71"/>
      <c r="XFD12" t="s">
        <v>62</v>
      </c>
    </row>
    <row r="13" spans="1:19 16383:16384" ht="15" thickBot="1" x14ac:dyDescent="0.4">
      <c r="A13" s="248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86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180"/>
      <c r="G3" s="71"/>
      <c r="K3" s="206" t="s">
        <v>47</v>
      </c>
      <c r="L3" s="206"/>
      <c r="M3" s="206"/>
      <c r="N3" s="205">
        <v>10</v>
      </c>
      <c r="O3" s="205"/>
      <c r="P3" s="20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180"/>
      <c r="G4" s="71"/>
      <c r="K4" s="206" t="s">
        <v>49</v>
      </c>
      <c r="L4" s="206"/>
      <c r="M4" s="206"/>
      <c r="N4" s="207">
        <f ca="1">TODAY()</f>
        <v>46183</v>
      </c>
      <c r="O4" s="207"/>
      <c r="P4" s="20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180"/>
      <c r="G5" s="71"/>
      <c r="K5" s="206" t="s">
        <v>51</v>
      </c>
      <c r="L5" s="206"/>
      <c r="M5" s="206"/>
      <c r="N5" s="207">
        <f ca="1">N4-1</f>
        <v>46182</v>
      </c>
      <c r="O5" s="205"/>
      <c r="P5" s="205"/>
      <c r="R5" s="180"/>
      <c r="S5" s="71"/>
    </row>
    <row r="6" spans="1:19 16383:16384" ht="15" customHeight="1" x14ac:dyDescent="0.35">
      <c r="A6" s="206" t="s">
        <v>99</v>
      </c>
      <c r="B6" s="206"/>
      <c r="C6" s="206"/>
      <c r="F6" s="180"/>
      <c r="G6" s="74"/>
      <c r="K6" s="206" t="s">
        <v>52</v>
      </c>
      <c r="L6" s="206"/>
      <c r="M6" s="206"/>
      <c r="N6" s="208" t="s">
        <v>101</v>
      </c>
      <c r="O6" s="208"/>
      <c r="P6" s="208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180"/>
      <c r="G7" s="74"/>
      <c r="K7" s="206"/>
      <c r="L7" s="206"/>
      <c r="M7" s="206"/>
      <c r="N7" s="208"/>
      <c r="O7" s="208"/>
      <c r="P7" s="208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180"/>
      <c r="G8" s="74"/>
      <c r="K8" s="206"/>
      <c r="L8" s="206"/>
      <c r="M8" s="206"/>
      <c r="N8" s="208"/>
      <c r="O8" s="208"/>
      <c r="P8" s="208"/>
      <c r="R8" s="180"/>
      <c r="S8" s="74"/>
    </row>
    <row r="9" spans="1:19 16383:16384" x14ac:dyDescent="0.35">
      <c r="A9" s="210"/>
      <c r="B9" s="210"/>
      <c r="C9" s="210"/>
      <c r="F9" s="180"/>
      <c r="G9" s="74"/>
      <c r="K9" s="206"/>
      <c r="L9" s="206"/>
      <c r="M9" s="206"/>
      <c r="N9" s="208"/>
      <c r="O9" s="208"/>
      <c r="P9" s="208"/>
      <c r="R9" s="180"/>
      <c r="S9" s="74"/>
      <c r="XFD9" t="s">
        <v>55</v>
      </c>
    </row>
    <row r="10" spans="1:19 16383:16384" x14ac:dyDescent="0.35">
      <c r="A10" s="211" t="s">
        <v>96</v>
      </c>
      <c r="B10" s="75" t="s">
        <v>100</v>
      </c>
      <c r="C10" s="75"/>
      <c r="F10" s="18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180"/>
      <c r="S10" s="71"/>
      <c r="XFD10" t="s">
        <v>58</v>
      </c>
    </row>
    <row r="11" spans="1:19 16383:16384" x14ac:dyDescent="0.35">
      <c r="A11" s="211"/>
      <c r="B11" s="76" t="s">
        <v>48</v>
      </c>
      <c r="C11" s="181" t="str">
        <f>IF($O34&gt;2.49%,"No","Yes")</f>
        <v>Yes</v>
      </c>
      <c r="F11" s="18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180"/>
      <c r="S11" s="71"/>
    </row>
    <row r="12" spans="1:19 16383:16384" ht="14.65" customHeight="1" x14ac:dyDescent="0.35">
      <c r="A12" s="21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6" t="s">
        <v>61</v>
      </c>
      <c r="L12" s="206"/>
      <c r="M12" s="206"/>
      <c r="N12" s="205"/>
      <c r="O12" s="205"/>
      <c r="P12" s="205"/>
      <c r="R12" s="180"/>
      <c r="S12" s="71"/>
      <c r="XFD12" t="s">
        <v>62</v>
      </c>
    </row>
    <row r="13" spans="1:19 16383:16384" ht="15" thickBot="1" x14ac:dyDescent="0.4">
      <c r="A13" s="248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86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180"/>
      <c r="G3" s="71"/>
      <c r="K3" s="206" t="s">
        <v>47</v>
      </c>
      <c r="L3" s="206"/>
      <c r="M3" s="206"/>
      <c r="N3" s="205">
        <v>10</v>
      </c>
      <c r="O3" s="205"/>
      <c r="P3" s="20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180"/>
      <c r="G4" s="71"/>
      <c r="K4" s="206" t="s">
        <v>49</v>
      </c>
      <c r="L4" s="206"/>
      <c r="M4" s="206"/>
      <c r="N4" s="207">
        <f ca="1">TODAY()</f>
        <v>46183</v>
      </c>
      <c r="O4" s="207"/>
      <c r="P4" s="20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180"/>
      <c r="G5" s="71"/>
      <c r="K5" s="206" t="s">
        <v>51</v>
      </c>
      <c r="L5" s="206"/>
      <c r="M5" s="206"/>
      <c r="N5" s="207">
        <f ca="1">N4-1</f>
        <v>46182</v>
      </c>
      <c r="O5" s="205"/>
      <c r="P5" s="205"/>
      <c r="R5" s="180"/>
      <c r="S5" s="71"/>
    </row>
    <row r="6" spans="1:19 16383:16384" ht="15" customHeight="1" x14ac:dyDescent="0.35">
      <c r="A6" s="206" t="s">
        <v>99</v>
      </c>
      <c r="B6" s="206"/>
      <c r="C6" s="206"/>
      <c r="F6" s="180"/>
      <c r="G6" s="74"/>
      <c r="K6" s="206" t="s">
        <v>52</v>
      </c>
      <c r="L6" s="206"/>
      <c r="M6" s="206"/>
      <c r="N6" s="208" t="s">
        <v>101</v>
      </c>
      <c r="O6" s="208"/>
      <c r="P6" s="208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180"/>
      <c r="G7" s="74"/>
      <c r="K7" s="206"/>
      <c r="L7" s="206"/>
      <c r="M7" s="206"/>
      <c r="N7" s="208"/>
      <c r="O7" s="208"/>
      <c r="P7" s="208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180"/>
      <c r="G8" s="74"/>
      <c r="K8" s="206"/>
      <c r="L8" s="206"/>
      <c r="M8" s="206"/>
      <c r="N8" s="208"/>
      <c r="O8" s="208"/>
      <c r="P8" s="208"/>
      <c r="R8" s="180"/>
      <c r="S8" s="74"/>
    </row>
    <row r="9" spans="1:19 16383:16384" x14ac:dyDescent="0.35">
      <c r="A9" s="210"/>
      <c r="B9" s="210"/>
      <c r="C9" s="210"/>
      <c r="F9" s="180"/>
      <c r="G9" s="74"/>
      <c r="K9" s="206"/>
      <c r="L9" s="206"/>
      <c r="M9" s="206"/>
      <c r="N9" s="208"/>
      <c r="O9" s="208"/>
      <c r="P9" s="208"/>
      <c r="R9" s="180"/>
      <c r="S9" s="74"/>
      <c r="XFD9" t="s">
        <v>55</v>
      </c>
    </row>
    <row r="10" spans="1:19 16383:16384" x14ac:dyDescent="0.35">
      <c r="A10" s="211" t="s">
        <v>96</v>
      </c>
      <c r="B10" s="75" t="s">
        <v>100</v>
      </c>
      <c r="C10" s="75"/>
      <c r="F10" s="18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180"/>
      <c r="S10" s="71"/>
      <c r="XFD10" t="s">
        <v>58</v>
      </c>
    </row>
    <row r="11" spans="1:19 16383:16384" x14ac:dyDescent="0.35">
      <c r="A11" s="211"/>
      <c r="B11" s="76" t="s">
        <v>48</v>
      </c>
      <c r="C11" s="181" t="str">
        <f>IF($O34&gt;2.49%,"No","Yes")</f>
        <v>Yes</v>
      </c>
      <c r="F11" s="18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180"/>
      <c r="S11" s="71"/>
    </row>
    <row r="12" spans="1:19 16383:16384" ht="14.65" customHeight="1" x14ac:dyDescent="0.35">
      <c r="A12" s="21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6" t="s">
        <v>61</v>
      </c>
      <c r="L12" s="206"/>
      <c r="M12" s="206"/>
      <c r="N12" s="205"/>
      <c r="O12" s="205"/>
      <c r="P12" s="205"/>
      <c r="R12" s="180"/>
      <c r="S12" s="71"/>
      <c r="XFD12" t="s">
        <v>62</v>
      </c>
    </row>
    <row r="13" spans="1:19 16383:16384" ht="15" thickBot="1" x14ac:dyDescent="0.4">
      <c r="A13" s="248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86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180"/>
      <c r="G3" s="71"/>
      <c r="K3" s="206" t="s">
        <v>47</v>
      </c>
      <c r="L3" s="206"/>
      <c r="M3" s="206"/>
      <c r="N3" s="205">
        <v>10</v>
      </c>
      <c r="O3" s="205"/>
      <c r="P3" s="20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180"/>
      <c r="G4" s="71"/>
      <c r="K4" s="206" t="s">
        <v>49</v>
      </c>
      <c r="L4" s="206"/>
      <c r="M4" s="206"/>
      <c r="N4" s="207">
        <f ca="1">TODAY()</f>
        <v>46183</v>
      </c>
      <c r="O4" s="207"/>
      <c r="P4" s="20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180"/>
      <c r="G5" s="71"/>
      <c r="K5" s="206" t="s">
        <v>51</v>
      </c>
      <c r="L5" s="206"/>
      <c r="M5" s="206"/>
      <c r="N5" s="207">
        <f ca="1">N4-1</f>
        <v>46182</v>
      </c>
      <c r="O5" s="205"/>
      <c r="P5" s="205"/>
      <c r="R5" s="180"/>
      <c r="S5" s="71"/>
    </row>
    <row r="6" spans="1:19 16383:16384" ht="15" customHeight="1" x14ac:dyDescent="0.35">
      <c r="A6" s="206" t="s">
        <v>99</v>
      </c>
      <c r="B6" s="206"/>
      <c r="C6" s="206"/>
      <c r="F6" s="180"/>
      <c r="G6" s="74"/>
      <c r="K6" s="206" t="s">
        <v>52</v>
      </c>
      <c r="L6" s="206"/>
      <c r="M6" s="206"/>
      <c r="N6" s="208" t="s">
        <v>101</v>
      </c>
      <c r="O6" s="208"/>
      <c r="P6" s="208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180"/>
      <c r="G7" s="74"/>
      <c r="K7" s="206"/>
      <c r="L7" s="206"/>
      <c r="M7" s="206"/>
      <c r="N7" s="208"/>
      <c r="O7" s="208"/>
      <c r="P7" s="208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180"/>
      <c r="G8" s="74"/>
      <c r="K8" s="206"/>
      <c r="L8" s="206"/>
      <c r="M8" s="206"/>
      <c r="N8" s="208"/>
      <c r="O8" s="208"/>
      <c r="P8" s="208"/>
      <c r="R8" s="180"/>
      <c r="S8" s="74"/>
    </row>
    <row r="9" spans="1:19 16383:16384" x14ac:dyDescent="0.35">
      <c r="A9" s="210"/>
      <c r="B9" s="210"/>
      <c r="C9" s="210"/>
      <c r="F9" s="180"/>
      <c r="G9" s="74"/>
      <c r="K9" s="206"/>
      <c r="L9" s="206"/>
      <c r="M9" s="206"/>
      <c r="N9" s="208"/>
      <c r="O9" s="208"/>
      <c r="P9" s="208"/>
      <c r="R9" s="180"/>
      <c r="S9" s="74"/>
      <c r="XFD9" t="s">
        <v>55</v>
      </c>
    </row>
    <row r="10" spans="1:19 16383:16384" x14ac:dyDescent="0.35">
      <c r="A10" s="211" t="s">
        <v>96</v>
      </c>
      <c r="B10" s="75" t="s">
        <v>100</v>
      </c>
      <c r="C10" s="75"/>
      <c r="F10" s="18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180"/>
      <c r="S10" s="71"/>
      <c r="XFD10" t="s">
        <v>58</v>
      </c>
    </row>
    <row r="11" spans="1:19 16383:16384" x14ac:dyDescent="0.35">
      <c r="A11" s="211"/>
      <c r="B11" s="76" t="s">
        <v>48</v>
      </c>
      <c r="C11" s="181" t="str">
        <f>IF($O34&gt;2.49%,"No","Yes")</f>
        <v>Yes</v>
      </c>
      <c r="F11" s="18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180"/>
      <c r="S11" s="71"/>
    </row>
    <row r="12" spans="1:19 16383:16384" ht="14.65" customHeight="1" x14ac:dyDescent="0.35">
      <c r="A12" s="21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6" t="s">
        <v>61</v>
      </c>
      <c r="L12" s="206"/>
      <c r="M12" s="206"/>
      <c r="N12" s="205"/>
      <c r="O12" s="205"/>
      <c r="P12" s="205"/>
      <c r="R12" s="180"/>
      <c r="S12" s="71"/>
      <c r="XFD12" t="s">
        <v>62</v>
      </c>
    </row>
    <row r="13" spans="1:19 16383:16384" ht="15" thickBot="1" x14ac:dyDescent="0.4">
      <c r="A13" s="248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86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2026-06-10T13:51:13Z</dcterms:modified>
</cp:coreProperties>
</file>