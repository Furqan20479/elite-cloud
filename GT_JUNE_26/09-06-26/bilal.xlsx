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5DE1CD0-DFEE-49EF-B1BC-93D8C24B9D7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6" l="1"/>
  <c r="J21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9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L20" i="16" s="1"/>
  <c r="I21" i="16"/>
  <c r="L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K25" i="19" l="1"/>
  <c r="P30" i="19" s="1"/>
  <c r="K22" i="16"/>
  <c r="K22" i="15" s="1"/>
  <c r="K18" i="16"/>
  <c r="K18" i="15" s="1"/>
  <c r="L18" i="16"/>
  <c r="L18" i="15" s="1"/>
  <c r="L21" i="15"/>
  <c r="K20" i="16"/>
  <c r="M20" i="16" s="1"/>
  <c r="N20" i="16" s="1"/>
  <c r="L20" i="15"/>
  <c r="K16" i="16"/>
  <c r="M16" i="16" s="1"/>
  <c r="N16" i="16" s="1"/>
  <c r="L16" i="16"/>
  <c r="L16" i="15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25" i="21"/>
  <c r="P29" i="21" s="1"/>
  <c r="P31" i="21" s="1"/>
  <c r="L22" i="15"/>
  <c r="M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K23" i="16"/>
  <c r="K19" i="16"/>
  <c r="K19" i="15" s="1"/>
  <c r="O21" i="21"/>
  <c r="P21" i="21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K16" i="15" l="1"/>
  <c r="M22" i="16"/>
  <c r="N22" i="16" s="1"/>
  <c r="O22" i="16" s="1"/>
  <c r="O22" i="15" s="1"/>
  <c r="M18" i="15"/>
  <c r="L25" i="16"/>
  <c r="P29" i="16" s="1"/>
  <c r="K20" i="15"/>
  <c r="M20" i="15" s="1"/>
  <c r="M21" i="15"/>
  <c r="M17" i="15"/>
  <c r="M24" i="16"/>
  <c r="N24" i="16" s="1"/>
  <c r="M16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31" i="16" l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<sst xmlns="http://schemas.openxmlformats.org/spreadsheetml/2006/main" count="1598" uniqueCount="127">
  <si>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</si>
  <si>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</si>
  <si>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</si>
  <si>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</si>
  <si>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</si>
  <si>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</si>
  <si>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</si>
  <si>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</si>
  <si>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</si>
  <si>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</si>
  <si>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</si>
  <si>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</si>
  <si>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</si>
  <si>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</si>
  <si>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</si>
  <si>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</si>
  <si>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</si>
  <si>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</si>
  <si>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</si>
  <si>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</si>
  <si>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</si>
  <si>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</si>
  <si>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</si>
  <si>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</si>
  <si>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</si>
  <si>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</si>
  <si>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</si>
  <si>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</si>
  <si>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</si>
  <si>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</si>
  <si>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</si>
  <si>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</si>
  <si>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</si>
  <si>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</si>
  <si>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</si>
  <si>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</si>
  <si>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</si>
  <si>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</si>
  <si>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</si>
  <si>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</si>
  <si>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</si>
  <si>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</si>
  <si>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</si>
  <si>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</si>
  <si>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</si>
  <si>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</si>
  <si>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</si>
  <si>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</si>
  <si>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</si>
  <si>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</si>
  <si>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</si>
  <si>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</si>
  <si>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</si>
  <si>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</si>
  <si>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</si>
  <si>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</si>
  <si>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</si>
  <si>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</si>
  <si>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</si>
  <si>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</si>
  <si>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</si>
  <si>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</si>
  <si>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</si>
  <si>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</si>
  <si>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</si>
  <si>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</si>
  <si>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</si>
  <si>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</si>
  <si>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</si>
  <si>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</si>
  <si>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</si>
  <si>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</si>
  <si>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</si>
  <si>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</si>
  <si>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</si>
  <si>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</si>
  <si>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</si>
  <si>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</si>
  <si>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</si>
  <si>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</si>
  <si>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</si>
  <si>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</si>
  <si>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</si>
  <si>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</si>
  <si>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</si>
  <si>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</si>
  <si>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</si>
  <si>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</si>
  <si>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</si>
  <si>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</si>
  <si>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</si>
  <si>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</si>
  <si>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</si>
  <si>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</si>
  <si>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</si>
  <si>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</si>
  <si>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</si>
  <si>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</si>
  <si>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</si>
  <si>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</si>
  <si>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</si>
  <si>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</si>
  <si>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</si>
  <si>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</si>
  <si>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</si>
  <si>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</si>
  <si>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</si>
  <si>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</si>
  <si>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</si>
  <si>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</si>
  <si>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</si>
  <si>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</si>
  <si>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</si>
  <si>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</si>
  <si>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</si>
  <si>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</si>
  <si>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</si>
  <si>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</si>
  <si>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</si>
  <si>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</si>
  <si>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</si>
  <si>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</si>
  <si>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Customer Name : Nabeel Traders (SD)</t>
  </si>
  <si>
    <t>Address: Ramgher Bazar Mughalpura</t>
  </si>
  <si>
    <t>E378144-0</t>
  </si>
  <si>
    <t>Address:  Native's</t>
  </si>
  <si>
    <t>Customer Name : Shahid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</si>
</sst>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7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2" borderId="5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8" xfId="0" applyNumberFormat="1" applyFill="1" applyBorder="1" applyAlignment="1">
      <alignment horizontal="center" vertical="center"/>
    </xf>
    <xf numFmtId="3" fontId="14" fillId="0" borderId="59" xfId="0" applyNumberFormat="1" applyFont="1" applyBorder="1" applyAlignment="1">
      <alignment horizontal="center" vertical="top" shrinkToFit="1"/>
    </xf>
    <xf numFmtId="3" fontId="14" fillId="0" borderId="58" xfId="0" applyNumberFormat="1" applyFont="1" applyBorder="1" applyAlignment="1">
      <alignment horizontal="center" vertical="top" shrinkToFit="1"/>
    </xf>
    <xf numFmtId="2" fontId="0" fillId="0" borderId="60" xfId="0" applyNumberFormat="1" applyBorder="1" applyAlignment="1">
      <alignment horizontal="center"/>
    </xf>
    <xf numFmtId="0" fontId="0" fillId="0" borderId="59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2" fontId="0" fillId="0" borderId="57" xfId="0" applyNumberFormat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1" fontId="1" fillId="0" borderId="64" xfId="0" applyNumberFormat="1" applyFont="1" applyBorder="1" applyAlignment="1">
      <alignment horizontal="center"/>
    </xf>
    <xf numFmtId="1" fontId="1" fillId="0" borderId="30" xfId="0" applyNumberFormat="1" applyFont="1" applyBorder="1" applyAlignment="1">
      <alignment horizontal="center"/>
    </xf>
    <xf numFmtId="165" fontId="1" fillId="0" borderId="56" xfId="0" applyNumberFormat="1" applyFont="1" applyBorder="1" applyAlignment="1">
      <alignment horizontal="center"/>
    </xf>
    <xf numFmtId="0" fontId="0" fillId="0" borderId="64" xfId="0" applyBorder="1"/>
    <xf numFmtId="164" fontId="1" fillId="0" borderId="65" xfId="2" applyNumberFormat="1" applyFont="1" applyBorder="1" applyAlignment="1">
      <alignment horizontal="center"/>
    </xf>
    <xf numFmtId="2" fontId="1" fillId="0" borderId="66" xfId="0" applyNumberFormat="1" applyFont="1" applyBorder="1" applyAlignment="1">
      <alignment horizontal="center"/>
    </xf>
    <xf numFmtId="1" fontId="1" fillId="0" borderId="35" xfId="0" applyNumberFormat="1" applyFont="1" applyBorder="1" applyAlignment="1">
      <alignment horizontal="center"/>
    </xf>
    <xf numFmtId="1" fontId="1" fillId="0" borderId="31" xfId="0" applyNumberFormat="1" applyFont="1" applyBorder="1" applyAlignment="1">
      <alignment horizontal="center"/>
    </xf>
    <xf numFmtId="2" fontId="1" fillId="0" borderId="65" xfId="0" applyNumberFormat="1" applyFont="1" applyBorder="1" applyAlignment="1">
      <alignment horizontal="center"/>
    </xf>
    <xf numFmtId="165" fontId="1" fillId="0" borderId="66" xfId="0" applyNumberFormat="1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T11" sqref="T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121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103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Nabeel Traders (SD)</v>
      </c>
      <c r="U14" s="164">
        <f>+'1'!P35</f>
        <v>289864.24597650004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10</v>
      </c>
      <c r="I16" s="1">
        <f>(G16*D16)*F16+H16*F16</f>
        <v>524.625</v>
      </c>
      <c r="J16" s="172">
        <f>+'1'!J16+'2'!J16+'4'!J16+'3'!J16+'5'!J16+'6'!J16+'7'!J16+'8'!J16+'9'!J16+'10'!J16+'11'!J16+'12'!J16</f>
        <v>14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2392.29</v>
      </c>
      <c r="M16" s="106">
        <f>I16-K16-L16</f>
        <v>-1867.665</v>
      </c>
      <c r="N16" s="101">
        <f>+'1'!N16+'2'!N16+'4'!N16+'3'!N16+'5'!N16+'6'!N16+'7'!N16+'8'!N16+'9'!N16+'10'!N16</f>
        <v>2982.3881999999999</v>
      </c>
      <c r="O16" s="101">
        <f>+'1'!O16+'2'!O16+'4'!O16+'3'!O16+'5'!O16+'6'!O16+'7'!O16+'8'!O16+'9'!O16+'10'!O16</f>
        <v>90.797898000000004</v>
      </c>
      <c r="P16" s="105">
        <f t="shared" ref="P16:P24" si="0">M16+N16+O16</f>
        <v>1205.5210979999999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106.1841</v>
      </c>
      <c r="O17" s="101">
        <f>+'1'!O17+'2'!O17+'4'!O17+'3'!O17+'5'!O17+'6'!O17+'7'!O17+'8'!O17+'9'!O17+'10'!O17</f>
        <v>14.720977499999998</v>
      </c>
      <c r="P17" s="120">
        <f t="shared" si="0"/>
        <v>603.56007749999992</v>
      </c>
      <c r="S17" s="64"/>
      <c r="T17" s="163" t="str">
        <f>+'3'!A5</f>
        <v>Customer Name : Shahid SB</v>
      </c>
      <c r="U17" s="164">
        <f>+'3'!P35</f>
        <v>1810.6802324999999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10</v>
      </c>
      <c r="I18" s="1">
        <f t="shared" si="1"/>
        <v>524.625</v>
      </c>
      <c r="J18" s="172">
        <f>+'1'!J18+'2'!J18+'4'!J18+'3'!J18+'5'!J18+'6'!J18+'7'!J18+'8'!J18+'9'!J18+'10'!J18+'11'!J18+'12'!J18</f>
        <v>16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2728.0499999999997</v>
      </c>
      <c r="M18" s="118">
        <f t="shared" si="2"/>
        <v>-2203.4249999999997</v>
      </c>
      <c r="N18" s="101">
        <f>+'1'!N18+'2'!N18+'4'!N18+'3'!N18+'5'!N18+'6'!N18+'7'!N18+'8'!N18+'9'!N18+'10'!N18</f>
        <v>3393.2745</v>
      </c>
      <c r="O18" s="101">
        <f>+'1'!O18+'2'!O18+'4'!O18+'3'!O18+'5'!O18+'6'!O18+'7'!O18+'8'!O18+'9'!O18+'10'!O18</f>
        <v>101.66602950000001</v>
      </c>
      <c r="P18" s="120">
        <f t="shared" si="0"/>
        <v>1291.5155295000002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0</v>
      </c>
      <c r="I19" s="1">
        <f t="shared" si="1"/>
        <v>0</v>
      </c>
      <c r="J19" s="172">
        <f>+'1'!J19+'2'!J19+'4'!J19+'3'!J19+'5'!J19+'6'!J19+'7'!J19+'8'!J19+'9'!J19+'10'!J19+'11'!J19+'12'!J19</f>
        <v>30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6973.4400000000005</v>
      </c>
      <c r="M19" s="118">
        <f t="shared" si="2"/>
        <v>-6973.4400000000005</v>
      </c>
      <c r="N19" s="101">
        <f>+'1'!N19+'2'!N19+'4'!N19+'3'!N19+'5'!N19+'6'!N19+'7'!N19+'8'!N19+'9'!N19+'10'!N19</f>
        <v>8533.7471999999998</v>
      </c>
      <c r="O19" s="101">
        <f>+'1'!O19+'2'!O19+'4'!O19+'3'!O19+'5'!O19+'6'!O19+'7'!O19+'8'!O19+'9'!O19+'10'!O19</f>
        <v>225.72153599999999</v>
      </c>
      <c r="P19" s="120">
        <f t="shared" si="0"/>
        <v>1786.0287359999993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30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6973.4400000000005</v>
      </c>
      <c r="M20" s="118">
        <f t="shared" si="2"/>
        <v>-6973.4400000000005</v>
      </c>
      <c r="N20" s="101">
        <f>+'1'!N20+'2'!N20+'4'!N20+'3'!N20+'5'!N20+'6'!N20+'7'!N20+'8'!N20+'9'!N20+'10'!N20</f>
        <v>8533.7471999999998</v>
      </c>
      <c r="O20" s="101">
        <f>+'1'!O20+'2'!O20+'4'!O20+'3'!O20+'5'!O20+'6'!O20+'7'!O20+'8'!O20+'9'!O20+'10'!O20</f>
        <v>225.72153599999999</v>
      </c>
      <c r="P20" s="120">
        <f t="shared" si="0"/>
        <v>1786.0287359999993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110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25569.279999999999</v>
      </c>
      <c r="M21" s="118">
        <f t="shared" si="2"/>
        <v>-25569.279999999999</v>
      </c>
      <c r="N21" s="101">
        <f>+'1'!N21+'2'!N21+'4'!N21+'3'!N21+'5'!N21+'6'!N21+'7'!N21+'8'!N21+'9'!N21+'10'!N21</f>
        <v>31290.4064</v>
      </c>
      <c r="O21" s="101">
        <f>+'1'!O21+'2'!O21+'4'!O21+'3'!O21+'5'!O21+'6'!O21+'7'!O21+'8'!O21+'9'!O21+'10'!O21</f>
        <v>827.64563200000009</v>
      </c>
      <c r="P21" s="120">
        <f t="shared" si="0"/>
        <v>6548.7720320000008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30</v>
      </c>
      <c r="I25" s="178">
        <f t="shared" si="3"/>
        <v>1573.875</v>
      </c>
      <c r="J25" s="177">
        <f t="shared" si="3"/>
        <v>200</v>
      </c>
      <c r="K25" s="178">
        <f t="shared" si="3"/>
        <v>0</v>
      </c>
      <c r="L25" s="179">
        <f t="shared" si="3"/>
        <v>44678.47</v>
      </c>
      <c r="M25" s="141">
        <f t="shared" si="3"/>
        <v>-43104.595000000001</v>
      </c>
      <c r="N25" s="142">
        <f>SUM(N16:N24)</f>
        <v>54839.747600000002</v>
      </c>
      <c r="O25" s="143">
        <f>SUM(O16:O24)</f>
        <v>1486.2736090000001</v>
      </c>
      <c r="P25" s="144">
        <f>SUM(P16:P24)</f>
        <v>13221.426208999999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291674.92620900006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1573.875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44678.47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-43104.595000000001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54839.747600000002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11735.152600000001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293.37881500000003</v>
      </c>
    </row>
    <row r="35" spans="2:16" ht="15.75" customHeight="1" thickBot="1" x14ac:dyDescent="0.4">
      <c r="N35" s="200" t="s">
        <v>92</v>
      </c>
      <c r="O35" s="201"/>
      <c r="P35" s="160">
        <f>P33+P34</f>
        <v>12028.531415000001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11.90625" bestFit="1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123</v>
      </c>
      <c r="B6" s="226"/>
      <c r="C6" s="226"/>
      <c r="F6" s="70"/>
      <c r="G6" s="74"/>
      <c r="K6" s="226" t="s">
        <v>52</v>
      </c>
      <c r="L6" s="226"/>
      <c r="M6" s="226"/>
      <c r="N6" s="239" t="s">
        <v>105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124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7</v>
      </c>
      <c r="H16" s="101"/>
      <c r="I16" s="102">
        <f>(G16*D16)*F16+H16*F16</f>
        <v>14689.5</v>
      </c>
      <c r="J16" s="103">
        <v>14</v>
      </c>
      <c r="K16" s="104">
        <f>I16*$K$13</f>
        <v>0</v>
      </c>
      <c r="L16" s="105">
        <f>I16*16%</f>
        <v>2350.3200000000002</v>
      </c>
      <c r="M16" s="106">
        <f>I16-K16-L16</f>
        <v>12339.18</v>
      </c>
      <c r="N16" s="106">
        <f t="shared" ref="N16:N24" si="0">(M16*$N$15)+(J16*F16)*$N$15</f>
        <v>2876.2040999999999</v>
      </c>
      <c r="O16" s="107">
        <f t="shared" ref="O16:O24" si="1">(N16+M16)*$O$15</f>
        <v>76.0769205</v>
      </c>
      <c r="P16" s="105">
        <f t="shared" ref="P16:P24" si="2">M16+N16+O16</f>
        <v>15291.461020499999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4" si="5">I17*16%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>
        <v>8</v>
      </c>
      <c r="H18" s="101"/>
      <c r="I18" s="116">
        <f t="shared" si="3"/>
        <v>16788</v>
      </c>
      <c r="J18" s="117">
        <v>16</v>
      </c>
      <c r="K18" s="1">
        <f t="shared" si="4"/>
        <v>0</v>
      </c>
      <c r="L18" s="105">
        <f t="shared" si="5"/>
        <v>2686.08</v>
      </c>
      <c r="M18" s="118">
        <f t="shared" si="6"/>
        <v>14101.92</v>
      </c>
      <c r="N18" s="118">
        <f t="shared" si="0"/>
        <v>3287.0904</v>
      </c>
      <c r="O18" s="119">
        <f t="shared" si="1"/>
        <v>86.945052000000004</v>
      </c>
      <c r="P18" s="120">
        <f t="shared" si="2"/>
        <v>17475.955451999998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15</v>
      </c>
      <c r="H19" s="101"/>
      <c r="I19" s="116">
        <f t="shared" si="3"/>
        <v>43584</v>
      </c>
      <c r="J19" s="117">
        <v>30</v>
      </c>
      <c r="K19" s="1">
        <f t="shared" si="4"/>
        <v>0</v>
      </c>
      <c r="L19" s="105">
        <f t="shared" si="5"/>
        <v>6973.4400000000005</v>
      </c>
      <c r="M19" s="118">
        <f t="shared" si="6"/>
        <v>36610.559999999998</v>
      </c>
      <c r="N19" s="118">
        <f t="shared" si="0"/>
        <v>8533.7471999999998</v>
      </c>
      <c r="O19" s="119">
        <f t="shared" si="1"/>
        <v>225.72153599999999</v>
      </c>
      <c r="P19" s="120">
        <f t="shared" si="2"/>
        <v>45370.028735999993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15</v>
      </c>
      <c r="H20" s="101"/>
      <c r="I20" s="116">
        <f t="shared" si="3"/>
        <v>43584</v>
      </c>
      <c r="J20" s="117">
        <v>30</v>
      </c>
      <c r="K20" s="1">
        <f t="shared" si="4"/>
        <v>0</v>
      </c>
      <c r="L20" s="105">
        <f t="shared" si="5"/>
        <v>6973.4400000000005</v>
      </c>
      <c r="M20" s="118">
        <f t="shared" si="6"/>
        <v>36610.559999999998</v>
      </c>
      <c r="N20" s="118">
        <f t="shared" si="0"/>
        <v>8533.7471999999998</v>
      </c>
      <c r="O20" s="119">
        <f t="shared" si="1"/>
        <v>225.72153599999999</v>
      </c>
      <c r="P20" s="120">
        <f t="shared" si="2"/>
        <v>45370.028735999993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55</v>
      </c>
      <c r="H21" s="101"/>
      <c r="I21" s="116">
        <f t="shared" si="3"/>
        <v>159808</v>
      </c>
      <c r="J21" s="117">
        <f>G21*2</f>
        <v>110</v>
      </c>
      <c r="K21" s="1">
        <f t="shared" si="4"/>
        <v>0</v>
      </c>
      <c r="L21" s="105">
        <f t="shared" si="5"/>
        <v>25569.279999999999</v>
      </c>
      <c r="M21" s="118">
        <f t="shared" si="6"/>
        <v>134238.72</v>
      </c>
      <c r="N21" s="118">
        <f t="shared" si="0"/>
        <v>31290.4064</v>
      </c>
      <c r="O21" s="119">
        <f t="shared" si="1"/>
        <v>827.64563200000009</v>
      </c>
      <c r="P21" s="120">
        <f t="shared" si="2"/>
        <v>166356.77203200001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01"/>
      <c r="I22" s="116">
        <f t="shared" si="3"/>
        <v>0</v>
      </c>
      <c r="J22" s="117"/>
      <c r="K22" s="1">
        <f>I22*3.5%</f>
        <v>0</v>
      </c>
      <c r="L22" s="105">
        <f>I22*11%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05">
        <f t="shared" si="5"/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250">
        <f>VLOOKUP(B24,'[1]Cust. Price List'!E14:P22,2,0)</f>
        <v>60</v>
      </c>
      <c r="D24" s="251">
        <f>VLOOKUP(A24,'[1]Cust. Price List'!D14:M22,4,0)</f>
        <v>40</v>
      </c>
      <c r="E24" s="251">
        <f>VLOOKUP(A24,'[1]Cust. Price List'!D14:M22,6,0)</f>
        <v>50</v>
      </c>
      <c r="F24" s="252">
        <f>VLOOKUP(A24,'[1]Cust. Price List'!D14:M22,10,0)</f>
        <v>39.230000000000004</v>
      </c>
      <c r="G24" s="253"/>
      <c r="H24" s="254"/>
      <c r="I24" s="255">
        <f>(G24*D24)*F24+H24*F24</f>
        <v>0</v>
      </c>
      <c r="J24" s="256"/>
      <c r="K24" s="257">
        <f t="shared" si="7"/>
        <v>0</v>
      </c>
      <c r="L24" s="258">
        <f t="shared" si="5"/>
        <v>0</v>
      </c>
      <c r="M24" s="259">
        <f>I24-K24-L24</f>
        <v>0</v>
      </c>
      <c r="N24" s="259">
        <f t="shared" si="0"/>
        <v>0</v>
      </c>
      <c r="O24" s="260">
        <f t="shared" si="1"/>
        <v>0</v>
      </c>
      <c r="P24" s="261">
        <f t="shared" si="2"/>
        <v>0</v>
      </c>
    </row>
    <row r="25" spans="1:19 16384:16384" ht="15" thickBot="1" x14ac:dyDescent="0.4">
      <c r="A25" s="206" t="s">
        <v>84</v>
      </c>
      <c r="B25" s="202"/>
      <c r="C25" s="206"/>
      <c r="D25" s="202"/>
      <c r="E25" s="202"/>
      <c r="F25" s="243"/>
      <c r="G25" s="262">
        <f t="shared" ref="G25:M25" si="8">SUM(G16:G24)</f>
        <v>100</v>
      </c>
      <c r="H25" s="263">
        <f t="shared" si="8"/>
        <v>0</v>
      </c>
      <c r="I25" s="264">
        <f t="shared" si="8"/>
        <v>278453.5</v>
      </c>
      <c r="J25" s="265"/>
      <c r="K25" s="266">
        <f t="shared" si="8"/>
        <v>0</v>
      </c>
      <c r="L25" s="267">
        <f t="shared" si="8"/>
        <v>44552.56</v>
      </c>
      <c r="M25" s="268">
        <f t="shared" si="8"/>
        <v>233900.94</v>
      </c>
      <c r="N25" s="269">
        <f>SUM(N16:N24)</f>
        <v>54521.195299999999</v>
      </c>
      <c r="O25" s="270">
        <f>SUM(O16:O24)</f>
        <v>1442.1106765</v>
      </c>
      <c r="P25" s="271">
        <f>SUM(P16:P24)</f>
        <v>289864.24597649998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278453.5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44552.56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233900.94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54521.195299999999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288422.13530000002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1442.1106765000002</v>
      </c>
    </row>
    <row r="35" spans="2:16" ht="15.75" customHeight="1" thickBot="1" x14ac:dyDescent="0.4">
      <c r="N35" s="200" t="s">
        <v>92</v>
      </c>
      <c r="O35" s="201"/>
      <c r="P35" s="160">
        <f>P33+P34</f>
        <v>289864.24597650004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126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125</v>
      </c>
      <c r="B6" s="226"/>
      <c r="C6" s="226"/>
      <c r="F6" s="70"/>
      <c r="G6" s="74"/>
      <c r="K6" s="226" t="s">
        <v>52</v>
      </c>
      <c r="L6" s="226"/>
      <c r="M6" s="226"/>
      <c r="N6" s="239" t="s">
        <v>106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14.720977499999998</v>
      </c>
      <c r="P18" s="120">
        <f t="shared" si="1"/>
        <v>603.56007749999992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30</v>
      </c>
      <c r="I25" s="137">
        <f t="shared" si="9"/>
        <v>1573.875</v>
      </c>
      <c r="J25" s="138"/>
      <c r="K25" s="139">
        <f t="shared" si="9"/>
        <v>0</v>
      </c>
      <c r="L25" s="140">
        <f t="shared" si="9"/>
        <v>125.91</v>
      </c>
      <c r="M25" s="141">
        <f t="shared" si="9"/>
        <v>1447.9649999999999</v>
      </c>
      <c r="N25" s="142">
        <f>SUM(N16:N24)</f>
        <v>318.5523</v>
      </c>
      <c r="O25" s="143">
        <f>SUM(O16:O24)</f>
        <v>44.162932499999997</v>
      </c>
      <c r="P25" s="144">
        <f>SUM(P16:P24)</f>
        <v>1810.6802324999999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1573.875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125.91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1447.9649999999999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318.5523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1766.5173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44.162932500000004</v>
      </c>
    </row>
    <row r="35" spans="2:16" ht="15.75" customHeight="1" thickBot="1" x14ac:dyDescent="0.4">
      <c r="N35" s="200" t="s">
        <v>92</v>
      </c>
      <c r="O35" s="201"/>
      <c r="P35" s="160">
        <f>P33+P34</f>
        <v>1810.6802324999999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110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112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114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116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118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116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116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3628249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46185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46184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2026-06-12T11:38:55Z</dcterms:modified>
</cp:coreProperties>
</file>