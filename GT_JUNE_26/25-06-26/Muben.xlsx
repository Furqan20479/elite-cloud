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9A0A24D-949A-46A4-BA2B-5314D39853B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6" i="15" l="1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24" l="1"/>
  <c r="P30" i="24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P19" i="18"/>
  <c r="M25" i="18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B83D2D4E-4F92-4278-B8AC-238139F8E2EC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aska</t>
        </r>
      </text>
    </comment>
  </commentList>
</comments>
</file>

<file path=xl/sharedStrings.xml><?xml version="1.0" encoding="utf-8"?>
<sst xmlns="http://schemas.openxmlformats.org/spreadsheetml/2006/main" count="1584" uniqueCount="122">
  <si>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</si>
  <si>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</si>
  <si>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</si>
  <si>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</si>
  <si>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</si>
  <si>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</si>
  <si>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</si>
  <si>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</si>
  <si>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</si>
  <si>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</si>
  <si>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</si>
  <si>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</si>
  <si>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</si>
  <si>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</si>
  <si>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</si>
  <si>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</si>
  <si>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</si>
  <si>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</si>
  <si>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</si>
  <si>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</si>
  <si>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</si>
  <si>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</si>
  <si>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</si>
  <si>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</si>
  <si>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</si>
  <si>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</si>
  <si>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</si>
  <si>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</si>
  <si>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</si>
  <si>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</si>
  <si>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</si>
  <si>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</si>
  <si>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</si>
  <si>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</si>
  <si>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</si>
  <si>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</si>
  <si>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</si>
  <si>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</si>
  <si>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</si>
  <si>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</si>
  <si>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</si>
  <si>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</si>
  <si>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</si>
  <si>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</si>
  <si>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</si>
  <si>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</si>
  <si>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</si>
  <si>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</si>
  <si>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</si>
  <si>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</si>
  <si>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</si>
  <si>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</si>
  <si>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</si>
  <si>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</si>
  <si>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</si>
  <si>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</si>
  <si>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</si>
  <si>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</si>
  <si>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</si>
  <si>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</si>
  <si>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</si>
  <si>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</si>
  <si>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</si>
  <si>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</si>
  <si>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</si>
  <si>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</si>
  <si>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</si>
  <si>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</si>
  <si>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</si>
  <si>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</si>
  <si>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</si>
  <si>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</si>
  <si>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</si>
  <si>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</si>
  <si>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</si>
  <si>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</si>
  <si>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</si>
  <si>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</si>
  <si>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</si>
  <si>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</si>
  <si>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</si>
  <si>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</si>
  <si>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</si>
  <si>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</si>
  <si>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</si>
  <si>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</si>
  <si>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</si>
  <si>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</si>
  <si>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</si>
  <si>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</si>
  <si>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</si>
  <si>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</si>
  <si>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</si>
  <si>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</si>
  <si>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</si>
  <si>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</si>
  <si>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</si>
  <si>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</si>
  <si>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</si>
  <si>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</si>
  <si>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</si>
  <si>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</si>
  <si>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</si>
  <si>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</si>
  <si>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</si>
  <si>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</si>
  <si>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</si>
  <si>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</si>
  <si>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 xml:space="preserve">Customer Name : Food Ride </t>
  </si>
  <si>
    <t>Address: Dhram pura</t>
  </si>
  <si>
    <t>Customer Name : Imran Store</t>
  </si>
  <si>
    <t>Address: Dharam pura Ghosht wali gali</t>
  </si>
  <si>
    <t>Customer Name : Bhai Jan Medical Store</t>
  </si>
  <si>
    <t>Address: Dharam pura</t>
  </si>
  <si>
    <t>0159676-4</t>
  </si>
  <si>
    <t>Customer Name : Basic Store</t>
  </si>
  <si>
    <t>Address: Upper Mall</t>
  </si>
  <si>
    <t>Customer Name : Clasic Store</t>
  </si>
  <si>
    <t>Address: Askari 9</t>
  </si>
  <si>
    <t>331054413451-5</t>
  </si>
  <si>
    <t>Customer Name : United Store</t>
  </si>
  <si>
    <t>3255339-7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</si>
</sst>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4" zoomScale="70" zoomScaleNormal="70" workbookViewId="0">
      <selection activeCell="T17" sqref="T17:T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30</v>
      </c>
      <c r="I16" s="1">
        <f>(G16*D16)*F16+H16*F16</f>
        <v>1573.875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125.91</v>
      </c>
      <c r="M16" s="106">
        <f>I16-K16-L16</f>
        <v>1447.9649999999999</v>
      </c>
      <c r="N16" s="101">
        <f>+'1'!N16+'2'!N16+'4'!N16+'3'!N16+'5'!N16+'6'!N16+'7'!N16+'8'!N16+'9'!N16+'10'!N16</f>
        <v>330.09405000000004</v>
      </c>
      <c r="O16" s="101">
        <f>+'1'!O16+'2'!O16+'4'!O16+'3'!O16+'5'!O16+'6'!O16+'7'!O16+'8'!O16+'9'!O16+'10'!O16</f>
        <v>8.8902952499999994</v>
      </c>
      <c r="P16" s="105">
        <f t="shared" ref="P16:P24" si="0">M16+N16+O16</f>
        <v>1786.9493452499999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83.94</v>
      </c>
      <c r="M17" s="118">
        <f t="shared" ref="M17:M23" si="2">I17-K17-L17</f>
        <v>965.31</v>
      </c>
      <c r="N17" s="101">
        <f>+'1'!N17+'2'!N17+'4'!N17+'3'!N17+'5'!N17+'6'!N17+'7'!N17+'8'!N17+'9'!N17+'10'!N17</f>
        <v>223.90995000000001</v>
      </c>
      <c r="O17" s="101">
        <f>+'1'!O17+'2'!O17+'4'!O17+'3'!O17+'5'!O17+'6'!O17+'7'!O17+'8'!O17+'9'!O17+'10'!O17</f>
        <v>5.9460997500000001</v>
      </c>
      <c r="P17" s="120">
        <f t="shared" si="0"/>
        <v>1195.16604975</v>
      </c>
      <c r="S17" s="64"/>
      <c r="T17" s="163" t="str">
        <f>+'4'!A5</f>
        <v xml:space="preserve">Customer Name : Food Ride </v>
      </c>
      <c r="U17" s="164">
        <f>+'4'!P35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Imran Store</v>
      </c>
      <c r="U18" s="164">
        <f>+'5'!P35</f>
        <v>6751.0744320000003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83</v>
      </c>
      <c r="I19" s="1">
        <f t="shared" si="1"/>
        <v>6029.12</v>
      </c>
      <c r="J19" s="172">
        <f>+'1'!J19+'2'!J19+'4'!J19+'3'!J19+'5'!J19+'6'!J19+'7'!J19+'8'!J19+'9'!J19+'10'!J19+'11'!J19+'12'!J19+'13'!J19+'14'!J19+'15'!J19+'16'!J19+'17'!J19+'18'!J19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482.32959999999997</v>
      </c>
      <c r="M19" s="118">
        <f t="shared" si="2"/>
        <v>5546.7903999999999</v>
      </c>
      <c r="N19" s="101">
        <f>+'1'!N19+'2'!N19+'4'!N19+'3'!N19+'5'!N19+'6'!N19+'7'!N19+'8'!N19+'9'!N19+'10'!N19</f>
        <v>1284.2170879999999</v>
      </c>
      <c r="O19" s="101">
        <f>+'1'!O19+'2'!O19+'4'!O19+'3'!O19+'5'!O19+'6'!O19+'7'!O19+'8'!O19+'9'!O19+'10'!O19</f>
        <v>100.01917824</v>
      </c>
      <c r="P19" s="120">
        <f t="shared" si="0"/>
        <v>6931.026666239999</v>
      </c>
      <c r="T19" s="163" t="str">
        <f>+'6'!A5</f>
        <v>Customer Name : Bhai Jan Medical Store</v>
      </c>
      <c r="U19" s="164">
        <f>+'6'!P35</f>
        <v>1654.8365376000004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66</v>
      </c>
      <c r="I20" s="1">
        <f t="shared" si="1"/>
        <v>4794.24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383.53920000000005</v>
      </c>
      <c r="M20" s="118">
        <f t="shared" si="2"/>
        <v>4410.7007999999996</v>
      </c>
      <c r="N20" s="101">
        <f>+'1'!N20+'2'!N20+'4'!N20+'3'!N20+'5'!N20+'6'!N20+'7'!N20+'8'!N20+'9'!N20+'10'!N20</f>
        <v>1050.258176</v>
      </c>
      <c r="O20" s="101">
        <f>+'1'!O20+'2'!O20+'4'!O20+'3'!O20+'5'!O20+'6'!O20+'7'!O20+'8'!O20+'9'!O20+'10'!O20</f>
        <v>60.236865279999996</v>
      </c>
      <c r="P20" s="120">
        <f t="shared" si="0"/>
        <v>5521.1958412799995</v>
      </c>
      <c r="T20" s="163" t="str">
        <f>+'7'!A5</f>
        <v>Customer Name : Basic Store</v>
      </c>
      <c r="U20" s="164">
        <f>+'7'!P35</f>
        <v>7354.8417123000008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95</v>
      </c>
      <c r="I21" s="1">
        <f t="shared" si="1"/>
        <v>6900.8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552.06399999999996</v>
      </c>
      <c r="M21" s="118">
        <f t="shared" si="2"/>
        <v>6348.7359999999999</v>
      </c>
      <c r="N21" s="101">
        <f>+'1'!N21+'2'!N21+'4'!N21+'3'!N21+'5'!N21+'6'!N21+'7'!N21+'8'!N21+'9'!N21+'10'!N21</f>
        <v>1444.6643199999999</v>
      </c>
      <c r="O21" s="101">
        <f>+'1'!O21+'2'!O21+'4'!O21+'3'!O21+'5'!O21+'6'!O21+'7'!O21+'8'!O21+'9'!O21+'10'!O21</f>
        <v>71.899072000000018</v>
      </c>
      <c r="P21" s="120">
        <f t="shared" si="0"/>
        <v>7865.2993919999999</v>
      </c>
      <c r="T21" s="163" t="str">
        <f>+'8'!A5</f>
        <v>Customer Name : Clasic Store</v>
      </c>
      <c r="U21" s="164">
        <f>+'8'!P35</f>
        <v>1982.59170432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United Store</v>
      </c>
      <c r="U22" s="164">
        <f>+'9'!P35</f>
        <v>2246.6198331000001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7.35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294</v>
      </c>
      <c r="I25" s="178">
        <f t="shared" si="3"/>
        <v>20347.285</v>
      </c>
      <c r="J25" s="177">
        <f t="shared" si="3"/>
        <v>14</v>
      </c>
      <c r="K25" s="178">
        <f t="shared" si="3"/>
        <v>0</v>
      </c>
      <c r="L25" s="179">
        <f t="shared" si="3"/>
        <v>1627.7828</v>
      </c>
      <c r="M25" s="141">
        <f t="shared" si="3"/>
        <v>18719.502199999999</v>
      </c>
      <c r="N25" s="142">
        <f>SUM(N16:N24)</f>
        <v>4333.1435839999995</v>
      </c>
      <c r="O25" s="143">
        <f>SUM(O16:O24)</f>
        <v>246.99151052000002</v>
      </c>
      <c r="P25" s="144">
        <f>SUM(P16:P24)</f>
        <v>23299.637294519998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hidden="1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hidden="1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hidden="1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23299.637294520002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20347.285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1627.7828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18719.502199999999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4333.1435839999995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23052.645784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576.31614460000003</v>
      </c>
    </row>
    <row r="39" spans="2:16" ht="15.75" customHeight="1" thickBot="1" x14ac:dyDescent="0.4">
      <c r="N39" s="219" t="s">
        <v>92</v>
      </c>
      <c r="O39" s="220"/>
      <c r="P39" s="160">
        <f>P37+P38</f>
        <v>23628.961928600002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106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6586.4140800000005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19" t="s">
        <v>92</v>
      </c>
      <c r="O35" s="220"/>
      <c r="P35" s="160">
        <f>P33+P34</f>
        <v>6751.0744320000003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">
        <f t="shared" si="3"/>
        <v>0</v>
      </c>
      <c r="L19" s="105">
        <f t="shared" si="4"/>
        <v>46.489600000000003</v>
      </c>
      <c r="M19" s="118">
        <f t="shared" si="5"/>
        <v>534.63040000000001</v>
      </c>
      <c r="N19" s="118">
        <f t="shared" si="0"/>
        <v>117.61868800000001</v>
      </c>
      <c r="O19" s="119">
        <f t="shared" si="6"/>
        <v>3.2612454400000002</v>
      </c>
      <c r="P19" s="120">
        <f t="shared" si="1"/>
        <v>655.51033344000007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>
        <v>1</v>
      </c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104.194816</v>
      </c>
      <c r="O20" s="119">
        <f t="shared" si="6"/>
        <v>2.5258380800000002</v>
      </c>
      <c r="P20" s="120">
        <f t="shared" si="1"/>
        <v>507.69345408000004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2.4459340800000002</v>
      </c>
      <c r="P21" s="120">
        <f t="shared" si="1"/>
        <v>491.63275007999999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310.02752000000004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1452.8000000000002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8.2330176000000019</v>
      </c>
    </row>
    <row r="35" spans="2:16" ht="15.75" customHeight="1" thickBot="1" x14ac:dyDescent="0.4">
      <c r="N35" s="219" t="s">
        <v>92</v>
      </c>
      <c r="O35" s="220"/>
      <c r="P35" s="160">
        <f>P33+P34</f>
        <v>1654.8365376000004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3520114555018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100</v>
      </c>
      <c r="I25" s="137">
        <f t="shared" si="9"/>
        <v>6456.9000000000005</v>
      </c>
      <c r="J25" s="138"/>
      <c r="K25" s="139">
        <f t="shared" si="9"/>
        <v>0</v>
      </c>
      <c r="L25" s="140">
        <f t="shared" si="9"/>
        <v>516.55200000000002</v>
      </c>
      <c r="M25" s="141">
        <f t="shared" si="9"/>
        <v>5940.348</v>
      </c>
      <c r="N25" s="142">
        <f>SUM(N16:N24)</f>
        <v>1377.9024600000002</v>
      </c>
      <c r="O25" s="143">
        <f>SUM(O16:O24)</f>
        <v>36.591252300000001</v>
      </c>
      <c r="P25" s="144">
        <f>SUM(P16:P24)</f>
        <v>7354.8417122999999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6456.9000000000005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516.55200000000002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5940.3480000000009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1377.9024600000002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7318.2504600000011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36.591252300000008</v>
      </c>
    </row>
    <row r="35" spans="2:16" ht="15.75" customHeight="1" thickBot="1" x14ac:dyDescent="0.4">
      <c r="N35" s="219" t="s">
        <v>92</v>
      </c>
      <c r="O35" s="220"/>
      <c r="P35" s="160">
        <f>P33+P34</f>
        <v>7354.8417123000008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>
        <v>1</v>
      </c>
      <c r="K21" s="1">
        <f t="shared" si="3"/>
        <v>0</v>
      </c>
      <c r="L21" s="105">
        <f t="shared" si="4"/>
        <v>139.46880000000002</v>
      </c>
      <c r="M21" s="118">
        <f t="shared" si="5"/>
        <v>1603.8912</v>
      </c>
      <c r="N21" s="118">
        <f t="shared" si="0"/>
        <v>368.83686399999999</v>
      </c>
      <c r="O21" s="119">
        <f t="shared" si="6"/>
        <v>9.86364032</v>
      </c>
      <c r="P21" s="120">
        <f t="shared" si="1"/>
        <v>1982.59170432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1743.3600000000001</v>
      </c>
      <c r="J25" s="138"/>
      <c r="K25" s="139">
        <f t="shared" si="9"/>
        <v>0</v>
      </c>
      <c r="L25" s="140">
        <f t="shared" si="9"/>
        <v>139.46880000000002</v>
      </c>
      <c r="M25" s="141">
        <f t="shared" si="9"/>
        <v>1603.8912</v>
      </c>
      <c r="N25" s="142">
        <f>SUM(N16:N24)</f>
        <v>368.83686399999999</v>
      </c>
      <c r="O25" s="143">
        <f>SUM(O16:O24)</f>
        <v>9.86364032</v>
      </c>
      <c r="P25" s="144">
        <f>SUM(P16:P24)</f>
        <v>1982.59170432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1743.3600000000001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139.46880000000002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1603.8912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368.83686399999999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1972.7280639999999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9.86364032</v>
      </c>
    </row>
    <row r="35" spans="2:16" ht="15.75" customHeight="1" thickBot="1" x14ac:dyDescent="0.4">
      <c r="N35" s="219" t="s">
        <v>92</v>
      </c>
      <c r="O35" s="220"/>
      <c r="P35" s="160">
        <f>P33+P34</f>
        <v>1982.59170432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121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30</v>
      </c>
      <c r="I25" s="137">
        <f t="shared" si="9"/>
        <v>1977.4250000000002</v>
      </c>
      <c r="J25" s="138"/>
      <c r="K25" s="139">
        <f t="shared" si="9"/>
        <v>0</v>
      </c>
      <c r="L25" s="140">
        <f t="shared" si="9"/>
        <v>158.19399999999999</v>
      </c>
      <c r="M25" s="141">
        <f t="shared" si="9"/>
        <v>1819.231</v>
      </c>
      <c r="N25" s="142">
        <f>SUM(N16:N24)</f>
        <v>416.21162000000004</v>
      </c>
      <c r="O25" s="143">
        <f>SUM(O16:O24)</f>
        <v>11.177213099999999</v>
      </c>
      <c r="P25" s="144">
        <f>SUM(P16:P24)</f>
        <v>2246.6198330999996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1977.4250000000002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158.19399999999999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1819.2310000000002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416.21162000000004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2235.4426200000003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11.177213100000001</v>
      </c>
    </row>
    <row r="35" spans="2:16" ht="15.75" customHeight="1" thickBot="1" x14ac:dyDescent="0.4">
      <c r="N35" s="219" t="s">
        <v>92</v>
      </c>
      <c r="O35" s="220"/>
      <c r="P35" s="160">
        <f>P33+P34</f>
        <v>2246.6198331000001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2026-06-24T13:12:52Z</dcterms:modified>
</cp:coreProperties>
</file>