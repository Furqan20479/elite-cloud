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99F025E5-18FD-41F5-915E-D12DD5096DD0}" xr6:coauthVersionLast="47" xr6:coauthVersionMax="47" xr10:uidLastSave="{00000000-0000-0000-0000-000000000000}"/>
  <bookViews>
    <workbookView xWindow="-110" yWindow="-110" windowWidth="19420" windowHeight="10420" tabRatio="949" activeTab="8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T17" i="15" l="1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L21" i="19"/>
  <c r="K21" i="19"/>
  <c r="L21" i="18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18" l="1"/>
  <c r="M22" i="18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2" i="15" l="1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N16" i="18" l="1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<sst xmlns="http://schemas.openxmlformats.org/spreadsheetml/2006/main" count="1583" uniqueCount="121">
  <si>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</si>
  <si>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</si>
  <si>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</si>
  <si>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</si>
  <si>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</si>
  <si>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</si>
  <si>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</si>
  <si>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</si>
  <si>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</si>
  <si>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</si>
  <si>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</si>
  <si>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</si>
  <si>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</si>
  <si>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</si>
  <si>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</si>
  <si>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</si>
  <si>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</si>
  <si>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</si>
  <si>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</si>
  <si>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</si>
  <si>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</si>
  <si>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</si>
  <si>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</si>
  <si>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</si>
  <si>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</si>
  <si>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</si>
  <si>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</si>
  <si>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</si>
  <si>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</si>
  <si>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</si>
  <si>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</si>
  <si>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</si>
  <si>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</si>
  <si>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</si>
  <si>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</si>
  <si>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</si>
  <si>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</si>
  <si>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</si>
  <si>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</si>
  <si>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</si>
  <si>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</si>
  <si>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</si>
  <si>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</si>
  <si>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</si>
  <si>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</si>
  <si>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</si>
  <si>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</si>
  <si>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</si>
  <si>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</si>
  <si>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</si>
  <si>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</si>
  <si>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</si>
  <si>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</si>
  <si>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</si>
  <si>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</si>
  <si>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</si>
  <si>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</si>
  <si>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</si>
  <si>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</si>
  <si>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</si>
  <si>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</si>
  <si>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</si>
  <si>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</si>
  <si>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</si>
  <si>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</si>
  <si>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</si>
  <si>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</si>
  <si>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</si>
  <si>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</si>
  <si>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</si>
  <si>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</si>
  <si>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</si>
  <si>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</si>
  <si>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</si>
  <si>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</si>
  <si>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</si>
  <si>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</si>
  <si>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</si>
  <si>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</si>
  <si>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</si>
  <si>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</si>
  <si>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</si>
  <si>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</si>
  <si>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</si>
  <si>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</si>
  <si>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</si>
  <si>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</si>
  <si>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</si>
  <si>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</si>
  <si>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</si>
  <si>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</si>
  <si>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</si>
  <si>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</si>
  <si>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</si>
  <si>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</si>
  <si>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</si>
  <si>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</si>
  <si>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</si>
  <si>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</si>
  <si>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</si>
  <si>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</si>
  <si>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</si>
  <si>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</si>
  <si>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</si>
  <si>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</si>
  <si>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</si>
  <si>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Umer</t>
  </si>
  <si>
    <t>Shop Bill Summary (Umer Nawaz)</t>
  </si>
  <si>
    <t>Customer Name : Karam Store</t>
  </si>
  <si>
    <t>Address: Chaudry Colony</t>
  </si>
  <si>
    <t>Customer Name : Qadri Store</t>
  </si>
  <si>
    <t>Customer Name : Ghazi Store</t>
  </si>
  <si>
    <t xml:space="preserve">Address: Sooter Mil </t>
  </si>
  <si>
    <t xml:space="preserve">Address: Karam Store k samny  Sooter Mill </t>
  </si>
  <si>
    <t xml:space="preserve">Customer Name : Butti Super Mart </t>
  </si>
  <si>
    <t xml:space="preserve">Address: Sooter Mill </t>
  </si>
  <si>
    <t>Customer Name : Haseeb Store</t>
  </si>
  <si>
    <t>Address: Sooter Mill</t>
  </si>
  <si>
    <t>Customer Name : Ashiq Store</t>
  </si>
  <si>
    <t>352017800733-9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</si>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</sst>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10" zoomScale="70" zoomScaleNormal="70" workbookViewId="0">
      <selection activeCell="S18" sqref="S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106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107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Karam Store</v>
      </c>
      <c r="U14" s="164">
        <f>+'1'!P35</f>
        <v>1760.4564498000002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Qadri Store</v>
      </c>
      <c r="U15" s="164">
        <f>+'2'!P35</f>
        <v>1002.8329728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+'3'!A5</f>
        <v>Customer Name : Ghazi Store</v>
      </c>
      <c r="U16" s="164">
        <f>+'3'!P35</f>
        <v>770.74004775000003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0</v>
      </c>
      <c r="M17" s="118">
        <f t="shared" ref="M17:M23" si="2">I17-K17-L17</f>
        <v>0</v>
      </c>
      <c r="N17" s="101">
        <f>+'1'!N17+'2'!N17+'4'!N17+'3'!N17+'5'!N17+'6'!N17+'7'!N17+'8'!N17+'9'!N17+'10'!N17</f>
        <v>0</v>
      </c>
      <c r="O17" s="101">
        <f>+'1'!O17+'2'!O17+'4'!O17+'3'!O17+'5'!O17+'6'!O17+'7'!O17+'8'!O17+'9'!O17+'10'!O17</f>
        <v>0</v>
      </c>
      <c r="P17" s="120">
        <f t="shared" si="0"/>
        <v>0</v>
      </c>
      <c r="S17" s="64"/>
      <c r="T17" s="163" t="str">
        <f>+'4'!A5</f>
        <v xml:space="preserve">Customer Name : Butti Super Mart </v>
      </c>
      <c r="U17" s="164">
        <f>+'4'!P35</f>
        <v>2296.9068954000004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Haseeb Store</v>
      </c>
      <c r="U18" s="164">
        <f>+'5'!P35</f>
        <v>3837.81001014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30</v>
      </c>
      <c r="I19" s="1">
        <f t="shared" si="1"/>
        <v>2179.1999999999998</v>
      </c>
      <c r="J19" s="172">
        <f>+'1'!J19+'2'!J19+'4'!J19+'3'!J19+'5'!J19+'6'!J19+'7'!J19+'8'!J19+'9'!J19+'10'!J19+'11'!J19+'12'!J19+'13'!J19+'14'!J19+'15'!J19+'16'!J19+'17'!J19+'18'!J19</f>
        <v>1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174.33600000000001</v>
      </c>
      <c r="M19" s="118">
        <f t="shared" si="2"/>
        <v>2004.8639999999998</v>
      </c>
      <c r="N19" s="101">
        <f>+'1'!N19+'2'!N19+'4'!N19+'3'!N19+'5'!N19+'6'!N19+'7'!N19+'8'!N19+'9'!N19+'10'!N19</f>
        <v>457.05088000000001</v>
      </c>
      <c r="O19" s="101">
        <f>+'1'!O19+'2'!O19+'4'!O19+'3'!O19+'5'!O19+'6'!O19+'7'!O19+'8'!O19+'9'!O19+'10'!O19</f>
        <v>12.309574400000001</v>
      </c>
      <c r="P19" s="120">
        <f t="shared" si="0"/>
        <v>2474.2244544</v>
      </c>
      <c r="T19" s="163" t="str">
        <f>+'6'!A5</f>
        <v>Customer Name : Ashiq Store</v>
      </c>
      <c r="U19" s="164">
        <f>+'6'!P35</f>
        <v>2535.0647625000001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10</v>
      </c>
      <c r="I20" s="1">
        <f t="shared" si="1"/>
        <v>726.4</v>
      </c>
      <c r="J20" s="172">
        <f>+'1'!J20+'2'!J20+'4'!J20+'3'!J20+'5'!J20+'6'!J20+'7'!J20+'8'!J20+'9'!J20+'10'!J20+'11'!J20+'12'!J20+'13'!J20+'14'!J20+'15'!J20+'16'!J20+'17'!J20+'18'!J20</f>
        <v>1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58.112000000000002</v>
      </c>
      <c r="M20" s="118">
        <f t="shared" si="2"/>
        <v>668.28800000000001</v>
      </c>
      <c r="N20" s="101">
        <f>+'1'!N20+'2'!N20+'4'!N20+'3'!N20+'5'!N20+'6'!N20+'7'!N20+'8'!N20+'9'!N20+'10'!N20</f>
        <v>163.00416000000001</v>
      </c>
      <c r="O20" s="101">
        <f>+'1'!O20+'2'!O20+'4'!O20+'3'!O20+'5'!O20+'6'!O20+'7'!O20+'8'!O20+'9'!O20+'10'!O20</f>
        <v>4.1564608000000005</v>
      </c>
      <c r="P20" s="120">
        <f t="shared" si="0"/>
        <v>835.44862079999996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44</v>
      </c>
      <c r="I21" s="1">
        <f t="shared" si="1"/>
        <v>3196.16</v>
      </c>
      <c r="J21" s="172">
        <f>+'1'!J21+'2'!J21+'4'!J21+'3'!J21+'5'!J21+'6'!J21+'7'!J21+'8'!J21+'9'!J21+'10'!J21+'11'!J21+'12'!J21+'13'!J21+'14'!J21+'15'!J21+'16'!J21+'17'!J21+'18'!J21</f>
        <v>1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255.69280000000001</v>
      </c>
      <c r="M21" s="118">
        <f t="shared" si="2"/>
        <v>2940.4672</v>
      </c>
      <c r="N21" s="101">
        <f>+'1'!N21+'2'!N21+'4'!N21+'3'!N21+'5'!N21+'6'!N21+'7'!N21+'8'!N21+'9'!N21+'10'!N21</f>
        <v>662.88358399999993</v>
      </c>
      <c r="O21" s="101">
        <f>+'1'!O21+'2'!O21+'4'!O21+'3'!O21+'5'!O21+'6'!O21+'7'!O21+'8'!O21+'9'!O21+'10'!O21</f>
        <v>57.15169920000001</v>
      </c>
      <c r="P21" s="120">
        <f t="shared" si="0"/>
        <v>3660.5024832000004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118</v>
      </c>
      <c r="I22" s="1">
        <f t="shared" si="1"/>
        <v>4629.1400000000003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162.01990000000006</v>
      </c>
      <c r="L22" s="175">
        <f>+'1'!L22+'2'!L22+'4'!L22+'3'!L22+'5'!L22+'6'!L22+'7'!L22+'8'!L22+'9'!L22+'10'!L22</f>
        <v>231.45700000000008</v>
      </c>
      <c r="M22" s="118">
        <f t="shared" si="2"/>
        <v>4235.6630999999998</v>
      </c>
      <c r="N22" s="101">
        <f>+'1'!N22+'2'!N22+'4'!N22+'3'!N22+'5'!N22+'6'!N22+'7'!N22+'8'!N22+'9'!N22+'10'!N22</f>
        <v>931.84588200000007</v>
      </c>
      <c r="O22" s="101">
        <f>+'1'!O22+'2'!O22+'4'!O22+'3'!O22+'5'!O22+'6'!O22+'7'!O22+'8'!O22+'9'!O22+'10'!O22</f>
        <v>66.126597990000008</v>
      </c>
      <c r="P22" s="120">
        <f t="shared" si="0"/>
        <v>5233.6355799899993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5.05</v>
      </c>
      <c r="D25" s="221"/>
      <c r="E25" s="221"/>
      <c r="F25" s="221"/>
      <c r="G25" s="176">
        <f t="shared" ref="G25:M25" si="3">SUM(G16:G24)</f>
        <v>0</v>
      </c>
      <c r="H25" s="177">
        <f t="shared" si="3"/>
        <v>202</v>
      </c>
      <c r="I25" s="178">
        <f t="shared" si="3"/>
        <v>10730.900000000001</v>
      </c>
      <c r="J25" s="177">
        <f t="shared" si="3"/>
        <v>3</v>
      </c>
      <c r="K25" s="178">
        <f t="shared" si="3"/>
        <v>162.01990000000006</v>
      </c>
      <c r="L25" s="179">
        <f t="shared" si="3"/>
        <v>719.59780000000012</v>
      </c>
      <c r="M25" s="141">
        <f t="shared" si="3"/>
        <v>9849.2822999999989</v>
      </c>
      <c r="N25" s="142">
        <f>SUM(N16:N24)</f>
        <v>2214.784506</v>
      </c>
      <c r="O25" s="143">
        <f>SUM(O16:O24)</f>
        <v>139.74433239000001</v>
      </c>
      <c r="P25" s="144">
        <f>SUM(P16:P24)</f>
        <v>12203.81113839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12203.811138390001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10730.900000000001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719.59780000000012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162.01990000000006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9849.2823000000026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2214.784506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12064.066806000003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301.60167015000007</v>
      </c>
    </row>
    <row r="39" spans="2:16" ht="15.75" customHeight="1" thickBot="1" x14ac:dyDescent="0.4">
      <c r="N39" s="219" t="s">
        <v>92</v>
      </c>
      <c r="O39" s="220"/>
      <c r="P39" s="160">
        <f>P37+P38</f>
        <v>12365.668476150002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109</v>
      </c>
      <c r="B6" s="201"/>
      <c r="C6" s="201"/>
      <c r="F6" s="70"/>
      <c r="G6" s="74"/>
      <c r="K6" s="201" t="s">
        <v>52</v>
      </c>
      <c r="L6" s="201"/>
      <c r="M6" s="201"/>
      <c r="N6" s="203" t="s">
        <v>105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3184896162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3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6"/>
        <v>1435.8180000000002</v>
      </c>
      <c r="N22" s="118">
        <f t="shared" si="0"/>
        <v>315.87996000000004</v>
      </c>
      <c r="O22" s="119">
        <f t="shared" si="1"/>
        <v>8.7584898000000013</v>
      </c>
      <c r="P22" s="120">
        <f t="shared" si="2"/>
        <v>1760.4564498000002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8.7584898000000013</v>
      </c>
      <c r="P25" s="144">
        <f>SUM(P16:P24)</f>
        <v>1760.4564498000002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1569.2000000000003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78.460000000000022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1435.8180000000002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1751.6979600000002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8.7584898000000013</v>
      </c>
    </row>
    <row r="35" spans="2:16" ht="15.75" customHeight="1" thickBot="1" x14ac:dyDescent="0.4">
      <c r="N35" s="219" t="s">
        <v>92</v>
      </c>
      <c r="O35" s="220"/>
      <c r="P35" s="160">
        <f>P33+P34</f>
        <v>1760.4564498000002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113</v>
      </c>
      <c r="B6" s="201"/>
      <c r="C6" s="201"/>
      <c r="F6" s="70"/>
      <c r="G6" s="74"/>
      <c r="K6" s="201" t="s">
        <v>52</v>
      </c>
      <c r="L6" s="201"/>
      <c r="M6" s="201"/>
      <c r="N6" s="203" t="s">
        <v>105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">
        <f t="shared" si="3"/>
        <v>0</v>
      </c>
      <c r="L21" s="105">
        <f t="shared" si="4"/>
        <v>69.734400000000008</v>
      </c>
      <c r="M21" s="118">
        <f t="shared" si="5"/>
        <v>801.94560000000001</v>
      </c>
      <c r="N21" s="118">
        <f t="shared" si="0"/>
        <v>176.428032</v>
      </c>
      <c r="O21" s="119">
        <f t="shared" si="6"/>
        <v>24.459340800000003</v>
      </c>
      <c r="P21" s="120">
        <f t="shared" si="1"/>
        <v>1002.8329728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12</v>
      </c>
      <c r="I25" s="137">
        <f t="shared" si="9"/>
        <v>871.68000000000006</v>
      </c>
      <c r="J25" s="138"/>
      <c r="K25" s="139">
        <f t="shared" si="9"/>
        <v>0</v>
      </c>
      <c r="L25" s="140">
        <f t="shared" si="9"/>
        <v>69.734400000000008</v>
      </c>
      <c r="M25" s="141">
        <f t="shared" si="9"/>
        <v>801.94560000000001</v>
      </c>
      <c r="N25" s="142">
        <f>SUM(N16:N24)</f>
        <v>176.428032</v>
      </c>
      <c r="O25" s="143">
        <f>SUM(O16:O24)</f>
        <v>24.459340800000003</v>
      </c>
      <c r="P25" s="144">
        <f>SUM(P16:P24)</f>
        <v>1002.8329728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871.68000000000006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69.734400000000008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801.94560000000001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176.428032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978.37363200000004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24.459340800000003</v>
      </c>
    </row>
    <row r="35" spans="2:16" ht="15.75" customHeight="1" thickBot="1" x14ac:dyDescent="0.4">
      <c r="N35" s="219" t="s">
        <v>92</v>
      </c>
      <c r="O35" s="220"/>
      <c r="P35" s="160">
        <f>P33+P34</f>
        <v>1002.8329728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105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34.867200000000004</v>
      </c>
      <c r="M21" s="118">
        <f t="shared" si="5"/>
        <v>400.97280000000001</v>
      </c>
      <c r="N21" s="118">
        <f t="shared" si="0"/>
        <v>88.214016000000001</v>
      </c>
      <c r="O21" s="119">
        <f t="shared" si="6"/>
        <v>12.229670400000002</v>
      </c>
      <c r="P21" s="120">
        <f t="shared" si="1"/>
        <v>501.4164864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">
        <f>I22*3.5%</f>
        <v>8.2383000000000024</v>
      </c>
      <c r="L22" s="120">
        <f>I22*5%</f>
        <v>11.769000000000002</v>
      </c>
      <c r="M22" s="118">
        <f t="shared" si="5"/>
        <v>215.37270000000001</v>
      </c>
      <c r="N22" s="118">
        <f t="shared" si="0"/>
        <v>47.381993999999999</v>
      </c>
      <c r="O22" s="119">
        <f t="shared" si="6"/>
        <v>6.5688673500000014</v>
      </c>
      <c r="P22" s="120">
        <f t="shared" si="1"/>
        <v>269.32356135000003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12</v>
      </c>
      <c r="I25" s="137">
        <f t="shared" si="9"/>
        <v>671.22</v>
      </c>
      <c r="J25" s="138"/>
      <c r="K25" s="139">
        <f t="shared" si="9"/>
        <v>8.2383000000000024</v>
      </c>
      <c r="L25" s="140">
        <f t="shared" si="9"/>
        <v>46.636200000000002</v>
      </c>
      <c r="M25" s="141">
        <f t="shared" si="9"/>
        <v>616.34550000000002</v>
      </c>
      <c r="N25" s="142">
        <f>SUM(N16:N24)</f>
        <v>135.59601000000001</v>
      </c>
      <c r="O25" s="143">
        <f>SUM(O16:O24)</f>
        <v>18.798537750000001</v>
      </c>
      <c r="P25" s="144">
        <f>SUM(P16:P24)</f>
        <v>770.74004775000003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671.22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46.636200000000002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8.2383000000000024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616.34550000000002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135.59601000000001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751.94150999999999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18.798537750000001</v>
      </c>
    </row>
    <row r="35" spans="2:16" ht="15.75" customHeight="1" thickBot="1" x14ac:dyDescent="0.4">
      <c r="N35" s="219" t="s">
        <v>92</v>
      </c>
      <c r="O35" s="220"/>
      <c r="P35" s="160">
        <f>P33+P34</f>
        <v>770.74004775000003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H8" sqref="H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105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34.867200000000004</v>
      </c>
      <c r="M21" s="118">
        <f t="shared" si="5"/>
        <v>400.97280000000001</v>
      </c>
      <c r="N21" s="118">
        <f t="shared" si="0"/>
        <v>88.214016000000001</v>
      </c>
      <c r="O21" s="119">
        <f t="shared" si="6"/>
        <v>12.229670400000002</v>
      </c>
      <c r="P21" s="120">
        <f t="shared" si="1"/>
        <v>501.4164864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46</v>
      </c>
      <c r="I25" s="137">
        <f t="shared" si="9"/>
        <v>2005.0400000000004</v>
      </c>
      <c r="J25" s="138"/>
      <c r="K25" s="139">
        <f t="shared" si="9"/>
        <v>54.922000000000011</v>
      </c>
      <c r="L25" s="140">
        <f t="shared" si="9"/>
        <v>113.32720000000003</v>
      </c>
      <c r="M25" s="141">
        <f t="shared" si="9"/>
        <v>1836.7908000000002</v>
      </c>
      <c r="N25" s="142">
        <f>SUM(N16:N24)</f>
        <v>404.09397600000005</v>
      </c>
      <c r="O25" s="143">
        <f>SUM(O16:O24)</f>
        <v>56.022119400000008</v>
      </c>
      <c r="P25" s="144">
        <f>SUM(P16:P24)</f>
        <v>2296.9068954000004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2005.0400000000004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113.32720000000003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1836.7908000000004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404.09397600000005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2240.8847760000003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56.022119400000008</v>
      </c>
    </row>
    <row r="35" spans="2:16" ht="15.75" customHeight="1" thickBot="1" x14ac:dyDescent="0.4">
      <c r="N35" s="219" t="s">
        <v>92</v>
      </c>
      <c r="O35" s="220"/>
      <c r="P35" s="160">
        <f>P33+P34</f>
        <v>2296.9068954000004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D7" sqref="D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105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 t="s">
        <v>120</v>
      </c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119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>
        <v>1</v>
      </c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310.02751999999998</v>
      </c>
      <c r="O19" s="119">
        <f t="shared" si="6"/>
        <v>8.2330176000000002</v>
      </c>
      <c r="P19" s="120">
        <f t="shared" si="1"/>
        <v>1654.8365376000002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5</v>
      </c>
      <c r="I20" s="116">
        <f t="shared" si="2"/>
        <v>363.2</v>
      </c>
      <c r="J20" s="117"/>
      <c r="K20" s="1">
        <f t="shared" si="3"/>
        <v>0</v>
      </c>
      <c r="L20" s="105">
        <f t="shared" si="4"/>
        <v>29.056000000000001</v>
      </c>
      <c r="M20" s="118">
        <f t="shared" si="5"/>
        <v>334.14400000000001</v>
      </c>
      <c r="N20" s="118">
        <f t="shared" si="0"/>
        <v>73.511679999999998</v>
      </c>
      <c r="O20" s="119">
        <f t="shared" si="6"/>
        <v>2.0382784000000003</v>
      </c>
      <c r="P20" s="120">
        <f t="shared" si="1"/>
        <v>409.69395840000004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>
        <v>1</v>
      </c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236.51583999999997</v>
      </c>
      <c r="O21" s="119">
        <f t="shared" si="6"/>
        <v>6.194739199999999</v>
      </c>
      <c r="P21" s="120">
        <f t="shared" si="1"/>
        <v>1245.1425791999998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2.6275469400000002</v>
      </c>
      <c r="P22" s="120">
        <f t="shared" si="1"/>
        <v>528.13693494000006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52</v>
      </c>
      <c r="I25" s="137">
        <f t="shared" si="9"/>
        <v>3376.36</v>
      </c>
      <c r="J25" s="138"/>
      <c r="K25" s="139">
        <f t="shared" si="9"/>
        <v>16.476600000000005</v>
      </c>
      <c r="L25" s="140">
        <f t="shared" si="9"/>
        <v>255.98599999999999</v>
      </c>
      <c r="M25" s="141">
        <f t="shared" si="9"/>
        <v>3103.8973999999998</v>
      </c>
      <c r="N25" s="142">
        <f>SUM(N16:N24)</f>
        <v>714.819028</v>
      </c>
      <c r="O25" s="143">
        <f>SUM(O16:O24)</f>
        <v>19.093582140000002</v>
      </c>
      <c r="P25" s="144">
        <f>SUM(P16:P24)</f>
        <v>3837.8100101400005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3376.36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255.98599999999999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16.476600000000005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3103.8974000000003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714.819028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3818.7164280000002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19.093582140000002</v>
      </c>
    </row>
    <row r="35" spans="2:16" ht="15.75" customHeight="1" thickBot="1" x14ac:dyDescent="0.4">
      <c r="N35" s="219" t="s">
        <v>92</v>
      </c>
      <c r="O35" s="220"/>
      <c r="P35" s="160">
        <f>P33+P34</f>
        <v>3837.81001014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abSelected="1" workbookViewId="0"/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105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3520156923569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">
        <f t="shared" si="3"/>
        <v>0</v>
      </c>
      <c r="L19" s="105">
        <f t="shared" si="4"/>
        <v>58.112000000000002</v>
      </c>
      <c r="M19" s="118">
        <f t="shared" si="5"/>
        <v>668.28800000000001</v>
      </c>
      <c r="N19" s="118">
        <f t="shared" si="0"/>
        <v>147.02336</v>
      </c>
      <c r="O19" s="119">
        <f t="shared" si="6"/>
        <v>4.0765568000000005</v>
      </c>
      <c r="P19" s="120">
        <f t="shared" si="1"/>
        <v>819.38791680000008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5</v>
      </c>
      <c r="I20" s="116">
        <f t="shared" si="2"/>
        <v>363.2</v>
      </c>
      <c r="J20" s="117">
        <v>1</v>
      </c>
      <c r="K20" s="1">
        <f t="shared" si="3"/>
        <v>0</v>
      </c>
      <c r="L20" s="105">
        <f t="shared" si="4"/>
        <v>29.056000000000001</v>
      </c>
      <c r="M20" s="118">
        <f t="shared" si="5"/>
        <v>334.14400000000001</v>
      </c>
      <c r="N20" s="118">
        <f t="shared" si="0"/>
        <v>89.49248</v>
      </c>
      <c r="O20" s="119">
        <f t="shared" si="6"/>
        <v>2.1181824000000002</v>
      </c>
      <c r="P20" s="120">
        <f t="shared" si="1"/>
        <v>425.75466240000003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5</v>
      </c>
      <c r="I21" s="116">
        <f t="shared" si="2"/>
        <v>363.2</v>
      </c>
      <c r="J21" s="117"/>
      <c r="K21" s="1">
        <f t="shared" si="3"/>
        <v>0</v>
      </c>
      <c r="L21" s="105">
        <f t="shared" si="4"/>
        <v>29.056000000000001</v>
      </c>
      <c r="M21" s="118">
        <f t="shared" si="5"/>
        <v>334.14400000000001</v>
      </c>
      <c r="N21" s="118">
        <f t="shared" si="0"/>
        <v>73.511679999999998</v>
      </c>
      <c r="O21" s="119">
        <f t="shared" si="6"/>
        <v>2.0382784000000003</v>
      </c>
      <c r="P21" s="120">
        <f t="shared" si="1"/>
        <v>409.69395840000004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2"/>
        <v>784.60000000000014</v>
      </c>
      <c r="J22" s="117"/>
      <c r="K22" s="1">
        <f>I22*3.5%</f>
        <v>27.461000000000006</v>
      </c>
      <c r="L22" s="120">
        <f>I22*5%</f>
        <v>39.230000000000011</v>
      </c>
      <c r="M22" s="118">
        <f t="shared" si="5"/>
        <v>717.90900000000011</v>
      </c>
      <c r="N22" s="118">
        <f t="shared" si="0"/>
        <v>157.93998000000002</v>
      </c>
      <c r="O22" s="119">
        <f t="shared" si="6"/>
        <v>4.3792449000000007</v>
      </c>
      <c r="P22" s="120">
        <f t="shared" si="1"/>
        <v>880.2282249000001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2237.4</v>
      </c>
      <c r="J25" s="138"/>
      <c r="K25" s="139">
        <f t="shared" si="9"/>
        <v>27.461000000000006</v>
      </c>
      <c r="L25" s="140">
        <f t="shared" si="9"/>
        <v>155.45400000000001</v>
      </c>
      <c r="M25" s="141">
        <f t="shared" si="9"/>
        <v>2054.4850000000001</v>
      </c>
      <c r="N25" s="142">
        <f>SUM(N16:N24)</f>
        <v>467.96749999999997</v>
      </c>
      <c r="O25" s="143">
        <f>SUM(O16:O24)</f>
        <v>12.6122625</v>
      </c>
      <c r="P25" s="144">
        <f>SUM(P16:P24)</f>
        <v>2535.0647625000001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2237.4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155.45400000000001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27.461000000000006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2054.4850000000001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467.96749999999997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2522.4525000000003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12.612262500000002</v>
      </c>
    </row>
    <row r="35" spans="2:16" ht="15.75" customHeight="1" thickBot="1" x14ac:dyDescent="0.4">
      <c r="N35" s="219" t="s">
        <v>92</v>
      </c>
      <c r="O35" s="220"/>
      <c r="P35" s="160">
        <f>P33+P34</f>
        <v>2535.0647625000001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5" sqref="N5:P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2026-06-25T09:50:25Z</dcterms:modified>
</cp:coreProperties>
</file>