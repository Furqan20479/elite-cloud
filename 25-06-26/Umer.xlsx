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45B3116-7116-4289-BB36-184F4954EB15}" xr6:coauthVersionLast="47" xr6:coauthVersionMax="47" xr10:uidLastSave="{00000000-0000-0000-0000-000000000000}"/>
  <bookViews>
    <workbookView xWindow="-110" yWindow="-110" windowWidth="19420" windowHeight="10420" tabRatio="949" activeTab="8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18" l="1"/>
  <c r="M22" i="18" s="1"/>
  <c r="L22" i="19"/>
  <c r="L25" i="19" s="1"/>
  <c r="P29" i="19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<sst xmlns="http://schemas.openxmlformats.org/spreadsheetml/2006/main" count="1583" uniqueCount="121">
  <si>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</si>
  <si>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</si>
  <si>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</si>
  <si>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</si>
  <si>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</si>
  <si>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</si>
  <si>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</si>
  <si>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</si>
  <si>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</si>
  <si>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</si>
  <si>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</si>
  <si>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</si>
  <si>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</si>
  <si>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</si>
  <si>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</si>
  <si>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</si>
  <si>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</si>
  <si>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</si>
  <si>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</si>
  <si>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</si>
  <si>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</si>
  <si>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</si>
  <si>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</si>
  <si>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</si>
  <si>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</si>
  <si>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</si>
  <si>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</si>
  <si>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</si>
  <si>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</si>
  <si>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</si>
  <si>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</si>
  <si>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</si>
  <si>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</si>
  <si>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</si>
  <si>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</si>
  <si>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</si>
  <si>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</si>
  <si>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</si>
  <si>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</si>
  <si>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</si>
  <si>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</si>
  <si>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</si>
  <si>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</si>
  <si>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</si>
  <si>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</si>
  <si>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</si>
  <si>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</si>
  <si>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</si>
  <si>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</si>
  <si>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</si>
  <si>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</si>
  <si>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</si>
  <si>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</si>
  <si>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</si>
  <si>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</si>
  <si>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</si>
  <si>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</si>
  <si>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</si>
  <si>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</si>
  <si>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</si>
  <si>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</si>
  <si>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</si>
  <si>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</si>
  <si>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</si>
  <si>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</si>
  <si>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</si>
  <si>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</si>
  <si>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</si>
  <si>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</si>
  <si>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</si>
  <si>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</si>
  <si>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</si>
  <si>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</si>
  <si>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</si>
  <si>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</si>
  <si>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</si>
  <si>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</si>
  <si>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</si>
  <si>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</si>
  <si>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</si>
  <si>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</si>
  <si>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</si>
  <si>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</si>
  <si>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</si>
  <si>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</si>
  <si>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</si>
  <si>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</si>
  <si>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</si>
  <si>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</si>
  <si>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</si>
  <si>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</si>
  <si>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</si>
  <si>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</si>
  <si>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</si>
  <si>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</si>
  <si>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</si>
  <si>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</si>
  <si>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</si>
  <si>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</si>
  <si>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</si>
  <si>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</si>
  <si>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</si>
  <si>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</si>
  <si>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</si>
  <si>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</si>
  <si>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</si>
  <si>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Umer</t>
  </si>
  <si>
    <t>Shop Bill Summary (Umer Nawaz)</t>
  </si>
  <si>
    <t>Customer Name : Karam Store</t>
  </si>
  <si>
    <t>Address: Chaudry Colony</t>
  </si>
  <si>
    <t>Customer Name : Qadri Store</t>
  </si>
  <si>
    <t>Customer Name : Ghazi Store</t>
  </si>
  <si>
    <t xml:space="preserve">Address: Sooter Mil </t>
  </si>
  <si>
    <t xml:space="preserve">Address: Karam Store k samny  Sooter Mill </t>
  </si>
  <si>
    <t xml:space="preserve">Customer Name : Butti Super Mart </t>
  </si>
  <si>
    <t xml:space="preserve">Address: Sooter Mill </t>
  </si>
  <si>
    <t>Customer Name : Haseeb Store</t>
  </si>
  <si>
    <t>Address: Sooter Mill</t>
  </si>
  <si>
    <t>Customer Name : Ashiq Store</t>
  </si>
  <si>
    <t>352017800733-9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</si>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</sst>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5" zoomScale="70" zoomScaleNormal="70" workbookViewId="0">
      <selection activeCell="V17" sqref="V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107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Karam Store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Qadri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Ghazi Store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Butti Super Mart </v>
      </c>
      <c r="U17" s="164">
        <f>+'4'!P35</f>
        <v>2296.9068954000004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Haseeb Store</v>
      </c>
      <c r="U18" s="164">
        <f>+'5'!P35</f>
        <v>3837.81001014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30</v>
      </c>
      <c r="I19" s="1">
        <f t="shared" si="1"/>
        <v>2179.1999999999998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174.33600000000001</v>
      </c>
      <c r="M19" s="118">
        <f t="shared" si="2"/>
        <v>2004.8639999999998</v>
      </c>
      <c r="N19" s="101">
        <f>+'1'!N19+'2'!N19+'4'!N19+'3'!N19+'5'!N19+'6'!N19+'7'!N19+'8'!N19+'9'!N19+'10'!N19</f>
        <v>457.05088000000001</v>
      </c>
      <c r="O19" s="101">
        <f>+'1'!O19+'2'!O19+'4'!O19+'3'!O19+'5'!O19+'6'!O19+'7'!O19+'8'!O19+'9'!O19+'10'!O19</f>
        <v>12.309574400000001</v>
      </c>
      <c r="P19" s="120">
        <f t="shared" si="0"/>
        <v>2474.2244544</v>
      </c>
      <c r="T19" s="163" t="str">
        <f>+'6'!A5</f>
        <v>Customer Name : Ashiq Store</v>
      </c>
      <c r="U19" s="164">
        <f>+'6'!P35</f>
        <v>2535.0647625000001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10</v>
      </c>
      <c r="I20" s="1">
        <f t="shared" si="1"/>
        <v>726.4</v>
      </c>
      <c r="J20" s="172">
        <f>+'1'!J20+'2'!J20+'4'!J20+'3'!J20+'5'!J20+'6'!J20+'7'!J20+'8'!J20+'9'!J20+'10'!J20+'11'!J20+'12'!J20+'13'!J20+'14'!J20+'15'!J20+'16'!J20+'17'!J20+'18'!J20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58.112000000000002</v>
      </c>
      <c r="M20" s="118">
        <f t="shared" si="2"/>
        <v>668.28800000000001</v>
      </c>
      <c r="N20" s="101">
        <f>+'1'!N20+'2'!N20+'4'!N20+'3'!N20+'5'!N20+'6'!N20+'7'!N20+'8'!N20+'9'!N20+'10'!N20</f>
        <v>163.00416000000001</v>
      </c>
      <c r="O20" s="101">
        <f>+'1'!O20+'2'!O20+'4'!O20+'3'!O20+'5'!O20+'6'!O20+'7'!O20+'8'!O20+'9'!O20+'10'!O20</f>
        <v>4.1564608000000005</v>
      </c>
      <c r="P20" s="120">
        <f t="shared" si="0"/>
        <v>835.44862079999996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26</v>
      </c>
      <c r="I21" s="1">
        <f t="shared" si="1"/>
        <v>1888.64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151.09120000000001</v>
      </c>
      <c r="M21" s="118">
        <f t="shared" si="2"/>
        <v>1737.5488</v>
      </c>
      <c r="N21" s="101">
        <f>+'1'!N21+'2'!N21+'4'!N21+'3'!N21+'5'!N21+'6'!N21+'7'!N21+'8'!N21+'9'!N21+'10'!N21</f>
        <v>398.241536</v>
      </c>
      <c r="O21" s="101">
        <f>+'1'!O21+'2'!O21+'4'!O21+'3'!O21+'5'!O21+'6'!O21+'7'!O21+'8'!O21+'9'!O21+'10'!O21</f>
        <v>20.462688</v>
      </c>
      <c r="P21" s="120">
        <f t="shared" si="0"/>
        <v>2156.2530240000001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72</v>
      </c>
      <c r="I22" s="1">
        <f t="shared" si="1"/>
        <v>2824.5600000000004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98.859600000000029</v>
      </c>
      <c r="L22" s="175">
        <f>+'1'!L22+'2'!L22+'4'!L22+'3'!L22+'5'!L22+'6'!L22+'7'!L22+'8'!L22+'9'!L22+'10'!L22</f>
        <v>141.22800000000004</v>
      </c>
      <c r="M22" s="118">
        <f t="shared" si="2"/>
        <v>2584.4724000000001</v>
      </c>
      <c r="N22" s="101">
        <f>+'1'!N22+'2'!N22+'4'!N22+'3'!N22+'5'!N22+'6'!N22+'7'!N22+'8'!N22+'9'!N22+'10'!N22</f>
        <v>568.58392800000001</v>
      </c>
      <c r="O22" s="101">
        <f>+'1'!O22+'2'!O22+'4'!O22+'3'!O22+'5'!O22+'6'!O22+'7'!O22+'8'!O22+'9'!O22+'10'!O22</f>
        <v>50.79924084000001</v>
      </c>
      <c r="P22" s="120">
        <f t="shared" si="0"/>
        <v>3203.8555688400002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3.45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138</v>
      </c>
      <c r="I25" s="178">
        <f t="shared" si="3"/>
        <v>7618.8</v>
      </c>
      <c r="J25" s="177">
        <f t="shared" si="3"/>
        <v>3</v>
      </c>
      <c r="K25" s="178">
        <f t="shared" si="3"/>
        <v>98.859600000000029</v>
      </c>
      <c r="L25" s="179">
        <f t="shared" si="3"/>
        <v>524.76720000000012</v>
      </c>
      <c r="M25" s="141">
        <f t="shared" si="3"/>
        <v>6995.1732000000011</v>
      </c>
      <c r="N25" s="142">
        <f>SUM(N16:N24)</f>
        <v>1586.880504</v>
      </c>
      <c r="O25" s="143">
        <f>SUM(O16:O24)</f>
        <v>87.727964040000018</v>
      </c>
      <c r="P25" s="144">
        <f>SUM(P16:P24)</f>
        <v>8669.7816680399992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8669.781668040001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7618.8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524.76720000000012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98.859600000000029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6995.1732000000002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1586.880504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8582.0537039999999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214.5513426</v>
      </c>
    </row>
    <row r="39" spans="2:16" ht="15.75" customHeight="1" thickBot="1" x14ac:dyDescent="0.4">
      <c r="N39" s="219" t="s">
        <v>92</v>
      </c>
      <c r="O39" s="220"/>
      <c r="P39" s="160">
        <f>P37+P38</f>
        <v>8796.6050465999997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105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3184896162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F13" sqref="F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105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0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105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I22" sqref="I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105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46</v>
      </c>
      <c r="I25" s="137">
        <f t="shared" si="9"/>
        <v>2005.0400000000004</v>
      </c>
      <c r="J25" s="138"/>
      <c r="K25" s="139">
        <f t="shared" si="9"/>
        <v>54.922000000000011</v>
      </c>
      <c r="L25" s="140">
        <f t="shared" si="9"/>
        <v>113.32720000000003</v>
      </c>
      <c r="M25" s="141">
        <f t="shared" si="9"/>
        <v>1836.7908000000002</v>
      </c>
      <c r="N25" s="142">
        <f>SUM(N16:N24)</f>
        <v>404.09397600000005</v>
      </c>
      <c r="O25" s="143">
        <f>SUM(O16:O24)</f>
        <v>56.022119400000008</v>
      </c>
      <c r="P25" s="144">
        <f>SUM(P16:P24)</f>
        <v>2296.9068954000004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2005.0400000000004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113.32720000000003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1836.7908000000004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404.09397600000005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2240.8847760000003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56.022119400000008</v>
      </c>
    </row>
    <row r="35" spans="2:16" ht="15.75" customHeight="1" thickBot="1" x14ac:dyDescent="0.4">
      <c r="N35" s="219" t="s">
        <v>92</v>
      </c>
      <c r="O35" s="220"/>
      <c r="P35" s="160">
        <f>P33+P34</f>
        <v>2296.9068954000004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9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105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 t="s">
        <v>120</v>
      </c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/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73.511679999999998</v>
      </c>
      <c r="O20" s="119">
        <f t="shared" si="6"/>
        <v>2.0382784000000003</v>
      </c>
      <c r="P20" s="120">
        <f t="shared" si="1"/>
        <v>409.69395840000004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236.51583999999997</v>
      </c>
      <c r="O21" s="119">
        <f t="shared" si="6"/>
        <v>6.194739199999999</v>
      </c>
      <c r="P21" s="120">
        <f t="shared" si="1"/>
        <v>1245.1425791999998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52</v>
      </c>
      <c r="I25" s="137">
        <f t="shared" si="9"/>
        <v>3376.36</v>
      </c>
      <c r="J25" s="138"/>
      <c r="K25" s="139">
        <f t="shared" si="9"/>
        <v>16.476600000000005</v>
      </c>
      <c r="L25" s="140">
        <f t="shared" si="9"/>
        <v>255.98599999999999</v>
      </c>
      <c r="M25" s="141">
        <f t="shared" si="9"/>
        <v>3103.8973999999998</v>
      </c>
      <c r="N25" s="142">
        <f>SUM(N16:N24)</f>
        <v>714.819028</v>
      </c>
      <c r="O25" s="143">
        <f>SUM(O16:O24)</f>
        <v>19.093582140000002</v>
      </c>
      <c r="P25" s="144">
        <f>SUM(P16:P24)</f>
        <v>3837.8100101400005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3376.36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255.98599999999999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3103.8974000000003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714.819028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3818.7164280000002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19.093582140000002</v>
      </c>
    </row>
    <row r="35" spans="2:16" ht="15.75" customHeight="1" thickBot="1" x14ac:dyDescent="0.4">
      <c r="N35" s="219" t="s">
        <v>92</v>
      </c>
      <c r="O35" s="220"/>
      <c r="P35" s="160">
        <f>P33+P34</f>
        <v>3837.81001014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abSelected="1" topLeftCell="A4" workbookViewId="0">
      <selection activeCell="F9" sqref="F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105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3520156923569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89.49248</v>
      </c>
      <c r="O20" s="119">
        <f t="shared" si="6"/>
        <v>2.1181824000000002</v>
      </c>
      <c r="P20" s="120">
        <f t="shared" si="1"/>
        <v>425.75466240000003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2"/>
        <v>363.2</v>
      </c>
      <c r="J21" s="117"/>
      <c r="K21" s="1">
        <f t="shared" si="3"/>
        <v>0</v>
      </c>
      <c r="L21" s="105">
        <f t="shared" si="4"/>
        <v>29.056000000000001</v>
      </c>
      <c r="M21" s="118">
        <f t="shared" si="5"/>
        <v>334.14400000000001</v>
      </c>
      <c r="N21" s="118">
        <f t="shared" si="0"/>
        <v>73.511679999999998</v>
      </c>
      <c r="O21" s="119">
        <f t="shared" si="6"/>
        <v>2.0382784000000003</v>
      </c>
      <c r="P21" s="120">
        <f t="shared" si="1"/>
        <v>409.69395840000004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4.3792449000000007</v>
      </c>
      <c r="P22" s="120">
        <f t="shared" si="1"/>
        <v>880.2282249000001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2237.4</v>
      </c>
      <c r="J25" s="138"/>
      <c r="K25" s="139">
        <f t="shared" si="9"/>
        <v>27.461000000000006</v>
      </c>
      <c r="L25" s="140">
        <f t="shared" si="9"/>
        <v>155.45400000000001</v>
      </c>
      <c r="M25" s="141">
        <f t="shared" si="9"/>
        <v>2054.4850000000001</v>
      </c>
      <c r="N25" s="142">
        <f>SUM(N16:N24)</f>
        <v>467.96749999999997</v>
      </c>
      <c r="O25" s="143">
        <f>SUM(O16:O24)</f>
        <v>12.6122625</v>
      </c>
      <c r="P25" s="144">
        <f>SUM(P16:P24)</f>
        <v>2535.0647625000001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2237.4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155.45400000000001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27.461000000000006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2054.4850000000001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467.96749999999997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2522.4525000000003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12.612262500000002</v>
      </c>
    </row>
    <row r="35" spans="2:16" ht="15.75" customHeight="1" thickBot="1" x14ac:dyDescent="0.4">
      <c r="N35" s="219" t="s">
        <v>92</v>
      </c>
      <c r="O35" s="220"/>
      <c r="P35" s="160">
        <f>P33+P34</f>
        <v>2535.0647625000001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2026-06-29T06:12:03Z</dcterms:modified>
</cp:coreProperties>
</file>