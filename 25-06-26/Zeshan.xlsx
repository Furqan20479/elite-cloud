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4BBAAFA-5D05-485D-B0B9-96AD8BF62D1F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25" i="15" l="1"/>
  <c r="T17" i="15" l="1"/>
  <c r="T16" i="15"/>
  <c r="J17" i="15"/>
  <c r="J18" i="15"/>
  <c r="J19" i="15"/>
  <c r="J20" i="15"/>
  <c r="J21" i="15"/>
  <c r="J22" i="15"/>
  <c r="J23" i="15"/>
  <c r="J24" i="15"/>
  <c r="J16" i="15"/>
  <c r="H17" i="15" l="1"/>
  <c r="H18" i="15"/>
  <c r="H19" i="15"/>
  <c r="H20" i="15"/>
  <c r="H21" i="15"/>
  <c r="H22" i="15"/>
  <c r="H23" i="15"/>
  <c r="H24" i="15"/>
  <c r="H16" i="15"/>
  <c r="T28" i="15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B20" i="33"/>
  <c r="C20" i="33" s="1"/>
  <c r="F19" i="33"/>
  <c r="E19" i="33"/>
  <c r="D19" i="33"/>
  <c r="B19" i="33"/>
  <c r="C19" i="33" s="1"/>
  <c r="F18" i="33"/>
  <c r="E18" i="33"/>
  <c r="D18" i="33"/>
  <c r="I18" i="33" s="1"/>
  <c r="K18" i="33" s="1"/>
  <c r="C18" i="33"/>
  <c r="B18" i="33"/>
  <c r="F17" i="33"/>
  <c r="I17" i="33" s="1"/>
  <c r="K17" i="33" s="1"/>
  <c r="E17" i="33"/>
  <c r="D17" i="33"/>
  <c r="B17" i="33"/>
  <c r="C17" i="33" s="1"/>
  <c r="F16" i="33"/>
  <c r="E16" i="33"/>
  <c r="D16" i="33"/>
  <c r="I16" i="33" s="1"/>
  <c r="L16" i="33" s="1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N4" i="28"/>
  <c r="N5" i="28" s="1"/>
  <c r="I16" i="31" l="1"/>
  <c r="I17" i="31"/>
  <c r="I18" i="31"/>
  <c r="I19" i="31"/>
  <c r="K19" i="31" s="1"/>
  <c r="I20" i="31"/>
  <c r="I21" i="31"/>
  <c r="I22" i="31"/>
  <c r="I23" i="31"/>
  <c r="K23" i="31" s="1"/>
  <c r="I24" i="31"/>
  <c r="I23" i="32"/>
  <c r="I22" i="33"/>
  <c r="I16" i="34"/>
  <c r="I25" i="34" s="1"/>
  <c r="P28" i="34" s="1"/>
  <c r="I17" i="34"/>
  <c r="I18" i="34"/>
  <c r="I19" i="34"/>
  <c r="I20" i="34"/>
  <c r="K20" i="34" s="1"/>
  <c r="I21" i="34"/>
  <c r="I22" i="34"/>
  <c r="I23" i="34"/>
  <c r="I24" i="34"/>
  <c r="L24" i="34" s="1"/>
  <c r="M24" i="34" s="1"/>
  <c r="I16" i="29"/>
  <c r="I17" i="29"/>
  <c r="I18" i="29"/>
  <c r="I19" i="29"/>
  <c r="K19" i="29" s="1"/>
  <c r="I20" i="29"/>
  <c r="I21" i="29"/>
  <c r="I22" i="29"/>
  <c r="I23" i="29"/>
  <c r="L23" i="29" s="1"/>
  <c r="I24" i="29"/>
  <c r="I24" i="32"/>
  <c r="I19" i="33"/>
  <c r="I23" i="33"/>
  <c r="L23" i="33" s="1"/>
  <c r="L17" i="33"/>
  <c r="L18" i="33"/>
  <c r="I25" i="35"/>
  <c r="P28" i="35" s="1"/>
  <c r="K16" i="35"/>
  <c r="L16" i="35"/>
  <c r="K17" i="35"/>
  <c r="M17" i="35"/>
  <c r="L17" i="35"/>
  <c r="K18" i="35"/>
  <c r="L18" i="35"/>
  <c r="M18" i="35" s="1"/>
  <c r="K19" i="35"/>
  <c r="L19" i="35"/>
  <c r="K20" i="35"/>
  <c r="L20" i="35"/>
  <c r="K21" i="35"/>
  <c r="M21" i="35" s="1"/>
  <c r="L21" i="35"/>
  <c r="K22" i="35"/>
  <c r="L22" i="35"/>
  <c r="M22" i="35"/>
  <c r="K23" i="35"/>
  <c r="L23" i="35"/>
  <c r="M23" i="35" s="1"/>
  <c r="K24" i="35"/>
  <c r="M24" i="35" s="1"/>
  <c r="L24" i="35"/>
  <c r="L16" i="34"/>
  <c r="K17" i="34"/>
  <c r="L17" i="34"/>
  <c r="K18" i="34"/>
  <c r="L18" i="34"/>
  <c r="K19" i="34"/>
  <c r="L19" i="34"/>
  <c r="L20" i="34"/>
  <c r="K21" i="34"/>
  <c r="L21" i="34"/>
  <c r="K22" i="34"/>
  <c r="L22" i="34"/>
  <c r="K23" i="34"/>
  <c r="M23" i="34"/>
  <c r="L23" i="34"/>
  <c r="K24" i="34"/>
  <c r="K21" i="33"/>
  <c r="L21" i="33"/>
  <c r="K22" i="33"/>
  <c r="M22" i="33" s="1"/>
  <c r="L22" i="33"/>
  <c r="K19" i="33"/>
  <c r="L19" i="33"/>
  <c r="K23" i="33"/>
  <c r="K20" i="33"/>
  <c r="L20" i="33"/>
  <c r="K24" i="33"/>
  <c r="M24" i="33" s="1"/>
  <c r="L24" i="33"/>
  <c r="M17" i="33"/>
  <c r="M18" i="33"/>
  <c r="K16" i="33"/>
  <c r="K24" i="32"/>
  <c r="M24" i="32" s="1"/>
  <c r="L24" i="32"/>
  <c r="I25" i="32"/>
  <c r="P28" i="32" s="1"/>
  <c r="K16" i="32"/>
  <c r="L16" i="32"/>
  <c r="K17" i="32"/>
  <c r="L17" i="32"/>
  <c r="K18" i="32"/>
  <c r="L18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L19" i="31"/>
  <c r="K21" i="31"/>
  <c r="L21" i="31"/>
  <c r="K22" i="31"/>
  <c r="L22" i="31"/>
  <c r="M22" i="31" s="1"/>
  <c r="K24" i="31"/>
  <c r="L24" i="31"/>
  <c r="M24" i="31" s="1"/>
  <c r="K16" i="31"/>
  <c r="L16" i="31"/>
  <c r="K18" i="31"/>
  <c r="L18" i="31"/>
  <c r="K20" i="31"/>
  <c r="L20" i="31"/>
  <c r="L23" i="31"/>
  <c r="K18" i="30"/>
  <c r="L18" i="30"/>
  <c r="K20" i="30"/>
  <c r="L20" i="30"/>
  <c r="K21" i="30"/>
  <c r="L21" i="30"/>
  <c r="M21" i="30" s="1"/>
  <c r="K23" i="30"/>
  <c r="M23" i="30" s="1"/>
  <c r="L23" i="30"/>
  <c r="I25" i="30"/>
  <c r="P28" i="30" s="1"/>
  <c r="K16" i="30"/>
  <c r="L16" i="30"/>
  <c r="K17" i="30"/>
  <c r="L17" i="30"/>
  <c r="K19" i="30"/>
  <c r="L19" i="30"/>
  <c r="K22" i="30"/>
  <c r="L22" i="30"/>
  <c r="K24" i="30"/>
  <c r="M24" i="30" s="1"/>
  <c r="L24" i="30"/>
  <c r="K16" i="29"/>
  <c r="L16" i="29"/>
  <c r="K21" i="29"/>
  <c r="L21" i="29"/>
  <c r="K24" i="29"/>
  <c r="M24" i="29"/>
  <c r="L24" i="29"/>
  <c r="K17" i="29"/>
  <c r="L17" i="29"/>
  <c r="K20" i="29"/>
  <c r="L20" i="29"/>
  <c r="K22" i="29"/>
  <c r="M22" i="29" s="1"/>
  <c r="L22" i="29"/>
  <c r="K18" i="29"/>
  <c r="L18" i="29"/>
  <c r="K23" i="29"/>
  <c r="I25" i="28"/>
  <c r="P28" i="28" s="1"/>
  <c r="K16" i="28"/>
  <c r="L16" i="28"/>
  <c r="K17" i="28"/>
  <c r="L17" i="28"/>
  <c r="M17" i="28" s="1"/>
  <c r="K18" i="28"/>
  <c r="L18" i="28"/>
  <c r="K19" i="28"/>
  <c r="L19" i="28"/>
  <c r="K20" i="28"/>
  <c r="L20" i="28"/>
  <c r="K21" i="28"/>
  <c r="L21" i="28"/>
  <c r="K22" i="28"/>
  <c r="L22" i="28"/>
  <c r="K23" i="28"/>
  <c r="M23" i="28"/>
  <c r="L23" i="28"/>
  <c r="K24" i="28"/>
  <c r="M24" i="28" s="1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M23" i="33" l="1"/>
  <c r="I16" i="26"/>
  <c r="I17" i="26"/>
  <c r="I18" i="26"/>
  <c r="K18" i="26" s="1"/>
  <c r="I19" i="26"/>
  <c r="I20" i="26"/>
  <c r="I21" i="26"/>
  <c r="K21" i="26" s="1"/>
  <c r="I22" i="26"/>
  <c r="K22" i="26" s="1"/>
  <c r="I23" i="26"/>
  <c r="I24" i="26"/>
  <c r="I21" i="27"/>
  <c r="M18" i="28"/>
  <c r="N18" i="28" s="1"/>
  <c r="O18" i="28" s="1"/>
  <c r="P18" i="28" s="1"/>
  <c r="M20" i="29"/>
  <c r="M23" i="31"/>
  <c r="I25" i="31"/>
  <c r="P28" i="31" s="1"/>
  <c r="M19" i="32"/>
  <c r="N19" i="32" s="1"/>
  <c r="O19" i="32" s="1"/>
  <c r="M17" i="32"/>
  <c r="K16" i="34"/>
  <c r="M16" i="34" s="1"/>
  <c r="I25" i="33"/>
  <c r="P28" i="33" s="1"/>
  <c r="L19" i="29"/>
  <c r="I25" i="29"/>
  <c r="P28" i="29" s="1"/>
  <c r="M23" i="29"/>
  <c r="M22" i="28"/>
  <c r="N22" i="28" s="1"/>
  <c r="O22" i="28" s="1"/>
  <c r="P22" i="28" s="1"/>
  <c r="M22" i="32"/>
  <c r="N22" i="32" s="1"/>
  <c r="O22" i="32" s="1"/>
  <c r="P22" i="32" s="1"/>
  <c r="M22" i="30"/>
  <c r="M21" i="33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K25" i="33"/>
  <c r="P30" i="33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24" i="35"/>
  <c r="O24" i="35" s="1"/>
  <c r="P24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N24" i="34"/>
  <c r="O24" i="34" s="1"/>
  <c r="P24" i="34"/>
  <c r="L25" i="34"/>
  <c r="P29" i="34" s="1"/>
  <c r="K25" i="34"/>
  <c r="P30" i="34" s="1"/>
  <c r="N23" i="34"/>
  <c r="O23" i="34" s="1"/>
  <c r="P23" i="34" s="1"/>
  <c r="N19" i="34"/>
  <c r="O19" i="34" s="1"/>
  <c r="N16" i="34"/>
  <c r="N23" i="33"/>
  <c r="O23" i="33" s="1"/>
  <c r="N24" i="33"/>
  <c r="O24" i="33" s="1"/>
  <c r="N18" i="33"/>
  <c r="O18" i="33" s="1"/>
  <c r="N21" i="33"/>
  <c r="O21" i="33" s="1"/>
  <c r="N17" i="33"/>
  <c r="O17" i="33" s="1"/>
  <c r="N22" i="33"/>
  <c r="O22" i="33" s="1"/>
  <c r="M16" i="33"/>
  <c r="N17" i="32"/>
  <c r="O17" i="32" s="1"/>
  <c r="N23" i="32"/>
  <c r="O23" i="32" s="1"/>
  <c r="N24" i="32"/>
  <c r="O24" i="32" s="1"/>
  <c r="P24" i="32" s="1"/>
  <c r="L25" i="32"/>
  <c r="P29" i="32" s="1"/>
  <c r="K25" i="32"/>
  <c r="P30" i="32" s="1"/>
  <c r="N21" i="31"/>
  <c r="O21" i="31" s="1"/>
  <c r="N24" i="31"/>
  <c r="O24" i="31" s="1"/>
  <c r="P24" i="31"/>
  <c r="N23" i="31"/>
  <c r="O23" i="31" s="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22" i="29"/>
  <c r="O22" i="29" s="1"/>
  <c r="N21" i="29"/>
  <c r="O21" i="29" s="1"/>
  <c r="N23" i="29"/>
  <c r="O23" i="29" s="1"/>
  <c r="N16" i="29"/>
  <c r="N20" i="29"/>
  <c r="O20" i="29" s="1"/>
  <c r="N24" i="29"/>
  <c r="O24" i="29" s="1"/>
  <c r="P24" i="29" s="1"/>
  <c r="L25" i="29"/>
  <c r="P29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L20" i="26"/>
  <c r="K24" i="26"/>
  <c r="L24" i="26"/>
  <c r="M24" i="26" s="1"/>
  <c r="K16" i="26"/>
  <c r="L16" i="26"/>
  <c r="T23" i="15"/>
  <c r="T22" i="15"/>
  <c r="T21" i="15"/>
  <c r="T20" i="15"/>
  <c r="T19" i="15"/>
  <c r="T18" i="15"/>
  <c r="T15" i="15"/>
  <c r="T14" i="15"/>
  <c r="L21" i="26" l="1"/>
  <c r="M21" i="26" s="1"/>
  <c r="N21" i="26" s="1"/>
  <c r="O21" i="26" s="1"/>
  <c r="I25" i="26"/>
  <c r="P28" i="26" s="1"/>
  <c r="M23" i="27"/>
  <c r="P23" i="32"/>
  <c r="P23" i="31"/>
  <c r="M17" i="26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N25" i="34"/>
  <c r="P32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N17" i="26"/>
  <c r="O17" i="26" s="1"/>
  <c r="P17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I16" i="25" l="1"/>
  <c r="I17" i="25"/>
  <c r="I18" i="25"/>
  <c r="I19" i="25"/>
  <c r="I25" i="25" s="1"/>
  <c r="P28" i="25" s="1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I22" i="19"/>
  <c r="K22" i="19" s="1"/>
  <c r="I23" i="19"/>
  <c r="L23" i="19" s="1"/>
  <c r="I24" i="19"/>
  <c r="P33" i="34"/>
  <c r="P34" i="34" s="1"/>
  <c r="P35" i="34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22" i="25"/>
  <c r="L17" i="25"/>
  <c r="K17" i="25"/>
  <c r="L23" i="25"/>
  <c r="K23" i="25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L21" i="19"/>
  <c r="K21" i="19"/>
  <c r="L21" i="18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38" i="15"/>
  <c r="O36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K22" i="18" l="1"/>
  <c r="M22" i="18" s="1"/>
  <c r="L22" i="19"/>
  <c r="M22" i="19" s="1"/>
  <c r="N22" i="19" s="1"/>
  <c r="O22" i="19" s="1"/>
  <c r="P22" i="19" s="1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4" i="31"/>
  <c r="P35" i="31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N16" i="24" s="1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I16" i="15"/>
  <c r="I17" i="15"/>
  <c r="I18" i="15"/>
  <c r="I19" i="15"/>
  <c r="I20" i="15"/>
  <c r="I21" i="15"/>
  <c r="I22" i="15"/>
  <c r="I24" i="15"/>
  <c r="I16" i="16"/>
  <c r="K16" i="16" s="1"/>
  <c r="I17" i="16"/>
  <c r="L17" i="16" s="1"/>
  <c r="I18" i="16"/>
  <c r="K18" i="16" s="1"/>
  <c r="I19" i="16"/>
  <c r="L19" i="16" s="1"/>
  <c r="I20" i="16"/>
  <c r="K20" i="16" s="1"/>
  <c r="I21" i="16"/>
  <c r="L21" i="16" s="1"/>
  <c r="L21" i="15" s="1"/>
  <c r="I22" i="16"/>
  <c r="K22" i="16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3" i="24"/>
  <c r="O23" i="24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M21" i="19"/>
  <c r="N24" i="19"/>
  <c r="O24" i="19" s="1"/>
  <c r="N24" i="18"/>
  <c r="O24" i="18" s="1"/>
  <c r="N18" i="18"/>
  <c r="O18" i="18" s="1"/>
  <c r="N22" i="18"/>
  <c r="O22" i="18" s="1"/>
  <c r="M16" i="17"/>
  <c r="I23" i="15"/>
  <c r="L25" i="19" l="1"/>
  <c r="P29" i="19" s="1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18" i="16"/>
  <c r="L18" i="15" s="1"/>
  <c r="M18" i="15" s="1"/>
  <c r="L20" i="16"/>
  <c r="L20" i="15" s="1"/>
  <c r="L25" i="21"/>
  <c r="P29" i="21" s="1"/>
  <c r="K16" i="15"/>
  <c r="M16" i="15" s="1"/>
  <c r="L22" i="16"/>
  <c r="L22" i="15" s="1"/>
  <c r="M22" i="23"/>
  <c r="N22" i="23" s="1"/>
  <c r="O22" i="23" s="1"/>
  <c r="M22" i="20"/>
  <c r="N22" i="20" s="1"/>
  <c r="O22" i="20" s="1"/>
  <c r="M25" i="24"/>
  <c r="K20" i="15"/>
  <c r="K21" i="16"/>
  <c r="K21" i="15" s="1"/>
  <c r="M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32" i="15" s="1"/>
  <c r="M24" i="16"/>
  <c r="N24" i="16" s="1"/>
  <c r="K23" i="16"/>
  <c r="K19" i="16"/>
  <c r="K19" i="15" s="1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P17" i="20"/>
  <c r="P19" i="20"/>
  <c r="P23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P22" i="20" l="1"/>
  <c r="M25" i="20"/>
  <c r="M22" i="15"/>
  <c r="N16" i="18"/>
  <c r="N16" i="15" s="1"/>
  <c r="M18" i="16"/>
  <c r="N18" i="16" s="1"/>
  <c r="O18" i="16" s="1"/>
  <c r="O18" i="15" s="1"/>
  <c r="M22" i="16"/>
  <c r="N22" i="16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3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N18" i="15" l="1"/>
  <c r="N20" i="15"/>
  <c r="P20" i="15" s="1"/>
  <c r="P33" i="17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4" i="15" s="1"/>
  <c r="P35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16" i="16"/>
  <c r="P22" i="15"/>
  <c r="P33" i="16" l="1"/>
  <c r="P34" i="16" s="1"/>
  <c r="P35" i="16" s="1"/>
  <c r="U14" i="15" s="1"/>
  <c r="U30" i="15" s="1"/>
  <c r="N25" i="15"/>
  <c r="P36" i="15" s="1"/>
  <c r="P37" i="15" s="1"/>
  <c r="P38" i="15" s="1"/>
  <c r="P39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  <c r="C25" i="15"/>
</calcChain>
</file>

<file path=xl/sharedStrings.xml><?xml version="1.0" encoding="utf-8"?>
<sst xmlns="http://schemas.openxmlformats.org/spreadsheetml/2006/main" count="1585" uniqueCount="128">
  <si>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</si>
  <si>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</si>
  <si>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</si>
  <si>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</si>
  <si>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</si>
  <si>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</si>
  <si>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</si>
  <si>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</si>
  <si>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</si>
  <si>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</si>
  <si>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</si>
  <si>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</si>
  <si>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</si>
  <si>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</si>
  <si>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</si>
  <si>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</si>
  <si>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</si>
  <si>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</si>
  <si>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</si>
  <si>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</si>
  <si>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</si>
  <si>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</si>
  <si>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</si>
  <si>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</si>
  <si>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</si>
  <si>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</si>
  <si>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</si>
  <si>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</si>
  <si>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</si>
  <si>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</si>
  <si>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</si>
  <si>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</si>
  <si>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</si>
  <si>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</si>
  <si>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</si>
  <si>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</si>
  <si>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</si>
  <si>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</si>
  <si>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</si>
  <si>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</si>
  <si>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</si>
  <si>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</si>
  <si>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</si>
  <si>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</si>
  <si>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</si>
  <si>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</si>
  <si>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</si>
  <si>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</si>
  <si>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</si>
  <si>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</si>
  <si>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</si>
  <si>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</si>
  <si>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</si>
  <si>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</si>
  <si>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</si>
  <si>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</si>
  <si>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</si>
  <si>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</si>
  <si>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</si>
  <si>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</si>
  <si>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</si>
  <si>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</si>
  <si>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</si>
  <si>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</si>
  <si>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</si>
  <si>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</si>
  <si>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</si>
  <si>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</si>
  <si>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</si>
  <si>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</si>
  <si>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</si>
  <si>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</si>
  <si>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</si>
  <si>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</si>
  <si>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</si>
  <si>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</si>
  <si>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</si>
  <si>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</si>
  <si>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</si>
  <si>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</si>
  <si>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</si>
  <si>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</si>
  <si>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</si>
  <si>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</si>
  <si>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</si>
  <si>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</si>
  <si>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</si>
  <si>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</si>
  <si>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</si>
  <si>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</si>
  <si>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</si>
  <si>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</si>
  <si>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</si>
  <si>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</si>
  <si>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</si>
  <si>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</si>
  <si>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</si>
  <si>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</si>
  <si>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</si>
  <si>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</si>
  <si>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</si>
  <si>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</si>
  <si>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</si>
  <si>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</si>
  <si>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Umair Rehman</t>
  </si>
  <si>
    <t>Umer Nawaz</t>
  </si>
  <si>
    <t>Zeshan</t>
  </si>
  <si>
    <t>Shop Bill Summary (Zeshan)</t>
  </si>
  <si>
    <t>Customer Name : Grocer Store</t>
  </si>
  <si>
    <t>Address: Phase 5</t>
  </si>
  <si>
    <t>0188146-9</t>
  </si>
  <si>
    <t>Customer Name : S Mart</t>
  </si>
  <si>
    <t>9274556-2</t>
  </si>
  <si>
    <t>Customer Name : 24/7 Mart</t>
  </si>
  <si>
    <t>Customer Name : CV Store</t>
  </si>
  <si>
    <t>Customer Name : Afzal Store</t>
  </si>
  <si>
    <t>Customer Name : Paradise</t>
  </si>
  <si>
    <t>10155560-7</t>
  </si>
  <si>
    <t xml:space="preserve">Customer Name : Ajwa Bakers </t>
  </si>
  <si>
    <t>Address: State Life</t>
  </si>
  <si>
    <t>4361567-8</t>
  </si>
  <si>
    <t xml:space="preserve">Customer Name : Green Mart </t>
  </si>
  <si>
    <t>Address: Askari 11</t>
  </si>
  <si>
    <t>Customer Name : Shop no 4</t>
  </si>
  <si>
    <t>Address: DHA</t>
  </si>
  <si>
    <t>Customer Name : Yousaf Store</t>
  </si>
  <si>
    <t xml:space="preserve">Customer Name : Captain Mart </t>
  </si>
  <si>
    <t xml:space="preserve">Address: Sui Gas Society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</si>
</sst>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104</v>
      </c>
    </row>
    <row r="15" spans="1:2" x14ac:dyDescent="0.35">
      <c r="A15">
        <v>10</v>
      </c>
      <c r="B15" t="s">
        <v>105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3"/>
      <c r="B3" s="183"/>
      <c r="C3" s="183"/>
      <c r="D3" s="183"/>
      <c r="E3" s="183"/>
      <c r="F3" s="184"/>
      <c r="G3" s="184"/>
      <c r="H3" s="184"/>
      <c r="I3" s="184"/>
      <c r="J3" s="184"/>
      <c r="K3" s="184"/>
      <c r="L3" s="184"/>
      <c r="M3" s="184"/>
      <c r="N3" s="184"/>
      <c r="O3" s="184"/>
      <c r="P3" s="184"/>
      <c r="Q3" s="184"/>
      <c r="R3" s="184"/>
      <c r="S3" s="184"/>
      <c r="T3" s="184"/>
      <c r="U3" s="184"/>
      <c r="V3" s="184"/>
      <c r="W3" s="184"/>
      <c r="X3" s="184"/>
      <c r="Y3" s="184"/>
    </row>
    <row r="4" spans="1:29" x14ac:dyDescent="0.35">
      <c r="A4" s="185" t="s">
        <v>6</v>
      </c>
      <c r="B4" s="5" t="s">
        <v>7</v>
      </c>
      <c r="C4" s="5"/>
      <c r="D4" s="187" t="s">
        <v>8</v>
      </c>
      <c r="E4" s="189" t="s">
        <v>9</v>
      </c>
      <c r="F4" s="191" t="s">
        <v>3</v>
      </c>
      <c r="G4" s="191"/>
      <c r="H4" s="192" t="s">
        <v>10</v>
      </c>
      <c r="I4" s="192"/>
      <c r="J4" s="193" t="s">
        <v>11</v>
      </c>
      <c r="K4" s="194"/>
      <c r="L4" s="193" t="s">
        <v>12</v>
      </c>
      <c r="M4" s="194"/>
      <c r="N4" s="195" t="s">
        <v>13</v>
      </c>
      <c r="O4" s="195"/>
      <c r="P4" s="193" t="s">
        <v>4</v>
      </c>
      <c r="Q4" s="194"/>
      <c r="R4" s="193" t="s">
        <v>14</v>
      </c>
      <c r="S4" s="194"/>
      <c r="T4" s="196" t="s">
        <v>15</v>
      </c>
      <c r="U4" s="196"/>
      <c r="V4" s="197" t="s">
        <v>16</v>
      </c>
      <c r="W4" s="198"/>
      <c r="X4" s="197" t="s">
        <v>17</v>
      </c>
      <c r="Y4" s="198"/>
    </row>
    <row r="5" spans="1:29" ht="26.25" customHeight="1" thickBot="1" x14ac:dyDescent="0.4">
      <c r="A5" s="186"/>
      <c r="B5" s="7" t="s">
        <v>18</v>
      </c>
      <c r="C5" s="7" t="s">
        <v>8</v>
      </c>
      <c r="D5" s="188"/>
      <c r="E5" s="19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1"/>
  <sheetViews>
    <sheetView tabSelected="1" topLeftCell="A3" zoomScale="70" zoomScaleNormal="70" workbookViewId="0">
      <selection activeCell="T3" sqref="T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45" t="s">
        <v>45</v>
      </c>
      <c r="B2" s="245"/>
      <c r="C2" s="245"/>
    </row>
    <row r="3" spans="1:21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4" t="s">
        <v>106</v>
      </c>
      <c r="B5" s="244"/>
      <c r="C5" s="244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21 16383:16384" ht="15" customHeight="1" x14ac:dyDescent="0.35">
      <c r="A6" s="244"/>
      <c r="B6" s="244"/>
      <c r="C6" s="244"/>
      <c r="F6" s="70"/>
      <c r="G6" s="74"/>
      <c r="K6" s="229" t="s">
        <v>52</v>
      </c>
      <c r="L6" s="229"/>
      <c r="M6" s="229"/>
      <c r="N6" s="242" t="s">
        <v>42</v>
      </c>
      <c r="O6" s="242"/>
      <c r="P6" s="242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21 16383:16384" hidden="1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21 16383:16384" x14ac:dyDescent="0.35">
      <c r="A10" s="227"/>
      <c r="B10" s="75"/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21 16383:16384" ht="15" thickBot="1" x14ac:dyDescent="0.4">
      <c r="A11" s="227"/>
      <c r="B11" s="76"/>
      <c r="C11" s="77"/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21 16383:16384" ht="14.65" customHeight="1" x14ac:dyDescent="0.35">
      <c r="A12" s="227"/>
      <c r="B12" s="76"/>
      <c r="C12" s="77"/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T12" s="199" t="s">
        <v>107</v>
      </c>
      <c r="U12" s="200"/>
      <c r="XFD12" t="s">
        <v>62</v>
      </c>
    </row>
    <row r="13" spans="1:21 16383:16384" ht="15" thickBot="1" x14ac:dyDescent="0.4">
      <c r="A13" s="228"/>
      <c r="J13" s="78"/>
      <c r="K13" s="78"/>
      <c r="L13" s="79">
        <v>0.05</v>
      </c>
      <c r="T13" s="201"/>
      <c r="U13" s="202"/>
      <c r="XFD13" t="s">
        <v>63</v>
      </c>
    </row>
    <row r="14" spans="1:21 16383:16384" ht="29.25" customHeight="1" x14ac:dyDescent="0.6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37" t="s">
        <v>68</v>
      </c>
      <c r="H14" s="238"/>
      <c r="I14" s="238" t="s">
        <v>69</v>
      </c>
      <c r="J14" s="238" t="s">
        <v>70</v>
      </c>
      <c r="K14" s="238"/>
      <c r="L14" s="240"/>
      <c r="M14" s="232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Grocer Store</v>
      </c>
      <c r="U14" s="164">
        <f>+'1'!P35</f>
        <v>4350.62370405</v>
      </c>
      <c r="XFD14" t="s">
        <v>75</v>
      </c>
    </row>
    <row r="15" spans="1:21 16383:16384" ht="29.25" customHeight="1" thickBot="1" x14ac:dyDescent="0.65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9"/>
      <c r="J15" s="171" t="s">
        <v>78</v>
      </c>
      <c r="K15" s="171" t="s">
        <v>79</v>
      </c>
      <c r="L15" s="174" t="s">
        <v>80</v>
      </c>
      <c r="M15" s="23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 Mart</v>
      </c>
      <c r="U15" s="164">
        <f>+'2'!P35</f>
        <v>440.11411245000005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</f>
        <v>10</v>
      </c>
      <c r="I16" s="1">
        <f>(G16*D16)*F16+H16*F16</f>
        <v>524.625</v>
      </c>
      <c r="J16" s="172">
        <f>+'1'!J16+'2'!J16+'4'!J16+'3'!J16+'5'!J16+'6'!J16+'7'!J16+'8'!J16+'9'!J16+'10'!J16+'11'!J16+'12'!J16+'13'!J16+'14'!J16+'15'!J16+'16'!J16+'17'!J16+'18'!J16</f>
        <v>1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41.97</v>
      </c>
      <c r="M16" s="106">
        <f>I16-K16-L16</f>
        <v>482.65499999999997</v>
      </c>
      <c r="N16" s="101">
        <f>+'1'!N16+'2'!N16+'4'!N16+'3'!N16+'5'!N16+'6'!N16+'7'!N16+'8'!N16+'9'!N16+'10'!N16</f>
        <v>96.321149999999989</v>
      </c>
      <c r="O16" s="101">
        <f>+'1'!O16+'2'!O16+'4'!O16+'3'!O16+'5'!O16+'6'!O16+'7'!O16+'8'!O16+'9'!O16+'10'!O16</f>
        <v>2.89488075</v>
      </c>
      <c r="P16" s="105">
        <f t="shared" ref="P16:P24" si="0">M16+N16+O16</f>
        <v>581.87103074999993</v>
      </c>
      <c r="Q16" s="108"/>
      <c r="T16" s="163" t="str">
        <f>+'3'!A5</f>
        <v>Customer Name : 24/7 Mart</v>
      </c>
      <c r="U16" s="164">
        <f>+'3'!P35</f>
        <v>448.87260225000006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</f>
        <v>10</v>
      </c>
      <c r="I17" s="1">
        <f t="shared" ref="I17:I23" si="1">(G17*D17)*F17+H17*F17</f>
        <v>524.625</v>
      </c>
      <c r="J17" s="172">
        <f>+'1'!J17+'2'!J17+'4'!J17+'3'!J17+'5'!J17+'6'!J17+'7'!J17+'8'!J17+'9'!J17+'10'!J17+'11'!J17+'12'!J17+'13'!J17+'14'!J17+'15'!J17+'16'!J17+'17'!J17+'18'!J17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41.97</v>
      </c>
      <c r="M17" s="118">
        <f t="shared" ref="M17:M23" si="2">I17-K17-L17</f>
        <v>482.65499999999997</v>
      </c>
      <c r="N17" s="101">
        <f>+'1'!N17+'2'!N17+'4'!N17+'3'!N17+'5'!N17+'6'!N17+'7'!N17+'8'!N17+'9'!N17+'10'!N17</f>
        <v>86.877899999999997</v>
      </c>
      <c r="O17" s="101">
        <f>+'1'!O17+'2'!O17+'4'!O17+'3'!O17+'5'!O17+'6'!O17+'7'!O17+'8'!O17+'9'!O17+'10'!O17</f>
        <v>2.8476644999999996</v>
      </c>
      <c r="P17" s="120">
        <f t="shared" si="0"/>
        <v>572.38056449999988</v>
      </c>
      <c r="S17" s="64"/>
      <c r="T17" s="163" t="str">
        <f>+'4'!A5</f>
        <v>Customer Name : CV Store</v>
      </c>
      <c r="U17" s="164">
        <f>+'4'!P35</f>
        <v>448.87260225000006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>Customer Name : Afzal Store</v>
      </c>
      <c r="U18" s="164">
        <f>+'5'!P35</f>
        <v>448.87260225000006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</f>
        <v>70</v>
      </c>
      <c r="I19" s="1">
        <f t="shared" si="1"/>
        <v>5084.8</v>
      </c>
      <c r="J19" s="172">
        <f>+'1'!J19+'2'!J19+'4'!J19+'3'!J19+'5'!J19+'6'!J19+'7'!J19+'8'!J19+'9'!J19+'10'!J19+'11'!J19+'12'!J19+'13'!J19+'14'!J19+'15'!J19+'16'!J19+'17'!J19+'18'!J19</f>
        <v>4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406.78399999999999</v>
      </c>
      <c r="M19" s="118">
        <f t="shared" si="2"/>
        <v>4678.0160000000005</v>
      </c>
      <c r="N19" s="101">
        <f>+'1'!N19+'2'!N19+'4'!N19+'3'!N19+'5'!N19+'6'!N19+'7'!N19+'8'!N19+'9'!N19+'10'!N19</f>
        <v>894.34367999999995</v>
      </c>
      <c r="O19" s="101">
        <f>+'1'!O19+'2'!O19+'4'!O19+'3'!O19+'5'!O19+'6'!O19+'7'!O19+'8'!O19+'9'!O19+'10'!O19</f>
        <v>27.861798399999998</v>
      </c>
      <c r="P19" s="120">
        <f t="shared" si="0"/>
        <v>5600.2214784000007</v>
      </c>
      <c r="T19" s="163" t="str">
        <f>+'6'!A5</f>
        <v>Customer Name : Paradise</v>
      </c>
      <c r="U19" s="164">
        <f>+'6'!P35</f>
        <v>6392.7442175999995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</f>
        <v>80</v>
      </c>
      <c r="I20" s="1">
        <f t="shared" si="1"/>
        <v>5811.2</v>
      </c>
      <c r="J20" s="172">
        <f>+'1'!J20+'2'!J20+'4'!J20+'3'!J20+'5'!J20+'6'!J20+'7'!J20+'8'!J20+'9'!J20+'10'!J20+'11'!J20+'12'!J20+'13'!J20+'14'!J20+'15'!J20+'16'!J20+'17'!J20+'18'!J20</f>
        <v>5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464.89600000000002</v>
      </c>
      <c r="M20" s="118">
        <f t="shared" si="2"/>
        <v>5346.3040000000001</v>
      </c>
      <c r="N20" s="101">
        <f>+'1'!N20+'2'!N20+'4'!N20+'3'!N20+'5'!N20+'6'!N20+'7'!N20+'8'!N20+'9'!N20+'10'!N20</f>
        <v>1027.71072</v>
      </c>
      <c r="O20" s="101">
        <f>+'1'!O20+'2'!O20+'4'!O20+'3'!O20+'5'!O20+'6'!O20+'7'!O20+'8'!O20+'9'!O20+'10'!O20</f>
        <v>31.870073599999998</v>
      </c>
      <c r="P20" s="120">
        <f t="shared" si="0"/>
        <v>6405.8847936000002</v>
      </c>
      <c r="T20" s="163" t="str">
        <f>+'7'!A5</f>
        <v xml:space="preserve">Customer Name : Ajwa Bakers </v>
      </c>
      <c r="U20" s="164">
        <f>+'7'!P35</f>
        <v>3622.05625035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</f>
        <v>150</v>
      </c>
      <c r="I21" s="1">
        <f t="shared" si="1"/>
        <v>10896</v>
      </c>
      <c r="J21" s="172">
        <f>+'1'!J21+'2'!J21+'4'!J21+'3'!J21+'5'!J21+'6'!J21+'7'!J21+'8'!J21+'9'!J21+'10'!J21+'11'!J21+'12'!J21+'13'!J21+'14'!J21+'15'!J21+'16'!J21+'17'!J21+'18'!J21</f>
        <v>6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639.23199999999997</v>
      </c>
      <c r="M21" s="118">
        <f t="shared" si="2"/>
        <v>10256.768</v>
      </c>
      <c r="N21" s="101">
        <f>+'1'!N21+'2'!N21+'4'!N21+'3'!N21+'5'!N21+'6'!N21+'7'!N21+'8'!N21+'9'!N21+'10'!N21</f>
        <v>1375.5110399999999</v>
      </c>
      <c r="O21" s="101">
        <f>+'1'!O21+'2'!O21+'4'!O21+'3'!O21+'5'!O21+'6'!O21+'7'!O21+'8'!O21+'9'!O21+'10'!O21</f>
        <v>43.633395199999995</v>
      </c>
      <c r="P21" s="120">
        <f t="shared" si="0"/>
        <v>11675.9124352</v>
      </c>
      <c r="T21" s="163" t="str">
        <f>+'8'!A5</f>
        <v xml:space="preserve">Customer Name : Green Mart </v>
      </c>
      <c r="U21" s="164">
        <f>+'8'!P35</f>
        <v>7990.9302719999996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</f>
        <v>70</v>
      </c>
      <c r="I22" s="1">
        <f t="shared" si="1"/>
        <v>2746.1000000000004</v>
      </c>
      <c r="J22" s="172">
        <f>+'1'!J22+'2'!J22+'4'!J22+'3'!J22+'5'!J22+'6'!J22+'7'!J22+'8'!J22+'9'!J22+'10'!J22+'11'!J22+'12'!J22+'13'!J22+'14'!J22+'15'!J22+'16'!J22+'17'!J22+'18'!J22</f>
        <v>0</v>
      </c>
      <c r="K22" s="172">
        <f>+'1'!K22+'2'!K22+'4'!K22+'3'!K22+'5'!K22+'6'!K22+'7'!K22+'8'!K22+'9'!K22+'10'!K22</f>
        <v>96.11350000000003</v>
      </c>
      <c r="L22" s="175">
        <f>+'1'!L22+'2'!L22+'4'!L22+'3'!L22+'5'!L22+'6'!L22+'7'!L22+'8'!L22+'9'!L22+'10'!L22</f>
        <v>137.30500000000004</v>
      </c>
      <c r="M22" s="118">
        <f t="shared" si="2"/>
        <v>2512.6815000000006</v>
      </c>
      <c r="N22" s="101">
        <f>+'1'!N22+'2'!N22+'4'!N22+'3'!N22+'5'!N22+'6'!N22+'7'!N22+'8'!N22+'9'!N22+'10'!N22</f>
        <v>538.43175000000008</v>
      </c>
      <c r="O22" s="101">
        <f>+'1'!O22+'2'!O22+'4'!O22+'3'!O22+'5'!O22+'6'!O22+'7'!O22+'8'!O22+'9'!O22+'10'!O22</f>
        <v>59.048015250000006</v>
      </c>
      <c r="P22" s="120">
        <f t="shared" si="0"/>
        <v>3110.1612652500007</v>
      </c>
      <c r="T22" s="163" t="str">
        <f>+'9'!A5</f>
        <v>Customer Name : Shop no 4</v>
      </c>
      <c r="U22" s="164">
        <f>+'9'!P35</f>
        <v>448.87260225000006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Yousaf Store</v>
      </c>
      <c r="U23" s="164">
        <f>+'10'!P35</f>
        <v>448.87260225000006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Captain Mart </v>
      </c>
      <c r="U24" s="164">
        <f>+'11'!P35</f>
        <v>3375.5372160000002</v>
      </c>
    </row>
    <row r="25" spans="1:21 16384:16384" ht="26.5" thickBot="1" x14ac:dyDescent="0.65">
      <c r="A25" s="209" t="s">
        <v>84</v>
      </c>
      <c r="B25" s="210"/>
      <c r="C25" s="211">
        <f>H25/40</f>
        <v>9.75</v>
      </c>
      <c r="D25" s="205"/>
      <c r="E25" s="205"/>
      <c r="F25" s="205"/>
      <c r="G25" s="176">
        <f t="shared" ref="G25:M25" si="3">SUM(G16:G24)</f>
        <v>0</v>
      </c>
      <c r="H25" s="177">
        <f>SUM(H16:H22)</f>
        <v>390</v>
      </c>
      <c r="I25" s="178">
        <f t="shared" si="3"/>
        <v>25587.35</v>
      </c>
      <c r="J25" s="177">
        <f t="shared" si="3"/>
        <v>16</v>
      </c>
      <c r="K25" s="178">
        <f t="shared" si="3"/>
        <v>96.11350000000003</v>
      </c>
      <c r="L25" s="179">
        <f t="shared" si="3"/>
        <v>1732.1569999999999</v>
      </c>
      <c r="M25" s="141">
        <f t="shared" si="3"/>
        <v>23759.0795</v>
      </c>
      <c r="N25" s="142">
        <f>SUM(N16:N24)</f>
        <v>4019.1962400000002</v>
      </c>
      <c r="O25" s="143">
        <f>SUM(O16:O24)</f>
        <v>168.15582769999997</v>
      </c>
      <c r="P25" s="144">
        <f>SUM(P16:P24)</f>
        <v>27946.431567700001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/>
      <c r="U29" s="182"/>
    </row>
    <row r="30" spans="1:21 16384:16384" ht="26.5" thickBot="1" x14ac:dyDescent="0.65">
      <c r="A30" s="145"/>
      <c r="B30" s="145"/>
      <c r="C30" s="145"/>
      <c r="D30" s="145"/>
      <c r="E30" s="145"/>
      <c r="F30" s="145"/>
      <c r="G30" s="146"/>
      <c r="H30" s="146"/>
      <c r="I30" s="147"/>
      <c r="K30" s="148"/>
      <c r="L30" s="148"/>
      <c r="M30" s="148"/>
      <c r="N30" s="148"/>
      <c r="O30" s="149"/>
      <c r="P30" s="148"/>
      <c r="T30" s="166" t="s">
        <v>84</v>
      </c>
      <c r="U30" s="165">
        <f>SUM(U14:U28)</f>
        <v>28416.368783700007</v>
      </c>
    </row>
    <row r="31" spans="1:21 16384:16384" ht="15" thickBot="1" x14ac:dyDescent="0.4">
      <c r="A31" s="69"/>
      <c r="B31" s="69"/>
      <c r="C31" s="150"/>
      <c r="D31" s="150"/>
      <c r="E31" s="150"/>
      <c r="F31" s="150"/>
      <c r="G31" s="151"/>
      <c r="H31" s="151"/>
    </row>
    <row r="32" spans="1:21 16384:16384" x14ac:dyDescent="0.35">
      <c r="B32" s="212" t="s">
        <v>85</v>
      </c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N32" s="221" t="s">
        <v>86</v>
      </c>
      <c r="O32" s="222"/>
      <c r="P32" s="152">
        <f>I25</f>
        <v>25587.35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N33" s="223" t="s">
        <v>87</v>
      </c>
      <c r="O33" s="224"/>
      <c r="P33" s="153">
        <f>L25</f>
        <v>1732.1569999999999</v>
      </c>
    </row>
    <row r="34" spans="2:16" ht="15" customHeight="1" x14ac:dyDescent="0.35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N34" s="223" t="s">
        <v>4</v>
      </c>
      <c r="O34" s="224"/>
      <c r="P34" s="154">
        <f>K25</f>
        <v>96.11350000000003</v>
      </c>
    </row>
    <row r="35" spans="2:16" ht="15" customHeight="1" x14ac:dyDescent="0.35">
      <c r="B35" s="215"/>
      <c r="C35" s="216"/>
      <c r="D35" s="216"/>
      <c r="E35" s="216"/>
      <c r="F35" s="216"/>
      <c r="G35" s="216"/>
      <c r="H35" s="216"/>
      <c r="I35" s="216"/>
      <c r="J35" s="216"/>
      <c r="K35" s="216"/>
      <c r="L35" s="217"/>
      <c r="M35" s="2"/>
      <c r="N35" s="223" t="s">
        <v>88</v>
      </c>
      <c r="O35" s="224"/>
      <c r="P35" s="153">
        <f>P32-P33-P34</f>
        <v>23759.0795</v>
      </c>
    </row>
    <row r="36" spans="2:16" ht="15" customHeight="1" x14ac:dyDescent="0.35">
      <c r="B36" s="215"/>
      <c r="C36" s="216"/>
      <c r="D36" s="216"/>
      <c r="E36" s="216"/>
      <c r="F36" s="216"/>
      <c r="G36" s="216"/>
      <c r="H36" s="216"/>
      <c r="I36" s="216"/>
      <c r="J36" s="216"/>
      <c r="K36" s="216"/>
      <c r="L36" s="217"/>
      <c r="M36" s="2"/>
      <c r="N36" s="155" t="s">
        <v>89</v>
      </c>
      <c r="O36" s="156">
        <f>IF(B12="Registered",18%,22%)</f>
        <v>0.22</v>
      </c>
      <c r="P36" s="153">
        <f>N25</f>
        <v>4019.1962400000002</v>
      </c>
    </row>
    <row r="37" spans="2:16" ht="15" customHeight="1" x14ac:dyDescent="0.35">
      <c r="B37" s="215"/>
      <c r="C37" s="216"/>
      <c r="D37" s="216"/>
      <c r="E37" s="216"/>
      <c r="F37" s="216"/>
      <c r="G37" s="216"/>
      <c r="H37" s="216"/>
      <c r="I37" s="216"/>
      <c r="J37" s="216"/>
      <c r="K37" s="216"/>
      <c r="L37" s="217"/>
      <c r="M37" s="2"/>
      <c r="N37" s="225" t="s">
        <v>90</v>
      </c>
      <c r="O37" s="226"/>
      <c r="P37" s="153">
        <f>P35+P36</f>
        <v>27778.275740000001</v>
      </c>
    </row>
    <row r="38" spans="2:16" ht="15" customHeight="1" thickBot="1" x14ac:dyDescent="0.4">
      <c r="B38" s="218"/>
      <c r="C38" s="219"/>
      <c r="D38" s="219"/>
      <c r="E38" s="219"/>
      <c r="F38" s="219"/>
      <c r="G38" s="219"/>
      <c r="H38" s="219"/>
      <c r="I38" s="219"/>
      <c r="J38" s="219"/>
      <c r="K38" s="219"/>
      <c r="L38" s="220"/>
      <c r="M38" s="157"/>
      <c r="N38" s="158" t="s">
        <v>91</v>
      </c>
      <c r="O38" s="159">
        <f>IF(B11="Filer",0.5%,2.5%)</f>
        <v>2.5000000000000001E-2</v>
      </c>
      <c r="P38" s="153">
        <f>O38*P37</f>
        <v>694.45689350000009</v>
      </c>
    </row>
    <row r="39" spans="2:16" ht="15.75" customHeight="1" thickBot="1" x14ac:dyDescent="0.4">
      <c r="N39" s="203" t="s">
        <v>92</v>
      </c>
      <c r="O39" s="204"/>
      <c r="P39" s="160">
        <f>P37+P38</f>
        <v>28472.7326335</v>
      </c>
    </row>
    <row r="40" spans="2:16" ht="15" thickBot="1" x14ac:dyDescent="0.4">
      <c r="B40" s="161" t="s">
        <v>93</v>
      </c>
      <c r="C40" s="205"/>
      <c r="D40" s="205"/>
      <c r="E40" s="205"/>
      <c r="F40" s="205"/>
      <c r="G40" s="205"/>
      <c r="H40" s="205"/>
      <c r="I40" s="206"/>
      <c r="J40" s="207"/>
      <c r="K40" s="208"/>
    </row>
    <row r="41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9:O39"/>
    <mergeCell ref="C40:I40"/>
    <mergeCell ref="J40:K40"/>
    <mergeCell ref="A25:B25"/>
    <mergeCell ref="C25:F25"/>
    <mergeCell ref="B32:L38"/>
    <mergeCell ref="N32:O32"/>
    <mergeCell ref="N33:O33"/>
    <mergeCell ref="N34:O34"/>
    <mergeCell ref="N35:O35"/>
    <mergeCell ref="N37:O37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8110112801763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10</v>
      </c>
      <c r="I16" s="102">
        <f>(G16*D16)*F16+H16*F16</f>
        <v>524.625</v>
      </c>
      <c r="J16" s="103">
        <v>1</v>
      </c>
      <c r="K16" s="104">
        <f>I16*$K$13</f>
        <v>0</v>
      </c>
      <c r="L16" s="105">
        <f>I16*8%</f>
        <v>41.97</v>
      </c>
      <c r="M16" s="106">
        <f>I16-K16-L16</f>
        <v>482.65499999999997</v>
      </c>
      <c r="N16" s="106">
        <f t="shared" ref="N16:N24" si="0">(M16*$N$15)+(J16*F16)*$N$15</f>
        <v>96.321149999999989</v>
      </c>
      <c r="O16" s="107">
        <f t="shared" ref="O16:O24" si="1">(N16+M16)*$O$15</f>
        <v>2.89488075</v>
      </c>
      <c r="P16" s="105">
        <f t="shared" ref="P16:P24" si="2">M16+N16+O16</f>
        <v>581.87103074999993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10</v>
      </c>
      <c r="I17" s="116">
        <f t="shared" ref="I17:I23" si="3">(G17*D17)*F17+H17*F17</f>
        <v>524.625</v>
      </c>
      <c r="J17" s="117"/>
      <c r="K17" s="1">
        <f t="shared" ref="K17:K21" si="4">I17*$K$13</f>
        <v>0</v>
      </c>
      <c r="L17" s="105">
        <f t="shared" ref="L17:L21" si="5">I17*8%</f>
        <v>41.97</v>
      </c>
      <c r="M17" s="118">
        <f t="shared" ref="M17:M23" si="6">I17-K17-L17</f>
        <v>482.65499999999997</v>
      </c>
      <c r="N17" s="118">
        <f t="shared" si="0"/>
        <v>86.877899999999997</v>
      </c>
      <c r="O17" s="119">
        <f t="shared" si="1"/>
        <v>2.8476644999999996</v>
      </c>
      <c r="P17" s="120">
        <f t="shared" si="2"/>
        <v>572.38056449999988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3"/>
        <v>0</v>
      </c>
      <c r="J18" s="117"/>
      <c r="K18" s="1">
        <f t="shared" si="4"/>
        <v>0</v>
      </c>
      <c r="L18" s="105">
        <f t="shared" si="5"/>
        <v>0</v>
      </c>
      <c r="M18" s="118">
        <f t="shared" si="6"/>
        <v>0</v>
      </c>
      <c r="N18" s="118">
        <f t="shared" si="0"/>
        <v>0</v>
      </c>
      <c r="O18" s="119">
        <f t="shared" si="1"/>
        <v>0</v>
      </c>
      <c r="P18" s="120">
        <f t="shared" si="2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3"/>
        <v>1089.5999999999999</v>
      </c>
      <c r="J19" s="117">
        <v>1</v>
      </c>
      <c r="K19" s="1">
        <f t="shared" si="4"/>
        <v>0</v>
      </c>
      <c r="L19" s="105">
        <f t="shared" si="5"/>
        <v>87.167999999999992</v>
      </c>
      <c r="M19" s="118">
        <f t="shared" si="6"/>
        <v>1002.4319999999999</v>
      </c>
      <c r="N19" s="118">
        <f t="shared" si="0"/>
        <v>193.51295999999996</v>
      </c>
      <c r="O19" s="119">
        <f t="shared" si="1"/>
        <v>5.9797247999999996</v>
      </c>
      <c r="P19" s="120">
        <f t="shared" si="2"/>
        <v>1201.9246847999998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3"/>
        <v>726.4</v>
      </c>
      <c r="J20" s="117">
        <v>1</v>
      </c>
      <c r="K20" s="1">
        <f t="shared" si="4"/>
        <v>0</v>
      </c>
      <c r="L20" s="105">
        <f t="shared" si="5"/>
        <v>58.112000000000002</v>
      </c>
      <c r="M20" s="118">
        <f t="shared" si="6"/>
        <v>668.28800000000001</v>
      </c>
      <c r="N20" s="118">
        <f t="shared" si="0"/>
        <v>133.36704</v>
      </c>
      <c r="O20" s="119">
        <f t="shared" si="1"/>
        <v>4.0082751999999999</v>
      </c>
      <c r="P20" s="120">
        <f t="shared" si="2"/>
        <v>805.66331519999994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3"/>
        <v>1089.5999999999999</v>
      </c>
      <c r="J21" s="117"/>
      <c r="K21" s="1">
        <f t="shared" si="4"/>
        <v>0</v>
      </c>
      <c r="L21" s="105">
        <f t="shared" si="5"/>
        <v>87.167999999999992</v>
      </c>
      <c r="M21" s="118">
        <f t="shared" si="6"/>
        <v>1002.4319999999999</v>
      </c>
      <c r="N21" s="118">
        <f t="shared" si="0"/>
        <v>180.43775999999997</v>
      </c>
      <c r="O21" s="119">
        <f t="shared" si="1"/>
        <v>5.9143487999999991</v>
      </c>
      <c r="P21" s="120">
        <f t="shared" si="2"/>
        <v>1188.7841087999998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3"/>
        <v>0</v>
      </c>
      <c r="J22" s="117"/>
      <c r="K22" s="1">
        <f>I22*3.5%</f>
        <v>0</v>
      </c>
      <c r="L22" s="120">
        <f>I22*5%</f>
        <v>0</v>
      </c>
      <c r="M22" s="118">
        <f t="shared" si="6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ht="15" hidden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3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6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60</v>
      </c>
      <c r="I25" s="137">
        <f t="shared" si="9"/>
        <v>3954.85</v>
      </c>
      <c r="J25" s="138"/>
      <c r="K25" s="139">
        <f t="shared" si="9"/>
        <v>0</v>
      </c>
      <c r="L25" s="140">
        <f t="shared" si="9"/>
        <v>316.38799999999998</v>
      </c>
      <c r="M25" s="141">
        <f t="shared" si="9"/>
        <v>3638.4619999999995</v>
      </c>
      <c r="N25" s="142">
        <f>SUM(N16:N24)</f>
        <v>690.51680999999985</v>
      </c>
      <c r="O25" s="143">
        <f>SUM(O16:O24)</f>
        <v>21.644894049999998</v>
      </c>
      <c r="P25" s="144">
        <f>SUM(P16:P24)</f>
        <v>4350.6237040499991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3954.85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316.38799999999998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3638.462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690.51680999999985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4328.9788099999996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21.644894049999998</v>
      </c>
    </row>
    <row r="35" spans="2:16" ht="15.75" customHeight="1" thickBot="1" x14ac:dyDescent="0.4">
      <c r="N35" s="203" t="s">
        <v>92</v>
      </c>
      <c r="O35" s="204"/>
      <c r="P35" s="160">
        <f>P33+P34</f>
        <v>4350.62370405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2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112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2.1896224500000003</v>
      </c>
      <c r="P22" s="120">
        <f t="shared" si="1"/>
        <v>440.11411245000005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2.1896224500000003</v>
      </c>
      <c r="P25" s="144">
        <f>SUM(P16:P24)</f>
        <v>440.11411245000005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2.1896224500000003</v>
      </c>
    </row>
    <row r="35" spans="2:16" ht="15.75" customHeight="1" thickBot="1" x14ac:dyDescent="0.4">
      <c r="N35" s="203" t="s">
        <v>92</v>
      </c>
      <c r="O35" s="204"/>
      <c r="P35" s="160">
        <f>P33+P34</f>
        <v>440.11411245000005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4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15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3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114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5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6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109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 t="s">
        <v>117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3520144391811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40</v>
      </c>
      <c r="I20" s="116">
        <f t="shared" si="2"/>
        <v>2905.6</v>
      </c>
      <c r="J20" s="117">
        <v>2</v>
      </c>
      <c r="K20" s="1">
        <f t="shared" si="3"/>
        <v>0</v>
      </c>
      <c r="L20" s="105">
        <f t="shared" si="4"/>
        <v>232.44800000000001</v>
      </c>
      <c r="M20" s="118">
        <f t="shared" si="5"/>
        <v>2673.152</v>
      </c>
      <c r="N20" s="118">
        <f t="shared" si="0"/>
        <v>507.31775999999996</v>
      </c>
      <c r="O20" s="119">
        <f t="shared" si="6"/>
        <v>15.9023488</v>
      </c>
      <c r="P20" s="120">
        <f t="shared" si="1"/>
        <v>3196.3721087999998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80</v>
      </c>
      <c r="I25" s="137">
        <f t="shared" si="9"/>
        <v>5811.2</v>
      </c>
      <c r="J25" s="138"/>
      <c r="K25" s="139">
        <f t="shared" si="9"/>
        <v>0</v>
      </c>
      <c r="L25" s="140">
        <f t="shared" si="9"/>
        <v>464.89600000000002</v>
      </c>
      <c r="M25" s="141">
        <f t="shared" si="9"/>
        <v>5346.3040000000001</v>
      </c>
      <c r="N25" s="142">
        <f>SUM(N16:N24)</f>
        <v>1014.6355199999999</v>
      </c>
      <c r="O25" s="143">
        <f>SUM(O16:O24)</f>
        <v>31.804697600000001</v>
      </c>
      <c r="P25" s="144">
        <f>SUM(P16:P24)</f>
        <v>6392.7442175999995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5811.2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464.89600000000002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5346.3040000000001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1014.6355199999999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6360.9395199999999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31.804697600000001</v>
      </c>
    </row>
    <row r="35" spans="2:16" ht="15.75" customHeight="1" thickBot="1" x14ac:dyDescent="0.4">
      <c r="N35" s="203" t="s">
        <v>92</v>
      </c>
      <c r="O35" s="204"/>
      <c r="P35" s="160">
        <f>P33+P34</f>
        <v>6392.7442175999995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7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118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119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9" t="s">
        <v>120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3520123465409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15</v>
      </c>
      <c r="I19" s="116">
        <f t="shared" si="2"/>
        <v>1089.5999999999999</v>
      </c>
      <c r="J19" s="117">
        <v>1</v>
      </c>
      <c r="K19" s="1">
        <f t="shared" si="3"/>
        <v>0</v>
      </c>
      <c r="L19" s="105">
        <f t="shared" si="4"/>
        <v>87.167999999999992</v>
      </c>
      <c r="M19" s="118">
        <f t="shared" si="5"/>
        <v>1002.4319999999999</v>
      </c>
      <c r="N19" s="118">
        <f t="shared" si="0"/>
        <v>193.51295999999996</v>
      </c>
      <c r="O19" s="119">
        <f t="shared" si="6"/>
        <v>5.9797247999999996</v>
      </c>
      <c r="P19" s="120">
        <f t="shared" si="1"/>
        <v>1201.9246847999998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10</v>
      </c>
      <c r="I20" s="116">
        <f t="shared" si="2"/>
        <v>726.4</v>
      </c>
      <c r="J20" s="117">
        <v>1</v>
      </c>
      <c r="K20" s="1">
        <f t="shared" si="3"/>
        <v>0</v>
      </c>
      <c r="L20" s="105">
        <f t="shared" si="4"/>
        <v>58.112000000000002</v>
      </c>
      <c r="M20" s="118">
        <f t="shared" si="5"/>
        <v>668.28800000000001</v>
      </c>
      <c r="N20" s="118">
        <f t="shared" si="0"/>
        <v>133.36704</v>
      </c>
      <c r="O20" s="119">
        <f t="shared" si="6"/>
        <v>4.0082751999999999</v>
      </c>
      <c r="P20" s="120">
        <f t="shared" si="1"/>
        <v>805.66331519999994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15</v>
      </c>
      <c r="I21" s="116">
        <f t="shared" si="2"/>
        <v>1089.5999999999999</v>
      </c>
      <c r="J21" s="117"/>
      <c r="K21" s="1">
        <f t="shared" si="3"/>
        <v>0</v>
      </c>
      <c r="L21" s="105">
        <f t="shared" si="4"/>
        <v>87.167999999999992</v>
      </c>
      <c r="M21" s="118">
        <f t="shared" si="5"/>
        <v>1002.4319999999999</v>
      </c>
      <c r="N21" s="118">
        <f t="shared" si="0"/>
        <v>180.43775999999997</v>
      </c>
      <c r="O21" s="119">
        <f t="shared" si="6"/>
        <v>5.9143487999999991</v>
      </c>
      <c r="P21" s="120">
        <f t="shared" si="1"/>
        <v>1188.7841087999998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64.611810000000006</v>
      </c>
      <c r="O22" s="119">
        <f t="shared" si="6"/>
        <v>2.1178315500000005</v>
      </c>
      <c r="P22" s="120">
        <f t="shared" si="1"/>
        <v>425.68414155000005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50</v>
      </c>
      <c r="I25" s="137">
        <f t="shared" si="9"/>
        <v>3297.9</v>
      </c>
      <c r="J25" s="138"/>
      <c r="K25" s="139">
        <f t="shared" si="9"/>
        <v>13.730500000000003</v>
      </c>
      <c r="L25" s="140">
        <f t="shared" si="9"/>
        <v>252.06299999999999</v>
      </c>
      <c r="M25" s="141">
        <f t="shared" si="9"/>
        <v>3032.1064999999999</v>
      </c>
      <c r="N25" s="142">
        <f>SUM(N16:N24)</f>
        <v>571.92957000000001</v>
      </c>
      <c r="O25" s="143">
        <f>SUM(O16:O24)</f>
        <v>18.02018035</v>
      </c>
      <c r="P25" s="144">
        <f>SUM(P16:P24)</f>
        <v>3622.0562503499996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3297.9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252.06299999999999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3032.1064999999999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571.92957000000001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3604.0360700000001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18.02018035</v>
      </c>
    </row>
    <row r="35" spans="2:16" ht="15.75" customHeight="1" thickBot="1" x14ac:dyDescent="0.4">
      <c r="N35" s="203" t="s">
        <v>92</v>
      </c>
      <c r="O35" s="204"/>
      <c r="P35" s="160">
        <f>P33+P34</f>
        <v>3622.05625035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8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8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121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122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9819656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48</v>
      </c>
      <c r="C11" s="77" t="str">
        <f>IF($O34&gt;2.49%,"No","Yes")</f>
        <v>Yes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2302644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40</v>
      </c>
      <c r="I19" s="116">
        <f t="shared" si="2"/>
        <v>2905.6</v>
      </c>
      <c r="J19" s="117">
        <v>2</v>
      </c>
      <c r="K19" s="1">
        <f t="shared" si="3"/>
        <v>0</v>
      </c>
      <c r="L19" s="105">
        <f t="shared" si="4"/>
        <v>232.44800000000001</v>
      </c>
      <c r="M19" s="118">
        <f t="shared" si="5"/>
        <v>2673.152</v>
      </c>
      <c r="N19" s="118">
        <f t="shared" si="0"/>
        <v>507.31775999999996</v>
      </c>
      <c r="O19" s="119">
        <f t="shared" si="6"/>
        <v>15.9023488</v>
      </c>
      <c r="P19" s="120">
        <f t="shared" si="1"/>
        <v>3196.3721087999998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20</v>
      </c>
      <c r="I20" s="116">
        <f t="shared" si="2"/>
        <v>1452.8</v>
      </c>
      <c r="J20" s="117">
        <v>1</v>
      </c>
      <c r="K20" s="1">
        <f t="shared" si="3"/>
        <v>0</v>
      </c>
      <c r="L20" s="105">
        <f t="shared" si="4"/>
        <v>116.224</v>
      </c>
      <c r="M20" s="118">
        <f t="shared" si="5"/>
        <v>1336.576</v>
      </c>
      <c r="N20" s="118">
        <f t="shared" si="0"/>
        <v>253.65887999999998</v>
      </c>
      <c r="O20" s="119">
        <f t="shared" si="6"/>
        <v>7.9511744000000002</v>
      </c>
      <c r="P20" s="120">
        <f t="shared" si="1"/>
        <v>1598.1860543999999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507.31775999999996</v>
      </c>
      <c r="O21" s="119">
        <f t="shared" si="6"/>
        <v>15.9023488</v>
      </c>
      <c r="P21" s="120">
        <f t="shared" si="1"/>
        <v>3196.3721087999998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100</v>
      </c>
      <c r="I25" s="137">
        <f t="shared" si="9"/>
        <v>7264</v>
      </c>
      <c r="J25" s="138"/>
      <c r="K25" s="139">
        <f t="shared" si="9"/>
        <v>0</v>
      </c>
      <c r="L25" s="140">
        <f t="shared" si="9"/>
        <v>581.12</v>
      </c>
      <c r="M25" s="141">
        <f t="shared" si="9"/>
        <v>6682.88</v>
      </c>
      <c r="N25" s="142">
        <f>SUM(N16:N24)</f>
        <v>1268.2944</v>
      </c>
      <c r="O25" s="143">
        <f>SUM(O16:O24)</f>
        <v>39.755872000000004</v>
      </c>
      <c r="P25" s="144">
        <f>SUM(P16:P24)</f>
        <v>7990.9302719999996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7264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581.12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6682.88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0.18</v>
      </c>
      <c r="P32" s="153">
        <f>N25</f>
        <v>1268.2944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7951.1743999999999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5.0000000000000001E-3</v>
      </c>
      <c r="P34" s="153">
        <f>O34*P33</f>
        <v>39.755872000000004</v>
      </c>
    </row>
    <row r="35" spans="2:16" ht="15.75" customHeight="1" thickBot="1" x14ac:dyDescent="0.4">
      <c r="N35" s="203" t="s">
        <v>92</v>
      </c>
      <c r="O35" s="204"/>
      <c r="P35" s="160">
        <f>P33+P34</f>
        <v>7990.9302719999996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sqref="A1:P3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9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123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124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67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6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125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124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10</v>
      </c>
      <c r="I22" s="116">
        <f t="shared" si="2"/>
        <v>392.30000000000007</v>
      </c>
      <c r="J22" s="117"/>
      <c r="K22" s="1">
        <f>I22*3.5%</f>
        <v>13.730500000000003</v>
      </c>
      <c r="L22" s="120">
        <f>I22*5%</f>
        <v>19.615000000000006</v>
      </c>
      <c r="M22" s="118">
        <f t="shared" si="5"/>
        <v>358.95450000000005</v>
      </c>
      <c r="N22" s="118">
        <f t="shared" si="0"/>
        <v>78.96999000000001</v>
      </c>
      <c r="O22" s="119">
        <f t="shared" si="6"/>
        <v>10.948112250000001</v>
      </c>
      <c r="P22" s="120">
        <f t="shared" si="1"/>
        <v>448.87260225000006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10</v>
      </c>
      <c r="I25" s="137">
        <f t="shared" si="9"/>
        <v>392.30000000000007</v>
      </c>
      <c r="J25" s="138"/>
      <c r="K25" s="139">
        <f t="shared" si="9"/>
        <v>13.730500000000003</v>
      </c>
      <c r="L25" s="140">
        <f t="shared" si="9"/>
        <v>19.615000000000006</v>
      </c>
      <c r="M25" s="141">
        <f t="shared" si="9"/>
        <v>358.95450000000005</v>
      </c>
      <c r="N25" s="142">
        <f>SUM(N16:N24)</f>
        <v>78.96999000000001</v>
      </c>
      <c r="O25" s="143">
        <f>SUM(O16:O24)</f>
        <v>10.948112250000001</v>
      </c>
      <c r="P25" s="144">
        <f>SUM(P16:P24)</f>
        <v>448.87260225000006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392.30000000000007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19.615000000000006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13.730500000000003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358.95450000000005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78.96999000000001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437.92449000000005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10.948112250000001</v>
      </c>
    </row>
    <row r="35" spans="2:16" ht="15.75" customHeight="1" thickBot="1" x14ac:dyDescent="0.4">
      <c r="N35" s="203" t="s">
        <v>92</v>
      </c>
      <c r="O35" s="204"/>
      <c r="P35" s="160">
        <f>P33+P34</f>
        <v>448.87260225000006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9" workbookViewId="0">
      <selection activeCell="A2" sqref="A2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126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127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40</v>
      </c>
      <c r="I21" s="116">
        <f t="shared" si="2"/>
        <v>2905.6</v>
      </c>
      <c r="J21" s="117">
        <v>2</v>
      </c>
      <c r="K21" s="1">
        <f t="shared" si="3"/>
        <v>0</v>
      </c>
      <c r="L21" s="105">
        <f t="shared" si="4"/>
        <v>232.44800000000001</v>
      </c>
      <c r="M21" s="118">
        <f t="shared" si="5"/>
        <v>2673.152</v>
      </c>
      <c r="N21" s="118">
        <f t="shared" si="0"/>
        <v>620.05503999999996</v>
      </c>
      <c r="O21" s="119">
        <f t="shared" si="6"/>
        <v>82.330176000000009</v>
      </c>
      <c r="P21" s="120">
        <f t="shared" si="1"/>
        <v>3375.5372160000002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40</v>
      </c>
      <c r="I25" s="137">
        <f t="shared" si="9"/>
        <v>2905.6</v>
      </c>
      <c r="J25" s="138"/>
      <c r="K25" s="139">
        <f t="shared" si="9"/>
        <v>0</v>
      </c>
      <c r="L25" s="140">
        <f t="shared" si="9"/>
        <v>232.44800000000001</v>
      </c>
      <c r="M25" s="141">
        <f t="shared" si="9"/>
        <v>2673.152</v>
      </c>
      <c r="N25" s="142">
        <f>SUM(N16:N24)</f>
        <v>620.05503999999996</v>
      </c>
      <c r="O25" s="143">
        <f>SUM(O16:O24)</f>
        <v>82.330176000000009</v>
      </c>
      <c r="P25" s="144">
        <f>SUM(P16:P24)</f>
        <v>3375.5372160000002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2905.6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232.44800000000001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2673.152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620.05503999999996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3293.2070400000002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82.330176000000009</v>
      </c>
    </row>
    <row r="35" spans="2:16" ht="15.75" customHeight="1" thickBot="1" x14ac:dyDescent="0.4">
      <c r="N35" s="203" t="s">
        <v>92</v>
      </c>
      <c r="O35" s="204"/>
      <c r="P35" s="160">
        <f>P33+P34</f>
        <v>3375.5372160000002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41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180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5" t="s">
        <v>45</v>
      </c>
      <c r="B2" s="245"/>
      <c r="C2" s="245"/>
    </row>
    <row r="3" spans="1:19 16383:16384" ht="15" customHeight="1" x14ac:dyDescent="0.35">
      <c r="A3" s="230" t="s">
        <v>46</v>
      </c>
      <c r="B3" s="230"/>
      <c r="C3" s="230"/>
      <c r="F3" s="70"/>
      <c r="G3" s="71"/>
      <c r="K3" s="229" t="s">
        <v>47</v>
      </c>
      <c r="L3" s="229"/>
      <c r="M3" s="229"/>
      <c r="N3" s="230">
        <v>10</v>
      </c>
      <c r="O3" s="230"/>
      <c r="P3" s="23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30" t="s">
        <v>94</v>
      </c>
      <c r="B4" s="230"/>
      <c r="C4" s="230"/>
      <c r="F4" s="70"/>
      <c r="G4" s="71"/>
      <c r="K4" s="229" t="s">
        <v>49</v>
      </c>
      <c r="L4" s="229"/>
      <c r="M4" s="229"/>
      <c r="N4" s="243">
        <f ca="1">TODAY()</f>
        <v>46197</v>
      </c>
      <c r="O4" s="243"/>
      <c r="P4" s="243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2" t="s">
        <v>102</v>
      </c>
      <c r="B5" s="252"/>
      <c r="C5" s="252"/>
      <c r="F5" s="70"/>
      <c r="G5" s="71"/>
      <c r="K5" s="229" t="s">
        <v>51</v>
      </c>
      <c r="L5" s="229"/>
      <c r="M5" s="229"/>
      <c r="N5" s="243">
        <f ca="1">N4-1</f>
        <v>46196</v>
      </c>
      <c r="O5" s="230"/>
      <c r="P5" s="230"/>
      <c r="R5" s="70"/>
      <c r="S5" s="71"/>
    </row>
    <row r="6" spans="1:19 16383:16384" ht="15" customHeight="1" x14ac:dyDescent="0.35">
      <c r="A6" s="229" t="s">
        <v>103</v>
      </c>
      <c r="B6" s="229"/>
      <c r="C6" s="229"/>
      <c r="F6" s="70"/>
      <c r="G6" s="74"/>
      <c r="K6" s="229" t="s">
        <v>52</v>
      </c>
      <c r="L6" s="229"/>
      <c r="M6" s="229"/>
      <c r="N6" s="242" t="s">
        <v>97</v>
      </c>
      <c r="O6" s="242"/>
      <c r="P6" s="24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9"/>
      <c r="B7" s="229"/>
      <c r="C7" s="229"/>
      <c r="F7" s="70"/>
      <c r="G7" s="74"/>
      <c r="K7" s="229"/>
      <c r="L7" s="229"/>
      <c r="M7" s="229"/>
      <c r="N7" s="242"/>
      <c r="O7" s="242"/>
      <c r="P7" s="242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41"/>
      <c r="B8" s="241"/>
      <c r="C8" s="241"/>
      <c r="F8" s="70"/>
      <c r="G8" s="74"/>
      <c r="K8" s="229"/>
      <c r="L8" s="229"/>
      <c r="M8" s="229"/>
      <c r="N8" s="242"/>
      <c r="O8" s="242"/>
      <c r="P8" s="242"/>
      <c r="R8" s="70"/>
      <c r="S8" s="74"/>
    </row>
    <row r="9" spans="1:19 16383:16384" x14ac:dyDescent="0.35">
      <c r="A9" s="241"/>
      <c r="B9" s="241"/>
      <c r="C9" s="241"/>
      <c r="F9" s="70"/>
      <c r="G9" s="74"/>
      <c r="K9" s="229"/>
      <c r="L9" s="229"/>
      <c r="M9" s="229"/>
      <c r="N9" s="242"/>
      <c r="O9" s="242"/>
      <c r="P9" s="242"/>
      <c r="R9" s="70"/>
      <c r="S9" s="74"/>
      <c r="XFD9" t="s">
        <v>55</v>
      </c>
    </row>
    <row r="10" spans="1:19 16383:16384" x14ac:dyDescent="0.35">
      <c r="A10" s="227" t="s">
        <v>95</v>
      </c>
      <c r="B10" s="75">
        <v>0</v>
      </c>
      <c r="C10" s="75"/>
      <c r="F10" s="70"/>
      <c r="G10" s="71"/>
      <c r="K10" s="229" t="s">
        <v>56</v>
      </c>
      <c r="L10" s="229"/>
      <c r="M10" s="229"/>
      <c r="N10" s="230" t="s">
        <v>57</v>
      </c>
      <c r="O10" s="230"/>
      <c r="P10" s="230"/>
      <c r="R10" s="70"/>
      <c r="S10" s="71"/>
      <c r="XFD10" t="s">
        <v>58</v>
      </c>
    </row>
    <row r="11" spans="1:19 16383:16384" x14ac:dyDescent="0.35">
      <c r="A11" s="227"/>
      <c r="B11" s="76" t="s">
        <v>50</v>
      </c>
      <c r="C11" s="77" t="str">
        <f>IF($O34&gt;2.49%,"No","Yes")</f>
        <v>No</v>
      </c>
      <c r="F11" s="70"/>
      <c r="G11" s="71"/>
      <c r="K11" s="229" t="s">
        <v>59</v>
      </c>
      <c r="L11" s="229"/>
      <c r="M11" s="229"/>
      <c r="N11" s="230" t="s">
        <v>55</v>
      </c>
      <c r="O11" s="230"/>
      <c r="P11" s="230"/>
      <c r="R11" s="70"/>
      <c r="S11" s="71"/>
    </row>
    <row r="12" spans="1:19 16383:16384" ht="14.65" customHeight="1" x14ac:dyDescent="0.35">
      <c r="A12" s="227" t="s">
        <v>60</v>
      </c>
      <c r="B12" s="76" t="s">
        <v>54</v>
      </c>
      <c r="C12" s="77" t="str">
        <f>IF($O32&gt;21.99%,"No","Yes")</f>
        <v>No</v>
      </c>
      <c r="F12" s="70"/>
      <c r="G12" s="71"/>
      <c r="K12" s="229" t="s">
        <v>61</v>
      </c>
      <c r="L12" s="229"/>
      <c r="M12" s="229"/>
      <c r="N12" s="230"/>
      <c r="O12" s="230"/>
      <c r="P12" s="230"/>
      <c r="R12" s="70"/>
      <c r="S12" s="71"/>
      <c r="XFD12" t="s">
        <v>62</v>
      </c>
    </row>
    <row r="13" spans="1:19 16383:16384" ht="15" thickBot="1" x14ac:dyDescent="0.4">
      <c r="A13" s="228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31" t="s">
        <v>64</v>
      </c>
      <c r="B14" s="232"/>
      <c r="C14" s="235" t="s">
        <v>65</v>
      </c>
      <c r="D14" s="80" t="s">
        <v>2</v>
      </c>
      <c r="E14" s="81" t="s">
        <v>66</v>
      </c>
      <c r="F14" s="82" t="s">
        <v>67</v>
      </c>
      <c r="G14" s="247" t="s">
        <v>68</v>
      </c>
      <c r="H14" s="248"/>
      <c r="I14" s="249" t="s">
        <v>69</v>
      </c>
      <c r="J14" s="247" t="s">
        <v>70</v>
      </c>
      <c r="K14" s="251"/>
      <c r="L14" s="248"/>
      <c r="M14" s="24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3"/>
      <c r="B15" s="234"/>
      <c r="C15" s="236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50"/>
      <c r="J15" s="88" t="s">
        <v>78</v>
      </c>
      <c r="K15" s="90" t="s">
        <v>79</v>
      </c>
      <c r="L15" s="91" t="s">
        <v>80</v>
      </c>
      <c r="M15" s="25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9" t="s">
        <v>84</v>
      </c>
      <c r="B25" s="210"/>
      <c r="C25" s="211"/>
      <c r="D25" s="205"/>
      <c r="E25" s="205"/>
      <c r="F25" s="246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12" t="s">
        <v>85</v>
      </c>
      <c r="C28" s="213"/>
      <c r="D28" s="213"/>
      <c r="E28" s="213"/>
      <c r="F28" s="213"/>
      <c r="G28" s="213"/>
      <c r="H28" s="213"/>
      <c r="I28" s="213"/>
      <c r="J28" s="213"/>
      <c r="K28" s="213"/>
      <c r="L28" s="214"/>
      <c r="N28" s="221" t="s">
        <v>86</v>
      </c>
      <c r="O28" s="222"/>
      <c r="P28" s="152">
        <f>I25</f>
        <v>0</v>
      </c>
    </row>
    <row r="29" spans="1:19 16384:16384" ht="15" customHeight="1" x14ac:dyDescent="0.35">
      <c r="B29" s="215"/>
      <c r="C29" s="216"/>
      <c r="D29" s="216"/>
      <c r="E29" s="216"/>
      <c r="F29" s="216"/>
      <c r="G29" s="216"/>
      <c r="H29" s="216"/>
      <c r="I29" s="216"/>
      <c r="J29" s="216"/>
      <c r="K29" s="216"/>
      <c r="L29" s="217"/>
      <c r="N29" s="223" t="s">
        <v>87</v>
      </c>
      <c r="O29" s="224"/>
      <c r="P29" s="153">
        <f>L25</f>
        <v>0</v>
      </c>
    </row>
    <row r="30" spans="1:19 16384:16384" ht="15" customHeight="1" x14ac:dyDescent="0.35">
      <c r="B30" s="215"/>
      <c r="C30" s="216"/>
      <c r="D30" s="216"/>
      <c r="E30" s="216"/>
      <c r="F30" s="216"/>
      <c r="G30" s="216"/>
      <c r="H30" s="216"/>
      <c r="I30" s="216"/>
      <c r="J30" s="216"/>
      <c r="K30" s="216"/>
      <c r="L30" s="217"/>
      <c r="N30" s="223" t="s">
        <v>4</v>
      </c>
      <c r="O30" s="224"/>
      <c r="P30" s="154">
        <f>K25</f>
        <v>0</v>
      </c>
    </row>
    <row r="31" spans="1:19 16384:16384" ht="15" customHeight="1" x14ac:dyDescent="0.35">
      <c r="B31" s="215"/>
      <c r="C31" s="216"/>
      <c r="D31" s="216"/>
      <c r="E31" s="216"/>
      <c r="F31" s="216"/>
      <c r="G31" s="216"/>
      <c r="H31" s="216"/>
      <c r="I31" s="216"/>
      <c r="J31" s="216"/>
      <c r="K31" s="216"/>
      <c r="L31" s="217"/>
      <c r="M31" s="2"/>
      <c r="N31" s="223" t="s">
        <v>88</v>
      </c>
      <c r="O31" s="224"/>
      <c r="P31" s="153">
        <f>P28-P29-P30</f>
        <v>0</v>
      </c>
    </row>
    <row r="32" spans="1:19 16384:16384" ht="15" customHeight="1" x14ac:dyDescent="0.35">
      <c r="B32" s="215"/>
      <c r="C32" s="216"/>
      <c r="D32" s="216"/>
      <c r="E32" s="216"/>
      <c r="F32" s="216"/>
      <c r="G32" s="216"/>
      <c r="H32" s="216"/>
      <c r="I32" s="216"/>
      <c r="J32" s="216"/>
      <c r="K32" s="216"/>
      <c r="L32" s="217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5"/>
      <c r="C33" s="216"/>
      <c r="D33" s="216"/>
      <c r="E33" s="216"/>
      <c r="F33" s="216"/>
      <c r="G33" s="216"/>
      <c r="H33" s="216"/>
      <c r="I33" s="216"/>
      <c r="J33" s="216"/>
      <c r="K33" s="216"/>
      <c r="L33" s="217"/>
      <c r="M33" s="2"/>
      <c r="N33" s="225" t="s">
        <v>90</v>
      </c>
      <c r="O33" s="226"/>
      <c r="P33" s="153">
        <f>P31+P32</f>
        <v>0</v>
      </c>
    </row>
    <row r="34" spans="2:16" ht="15" customHeight="1" thickBot="1" x14ac:dyDescent="0.4">
      <c r="B34" s="218"/>
      <c r="C34" s="219"/>
      <c r="D34" s="219"/>
      <c r="E34" s="219"/>
      <c r="F34" s="219"/>
      <c r="G34" s="219"/>
      <c r="H34" s="219"/>
      <c r="I34" s="219"/>
      <c r="J34" s="219"/>
      <c r="K34" s="219"/>
      <c r="L34" s="220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3" t="s">
        <v>92</v>
      </c>
      <c r="O35" s="204"/>
      <c r="P35" s="160">
        <f>P33+P34</f>
        <v>0</v>
      </c>
    </row>
    <row r="36" spans="2:16" ht="15" thickBot="1" x14ac:dyDescent="0.4">
      <c r="B36" s="161" t="s">
        <v>93</v>
      </c>
      <c r="C36" s="205"/>
      <c r="D36" s="205"/>
      <c r="E36" s="205"/>
      <c r="F36" s="205"/>
      <c r="G36" s="205"/>
      <c r="H36" s="205"/>
      <c r="I36" s="206"/>
      <c r="J36" s="207"/>
      <c r="K36" s="208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2026-06-24T13:14:32Z</dcterms:modified>
</cp:coreProperties>
</file>