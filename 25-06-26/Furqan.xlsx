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5F5EFAF9-4924-4836-9305-A5756CB926D1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17" i="15" l="1"/>
  <c r="U16" i="15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<sst xmlns="http://schemas.openxmlformats.org/spreadsheetml/2006/main" count="1582" uniqueCount="114">
  <si>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</si>
  <si>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</si>
  <si>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</si>
  <si>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</si>
  <si>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</si>
  <si>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</si>
  <si>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</si>
  <si>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</si>
  <si>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</si>
  <si>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</si>
  <si>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</si>
  <si>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</si>
  <si>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</si>
  <si>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</si>
  <si>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</si>
  <si>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</si>
  <si>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</si>
  <si>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</si>
  <si>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</si>
  <si>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</si>
  <si>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</si>
  <si>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</si>
  <si>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</si>
  <si>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</si>
  <si>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</si>
  <si>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</si>
  <si>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</si>
  <si>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</si>
  <si>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</si>
  <si>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</si>
  <si>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</si>
  <si>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</si>
  <si>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</si>
  <si>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</si>
  <si>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</si>
  <si>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</si>
  <si>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</si>
  <si>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</si>
  <si>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</si>
  <si>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</si>
  <si>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</si>
  <si>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</si>
  <si>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</si>
  <si>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</si>
  <si>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</si>
  <si>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</si>
  <si>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</si>
  <si>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</si>
  <si>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</si>
  <si>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</si>
  <si>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</si>
  <si>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</si>
  <si>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</si>
  <si>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</si>
  <si>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</si>
  <si>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</si>
  <si>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</si>
  <si>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</si>
  <si>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</si>
  <si>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</si>
  <si>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</si>
  <si>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</si>
  <si>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</si>
  <si>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</si>
  <si>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</si>
  <si>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</si>
  <si>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</si>
  <si>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</si>
  <si>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</si>
  <si>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</si>
  <si>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</si>
  <si>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</si>
  <si>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</si>
  <si>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</si>
  <si>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</si>
  <si>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</si>
  <si>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</si>
  <si>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</si>
  <si>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</si>
  <si>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</si>
  <si>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</si>
  <si>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</si>
  <si>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</si>
  <si>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</si>
  <si>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</si>
  <si>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</si>
  <si>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</si>
  <si>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</si>
  <si>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</si>
  <si>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</si>
  <si>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</si>
  <si>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</si>
  <si>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</si>
  <si>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</si>
  <si>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</si>
  <si>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</si>
  <si>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</si>
  <si>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</si>
  <si>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</si>
  <si>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</si>
  <si>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</si>
  <si>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</si>
  <si>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</si>
  <si>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</si>
  <si>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</si>
  <si>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</si>
  <si>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Shop Bill Summary (Furqan)</t>
  </si>
  <si>
    <t xml:space="preserve">Customer Name : Khan Nimko </t>
  </si>
  <si>
    <t>Address: Chiragh din Road</t>
  </si>
  <si>
    <t>Customer Name : Arif Store</t>
  </si>
  <si>
    <t>Address: Kanak Mandi Mazong</t>
  </si>
  <si>
    <t>Customer Name : Makkah Dry Fruit</t>
  </si>
  <si>
    <t>Address: Chiragh Din Road</t>
  </si>
  <si>
    <t>0162016-9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</si>
</sst>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U14" sqref="U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96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106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Khan Nimko </v>
      </c>
      <c r="U14" s="164">
        <f>+'1'!P35</f>
        <v>1629.9907520000002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Arif Store</v>
      </c>
      <c r="U15" s="164">
        <f>+'2'!P35</f>
        <v>2437.9008974999997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167.88</v>
      </c>
      <c r="M16" s="106">
        <f>I16-K16-L16</f>
        <v>1930.62</v>
      </c>
      <c r="N16" s="101">
        <f>+'1'!N16+'2'!N16+'4'!N16+'3'!N16+'5'!N16+'6'!N16+'7'!N16+'8'!N16+'9'!N16+'10'!N16</f>
        <v>447.81990000000002</v>
      </c>
      <c r="O16" s="101">
        <f>+'1'!O16+'2'!O16+'4'!O16+'3'!O16+'5'!O16+'6'!O16+'7'!O16+'8'!O16+'9'!O16+'10'!O16</f>
        <v>59.460997499999998</v>
      </c>
      <c r="P16" s="105">
        <f t="shared" ref="P16:P24" si="0">M16+N16+O16</f>
        <v>2437.9008974999997</v>
      </c>
      <c r="Q16" s="108"/>
      <c r="T16" s="163" t="str">
        <f>+'3'!A5</f>
        <v>Customer Name : Makkah Dry Fruit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7</v>
      </c>
      <c r="I19" s="1">
        <f t="shared" si="1"/>
        <v>508.48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40.678400000000003</v>
      </c>
      <c r="M19" s="118">
        <f t="shared" si="2"/>
        <v>467.80160000000001</v>
      </c>
      <c r="N19" s="101">
        <f>+'1'!N19+'2'!N19+'4'!N19+'3'!N19+'5'!N19+'6'!N19+'7'!N19+'8'!N19+'9'!N19+'10'!N19</f>
        <v>84.204288000000005</v>
      </c>
      <c r="O19" s="101">
        <f>+'1'!O19+'2'!O19+'4'!O19+'3'!O19+'5'!O19+'6'!O19+'7'!O19+'8'!O19+'9'!O19+'10'!O19</f>
        <v>13.800147200000001</v>
      </c>
      <c r="P19" s="120">
        <f t="shared" si="0"/>
        <v>565.8060352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5</v>
      </c>
      <c r="I20" s="1">
        <f t="shared" si="1"/>
        <v>363.2</v>
      </c>
      <c r="J20" s="172">
        <f>+'1'!J20+'2'!J20+'4'!J20+'3'!J20+'5'!J20+'6'!J20+'7'!J20+'8'!J20+'9'!J20+'10'!J20+'11'!J20+'12'!J20+'13'!J20+'14'!J20+'15'!J20+'16'!J20+'17'!J20+'18'!J20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29.056000000000001</v>
      </c>
      <c r="M20" s="118">
        <f t="shared" si="2"/>
        <v>334.14400000000001</v>
      </c>
      <c r="N20" s="101">
        <f>+'1'!N20+'2'!N20+'4'!N20+'3'!N20+'5'!N20+'6'!N20+'7'!N20+'8'!N20+'9'!N20+'10'!N20</f>
        <v>73.221119999999999</v>
      </c>
      <c r="O20" s="101">
        <f>+'1'!O20+'2'!O20+'4'!O20+'3'!O20+'5'!O20+'6'!O20+'7'!O20+'8'!O20+'9'!O20+'10'!O20</f>
        <v>10.184128000000001</v>
      </c>
      <c r="P20" s="120">
        <f t="shared" si="0"/>
        <v>417.54924799999998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</v>
      </c>
      <c r="I21" s="1">
        <f t="shared" si="1"/>
        <v>581.12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46.489600000000003</v>
      </c>
      <c r="M21" s="118">
        <f t="shared" si="2"/>
        <v>534.63040000000001</v>
      </c>
      <c r="N21" s="101">
        <f>+'1'!N21+'2'!N21+'4'!N21+'3'!N21+'5'!N21+'6'!N21+'7'!N21+'8'!N21+'9'!N21+'10'!N21</f>
        <v>96.233471999999992</v>
      </c>
      <c r="O21" s="101">
        <f>+'1'!O21+'2'!O21+'4'!O21+'3'!O21+'5'!O21+'6'!O21+'7'!O21+'8'!O21+'9'!O21+'10'!O21</f>
        <v>15.771596800000001</v>
      </c>
      <c r="P21" s="120">
        <f t="shared" si="0"/>
        <v>646.63546880000001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1.5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60</v>
      </c>
      <c r="I25" s="178">
        <f t="shared" si="3"/>
        <v>3551.2999999999997</v>
      </c>
      <c r="J25" s="177">
        <f t="shared" si="3"/>
        <v>3</v>
      </c>
      <c r="K25" s="178">
        <f t="shared" si="3"/>
        <v>0</v>
      </c>
      <c r="L25" s="179">
        <f t="shared" si="3"/>
        <v>284.10400000000004</v>
      </c>
      <c r="M25" s="141">
        <f t="shared" si="3"/>
        <v>3267.1959999999999</v>
      </c>
      <c r="N25" s="142">
        <f>SUM(N16:N24)</f>
        <v>701.47878000000003</v>
      </c>
      <c r="O25" s="143">
        <f>SUM(O16:O24)</f>
        <v>99.216869500000001</v>
      </c>
      <c r="P25" s="144">
        <f>SUM(P16:P24)</f>
        <v>4067.8916494999999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4067.8916494999999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3551.2999999999997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284.10400000000004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3267.1959999999999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701.47878000000003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3968.6747799999998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99.216869500000001</v>
      </c>
    </row>
    <row r="39" spans="2:16" ht="15.75" customHeight="1" thickBot="1" x14ac:dyDescent="0.4">
      <c r="N39" s="219" t="s">
        <v>92</v>
      </c>
      <c r="O39" s="220"/>
      <c r="P39" s="160">
        <f>P37+P38</f>
        <v>4067.8916494999999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3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3520262710933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7</v>
      </c>
      <c r="I19" s="116">
        <f t="shared" si="3"/>
        <v>508.48</v>
      </c>
      <c r="J19" s="117"/>
      <c r="K19" s="1">
        <f t="shared" si="4"/>
        <v>0</v>
      </c>
      <c r="L19" s="105">
        <f t="shared" si="5"/>
        <v>40.678400000000003</v>
      </c>
      <c r="M19" s="118">
        <f t="shared" si="6"/>
        <v>467.80160000000001</v>
      </c>
      <c r="N19" s="118">
        <f t="shared" si="0"/>
        <v>84.204288000000005</v>
      </c>
      <c r="O19" s="119">
        <f t="shared" si="1"/>
        <v>13.800147200000001</v>
      </c>
      <c r="P19" s="120">
        <f t="shared" si="2"/>
        <v>565.8060352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3"/>
        <v>363.2</v>
      </c>
      <c r="J20" s="117">
        <v>1</v>
      </c>
      <c r="K20" s="1">
        <f t="shared" si="4"/>
        <v>0</v>
      </c>
      <c r="L20" s="105">
        <f t="shared" si="5"/>
        <v>29.056000000000001</v>
      </c>
      <c r="M20" s="118">
        <f t="shared" si="6"/>
        <v>334.14400000000001</v>
      </c>
      <c r="N20" s="118">
        <f t="shared" si="0"/>
        <v>73.221119999999999</v>
      </c>
      <c r="O20" s="119">
        <f t="shared" si="1"/>
        <v>10.184128000000001</v>
      </c>
      <c r="P20" s="120">
        <f t="shared" si="2"/>
        <v>417.54924799999998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3"/>
        <v>581.12</v>
      </c>
      <c r="J21" s="117"/>
      <c r="K21" s="1">
        <f t="shared" si="4"/>
        <v>0</v>
      </c>
      <c r="L21" s="105">
        <f t="shared" si="5"/>
        <v>46.489600000000003</v>
      </c>
      <c r="M21" s="118">
        <f t="shared" si="6"/>
        <v>534.63040000000001</v>
      </c>
      <c r="N21" s="118">
        <f t="shared" si="0"/>
        <v>96.233471999999992</v>
      </c>
      <c r="O21" s="119">
        <f t="shared" si="1"/>
        <v>15.771596800000001</v>
      </c>
      <c r="P21" s="120">
        <f t="shared" si="2"/>
        <v>646.63546880000001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0</v>
      </c>
      <c r="L25" s="140">
        <f t="shared" si="9"/>
        <v>116.22400000000002</v>
      </c>
      <c r="M25" s="141">
        <f t="shared" si="9"/>
        <v>1336.576</v>
      </c>
      <c r="N25" s="142">
        <f>SUM(N16:N24)</f>
        <v>253.65888000000001</v>
      </c>
      <c r="O25" s="143">
        <f>SUM(O16:O24)</f>
        <v>39.755872000000004</v>
      </c>
      <c r="P25" s="144">
        <f>SUM(P16:P24)</f>
        <v>1629.9907520000002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1452.8000000000002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253.65888000000001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1590.2348800000002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39.755872000000011</v>
      </c>
    </row>
    <row r="35" spans="2:16" ht="15.75" customHeight="1" thickBot="1" x14ac:dyDescent="0.4">
      <c r="N35" s="219" t="s">
        <v>92</v>
      </c>
      <c r="O35" s="220"/>
      <c r="P35" s="160">
        <f>P33+P34</f>
        <v>1629.9907520000002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>(N16+M16)*$O$15</f>
        <v>59.460997499999998</v>
      </c>
      <c r="P16" s="105">
        <f t="shared" ref="P16:P24" si="1">M16+N16+O16</f>
        <v>2437.9008974999997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59.460997499999998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2378.4398999999999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19" t="s">
        <v>92</v>
      </c>
      <c r="O35" s="220"/>
      <c r="P35" s="160">
        <f>P33+P34</f>
        <v>2437.9008974999997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B13" sqref="B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2026-06-24T12:05:22Z</dcterms:modified>
</cp:coreProperties>
</file>