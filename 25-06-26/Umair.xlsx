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4AA74972-8E92-4173-B343-1540C790DEA8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T17" i="15" l="1"/>
  <c r="T16" i="1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17" l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19" l="1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N16" i="18" l="1"/>
  <c r="N16" i="15" s="1"/>
  <c r="M18" i="16"/>
  <c r="N18" i="16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2" i="15" l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<sst xmlns="http://schemas.openxmlformats.org/spreadsheetml/2006/main" count="1584" uniqueCount="122">
  <si>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</si>
  <si>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</si>
  <si>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</si>
  <si>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</si>
  <si>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</si>
  <si>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</si>
  <si>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</si>
  <si>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</si>
  <si>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</si>
  <si>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</si>
  <si>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</si>
  <si>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</si>
  <si>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</si>
  <si>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</si>
  <si>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</si>
  <si>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</si>
  <si>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</si>
  <si>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</si>
  <si>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</si>
  <si>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</si>
  <si>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</si>
  <si>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</si>
  <si>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</si>
  <si>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</si>
  <si>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</si>
  <si>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</si>
  <si>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</si>
  <si>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</si>
  <si>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</si>
  <si>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</si>
  <si>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</si>
  <si>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</si>
  <si>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</si>
  <si>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</si>
  <si>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</si>
  <si>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</si>
  <si>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</si>
  <si>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</si>
  <si>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</si>
  <si>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</si>
  <si>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</si>
  <si>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</si>
  <si>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</si>
  <si>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</si>
  <si>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</si>
  <si>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</si>
  <si>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</si>
  <si>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</si>
  <si>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</si>
  <si>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</si>
  <si>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</si>
  <si>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</si>
  <si>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</si>
  <si>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</si>
  <si>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</si>
  <si>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</si>
  <si>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</si>
  <si>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</si>
  <si>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</si>
  <si>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</si>
  <si>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</si>
  <si>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</si>
  <si>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</si>
  <si>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</si>
  <si>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</si>
  <si>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</si>
  <si>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</si>
  <si>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</si>
  <si>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</si>
  <si>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</si>
  <si>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</si>
  <si>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</si>
  <si>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</si>
  <si>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</si>
  <si>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</si>
  <si>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</si>
  <si>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</si>
  <si>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</si>
  <si>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</si>
  <si>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</si>
  <si>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</si>
  <si>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</si>
  <si>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</si>
  <si>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</si>
  <si>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</si>
  <si>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</si>
  <si>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</si>
  <si>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</si>
  <si>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</si>
  <si>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</si>
  <si>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</si>
  <si>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</si>
  <si>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</si>
  <si>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</si>
  <si>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</si>
  <si>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</si>
  <si>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</si>
  <si>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</si>
  <si>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</si>
  <si>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</si>
  <si>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</si>
  <si>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</si>
  <si>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</si>
  <si>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</si>
  <si>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</si>
  <si>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</si>
  <si>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Shop Bill Summary (Umair Rehman)</t>
  </si>
  <si>
    <t>Umair</t>
  </si>
  <si>
    <t xml:space="preserve">Customer Name : Abu Hashim </t>
  </si>
  <si>
    <t>Address: Youna Abad</t>
  </si>
  <si>
    <t>I479237-5</t>
  </si>
  <si>
    <t>Customer Name : BIB Store</t>
  </si>
  <si>
    <t>Address: Hamza Town</t>
  </si>
  <si>
    <t>Customer Name : Bin Hayat Store</t>
  </si>
  <si>
    <t>Customer Name : Iman Traders</t>
  </si>
  <si>
    <t xml:space="preserve">Address: Shehzad Road Purana Kanah </t>
  </si>
  <si>
    <t xml:space="preserve">Customer Name : Mozam Cash &amp; Carry </t>
  </si>
  <si>
    <t>D4770278</t>
  </si>
  <si>
    <t>Customer Name : Tayab Khan Store</t>
  </si>
  <si>
    <t xml:space="preserve">Customer Name : Groce Mart </t>
  </si>
  <si>
    <t>Address: Purana  Qabrastan Younaabad</t>
  </si>
  <si>
    <t>34193677367-7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</si>
</sst>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6" sqref="B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5" zoomScale="70" zoomScaleNormal="7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107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106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Abu Hashim </v>
      </c>
      <c r="U14" s="164">
        <f>+'1'!P35</f>
        <v>10310.464211850001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9"/>
      <c r="J15" s="171" t="s">
        <v>78</v>
      </c>
      <c r="K15" s="171" t="s">
        <v>79</v>
      </c>
      <c r="L15" s="174" t="s">
        <v>80</v>
      </c>
      <c r="M15" s="23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BIB Store</v>
      </c>
      <c r="U15" s="164">
        <f>+'2'!P35</f>
        <v>3309.6730752000003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60</v>
      </c>
      <c r="I16" s="1">
        <f>(G16*D16)*F16+H16*F16</f>
        <v>3147.75</v>
      </c>
      <c r="J16" s="172">
        <f>+'1'!J16+'2'!J16+'4'!J16+'3'!J16+'5'!J16+'6'!J16+'7'!J16+'8'!J16+'9'!J16+'10'!J16+'11'!J16+'12'!J16+'13'!J16+'14'!J16+'15'!J16+'16'!J16+'17'!J16+'18'!J16</f>
        <v>3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251.82</v>
      </c>
      <c r="M16" s="106">
        <f>I16-K16-L16</f>
        <v>2895.93</v>
      </c>
      <c r="N16" s="101">
        <f>+'1'!N16+'2'!N16+'4'!N16+'3'!N16+'5'!N16+'6'!N16+'7'!N16+'8'!N16+'9'!N16+'10'!N16</f>
        <v>590.30804999999998</v>
      </c>
      <c r="O16" s="101">
        <f>+'1'!O16+'2'!O16+'4'!O16+'3'!O16+'5'!O16+'6'!O16+'7'!O16+'8'!O16+'9'!O16+'10'!O16</f>
        <v>63.371552250000001</v>
      </c>
      <c r="P16" s="105">
        <f t="shared" ref="P16:P24" si="0">M16+N16+O16</f>
        <v>3549.6096022500001</v>
      </c>
      <c r="Q16" s="108"/>
      <c r="T16" s="163" t="str">
        <f>+'3'!A5</f>
        <v>Customer Name : Bin Hayat Store</v>
      </c>
      <c r="U16" s="164">
        <f>+'3'!P35</f>
        <v>501.4164864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120</v>
      </c>
      <c r="I17" s="1">
        <f t="shared" ref="I17:I23" si="1">(G17*D17)*F17+H17*F17</f>
        <v>6295.5</v>
      </c>
      <c r="J17" s="172">
        <f>+'1'!J17+'2'!J17+'4'!J17+'3'!J17+'5'!J17+'6'!J17+'7'!J17+'8'!J17+'9'!J17+'10'!J17+'11'!J17+'12'!J17+'13'!J17+'14'!J17+'15'!J17+'16'!J17+'17'!J17+'18'!J17</f>
        <v>6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503.64</v>
      </c>
      <c r="M17" s="118">
        <f t="shared" ref="M17:M23" si="2">I17-K17-L17</f>
        <v>5791.86</v>
      </c>
      <c r="N17" s="101">
        <f>+'1'!N17+'2'!N17+'4'!N17+'3'!N17+'5'!N17+'6'!N17+'7'!N17+'8'!N17+'9'!N17+'10'!N17</f>
        <v>1180.6161</v>
      </c>
      <c r="O17" s="101">
        <f>+'1'!O17+'2'!O17+'4'!O17+'3'!O17+'5'!O17+'6'!O17+'7'!O17+'8'!O17+'9'!O17+'10'!O17</f>
        <v>126.7431045</v>
      </c>
      <c r="P17" s="120">
        <f t="shared" si="0"/>
        <v>7099.2192045000002</v>
      </c>
      <c r="S17" s="64"/>
      <c r="T17" s="163" t="str">
        <f>+'4'!A5</f>
        <v>Customer Name : Iman Traders</v>
      </c>
      <c r="U17" s="164">
        <f>+'4'!P35</f>
        <v>1795.4904090000002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Mozam Cash &amp; Carry </v>
      </c>
      <c r="U18" s="164">
        <f>+'5'!P35</f>
        <v>16843.275169500001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122</v>
      </c>
      <c r="I19" s="1">
        <f t="shared" si="1"/>
        <v>8862.08</v>
      </c>
      <c r="J19" s="172">
        <f>+'1'!J19+'2'!J19+'4'!J19+'3'!J19+'5'!J19+'6'!J19+'7'!J19+'8'!J19+'9'!J19+'10'!J19+'11'!J19+'12'!J19+'13'!J19+'14'!J19+'15'!J19+'16'!J19+'17'!J19+'18'!J19</f>
        <v>6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708.96640000000002</v>
      </c>
      <c r="M19" s="118">
        <f t="shared" si="2"/>
        <v>8153.1135999999997</v>
      </c>
      <c r="N19" s="101">
        <f>+'1'!N19+'2'!N19+'4'!N19+'3'!N19+'5'!N19+'6'!N19+'7'!N19+'8'!N19+'9'!N19+'10'!N19</f>
        <v>1776.832512</v>
      </c>
      <c r="O19" s="101">
        <f>+'1'!O19+'2'!O19+'4'!O19+'3'!O19+'5'!O19+'6'!O19+'7'!O19+'8'!O19+'9'!O19+'10'!O19</f>
        <v>116.5203712</v>
      </c>
      <c r="P19" s="120">
        <f t="shared" si="0"/>
        <v>10046.4664832</v>
      </c>
      <c r="T19" s="163" t="str">
        <f>+'6'!A5</f>
        <v>Customer Name : Tayab Khan Store</v>
      </c>
      <c r="U19" s="164">
        <f>+'6'!P35</f>
        <v>1795.4904090000002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112</v>
      </c>
      <c r="I20" s="1">
        <f t="shared" si="1"/>
        <v>8135.68</v>
      </c>
      <c r="J20" s="172">
        <f>+'1'!J20+'2'!J20+'4'!J20+'3'!J20+'5'!J20+'6'!J20+'7'!J20+'8'!J20+'9'!J20+'10'!J20+'11'!J20+'12'!J20+'13'!J20+'14'!J20+'15'!J20+'16'!J20+'17'!J20+'18'!J20</f>
        <v>5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650.85440000000006</v>
      </c>
      <c r="M20" s="118">
        <f t="shared" si="2"/>
        <v>7484.8256000000001</v>
      </c>
      <c r="N20" s="101">
        <f>+'1'!N20+'2'!N20+'4'!N20+'3'!N20+'5'!N20+'6'!N20+'7'!N20+'8'!N20+'9'!N20+'10'!N20</f>
        <v>1613.828352</v>
      </c>
      <c r="O20" s="101">
        <f>+'1'!O20+'2'!O20+'4'!O20+'3'!O20+'5'!O20+'6'!O20+'7'!O20+'8'!O20+'9'!O20+'10'!O20</f>
        <v>112.36391040000001</v>
      </c>
      <c r="P20" s="120">
        <f t="shared" si="0"/>
        <v>9211.0178624</v>
      </c>
      <c r="T20" s="163" t="str">
        <f>+'7'!A5</f>
        <v xml:space="preserve">Customer Name : Groce Mart </v>
      </c>
      <c r="U20" s="164">
        <f>+'7'!P35</f>
        <v>9929.0192255999991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112</v>
      </c>
      <c r="I21" s="1">
        <f t="shared" si="1"/>
        <v>8135.68</v>
      </c>
      <c r="J21" s="172">
        <f>+'1'!J21+'2'!J21+'4'!J21+'3'!J21+'5'!J21+'6'!J21+'7'!J21+'8'!J21+'9'!J21+'10'!J21+'11'!J21+'12'!J21+'13'!J21+'14'!J21+'15'!J21+'16'!J21+'17'!J21+'18'!J21</f>
        <v>6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650.85440000000006</v>
      </c>
      <c r="M21" s="118">
        <f t="shared" si="2"/>
        <v>7484.8256000000001</v>
      </c>
      <c r="N21" s="101">
        <f>+'1'!N21+'2'!N21+'4'!N21+'3'!N21+'5'!N21+'6'!N21+'7'!N21+'8'!N21+'9'!N21+'10'!N21</f>
        <v>1629.8091519999998</v>
      </c>
      <c r="O21" s="101">
        <f>+'1'!O21+'2'!O21+'4'!O21+'3'!O21+'5'!O21+'6'!O21+'7'!O21+'8'!O21+'9'!O21+'10'!O21</f>
        <v>112.44381440000001</v>
      </c>
      <c r="P21" s="120">
        <f t="shared" si="0"/>
        <v>9227.0785663999995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120</v>
      </c>
      <c r="I22" s="1">
        <f t="shared" si="1"/>
        <v>4707.6000000000004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164.76600000000002</v>
      </c>
      <c r="L22" s="175">
        <f>+'1'!L22+'2'!L22+'4'!L22+'3'!L22+'5'!L22+'6'!L22+'7'!L22+'8'!L22+'9'!L22+'10'!L22</f>
        <v>235.38000000000005</v>
      </c>
      <c r="M22" s="118">
        <f t="shared" si="2"/>
        <v>4307.4540000000006</v>
      </c>
      <c r="N22" s="101">
        <f>+'1'!N22+'2'!N22+'4'!N22+'3'!N22+'5'!N22+'6'!N22+'7'!N22+'8'!N22+'9'!N22+'10'!N22</f>
        <v>947.63988000000018</v>
      </c>
      <c r="O22" s="101">
        <f>+'1'!O22+'2'!O22+'4'!O22+'3'!O22+'5'!O22+'6'!O22+'7'!O22+'8'!O22+'9'!O22+'10'!O22</f>
        <v>96.343387800000016</v>
      </c>
      <c r="P22" s="120">
        <f t="shared" si="0"/>
        <v>5351.4372678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16.149999999999999</v>
      </c>
      <c r="D25" s="205"/>
      <c r="E25" s="205"/>
      <c r="F25" s="205"/>
      <c r="G25" s="176">
        <f t="shared" ref="G25:M25" si="3">SUM(G16:G24)</f>
        <v>0</v>
      </c>
      <c r="H25" s="177">
        <f t="shared" si="3"/>
        <v>646</v>
      </c>
      <c r="I25" s="178">
        <f t="shared" si="3"/>
        <v>39284.29</v>
      </c>
      <c r="J25" s="177">
        <f t="shared" si="3"/>
        <v>26</v>
      </c>
      <c r="K25" s="178">
        <f t="shared" si="3"/>
        <v>164.76600000000002</v>
      </c>
      <c r="L25" s="179">
        <f t="shared" si="3"/>
        <v>3001.5152000000003</v>
      </c>
      <c r="M25" s="141">
        <f t="shared" si="3"/>
        <v>36118.008799999996</v>
      </c>
      <c r="N25" s="142">
        <f>SUM(N16:N24)</f>
        <v>7739.0340460000007</v>
      </c>
      <c r="O25" s="143">
        <f>SUM(O16:O24)</f>
        <v>627.78614055000003</v>
      </c>
      <c r="P25" s="144">
        <f>SUM(P16:P24)</f>
        <v>44484.828986550005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44484.828986550005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2">
        <f>I25</f>
        <v>39284.29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3">
        <f>L25</f>
        <v>3001.5152000000003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4">
        <f>K25</f>
        <v>164.76600000000002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3">
        <f>P32-P33-P34</f>
        <v>36118.008799999996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5" t="s">
        <v>89</v>
      </c>
      <c r="O36" s="156">
        <f>IF(B12="Registered",18%,22%)</f>
        <v>0.22</v>
      </c>
      <c r="P36" s="153">
        <f>N25</f>
        <v>7739.0340460000007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3">
        <f>P35+P36</f>
        <v>43857.042845999997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7"/>
      <c r="N38" s="158" t="s">
        <v>91</v>
      </c>
      <c r="O38" s="159">
        <f>IF(B11="Filer",0.5%,2.5%)</f>
        <v>2.5000000000000001E-2</v>
      </c>
      <c r="P38" s="153">
        <f>O38*P37</f>
        <v>1096.4260711499999</v>
      </c>
    </row>
    <row r="39" spans="2:16" ht="15.75" customHeight="1" thickBot="1" x14ac:dyDescent="0.4">
      <c r="N39" s="203" t="s">
        <v>92</v>
      </c>
      <c r="O39" s="204"/>
      <c r="P39" s="160">
        <f>P37+P38</f>
        <v>44953.468917149999</v>
      </c>
    </row>
    <row r="40" spans="2:16" ht="15" thickBot="1" x14ac:dyDescent="0.4">
      <c r="B40" s="161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5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108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109</v>
      </c>
      <c r="B6" s="229"/>
      <c r="C6" s="229"/>
      <c r="F6" s="70"/>
      <c r="G6" s="74"/>
      <c r="K6" s="229" t="s">
        <v>52</v>
      </c>
      <c r="L6" s="229"/>
      <c r="M6" s="229"/>
      <c r="N6" s="242" t="s">
        <v>104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110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>
        <v>1</v>
      </c>
      <c r="K16" s="104">
        <f>I16*$K$13</f>
        <v>0</v>
      </c>
      <c r="L16" s="105">
        <f>I16*8%</f>
        <v>83.94</v>
      </c>
      <c r="M16" s="106">
        <f>I16-K16-L16</f>
        <v>965.31</v>
      </c>
      <c r="N16" s="106">
        <f t="shared" ref="N16:N24" si="0">(M16*$N$15)+(J16*F16)*$N$15</f>
        <v>223.90995000000001</v>
      </c>
      <c r="O16" s="107">
        <f t="shared" ref="O16:O24" si="1">(N16+M16)*$O$15</f>
        <v>5.9460997500000001</v>
      </c>
      <c r="P16" s="105">
        <f t="shared" ref="P16:P24" si="2">M16+N16+O16</f>
        <v>1195.16604975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3">(G17*D17)*F17+H17*F17</f>
        <v>2098.5</v>
      </c>
      <c r="J17" s="117">
        <v>2</v>
      </c>
      <c r="K17" s="1">
        <f t="shared" ref="K17:K21" si="4">I17*$K$13</f>
        <v>0</v>
      </c>
      <c r="L17" s="105">
        <f t="shared" ref="L17:L21" si="5">I17*8%</f>
        <v>167.88</v>
      </c>
      <c r="M17" s="118">
        <f t="shared" ref="M17:M23" si="6">I17-K17-L17</f>
        <v>1930.62</v>
      </c>
      <c r="N17" s="118">
        <f t="shared" si="0"/>
        <v>447.81990000000002</v>
      </c>
      <c r="O17" s="119">
        <f t="shared" si="1"/>
        <v>11.8921995</v>
      </c>
      <c r="P17" s="120">
        <f t="shared" si="2"/>
        <v>2390.3320994999999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</v>
      </c>
      <c r="I19" s="116">
        <f t="shared" si="3"/>
        <v>1452.8</v>
      </c>
      <c r="J19" s="117">
        <v>1</v>
      </c>
      <c r="K19" s="1">
        <f t="shared" si="4"/>
        <v>0</v>
      </c>
      <c r="L19" s="105">
        <f t="shared" si="5"/>
        <v>116.224</v>
      </c>
      <c r="M19" s="118">
        <f t="shared" si="6"/>
        <v>1336.576</v>
      </c>
      <c r="N19" s="118">
        <f t="shared" si="0"/>
        <v>310.02751999999998</v>
      </c>
      <c r="O19" s="119">
        <f t="shared" si="1"/>
        <v>8.2330176000000002</v>
      </c>
      <c r="P19" s="120">
        <f t="shared" si="2"/>
        <v>1654.8365376000002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3"/>
        <v>1452.8</v>
      </c>
      <c r="J20" s="117">
        <v>1</v>
      </c>
      <c r="K20" s="1">
        <f t="shared" si="4"/>
        <v>0</v>
      </c>
      <c r="L20" s="105">
        <f t="shared" si="5"/>
        <v>116.224</v>
      </c>
      <c r="M20" s="118">
        <f t="shared" si="6"/>
        <v>1336.576</v>
      </c>
      <c r="N20" s="118">
        <f t="shared" si="0"/>
        <v>310.02751999999998</v>
      </c>
      <c r="O20" s="119">
        <f t="shared" si="1"/>
        <v>8.2330176000000002</v>
      </c>
      <c r="P20" s="120">
        <f t="shared" si="2"/>
        <v>1654.8365376000002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3"/>
        <v>1452.8</v>
      </c>
      <c r="J21" s="117">
        <v>1</v>
      </c>
      <c r="K21" s="1">
        <f t="shared" si="4"/>
        <v>0</v>
      </c>
      <c r="L21" s="105">
        <f t="shared" si="5"/>
        <v>116.224</v>
      </c>
      <c r="M21" s="118">
        <f t="shared" si="6"/>
        <v>1336.576</v>
      </c>
      <c r="N21" s="118">
        <f t="shared" si="0"/>
        <v>310.02751999999998</v>
      </c>
      <c r="O21" s="119">
        <f t="shared" si="1"/>
        <v>8.2330176000000002</v>
      </c>
      <c r="P21" s="120">
        <f t="shared" si="2"/>
        <v>1654.8365376000002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3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6"/>
        <v>1435.8180000000002</v>
      </c>
      <c r="N22" s="118">
        <f t="shared" si="0"/>
        <v>315.87996000000004</v>
      </c>
      <c r="O22" s="119">
        <f t="shared" si="1"/>
        <v>8.7584898000000013</v>
      </c>
      <c r="P22" s="120">
        <f t="shared" si="2"/>
        <v>1760.4564498000002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160</v>
      </c>
      <c r="I25" s="137">
        <f t="shared" si="9"/>
        <v>9075.35</v>
      </c>
      <c r="J25" s="138"/>
      <c r="K25" s="139">
        <f t="shared" si="9"/>
        <v>54.922000000000011</v>
      </c>
      <c r="L25" s="140">
        <f t="shared" si="9"/>
        <v>678.952</v>
      </c>
      <c r="M25" s="141">
        <f t="shared" si="9"/>
        <v>8341.4759999999987</v>
      </c>
      <c r="N25" s="142">
        <f>SUM(N16:N24)</f>
        <v>1917.69237</v>
      </c>
      <c r="O25" s="143">
        <f>SUM(O16:O24)</f>
        <v>51.295841849999995</v>
      </c>
      <c r="P25" s="144">
        <f>SUM(P16:P24)</f>
        <v>10310.464211850001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9075.35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678.952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54.922000000000011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8341.4760000000006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1917.69237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10259.168370000001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51.295841850000009</v>
      </c>
    </row>
    <row r="35" spans="2:16" ht="15.75" customHeight="1" thickBot="1" x14ac:dyDescent="0.4">
      <c r="N35" s="203" t="s">
        <v>92</v>
      </c>
      <c r="O35" s="204"/>
      <c r="P35" s="160">
        <f>P33+P34</f>
        <v>10310.464211850001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8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111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109</v>
      </c>
      <c r="B6" s="229"/>
      <c r="C6" s="229"/>
      <c r="F6" s="70"/>
      <c r="G6" s="74"/>
      <c r="K6" s="229" t="s">
        <v>52</v>
      </c>
      <c r="L6" s="229"/>
      <c r="M6" s="229"/>
      <c r="N6" s="242" t="s">
        <v>104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3510298549723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</v>
      </c>
      <c r="I19" s="116">
        <f t="shared" si="2"/>
        <v>1452.8</v>
      </c>
      <c r="J19" s="117">
        <v>1</v>
      </c>
      <c r="K19" s="1">
        <f t="shared" si="3"/>
        <v>0</v>
      </c>
      <c r="L19" s="105">
        <f t="shared" si="4"/>
        <v>116.224</v>
      </c>
      <c r="M19" s="118">
        <f t="shared" si="5"/>
        <v>1336.576</v>
      </c>
      <c r="N19" s="118">
        <f t="shared" si="0"/>
        <v>310.02751999999998</v>
      </c>
      <c r="O19" s="119">
        <f t="shared" si="6"/>
        <v>8.2330176000000002</v>
      </c>
      <c r="P19" s="120">
        <f t="shared" si="1"/>
        <v>1654.8365376000002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/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147.02336</v>
      </c>
      <c r="O20" s="119">
        <f t="shared" si="6"/>
        <v>4.0765568000000005</v>
      </c>
      <c r="P20" s="120">
        <f t="shared" si="1"/>
        <v>819.38791680000008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>
        <v>1</v>
      </c>
      <c r="K21" s="1">
        <f t="shared" si="3"/>
        <v>0</v>
      </c>
      <c r="L21" s="105">
        <f t="shared" si="4"/>
        <v>58.112000000000002</v>
      </c>
      <c r="M21" s="118">
        <f t="shared" si="5"/>
        <v>668.28800000000001</v>
      </c>
      <c r="N21" s="118">
        <f t="shared" si="0"/>
        <v>163.00415999999998</v>
      </c>
      <c r="O21" s="119">
        <f t="shared" si="6"/>
        <v>4.1564607999999996</v>
      </c>
      <c r="P21" s="120">
        <f t="shared" si="1"/>
        <v>835.44862079999996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232.44800000000001</v>
      </c>
      <c r="M25" s="141">
        <f t="shared" si="9"/>
        <v>2673.152</v>
      </c>
      <c r="N25" s="142">
        <f>SUM(N16:N24)</f>
        <v>620.05503999999996</v>
      </c>
      <c r="O25" s="143">
        <f>SUM(O16:O24)</f>
        <v>16.4660352</v>
      </c>
      <c r="P25" s="144">
        <f>SUM(P16:P24)</f>
        <v>3309.6730752000003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2905.6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232.44800000000001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2673.152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3293.2070400000002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16.4660352</v>
      </c>
    </row>
    <row r="35" spans="2:16" ht="15.75" customHeight="1" thickBot="1" x14ac:dyDescent="0.4">
      <c r="N35" s="203" t="s">
        <v>92</v>
      </c>
      <c r="O35" s="204"/>
      <c r="P35" s="160">
        <f>P33+P34</f>
        <v>3309.6730752000003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8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4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112</v>
      </c>
      <c r="B6" s="229"/>
      <c r="C6" s="229"/>
      <c r="F6" s="70"/>
      <c r="G6" s="74"/>
      <c r="K6" s="229" t="s">
        <v>52</v>
      </c>
      <c r="L6" s="229"/>
      <c r="M6" s="229"/>
      <c r="N6" s="242" t="s">
        <v>104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</v>
      </c>
      <c r="I19" s="116">
        <f t="shared" si="2"/>
        <v>145.28</v>
      </c>
      <c r="J19" s="117"/>
      <c r="K19" s="1">
        <f t="shared" si="3"/>
        <v>0</v>
      </c>
      <c r="L19" s="105">
        <f t="shared" si="4"/>
        <v>11.622400000000001</v>
      </c>
      <c r="M19" s="118">
        <f t="shared" si="5"/>
        <v>133.6576</v>
      </c>
      <c r="N19" s="118">
        <f t="shared" si="0"/>
        <v>29.404672000000001</v>
      </c>
      <c r="O19" s="119">
        <f t="shared" si="6"/>
        <v>4.0765568000000005</v>
      </c>
      <c r="P19" s="120">
        <f t="shared" si="1"/>
        <v>167.1388288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</v>
      </c>
      <c r="I20" s="116">
        <f t="shared" si="2"/>
        <v>145.28</v>
      </c>
      <c r="J20" s="117"/>
      <c r="K20" s="1">
        <f t="shared" si="3"/>
        <v>0</v>
      </c>
      <c r="L20" s="105">
        <f t="shared" si="4"/>
        <v>11.622400000000001</v>
      </c>
      <c r="M20" s="118">
        <f t="shared" si="5"/>
        <v>133.6576</v>
      </c>
      <c r="N20" s="118">
        <f t="shared" si="0"/>
        <v>29.404672000000001</v>
      </c>
      <c r="O20" s="119">
        <f t="shared" si="6"/>
        <v>4.0765568000000005</v>
      </c>
      <c r="P20" s="120">
        <f t="shared" si="1"/>
        <v>167.1388288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</v>
      </c>
      <c r="I21" s="116">
        <f t="shared" si="2"/>
        <v>145.28</v>
      </c>
      <c r="J21" s="117"/>
      <c r="K21" s="1">
        <f t="shared" si="3"/>
        <v>0</v>
      </c>
      <c r="L21" s="105">
        <f t="shared" si="4"/>
        <v>11.622400000000001</v>
      </c>
      <c r="M21" s="118">
        <f t="shared" si="5"/>
        <v>133.6576</v>
      </c>
      <c r="N21" s="118">
        <f t="shared" si="0"/>
        <v>29.404672000000001</v>
      </c>
      <c r="O21" s="119">
        <f t="shared" si="6"/>
        <v>4.0765568000000005</v>
      </c>
      <c r="P21" s="120">
        <f t="shared" si="1"/>
        <v>167.1388288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6</v>
      </c>
      <c r="I25" s="137">
        <f t="shared" si="9"/>
        <v>435.84000000000003</v>
      </c>
      <c r="J25" s="138"/>
      <c r="K25" s="139">
        <f t="shared" si="9"/>
        <v>0</v>
      </c>
      <c r="L25" s="140">
        <f t="shared" si="9"/>
        <v>34.867200000000004</v>
      </c>
      <c r="M25" s="141">
        <f t="shared" si="9"/>
        <v>400.97280000000001</v>
      </c>
      <c r="N25" s="142">
        <f>SUM(N16:N24)</f>
        <v>88.214016000000001</v>
      </c>
      <c r="O25" s="143">
        <f>SUM(O16:O24)</f>
        <v>12.229670400000002</v>
      </c>
      <c r="P25" s="144">
        <f>SUM(P16:P24)</f>
        <v>501.4164864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435.84000000000003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34.867200000000004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400.97280000000001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88.214016000000001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489.18681600000002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12.229670400000002</v>
      </c>
    </row>
    <row r="35" spans="2:16" ht="15.75" customHeight="1" thickBot="1" x14ac:dyDescent="0.4">
      <c r="N35" s="203" t="s">
        <v>92</v>
      </c>
      <c r="O35" s="204"/>
      <c r="P35" s="160">
        <f>P33+P34</f>
        <v>501.4164864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5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115</v>
      </c>
      <c r="B6" s="229"/>
      <c r="C6" s="229"/>
      <c r="F6" s="70"/>
      <c r="G6" s="74"/>
      <c r="K6" s="229" t="s">
        <v>52</v>
      </c>
      <c r="L6" s="229"/>
      <c r="M6" s="229"/>
      <c r="N6" s="242" t="s">
        <v>104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43.792449000000005</v>
      </c>
      <c r="P22" s="120">
        <f t="shared" si="1"/>
        <v>1795.4904090000002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1569.2000000000003</v>
      </c>
      <c r="J25" s="138"/>
      <c r="K25" s="139">
        <f t="shared" si="9"/>
        <v>54.922000000000011</v>
      </c>
      <c r="L25" s="140">
        <f t="shared" si="9"/>
        <v>78.460000000000022</v>
      </c>
      <c r="M25" s="141">
        <f t="shared" si="9"/>
        <v>1435.8180000000002</v>
      </c>
      <c r="N25" s="142">
        <f>SUM(N16:N24)</f>
        <v>315.87996000000004</v>
      </c>
      <c r="O25" s="143">
        <f>SUM(O16:O24)</f>
        <v>43.792449000000005</v>
      </c>
      <c r="P25" s="144">
        <f>SUM(P16:P24)</f>
        <v>1795.4904090000002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1569.2000000000003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78.460000000000022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54.922000000000011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1435.8180000000002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315.87996000000004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1751.6979600000002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43.792449000000005</v>
      </c>
    </row>
    <row r="35" spans="2:16" ht="15.75" customHeight="1" thickBot="1" x14ac:dyDescent="0.4">
      <c r="N35" s="203" t="s">
        <v>92</v>
      </c>
      <c r="O35" s="204"/>
      <c r="P35" s="160">
        <f>P33+P34</f>
        <v>1795.4904090000002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8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5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109</v>
      </c>
      <c r="B6" s="229"/>
      <c r="C6" s="229"/>
      <c r="F6" s="70"/>
      <c r="G6" s="74"/>
      <c r="K6" s="229" t="s">
        <v>52</v>
      </c>
      <c r="L6" s="229"/>
      <c r="M6" s="229"/>
      <c r="N6" s="242" t="s">
        <v>104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 t="s">
        <v>117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>
        <v>2</v>
      </c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366.3981</v>
      </c>
      <c r="O16" s="107">
        <f>(N16+M16)*$O$15</f>
        <v>57.425452499999999</v>
      </c>
      <c r="P16" s="105">
        <f t="shared" ref="P16:P24" si="1">M16+N16+O16</f>
        <v>2354.4435524999999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80</v>
      </c>
      <c r="I17" s="116">
        <f t="shared" ref="I17:I23" si="2">(G17*D17)*F17+H17*F17</f>
        <v>4197</v>
      </c>
      <c r="J17" s="117">
        <v>4</v>
      </c>
      <c r="K17" s="1">
        <f t="shared" ref="K17:K21" si="3">I17*$K$13</f>
        <v>0</v>
      </c>
      <c r="L17" s="105">
        <f t="shared" ref="L17:L21" si="4">I17*8%</f>
        <v>335.76</v>
      </c>
      <c r="M17" s="118">
        <f t="shared" ref="M17:M23" si="5">I17-K17-L17</f>
        <v>3861.24</v>
      </c>
      <c r="N17" s="118">
        <f t="shared" si="0"/>
        <v>732.7962</v>
      </c>
      <c r="O17" s="119">
        <f t="shared" ref="O17:O24" si="6">(N17+M17)*$O$15</f>
        <v>114.850905</v>
      </c>
      <c r="P17" s="120">
        <f t="shared" si="1"/>
        <v>4708.8871049999998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507.31775999999996</v>
      </c>
      <c r="O19" s="119">
        <f t="shared" si="6"/>
        <v>79.511744000000007</v>
      </c>
      <c r="P19" s="120">
        <f t="shared" si="1"/>
        <v>3259.9815039999999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>
        <v>2</v>
      </c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507.31775999999996</v>
      </c>
      <c r="O20" s="119">
        <f t="shared" si="6"/>
        <v>79.511744000000007</v>
      </c>
      <c r="P20" s="120">
        <f t="shared" si="1"/>
        <v>3259.9815039999999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507.31775999999996</v>
      </c>
      <c r="O21" s="119">
        <f t="shared" si="6"/>
        <v>79.511744000000007</v>
      </c>
      <c r="P21" s="120">
        <f t="shared" si="1"/>
        <v>3259.9815039999999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240</v>
      </c>
      <c r="I25" s="137">
        <f t="shared" si="9"/>
        <v>15012.300000000001</v>
      </c>
      <c r="J25" s="138"/>
      <c r="K25" s="139">
        <f t="shared" si="9"/>
        <v>0</v>
      </c>
      <c r="L25" s="140">
        <f t="shared" si="9"/>
        <v>1200.9839999999999</v>
      </c>
      <c r="M25" s="141">
        <f t="shared" si="9"/>
        <v>13811.315999999999</v>
      </c>
      <c r="N25" s="142">
        <f>SUM(N16:N24)</f>
        <v>2621.1475799999998</v>
      </c>
      <c r="O25" s="143">
        <f>SUM(O16:O24)</f>
        <v>410.81158950000003</v>
      </c>
      <c r="P25" s="144">
        <f>SUM(P16:P24)</f>
        <v>16843.275169500001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15012.300000000001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1200.9839999999999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13811.316000000001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2621.1475799999998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16432.46358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410.81158950000003</v>
      </c>
    </row>
    <row r="35" spans="2:16" ht="15.75" customHeight="1" thickBot="1" x14ac:dyDescent="0.4">
      <c r="N35" s="203" t="s">
        <v>92</v>
      </c>
      <c r="O35" s="204"/>
      <c r="P35" s="160">
        <f>P33+P34</f>
        <v>16843.275169500001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8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6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118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109</v>
      </c>
      <c r="B6" s="229"/>
      <c r="C6" s="229"/>
      <c r="F6" s="70"/>
      <c r="G6" s="74"/>
      <c r="K6" s="229" t="s">
        <v>52</v>
      </c>
      <c r="L6" s="229"/>
      <c r="M6" s="229"/>
      <c r="N6" s="242" t="s">
        <v>104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43.792449000000005</v>
      </c>
      <c r="P22" s="120">
        <f t="shared" si="1"/>
        <v>1795.4904090000002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1569.2000000000003</v>
      </c>
      <c r="J25" s="138"/>
      <c r="K25" s="139">
        <f t="shared" si="9"/>
        <v>54.922000000000011</v>
      </c>
      <c r="L25" s="140">
        <f t="shared" si="9"/>
        <v>78.460000000000022</v>
      </c>
      <c r="M25" s="141">
        <f t="shared" si="9"/>
        <v>1435.8180000000002</v>
      </c>
      <c r="N25" s="142">
        <f>SUM(N16:N24)</f>
        <v>315.87996000000004</v>
      </c>
      <c r="O25" s="143">
        <f>SUM(O16:O24)</f>
        <v>43.792449000000005</v>
      </c>
      <c r="P25" s="144">
        <f>SUM(P16:P24)</f>
        <v>1795.4904090000002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1569.2000000000003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78.460000000000022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54.922000000000011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1435.8180000000002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315.87996000000004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1751.6979600000002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43.792449000000005</v>
      </c>
    </row>
    <row r="35" spans="2:16" ht="15.75" customHeight="1" thickBot="1" x14ac:dyDescent="0.4">
      <c r="N35" s="203" t="s">
        <v>92</v>
      </c>
      <c r="O35" s="204"/>
      <c r="P35" s="160">
        <f>P33+P34</f>
        <v>1795.4904090000002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7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119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120</v>
      </c>
      <c r="B6" s="229"/>
      <c r="C6" s="229"/>
      <c r="F6" s="70"/>
      <c r="G6" s="74"/>
      <c r="K6" s="229" t="s">
        <v>52</v>
      </c>
      <c r="L6" s="229"/>
      <c r="M6" s="229"/>
      <c r="N6" s="242" t="s">
        <v>104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 t="s">
        <v>121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620.05503999999996</v>
      </c>
      <c r="O19" s="119">
        <f t="shared" si="6"/>
        <v>16.4660352</v>
      </c>
      <c r="P19" s="120">
        <f t="shared" si="1"/>
        <v>3309.6730752000003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>
        <v>2</v>
      </c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620.05503999999996</v>
      </c>
      <c r="O20" s="119">
        <f t="shared" si="6"/>
        <v>16.4660352</v>
      </c>
      <c r="P20" s="120">
        <f t="shared" si="1"/>
        <v>3309.6730752000003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620.05503999999996</v>
      </c>
      <c r="O21" s="119">
        <f t="shared" si="6"/>
        <v>16.4660352</v>
      </c>
      <c r="P21" s="120">
        <f t="shared" si="1"/>
        <v>3309.6730752000003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120</v>
      </c>
      <c r="I25" s="137">
        <f t="shared" si="9"/>
        <v>8716.7999999999993</v>
      </c>
      <c r="J25" s="138"/>
      <c r="K25" s="139">
        <f t="shared" si="9"/>
        <v>0</v>
      </c>
      <c r="L25" s="140">
        <f t="shared" si="9"/>
        <v>697.34400000000005</v>
      </c>
      <c r="M25" s="141">
        <f t="shared" si="9"/>
        <v>8019.4560000000001</v>
      </c>
      <c r="N25" s="142">
        <f>SUM(N16:N24)</f>
        <v>1860.1651199999999</v>
      </c>
      <c r="O25" s="143">
        <f>SUM(O16:O24)</f>
        <v>49.398105600000001</v>
      </c>
      <c r="P25" s="144">
        <f>SUM(P16:P24)</f>
        <v>9929.0192256000009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8716.7999999999993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697.34400000000005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8019.4559999999992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1860.1651199999999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9879.6211199999998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49.398105600000001</v>
      </c>
    </row>
    <row r="35" spans="2:16" ht="15.75" customHeight="1" thickBot="1" x14ac:dyDescent="0.4">
      <c r="N35" s="203" t="s">
        <v>92</v>
      </c>
      <c r="O35" s="204"/>
      <c r="P35" s="160">
        <f>P33+P34</f>
        <v>9929.0192255999991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8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9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7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7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80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2026-06-24T13:13:44Z</dcterms:modified>
</cp:coreProperties>
</file>