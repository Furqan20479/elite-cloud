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15F06CF7-5A42-4476-B461-9F02B1CA37EC}" xr6:coauthVersionLast="47" xr6:coauthVersionMax="47" xr10:uidLastSave="{00000000-0000-0000-0000-000000000000}"/>
  <bookViews>
    <workbookView xWindow="-110" yWindow="-110" windowWidth="19420" windowHeight="10420" tabRatio="949" activeTab="8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T17" i="15" l="1"/>
  <c r="T16" i="1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19" l="1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0" l="1"/>
  <c r="M25" i="20"/>
  <c r="M22" i="15"/>
  <c r="M18" i="15"/>
  <c r="N16" i="18"/>
  <c r="N16" i="15" s="1"/>
  <c r="M18" i="16"/>
  <c r="N18" i="16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2" i="15" l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<sst xmlns="http://schemas.openxmlformats.org/spreadsheetml/2006/main" count="1586" uniqueCount="123">
  <si>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</si>
  <si>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</si>
  <si>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</si>
  <si>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</si>
  <si>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</si>
  <si>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</si>
  <si>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</si>
  <si>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</si>
  <si>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</si>
  <si>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</si>
  <si>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</si>
  <si>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</si>
  <si>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</si>
  <si>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</si>
  <si>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</si>
  <si>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</si>
  <si>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</si>
  <si>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</si>
  <si>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</si>
  <si>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</si>
  <si>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</si>
  <si>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</si>
  <si>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</si>
  <si>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</si>
  <si>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</si>
  <si>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</si>
  <si>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</si>
  <si>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</si>
  <si>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</si>
  <si>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</si>
  <si>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</si>
  <si>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</si>
  <si>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</si>
  <si>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</si>
  <si>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</si>
  <si>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</si>
  <si>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</si>
  <si>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</si>
  <si>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</si>
  <si>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</si>
  <si>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</si>
  <si>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</si>
  <si>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</si>
  <si>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</si>
  <si>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</si>
  <si>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</si>
  <si>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</si>
  <si>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</si>
  <si>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</si>
  <si>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</si>
  <si>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</si>
  <si>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</si>
  <si>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</si>
  <si>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</si>
  <si>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</si>
  <si>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</si>
  <si>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</si>
  <si>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</si>
  <si>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</si>
  <si>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</si>
  <si>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</si>
  <si>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</si>
  <si>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</si>
  <si>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</si>
  <si>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</si>
  <si>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</si>
  <si>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</si>
  <si>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</si>
  <si>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</si>
  <si>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</si>
  <si>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</si>
  <si>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</si>
  <si>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</si>
  <si>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</si>
  <si>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</si>
  <si>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</si>
  <si>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</si>
  <si>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</si>
  <si>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</si>
  <si>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</si>
  <si>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</si>
  <si>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</si>
  <si>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</si>
  <si>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</si>
  <si>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</si>
  <si>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</si>
  <si>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</si>
  <si>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</si>
  <si>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</si>
  <si>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</si>
  <si>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</si>
  <si>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</si>
  <si>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</si>
  <si>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</si>
  <si>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</si>
  <si>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</si>
  <si>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</si>
  <si>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</si>
  <si>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</si>
  <si>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</si>
  <si>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</si>
  <si>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</si>
  <si>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</si>
  <si>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</si>
  <si>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</si>
  <si>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</si>
  <si>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Shop Bill Summary (Umair Rehman)</t>
  </si>
  <si>
    <t>Umair</t>
  </si>
  <si>
    <t xml:space="preserve">Customer Name : Abu Hashim </t>
  </si>
  <si>
    <t>Address: Youna Abad</t>
  </si>
  <si>
    <t>I479237-5</t>
  </si>
  <si>
    <t>Customer Name : BIB Store</t>
  </si>
  <si>
    <t>Address: Hamza Town</t>
  </si>
  <si>
    <t>Customer Name : Bin Hayat Store</t>
  </si>
  <si>
    <t>Customer Name : Iman Traders</t>
  </si>
  <si>
    <t xml:space="preserve">Address: Shehzad Road Purana Kanah </t>
  </si>
  <si>
    <t xml:space="preserve">Customer Name : Mozam Cash &amp; Carry </t>
  </si>
  <si>
    <t>D4770278</t>
  </si>
  <si>
    <t>Customer Name : Tayab Khan Store</t>
  </si>
  <si>
    <t xml:space="preserve">Customer Name : Groce Mart </t>
  </si>
  <si>
    <t>Address: Purana  Qabrastan Younaabad</t>
  </si>
  <si>
    <t>34193677367-7</t>
  </si>
  <si>
    <t xml:space="preserve">Promis Monday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</si>
</sst>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10" zoomScale="70" zoomScaleNormal="7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107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106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Abu Hashim </v>
      </c>
      <c r="U14" s="164">
        <f>+'1'!P35</f>
        <v>10310.464211850001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BIB Store</v>
      </c>
      <c r="U15" s="164">
        <f>+'2'!P35</f>
        <v>3309.6730752000003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20</v>
      </c>
      <c r="I16" s="1">
        <f>(G16*D16)*F16+H16*F16</f>
        <v>1049.25</v>
      </c>
      <c r="J16" s="172">
        <f>+'1'!J16+'2'!J16+'4'!J16+'3'!J16+'5'!J16+'6'!J16+'7'!J16+'8'!J16+'9'!J16+'10'!J16+'11'!J16+'12'!J16+'13'!J16+'14'!J16+'15'!J16+'16'!J16+'17'!J16+'18'!J16</f>
        <v>1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83.94</v>
      </c>
      <c r="M16" s="106">
        <f>I16-K16-L16</f>
        <v>965.31</v>
      </c>
      <c r="N16" s="101">
        <f>+'1'!N16+'2'!N16+'4'!N16+'3'!N16+'5'!N16+'6'!N16+'7'!N16+'8'!N16+'9'!N16+'10'!N16</f>
        <v>223.90995000000001</v>
      </c>
      <c r="O16" s="101">
        <f>+'1'!O16+'2'!O16+'4'!O16+'3'!O16+'5'!O16+'6'!O16+'7'!O16+'8'!O16+'9'!O16+'10'!O16</f>
        <v>5.9460997500000001</v>
      </c>
      <c r="P16" s="105">
        <f t="shared" ref="P16:P24" si="0">M16+N16+O16</f>
        <v>1195.16604975</v>
      </c>
      <c r="Q16" s="108"/>
      <c r="T16" s="163" t="str">
        <f>+'3'!A5</f>
        <v>Customer Name : Bin Hayat Store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40</v>
      </c>
      <c r="I17" s="1">
        <f t="shared" ref="I17:I23" si="1">(G17*D17)*F17+H17*F17</f>
        <v>2098.5</v>
      </c>
      <c r="J17" s="172">
        <f>+'1'!J17+'2'!J17+'4'!J17+'3'!J17+'5'!J17+'6'!J17+'7'!J17+'8'!J17+'9'!J17+'10'!J17+'11'!J17+'12'!J17+'13'!J17+'14'!J17+'15'!J17+'16'!J17+'17'!J17+'18'!J17</f>
        <v>2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167.88</v>
      </c>
      <c r="M17" s="118">
        <f t="shared" ref="M17:M23" si="2">I17-K17-L17</f>
        <v>1930.62</v>
      </c>
      <c r="N17" s="101">
        <f>+'1'!N17+'2'!N17+'4'!N17+'3'!N17+'5'!N17+'6'!N17+'7'!N17+'8'!N17+'9'!N17+'10'!N17</f>
        <v>447.81990000000002</v>
      </c>
      <c r="O17" s="101">
        <f>+'1'!O17+'2'!O17+'4'!O17+'3'!O17+'5'!O17+'6'!O17+'7'!O17+'8'!O17+'9'!O17+'10'!O17</f>
        <v>11.8921995</v>
      </c>
      <c r="P17" s="120">
        <f t="shared" si="0"/>
        <v>2390.3320994999999</v>
      </c>
      <c r="S17" s="64"/>
      <c r="T17" s="163" t="str">
        <f>+'4'!A5</f>
        <v>Customer Name : Iman Traders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Mozam Cash &amp; Carry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80</v>
      </c>
      <c r="I19" s="1">
        <f t="shared" si="1"/>
        <v>5811.2</v>
      </c>
      <c r="J19" s="172">
        <f>+'1'!J19+'2'!J19+'4'!J19+'3'!J19+'5'!J19+'6'!J19+'7'!J19+'8'!J19+'9'!J19+'10'!J19+'11'!J19+'12'!J19+'13'!J19+'14'!J19+'15'!J19+'16'!J19+'17'!J19+'18'!J19</f>
        <v>4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464.89600000000002</v>
      </c>
      <c r="M19" s="118">
        <f t="shared" si="2"/>
        <v>5346.3040000000001</v>
      </c>
      <c r="N19" s="101">
        <f>+'1'!N19+'2'!N19+'4'!N19+'3'!N19+'5'!N19+'6'!N19+'7'!N19+'8'!N19+'9'!N19+'10'!N19</f>
        <v>1240.1100799999999</v>
      </c>
      <c r="O19" s="101">
        <f>+'1'!O19+'2'!O19+'4'!O19+'3'!O19+'5'!O19+'6'!O19+'7'!O19+'8'!O19+'9'!O19+'10'!O19</f>
        <v>32.932070400000001</v>
      </c>
      <c r="P19" s="120">
        <f t="shared" si="0"/>
        <v>6619.3461504000006</v>
      </c>
      <c r="T19" s="163" t="str">
        <f>+'6'!A5</f>
        <v>Customer Name : Tayab Khan Store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70</v>
      </c>
      <c r="I20" s="1">
        <f t="shared" si="1"/>
        <v>5084.8</v>
      </c>
      <c r="J20" s="172">
        <f>+'1'!J20+'2'!J20+'4'!J20+'3'!J20+'5'!J20+'6'!J20+'7'!J20+'8'!J20+'9'!J20+'10'!J20+'11'!J20+'12'!J20+'13'!J20+'14'!J20+'15'!J20+'16'!J20+'17'!J20+'18'!J20</f>
        <v>3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406.78399999999999</v>
      </c>
      <c r="M20" s="118">
        <f t="shared" si="2"/>
        <v>4678.0160000000005</v>
      </c>
      <c r="N20" s="101">
        <f>+'1'!N20+'2'!N20+'4'!N20+'3'!N20+'5'!N20+'6'!N20+'7'!N20+'8'!N20+'9'!N20+'10'!N20</f>
        <v>1077.10592</v>
      </c>
      <c r="O20" s="101">
        <f>+'1'!O20+'2'!O20+'4'!O20+'3'!O20+'5'!O20+'6'!O20+'7'!O20+'8'!O20+'9'!O20+'10'!O20</f>
        <v>28.775609600000003</v>
      </c>
      <c r="P20" s="120">
        <f t="shared" si="0"/>
        <v>5783.8975296000008</v>
      </c>
      <c r="T20" s="163" t="str">
        <f>+'7'!A5</f>
        <v xml:space="preserve">Customer Name : Groce Mart </v>
      </c>
      <c r="U20" s="164">
        <f>+'7'!P35</f>
        <v>9929.0192255999991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70</v>
      </c>
      <c r="I21" s="1">
        <f t="shared" si="1"/>
        <v>5084.8</v>
      </c>
      <c r="J21" s="172">
        <f>+'1'!J21+'2'!J21+'4'!J21+'3'!J21+'5'!J21+'6'!J21+'7'!J21+'8'!J21+'9'!J21+'10'!J21+'11'!J21+'12'!J21+'13'!J21+'14'!J21+'15'!J21+'16'!J21+'17'!J21+'18'!J21</f>
        <v>4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406.78399999999999</v>
      </c>
      <c r="M21" s="118">
        <f t="shared" si="2"/>
        <v>4678.0160000000005</v>
      </c>
      <c r="N21" s="101">
        <f>+'1'!N21+'2'!N21+'4'!N21+'3'!N21+'5'!N21+'6'!N21+'7'!N21+'8'!N21+'9'!N21+'10'!N21</f>
        <v>1093.0867199999998</v>
      </c>
      <c r="O21" s="101">
        <f>+'1'!O21+'2'!O21+'4'!O21+'3'!O21+'5'!O21+'6'!O21+'7'!O21+'8'!O21+'9'!O21+'10'!O21</f>
        <v>28.855513600000002</v>
      </c>
      <c r="P21" s="120">
        <f t="shared" si="0"/>
        <v>5799.9582336000012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40</v>
      </c>
      <c r="I22" s="1">
        <f t="shared" si="1"/>
        <v>1569.2000000000003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54.922000000000011</v>
      </c>
      <c r="L22" s="175">
        <f>+'1'!L22+'2'!L22+'4'!L22+'3'!L22+'5'!L22+'6'!L22+'7'!L22+'8'!L22+'9'!L22+'10'!L22</f>
        <v>78.460000000000022</v>
      </c>
      <c r="M22" s="118">
        <f t="shared" si="2"/>
        <v>1435.8180000000002</v>
      </c>
      <c r="N22" s="101">
        <f>+'1'!N22+'2'!N22+'4'!N22+'3'!N22+'5'!N22+'6'!N22+'7'!N22+'8'!N22+'9'!N22+'10'!N22</f>
        <v>315.87996000000004</v>
      </c>
      <c r="O22" s="101">
        <f>+'1'!O22+'2'!O22+'4'!O22+'3'!O22+'5'!O22+'6'!O22+'7'!O22+'8'!O22+'9'!O22+'10'!O22</f>
        <v>8.7584898000000013</v>
      </c>
      <c r="P22" s="120">
        <f t="shared" si="0"/>
        <v>1760.4564498000002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8</v>
      </c>
      <c r="D25" s="205"/>
      <c r="E25" s="205"/>
      <c r="F25" s="205"/>
      <c r="G25" s="176">
        <f t="shared" ref="G25:M25" si="3">SUM(G16:G24)</f>
        <v>0</v>
      </c>
      <c r="H25" s="177">
        <f t="shared" si="3"/>
        <v>320</v>
      </c>
      <c r="I25" s="178">
        <f t="shared" si="3"/>
        <v>20697.75</v>
      </c>
      <c r="J25" s="177">
        <f t="shared" si="3"/>
        <v>14</v>
      </c>
      <c r="K25" s="178">
        <f t="shared" si="3"/>
        <v>54.922000000000011</v>
      </c>
      <c r="L25" s="179">
        <f t="shared" si="3"/>
        <v>1608.7440000000001</v>
      </c>
      <c r="M25" s="141">
        <f t="shared" si="3"/>
        <v>19034.083999999999</v>
      </c>
      <c r="N25" s="142">
        <f>SUM(N16:N24)</f>
        <v>4397.9125299999996</v>
      </c>
      <c r="O25" s="143">
        <f>SUM(O16:O24)</f>
        <v>117.15998265000002</v>
      </c>
      <c r="P25" s="144">
        <f>SUM(P16:P24)</f>
        <v>23549.156512650003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23549.156512649999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20697.75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1608.7440000000001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54.922000000000011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19034.084000000003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4397.9125299999996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23431.996530000004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585.79991325000015</v>
      </c>
    </row>
    <row r="39" spans="2:16" ht="15.75" customHeight="1" thickBot="1" x14ac:dyDescent="0.4">
      <c r="N39" s="203" t="s">
        <v>92</v>
      </c>
      <c r="O39" s="204"/>
      <c r="P39" s="160">
        <f>P37+P38</f>
        <v>24017.796443250005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6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110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 t="shared" ref="O16:O24" si="1">(N16+M16)*$O$15</f>
        <v>5.9460997500000001</v>
      </c>
      <c r="P16" s="105">
        <f t="shared" ref="P16:P24" si="2">M16+N16+O16</f>
        <v>1195.16604975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3">(G17*D17)*F17+H17*F17</f>
        <v>2098.5</v>
      </c>
      <c r="J17" s="117">
        <v>2</v>
      </c>
      <c r="K17" s="1">
        <f t="shared" ref="K17:K21" si="4">I17*$K$13</f>
        <v>0</v>
      </c>
      <c r="L17" s="105">
        <f t="shared" ref="L17:L21" si="5">I17*8%</f>
        <v>167.88</v>
      </c>
      <c r="M17" s="118">
        <f t="shared" ref="M17:M23" si="6">I17-K17-L17</f>
        <v>1930.62</v>
      </c>
      <c r="N17" s="118">
        <f t="shared" si="0"/>
        <v>447.81990000000002</v>
      </c>
      <c r="O17" s="119">
        <f t="shared" si="1"/>
        <v>11.8921995</v>
      </c>
      <c r="P17" s="120">
        <f t="shared" si="2"/>
        <v>2390.3320994999999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3"/>
        <v>1452.8</v>
      </c>
      <c r="J19" s="117">
        <v>1</v>
      </c>
      <c r="K19" s="1">
        <f t="shared" si="4"/>
        <v>0</v>
      </c>
      <c r="L19" s="105">
        <f t="shared" si="5"/>
        <v>116.224</v>
      </c>
      <c r="M19" s="118">
        <f t="shared" si="6"/>
        <v>1336.576</v>
      </c>
      <c r="N19" s="118">
        <f t="shared" si="0"/>
        <v>310.02751999999998</v>
      </c>
      <c r="O19" s="119">
        <f t="shared" si="1"/>
        <v>8.2330176000000002</v>
      </c>
      <c r="P19" s="120">
        <f t="shared" si="2"/>
        <v>1654.8365376000002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3"/>
        <v>1452.8</v>
      </c>
      <c r="J20" s="117">
        <v>1</v>
      </c>
      <c r="K20" s="1">
        <f t="shared" si="4"/>
        <v>0</v>
      </c>
      <c r="L20" s="105">
        <f t="shared" si="5"/>
        <v>116.224</v>
      </c>
      <c r="M20" s="118">
        <f t="shared" si="6"/>
        <v>1336.576</v>
      </c>
      <c r="N20" s="118">
        <f t="shared" si="0"/>
        <v>310.02751999999998</v>
      </c>
      <c r="O20" s="119">
        <f t="shared" si="1"/>
        <v>8.2330176000000002</v>
      </c>
      <c r="P20" s="120">
        <f t="shared" si="2"/>
        <v>1654.8365376000002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3"/>
        <v>1452.8</v>
      </c>
      <c r="J21" s="117">
        <v>1</v>
      </c>
      <c r="K21" s="1">
        <f t="shared" si="4"/>
        <v>0</v>
      </c>
      <c r="L21" s="105">
        <f t="shared" si="5"/>
        <v>116.224</v>
      </c>
      <c r="M21" s="118">
        <f t="shared" si="6"/>
        <v>1336.576</v>
      </c>
      <c r="N21" s="118">
        <f t="shared" si="0"/>
        <v>310.02751999999998</v>
      </c>
      <c r="O21" s="119">
        <f t="shared" si="1"/>
        <v>8.2330176000000002</v>
      </c>
      <c r="P21" s="120">
        <f t="shared" si="2"/>
        <v>1654.8365376000002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6"/>
        <v>1435.8180000000002</v>
      </c>
      <c r="N22" s="118">
        <f t="shared" si="0"/>
        <v>315.87996000000004</v>
      </c>
      <c r="O22" s="119">
        <f t="shared" si="1"/>
        <v>8.7584898000000013</v>
      </c>
      <c r="P22" s="120">
        <f t="shared" si="2"/>
        <v>1760.4564498000002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160</v>
      </c>
      <c r="I25" s="137">
        <f t="shared" si="9"/>
        <v>9075.35</v>
      </c>
      <c r="J25" s="138"/>
      <c r="K25" s="139">
        <f t="shared" si="9"/>
        <v>54.922000000000011</v>
      </c>
      <c r="L25" s="140">
        <f t="shared" si="9"/>
        <v>678.952</v>
      </c>
      <c r="M25" s="141">
        <f t="shared" si="9"/>
        <v>8341.4759999999987</v>
      </c>
      <c r="N25" s="142">
        <f>SUM(N16:N24)</f>
        <v>1917.69237</v>
      </c>
      <c r="O25" s="143">
        <f>SUM(O16:O24)</f>
        <v>51.295841849999995</v>
      </c>
      <c r="P25" s="144">
        <f>SUM(P16:P24)</f>
        <v>10310.464211850001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9075.35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678.952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8341.4760000000006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1917.69237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10259.168370000001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51.295841850000009</v>
      </c>
    </row>
    <row r="35" spans="2:16" ht="15.75" customHeight="1" thickBot="1" x14ac:dyDescent="0.4">
      <c r="N35" s="203" t="s">
        <v>92</v>
      </c>
      <c r="O35" s="204"/>
      <c r="P35" s="160">
        <f>P33+P34</f>
        <v>10310.464211850001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7" workbookViewId="0">
      <selection activeCell="F23" sqref="F2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111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3510298549723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8.2330176000000002</v>
      </c>
      <c r="P19" s="120">
        <f t="shared" si="1"/>
        <v>1654.8365376000002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147.02336</v>
      </c>
      <c r="O20" s="119">
        <f t="shared" si="6"/>
        <v>4.0765568000000005</v>
      </c>
      <c r="P20" s="120">
        <f t="shared" si="1"/>
        <v>819.38791680000008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>
        <v>1</v>
      </c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163.00415999999998</v>
      </c>
      <c r="O21" s="119">
        <f t="shared" si="6"/>
        <v>4.1564607999999996</v>
      </c>
      <c r="P21" s="120">
        <f t="shared" si="1"/>
        <v>835.44862079999996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232.44800000000001</v>
      </c>
      <c r="M25" s="141">
        <f t="shared" si="9"/>
        <v>2673.152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3309.6730752000003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232.44800000000001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3293.2070400000002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03" t="s">
        <v>92</v>
      </c>
      <c r="O35" s="204"/>
      <c r="P35" s="160">
        <f>P33+P34</f>
        <v>3309.6730752000003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112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0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115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XFD37"/>
  <sheetViews>
    <sheetView workbookViewId="0">
      <selection activeCell="L2" sqref="L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5.36328125" bestFit="1" customWidth="1"/>
    <col min="18" max="18" width="7.26953125" bestFit="1" customWidth="1"/>
  </cols>
  <sheetData>
    <row r="1" spans="1:19 16383:16384" x14ac:dyDescent="0.35">
      <c r="L1" t="s">
        <v>122</v>
      </c>
    </row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117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64">
        <v>40</v>
      </c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Q17">
        <v>80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  <c r="Q19">
        <v>40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  <c r="Q20">
        <v>40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  <c r="Q21">
        <v>40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XFD37"/>
  <sheetViews>
    <sheetView tabSelected="1" workbookViewId="0">
      <selection activeCell="K2" sqref="K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K1" t="s">
        <v>122</v>
      </c>
    </row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119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120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121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16.4660352</v>
      </c>
      <c r="P19" s="120">
        <f t="shared" si="1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620.05503999999996</v>
      </c>
      <c r="O20" s="119">
        <f t="shared" si="6"/>
        <v>16.4660352</v>
      </c>
      <c r="P20" s="120">
        <f t="shared" si="1"/>
        <v>3309.6730752000003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16.4660352</v>
      </c>
      <c r="P21" s="120">
        <f t="shared" si="1"/>
        <v>3309.6730752000003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120</v>
      </c>
      <c r="I25" s="137">
        <f t="shared" si="9"/>
        <v>8716.7999999999993</v>
      </c>
      <c r="J25" s="138"/>
      <c r="K25" s="139">
        <f t="shared" si="9"/>
        <v>0</v>
      </c>
      <c r="L25" s="140">
        <f t="shared" si="9"/>
        <v>697.34400000000005</v>
      </c>
      <c r="M25" s="141">
        <f t="shared" si="9"/>
        <v>8019.4560000000001</v>
      </c>
      <c r="N25" s="142">
        <f>SUM(N16:N24)</f>
        <v>1860.1651199999999</v>
      </c>
      <c r="O25" s="143">
        <f>SUM(O16:O24)</f>
        <v>49.398105600000001</v>
      </c>
      <c r="P25" s="144">
        <f>SUM(P16:P24)</f>
        <v>9929.0192256000009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8716.7999999999993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697.34400000000005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8019.4559999999992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1860.1651199999999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9879.6211199999998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49.398105600000001</v>
      </c>
    </row>
    <row r="35" spans="2:16" ht="15.75" customHeight="1" thickBot="1" x14ac:dyDescent="0.4">
      <c r="N35" s="203" t="s">
        <v>92</v>
      </c>
      <c r="O35" s="204"/>
      <c r="P35" s="160">
        <f>P33+P34</f>
        <v>9929.0192255999991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7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2026-06-29T06:16:33Z</dcterms:modified>
</cp:coreProperties>
</file>