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6D20F7C-46AE-46FA-9B1D-336C37DBEE2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<sst xmlns="http://schemas.openxmlformats.org/spreadsheetml/2006/main" count="1582" uniqueCount="120">
  <si>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</si>
  <si>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</si>
  <si>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</si>
  <si>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</si>
  <si>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</si>
  <si>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</si>
  <si>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</si>
  <si>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</si>
  <si>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</si>
  <si>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</si>
  <si>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</si>
  <si>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</si>
  <si>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</si>
  <si>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</si>
  <si>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</si>
  <si>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</si>
  <si>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</si>
  <si>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</si>
  <si>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</si>
  <si>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</si>
  <si>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</si>
  <si>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</si>
  <si>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</si>
  <si>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</si>
  <si>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</si>
  <si>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</si>
  <si>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</si>
  <si>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</si>
  <si>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</si>
  <si>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</si>
  <si>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</si>
  <si>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</si>
  <si>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</si>
  <si>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</si>
  <si>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</si>
  <si>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</si>
  <si>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</si>
  <si>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</si>
  <si>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</si>
  <si>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</si>
  <si>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</si>
  <si>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</si>
  <si>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</si>
  <si>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</si>
  <si>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</si>
  <si>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</si>
  <si>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</si>
  <si>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</si>
  <si>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</si>
  <si>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</si>
  <si>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</si>
  <si>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</si>
  <si>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</si>
  <si>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</si>
  <si>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</si>
  <si>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</si>
  <si>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</si>
  <si>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</si>
  <si>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</si>
  <si>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</si>
  <si>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</si>
  <si>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</si>
  <si>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</si>
  <si>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</si>
  <si>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</si>
  <si>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</si>
  <si>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</si>
  <si>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</si>
  <si>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</si>
  <si>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</si>
  <si>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</si>
  <si>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</si>
  <si>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</si>
  <si>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</si>
  <si>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</si>
  <si>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</si>
  <si>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</si>
  <si>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</si>
  <si>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</si>
  <si>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</si>
  <si>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</si>
  <si>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</si>
  <si>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</si>
  <si>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</si>
  <si>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</si>
  <si>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</si>
  <si>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</si>
  <si>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</si>
  <si>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</si>
  <si>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</si>
  <si>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</si>
  <si>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</si>
  <si>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</si>
  <si>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</si>
  <si>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</si>
  <si>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</si>
  <si>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</si>
  <si>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</si>
  <si>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</si>
  <si>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</si>
  <si>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</si>
  <si>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</si>
  <si>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</si>
  <si>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</si>
  <si>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</si>
  <si>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</si>
  <si>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Salman</t>
  </si>
  <si>
    <t>Shop Bill Summary (Salman)</t>
  </si>
  <si>
    <t>Customer Name : Alfalah Bakers</t>
  </si>
  <si>
    <t>Address: Gulberg 3</t>
  </si>
  <si>
    <t>2222730-0</t>
  </si>
  <si>
    <t>Customer Name : SM Store</t>
  </si>
  <si>
    <t>Customer Name : Al Madina Photo Copy</t>
  </si>
  <si>
    <t>Customer Name : Chishtiyan Sabria Store</t>
  </si>
  <si>
    <t xml:space="preserve">Address: 7 Street </t>
  </si>
  <si>
    <t>Customer Name : Ashiyana Store</t>
  </si>
  <si>
    <t>Customer Name : Mughal Store</t>
  </si>
  <si>
    <t>Address: 7 Street</t>
  </si>
  <si>
    <t>Customer Name : Hamza Mart</t>
  </si>
  <si>
    <t>Address: Walton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</si>
</sst>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4" zoomScale="70" zoomScaleNormal="70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Alfalah Bakers</v>
      </c>
      <c r="U14" s="164">
        <f>+'1'!P35</f>
        <v>1654.8365376000002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 Store</v>
      </c>
      <c r="U15" s="164">
        <f>+'2'!P35</f>
        <v>2939.3173839000001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55</v>
      </c>
      <c r="I16" s="1">
        <f>(G16*D16)*F16+H16*F16</f>
        <v>2885.4375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230.83499999999998</v>
      </c>
      <c r="M16" s="106">
        <f>I16-K16-L16</f>
        <v>2654.6025</v>
      </c>
      <c r="N16" s="101">
        <f>+'1'!N16+'2'!N16+'4'!N16+'3'!N16+'5'!N16+'6'!N16+'7'!N16+'8'!N16+'9'!N16+'10'!N16</f>
        <v>595.55430000000001</v>
      </c>
      <c r="O16" s="101">
        <f>+'1'!O16+'2'!O16+'4'!O16+'3'!O16+'5'!O16+'6'!O16+'7'!O16+'8'!O16+'9'!O16+'10'!O16</f>
        <v>57.700355999999999</v>
      </c>
      <c r="P16" s="105">
        <f t="shared" ref="P16:P24" si="0">M16+N16+O16</f>
        <v>3307.8571559999996</v>
      </c>
      <c r="Q16" s="108"/>
      <c r="T16" s="163" t="str">
        <f>+'3'!A5</f>
        <v>Customer Name : Al Madina Photo Copy</v>
      </c>
      <c r="U16" s="164">
        <f>+'3'!P35</f>
        <v>2955.6224995500002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45</v>
      </c>
      <c r="I17" s="1">
        <f t="shared" ref="I17:I23" si="1">(G17*D17)*F17+H17*F17</f>
        <v>2360.8125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188.86500000000001</v>
      </c>
      <c r="M17" s="118">
        <f t="shared" ref="M17:M23" si="2">I17-K17-L17</f>
        <v>2171.9475000000002</v>
      </c>
      <c r="N17" s="101">
        <f>+'1'!N17+'2'!N17+'4'!N17+'3'!N17+'5'!N17+'6'!N17+'7'!N17+'8'!N17+'9'!N17+'10'!N17</f>
        <v>535.5372000000001</v>
      </c>
      <c r="O17" s="101">
        <f>+'1'!O17+'2'!O17+'4'!O17+'3'!O17+'5'!O17+'6'!O17+'7'!O17+'8'!O17+'9'!O17+'10'!O17</f>
        <v>43.6718835</v>
      </c>
      <c r="P17" s="120">
        <f t="shared" si="0"/>
        <v>2751.1565835000006</v>
      </c>
      <c r="S17" s="64"/>
      <c r="T17" s="163" t="str">
        <f>+'4'!A5</f>
        <v>Customer Name : Chishtiyan Sabria Store</v>
      </c>
      <c r="U17" s="164">
        <f>+'4'!P35</f>
        <v>1654.8365376000002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Ashiyana Store</v>
      </c>
      <c r="U18" s="164">
        <f>+'5'!P35</f>
        <v>4944.9532374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39</v>
      </c>
      <c r="I19" s="1">
        <f t="shared" si="1"/>
        <v>2832.96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226.63679999999999</v>
      </c>
      <c r="M19" s="118">
        <f t="shared" si="2"/>
        <v>2606.3231999999998</v>
      </c>
      <c r="N19" s="101">
        <f>+'1'!N19+'2'!N19+'4'!N19+'3'!N19+'5'!N19+'6'!N19+'7'!N19+'8'!N19+'9'!N19+'10'!N19</f>
        <v>605.35270400000002</v>
      </c>
      <c r="O19" s="101">
        <f>+'1'!O19+'2'!O19+'4'!O19+'3'!O19+'5'!O19+'6'!O19+'7'!O19+'8'!O19+'9'!O19+'10'!O19</f>
        <v>16.058379519999999</v>
      </c>
      <c r="P19" s="120">
        <f t="shared" si="0"/>
        <v>3227.7342835199997</v>
      </c>
      <c r="T19" s="163" t="str">
        <f>+'6'!A5</f>
        <v>Customer Name : Mughal Store</v>
      </c>
      <c r="U19" s="164">
        <f>+'6'!P35</f>
        <v>1230.7807425000001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18</v>
      </c>
      <c r="I20" s="1">
        <f t="shared" si="1"/>
        <v>1307.52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104.6016</v>
      </c>
      <c r="M20" s="118">
        <f t="shared" si="2"/>
        <v>1202.9184</v>
      </c>
      <c r="N20" s="101">
        <f>+'1'!N20+'2'!N20+'4'!N20+'3'!N20+'5'!N20+'6'!N20+'7'!N20+'8'!N20+'9'!N20+'10'!N20</f>
        <v>296.60364800000002</v>
      </c>
      <c r="O20" s="101">
        <f>+'1'!O20+'2'!O20+'4'!O20+'3'!O20+'5'!O20+'6'!O20+'7'!O20+'8'!O20+'9'!O20+'10'!O20</f>
        <v>7.4976102400000002</v>
      </c>
      <c r="P20" s="120">
        <f t="shared" si="0"/>
        <v>1507.0196582400001</v>
      </c>
      <c r="T20" s="163" t="str">
        <f>+'7'!A5</f>
        <v>Customer Name : Hamza Mart</v>
      </c>
      <c r="U20" s="164">
        <f>+'7'!P35</f>
        <v>3617.9317162800007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53</v>
      </c>
      <c r="I21" s="1">
        <f t="shared" si="1"/>
        <v>3849.92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307.99360000000001</v>
      </c>
      <c r="M21" s="118">
        <f t="shared" si="2"/>
        <v>3541.9264000000003</v>
      </c>
      <c r="N21" s="101">
        <f>+'1'!N21+'2'!N21+'4'!N21+'3'!N21+'5'!N21+'6'!N21+'7'!N21+'8'!N21+'9'!N21+'10'!N21</f>
        <v>728.14336000000003</v>
      </c>
      <c r="O21" s="101">
        <f>+'1'!O21+'2'!O21+'4'!O21+'3'!O21+'5'!O21+'6'!O21+'7'!O21+'8'!O21+'9'!O21+'10'!O21</f>
        <v>31.134085120000002</v>
      </c>
      <c r="P21" s="120">
        <f t="shared" si="0"/>
        <v>4301.2038451200006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90</v>
      </c>
      <c r="I22" s="1">
        <f t="shared" si="1"/>
        <v>3530.7000000000003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123.57450000000003</v>
      </c>
      <c r="L22" s="175">
        <f>+'1'!L22+'2'!L22+'4'!L22+'3'!L22+'5'!L22+'6'!L22+'7'!L22+'8'!L22+'9'!L22+'10'!L22</f>
        <v>176.53500000000005</v>
      </c>
      <c r="M22" s="118">
        <f t="shared" si="2"/>
        <v>3230.5905000000002</v>
      </c>
      <c r="N22" s="101">
        <f>+'1'!N22+'2'!N22+'4'!N22+'3'!N22+'5'!N22+'6'!N22+'7'!N22+'8'!N22+'9'!N22+'10'!N22</f>
        <v>653.29719</v>
      </c>
      <c r="O22" s="101">
        <f>+'1'!O22+'2'!O22+'4'!O22+'3'!O22+'5'!O22+'6'!O22+'7'!O22+'8'!O22+'9'!O22+'10'!O22</f>
        <v>19.419438450000001</v>
      </c>
      <c r="P22" s="120">
        <f t="shared" si="0"/>
        <v>3903.3071284500006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7.5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300</v>
      </c>
      <c r="I25" s="178">
        <f t="shared" si="3"/>
        <v>16767.349999999999</v>
      </c>
      <c r="J25" s="177">
        <f t="shared" si="3"/>
        <v>11</v>
      </c>
      <c r="K25" s="178">
        <f t="shared" si="3"/>
        <v>123.57450000000003</v>
      </c>
      <c r="L25" s="179">
        <f t="shared" si="3"/>
        <v>1235.4670000000001</v>
      </c>
      <c r="M25" s="141">
        <f t="shared" si="3"/>
        <v>15408.308500000001</v>
      </c>
      <c r="N25" s="142">
        <f>SUM(N16:N24)</f>
        <v>3414.488402</v>
      </c>
      <c r="O25" s="143">
        <f>SUM(O16:O24)</f>
        <v>175.48175283</v>
      </c>
      <c r="P25" s="144">
        <f>SUM(P16:P24)</f>
        <v>18998.278654830003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18998.278654829999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16767.349999999999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1235.4670000000001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123.57450000000003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15408.308499999997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3414.488402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18822.796901999998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470.56992255</v>
      </c>
    </row>
    <row r="39" spans="2:16" ht="15.75" customHeight="1" thickBot="1" x14ac:dyDescent="0.4">
      <c r="N39" s="219" t="s">
        <v>92</v>
      </c>
      <c r="O39" s="220"/>
      <c r="P39" s="160">
        <f>P37+P38</f>
        <v>19293.366824549998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3"/>
        <v>363.2</v>
      </c>
      <c r="J19" s="117"/>
      <c r="K19" s="1">
        <f t="shared" si="4"/>
        <v>0</v>
      </c>
      <c r="L19" s="105">
        <f t="shared" si="5"/>
        <v>29.056000000000001</v>
      </c>
      <c r="M19" s="118">
        <f t="shared" si="6"/>
        <v>334.14400000000001</v>
      </c>
      <c r="N19" s="118">
        <f t="shared" si="0"/>
        <v>73.511679999999998</v>
      </c>
      <c r="O19" s="119">
        <f t="shared" si="1"/>
        <v>2.0382784000000003</v>
      </c>
      <c r="P19" s="120">
        <f t="shared" si="2"/>
        <v>409.69395840000004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3"/>
        <v>363.2</v>
      </c>
      <c r="J20" s="117">
        <v>1</v>
      </c>
      <c r="K20" s="1">
        <f t="shared" si="4"/>
        <v>0</v>
      </c>
      <c r="L20" s="105">
        <f t="shared" si="5"/>
        <v>29.056000000000001</v>
      </c>
      <c r="M20" s="118">
        <f t="shared" si="6"/>
        <v>334.14400000000001</v>
      </c>
      <c r="N20" s="118">
        <f t="shared" si="0"/>
        <v>89.49248</v>
      </c>
      <c r="O20" s="119">
        <f t="shared" si="1"/>
        <v>2.1181824000000002</v>
      </c>
      <c r="P20" s="120">
        <f t="shared" si="2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">
        <f t="shared" si="4"/>
        <v>0</v>
      </c>
      <c r="L21" s="105">
        <f t="shared" si="5"/>
        <v>58.112000000000002</v>
      </c>
      <c r="M21" s="118">
        <f t="shared" si="6"/>
        <v>668.28800000000001</v>
      </c>
      <c r="N21" s="118">
        <f t="shared" si="0"/>
        <v>147.02336</v>
      </c>
      <c r="O21" s="119">
        <f t="shared" si="1"/>
        <v>4.0765568000000005</v>
      </c>
      <c r="P21" s="120">
        <f t="shared" si="2"/>
        <v>819.38791680000008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46</v>
      </c>
      <c r="I25" s="137">
        <f t="shared" si="9"/>
        <v>2534.34</v>
      </c>
      <c r="J25" s="138"/>
      <c r="K25" s="139">
        <f t="shared" si="9"/>
        <v>0</v>
      </c>
      <c r="L25" s="140">
        <f t="shared" si="9"/>
        <v>202.74719999999999</v>
      </c>
      <c r="M25" s="141">
        <f t="shared" si="9"/>
        <v>2331.5927999999999</v>
      </c>
      <c r="N25" s="142">
        <f>SUM(N16:N24)</f>
        <v>536.03391599999998</v>
      </c>
      <c r="O25" s="143">
        <f>SUM(O16:O24)</f>
        <v>71.690667899999994</v>
      </c>
      <c r="P25" s="144">
        <f>SUM(P16:P24)</f>
        <v>2939.3173838999996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2534.34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202.74719999999999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2331.5928000000004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536.03391599999998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2867.6267160000002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71.690667900000008</v>
      </c>
    </row>
    <row r="35" spans="2:16" ht="15.75" customHeight="1" thickBot="1" x14ac:dyDescent="0.4">
      <c r="N35" s="219" t="s">
        <v>92</v>
      </c>
      <c r="O35" s="220"/>
      <c r="P35" s="160">
        <f>P33+P34</f>
        <v>2939.3173839000001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12187135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60</v>
      </c>
      <c r="I25" s="137">
        <f t="shared" si="9"/>
        <v>2618.4500000000003</v>
      </c>
      <c r="J25" s="138"/>
      <c r="K25" s="139">
        <f t="shared" si="9"/>
        <v>54.922000000000011</v>
      </c>
      <c r="L25" s="140">
        <f t="shared" si="9"/>
        <v>162.40000000000003</v>
      </c>
      <c r="M25" s="141">
        <f t="shared" si="9"/>
        <v>2401.1280000000002</v>
      </c>
      <c r="N25" s="142">
        <f>SUM(N16:N24)</f>
        <v>539.78991000000008</v>
      </c>
      <c r="O25" s="143">
        <f>SUM(O16:O24)</f>
        <v>14.704589550000001</v>
      </c>
      <c r="P25" s="144">
        <f>SUM(P16:P24)</f>
        <v>2955.6224995500002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2618.4500000000003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162.40000000000003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2401.1280000000002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539.78991000000008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2940.9179100000001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14.704589550000001</v>
      </c>
    </row>
    <row r="35" spans="2:16" ht="15.75" customHeight="1" thickBot="1" x14ac:dyDescent="0.4">
      <c r="N35" s="219" t="s">
        <v>92</v>
      </c>
      <c r="O35" s="220"/>
      <c r="P35" s="160">
        <f>P33+P34</f>
        <v>2955.6224995500002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3660173975043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3520133034223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2"/>
        <v>1016.96</v>
      </c>
      <c r="J19" s="117">
        <v>1</v>
      </c>
      <c r="K19" s="1">
        <f t="shared" si="3"/>
        <v>0</v>
      </c>
      <c r="L19" s="105">
        <f t="shared" si="4"/>
        <v>81.356800000000007</v>
      </c>
      <c r="M19" s="118">
        <f t="shared" si="5"/>
        <v>935.60320000000002</v>
      </c>
      <c r="N19" s="118">
        <f t="shared" si="0"/>
        <v>221.81350399999999</v>
      </c>
      <c r="O19" s="119">
        <f t="shared" si="6"/>
        <v>5.7870835200000004</v>
      </c>
      <c r="P19" s="120">
        <f t="shared" si="1"/>
        <v>1163.2037875199999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1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207.11116799999999</v>
      </c>
      <c r="O20" s="119">
        <f t="shared" si="6"/>
        <v>5.37942784</v>
      </c>
      <c r="P20" s="120">
        <f t="shared" si="1"/>
        <v>1081.26499584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191.130368</v>
      </c>
      <c r="O21" s="119">
        <f t="shared" si="6"/>
        <v>5.2995238400000009</v>
      </c>
      <c r="P21" s="120">
        <f t="shared" si="1"/>
        <v>1065.20429184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70</v>
      </c>
      <c r="I25" s="137">
        <f t="shared" si="9"/>
        <v>4347.1500000000005</v>
      </c>
      <c r="J25" s="138"/>
      <c r="K25" s="139">
        <f t="shared" si="9"/>
        <v>13.730500000000003</v>
      </c>
      <c r="L25" s="140">
        <f t="shared" si="9"/>
        <v>336.00300000000004</v>
      </c>
      <c r="M25" s="141">
        <f t="shared" si="9"/>
        <v>3997.4165000000003</v>
      </c>
      <c r="N25" s="142">
        <f>SUM(N16:N24)</f>
        <v>922.93498</v>
      </c>
      <c r="O25" s="143">
        <f>SUM(O16:O24)</f>
        <v>24.601757400000004</v>
      </c>
      <c r="P25" s="144">
        <f>SUM(P16:P24)</f>
        <v>4944.9532374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4347.1500000000005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336.00300000000004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3997.4165000000003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922.93498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4920.3514800000003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24.6017574</v>
      </c>
    </row>
    <row r="35" spans="2:16" ht="15.75" customHeight="1" thickBot="1" x14ac:dyDescent="0.4">
      <c r="N35" s="219" t="s">
        <v>92</v>
      </c>
      <c r="O35" s="220"/>
      <c r="P35" s="160">
        <f>P33+P34</f>
        <v>4944.9532374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>
        <v>2</v>
      </c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76.175550000000001</v>
      </c>
      <c r="O17" s="119">
        <f t="shared" ref="O17:O24" si="6">(N17+M17)*$O$15</f>
        <v>7.9375762499999993</v>
      </c>
      <c r="P17" s="120">
        <f t="shared" si="1"/>
        <v>325.44062624999998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235.45170000000002</v>
      </c>
      <c r="O25" s="143">
        <f>SUM(O16:O24)</f>
        <v>30.019042500000001</v>
      </c>
      <c r="P25" s="144">
        <f>SUM(P16:P24)</f>
        <v>1230.7807424999999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1049.25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83.94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965.31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235.45170000000002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1200.7617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30.019042500000001</v>
      </c>
    </row>
    <row r="35" spans="2:16" ht="15.75" customHeight="1" thickBot="1" x14ac:dyDescent="0.4">
      <c r="N35" s="219" t="s">
        <v>92</v>
      </c>
      <c r="O35" s="220"/>
      <c r="P35" s="160">
        <f>P33+P34</f>
        <v>1230.7807425000001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6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>
        <v>1</v>
      </c>
      <c r="K21" s="1">
        <f t="shared" si="3"/>
        <v>0</v>
      </c>
      <c r="L21" s="105">
        <f t="shared" si="4"/>
        <v>139.46880000000002</v>
      </c>
      <c r="M21" s="118">
        <f t="shared" si="5"/>
        <v>1603.8912</v>
      </c>
      <c r="N21" s="118">
        <f t="shared" si="0"/>
        <v>301.77561600000001</v>
      </c>
      <c r="O21" s="119">
        <f t="shared" si="6"/>
        <v>9.5283340800000005</v>
      </c>
      <c r="P21" s="120">
        <f t="shared" si="1"/>
        <v>1915.1951500799998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64</v>
      </c>
      <c r="I25" s="137">
        <f t="shared" si="9"/>
        <v>3312.5600000000004</v>
      </c>
      <c r="J25" s="138"/>
      <c r="K25" s="139">
        <f t="shared" si="9"/>
        <v>54.922000000000011</v>
      </c>
      <c r="L25" s="140">
        <f t="shared" si="9"/>
        <v>217.92880000000002</v>
      </c>
      <c r="M25" s="141">
        <f t="shared" si="9"/>
        <v>3039.7092000000002</v>
      </c>
      <c r="N25" s="142">
        <f>SUM(N16:N24)</f>
        <v>560.22285600000009</v>
      </c>
      <c r="O25" s="143">
        <f>SUM(O16:O24)</f>
        <v>17.999660280000001</v>
      </c>
      <c r="P25" s="144">
        <f>SUM(P16:P24)</f>
        <v>3617.9317162799998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3312.5600000000004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217.92880000000002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3039.7092000000002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560.22285600000009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3599.9320560000006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17.999660280000004</v>
      </c>
    </row>
    <row r="35" spans="2:16" ht="15.75" customHeight="1" thickBot="1" x14ac:dyDescent="0.4">
      <c r="N35" s="219" t="s">
        <v>92</v>
      </c>
      <c r="O35" s="220"/>
      <c r="P35" s="160">
        <f>P33+P34</f>
        <v>3617.9317162800007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2026-06-24T13:12:40Z</dcterms:modified>
</cp:coreProperties>
</file>