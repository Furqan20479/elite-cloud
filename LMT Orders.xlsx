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8AD122D3-5B11-4587-B57D-7CE6B948E41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M84" i="2" l="1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S125" i="2"/>
  <c r="T125" i="2"/>
  <c r="U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I11" i="3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134" i="2" l="1"/>
  <c r="K134" i="2"/>
  <c r="J134" i="2"/>
  <c r="I134" i="2"/>
  <c r="H134" i="2"/>
  <c r="G134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<sst xmlns="http://schemas.openxmlformats.org/spreadsheetml/2006/main" count="304" uniqueCount="218">
  <si>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</si>
  <si>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</si>
  <si>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</si>
  <si>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</si>
  <si>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</si>
  <si>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</si>
  <si>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</si>
  <si>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</si>
  <si>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</si>
  <si>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</si>
  <si>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</si>
  <si>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</si>
  <si>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</si>
  <si>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</si>
  <si>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</si>
  <si>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</si>
  <si>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</si>
  <si>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</si>
  <si>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</si>
  <si>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</si>
  <si>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</si>
  <si>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</si>
  <si>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</si>
  <si>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</si>
  <si>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</si>
  <si>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</si>
  <si>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</si>
  <si>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</si>
  <si>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</si>
  <si>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</si>
  <si>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</si>
  <si>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</si>
  <si>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</si>
  <si>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</si>
  <si>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</si>
  <si>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</si>
  <si>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</si>
  <si>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</si>
  <si>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</si>
  <si>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</si>
  <si>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</si>
  <si>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</si>
  <si>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</si>
  <si>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</si>
  <si>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</si>
  <si>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</si>
  <si>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</si>
  <si>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</si>
  <si>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</si>
  <si>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</si>
  <si>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</si>
  <si>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</si>
  <si>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</si>
  <si>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</si>
  <si>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</si>
  <si>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</si>
  <si>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</si>
  <si>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</si>
  <si>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</si>
  <si>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</si>
  <si>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</si>
  <si>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</si>
  <si>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</si>
  <si>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</si>
  <si>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</si>
  <si>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</si>
  <si>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</si>
  <si>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</si>
  <si>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</si>
  <si>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</si>
  <si>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</si>
  <si>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</si>
  <si>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</si>
  <si>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</si>
  <si>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</si>
  <si>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</si>
  <si>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</si>
  <si>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</si>
  <si>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</si>
  <si>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</si>
  <si>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</si>
  <si>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</si>
  <si>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</si>
  <si>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</si>
  <si>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</si>
  <si>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</si>
  <si>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</si>
  <si>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</si>
  <si>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</si>
  <si>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</si>
  <si>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</si>
  <si>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</si>
  <si>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</si>
  <si>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</si>
  <si>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</si>
  <si>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</si>
  <si>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</si>
  <si>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</si>
  <si>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</si>
  <si>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</si>
  <si>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</si>
  <si>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</si>
  <si>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</si>
  <si>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</si>
  <si>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</si>
  <si>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</si>
  <si>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</si>
  <si>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</si>
  <si>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</si>
  <si>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</si>
  <si>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</si>
  <si>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</si>
  <si>
    <t>Rambo 5 Orders</t>
  </si>
  <si>
    <t>DIFF</t>
  </si>
  <si>
    <t>Gourmet Food Shama Cenema</t>
  </si>
  <si>
    <t>Gourmet Food Temple Road</t>
  </si>
  <si>
    <t>Gourmet Food Shadman</t>
  </si>
  <si>
    <t>Gourmet Food Nisbat Road</t>
  </si>
  <si>
    <t>Gourmet Food Sultanpura</t>
  </si>
  <si>
    <t xml:space="preserve"> Gourmet Food Nilam Cinema</t>
  </si>
  <si>
    <t xml:space="preserve"> Gourmet Food Lal pull</t>
  </si>
  <si>
    <t xml:space="preserve"> Gourmet Food Jhora Pull</t>
  </si>
  <si>
    <t xml:space="preserve"> Gourmet Food Zarar Shaheed Road</t>
  </si>
  <si>
    <t xml:space="preserve"> Gourmet Food Sadar Kachari</t>
  </si>
  <si>
    <t xml:space="preserve"> Gourmet Food Dharampura</t>
  </si>
  <si>
    <t xml:space="preserve"> Gourmet Food Shadbagh</t>
  </si>
  <si>
    <t xml:space="preserve"> Gourmet Food About Road</t>
  </si>
  <si>
    <t xml:space="preserve"> Gourmet Food Ghalib Market</t>
  </si>
  <si>
    <t>Al -fatah</t>
  </si>
  <si>
    <t>20-06-26</t>
  </si>
  <si>
    <t>Status</t>
  </si>
  <si>
    <t>Name</t>
  </si>
  <si>
    <t>Qty</t>
  </si>
  <si>
    <t>Gourmet Food</t>
  </si>
  <si>
    <t>Aslam Super mart</t>
  </si>
  <si>
    <t>4 Seasons</t>
  </si>
  <si>
    <t>Raheem wapda</t>
  </si>
  <si>
    <t>Raheem iqbal</t>
  </si>
  <si>
    <t>Pending</t>
  </si>
  <si>
    <t>Al Raheem Iqbal Town</t>
  </si>
  <si>
    <t>Al Raheem Wapda Town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</si>
  <si>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</si>
  <si>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</si>
  <si>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</si>
  <si>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</si>
  <si>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</si>
  <si>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</si>
  <si>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</si>
  <si>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</si>
  <si>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Rehber DHA</t>
  </si>
  <si>
    <t>Riwand Road</t>
  </si>
  <si>
    <t>Umer Chowk</t>
  </si>
  <si>
    <t>Velencia Town</t>
  </si>
  <si>
    <t>Wapda Town</t>
  </si>
  <si>
    <t>Chung</t>
  </si>
  <si>
    <t>Behria Town</t>
  </si>
  <si>
    <t>TownShip Lahore</t>
  </si>
  <si>
    <t>PerSntage</t>
  </si>
  <si>
    <t>ok</t>
  </si>
  <si>
    <t>4 Season</t>
  </si>
  <si>
    <t>8074586-2</t>
  </si>
  <si>
    <t>Allowed</t>
  </si>
  <si>
    <t>Sana C &amp; C</t>
  </si>
  <si>
    <t>Aslam Super Mart</t>
  </si>
  <si>
    <t>4 Reason</t>
  </si>
  <si>
    <t>Jalal Sons Behria Orchard</t>
  </si>
  <si>
    <t>Shehwar Mega Mart</t>
  </si>
  <si>
    <t>Vip</t>
  </si>
  <si>
    <t>Rainbow Shadra</t>
  </si>
  <si>
    <t>Gourmet Food Badami Bagh</t>
  </si>
  <si>
    <t>Gourmet Food Begum Kot</t>
  </si>
  <si>
    <t>Gourmet Food Imamia Colony</t>
  </si>
  <si>
    <t xml:space="preserve">Gourmet Food Bilal Ganj </t>
  </si>
  <si>
    <t>Gourmet Food Islam Pura</t>
  </si>
  <si>
    <t>Gourmet Food Kareem Park</t>
  </si>
  <si>
    <t>Gourmet Food Kot Abdul malik</t>
  </si>
  <si>
    <t>Gourmet Food Krishan Nager</t>
  </si>
  <si>
    <t>Gourmet Food Lakshman</t>
  </si>
  <si>
    <t>Gourmet Food Shadra</t>
  </si>
  <si>
    <t xml:space="preserve">Naimat khana </t>
  </si>
  <si>
    <t xml:space="preserve">Jalal Sons H Block </t>
  </si>
  <si>
    <t>Rainbow BT</t>
  </si>
  <si>
    <t>Executed</t>
  </si>
  <si>
    <t>Sana Cash &amp; Carry</t>
  </si>
  <si>
    <t>Gourmet Food DHA Rahber</t>
  </si>
  <si>
    <t>Gourmet Food Bahria Town</t>
  </si>
  <si>
    <t>Jalal Sons Bahria Orchard</t>
  </si>
  <si>
    <t>Manawan Risen</t>
  </si>
  <si>
    <t>Altaf C &amp; C</t>
  </si>
  <si>
    <t xml:space="preserve">jalal Sons Lake City </t>
  </si>
  <si>
    <t>*</t>
  </si>
  <si>
    <t xml:space="preserve">Raheem Iqbal Town </t>
  </si>
  <si>
    <t>Gourmet Food Lider Pind LHR</t>
  </si>
  <si>
    <t>Gourmet Food Bankers Co operative</t>
  </si>
  <si>
    <t>Gourmet Food CANTT GIRJA CHOWK LHR</t>
  </si>
  <si>
    <t>Gourmet Food BHATTHA CHOWK LHR</t>
  </si>
  <si>
    <t>Gourmet Food DHA FF BLOCK LHR</t>
  </si>
  <si>
    <t>Gourmet Food DHA H BLOCK LHR</t>
  </si>
  <si>
    <t>Gourmet Food DHA K BLOCK LHR</t>
  </si>
  <si>
    <t>Gourmet Food DHA XX-3 BLOCK LHR</t>
  </si>
  <si>
    <t>Gourmet Food DHA Z BLOCK LHR</t>
  </si>
  <si>
    <t>Gourmet Food NADRA ABAD LHR</t>
  </si>
  <si>
    <t>Gourmet Food NISHAT COLONY LHR</t>
  </si>
  <si>
    <t>Gourmet Food PUNJAB SOCIETY GHAZI ROAD LHR</t>
  </si>
  <si>
    <t xml:space="preserve">on thy way </t>
  </si>
  <si>
    <t xml:space="preserve">Jalal Sons Behria Orchard </t>
  </si>
  <si>
    <t xml:space="preserve">Jalal Sons Lake City </t>
  </si>
  <si>
    <t xml:space="preserve"> Gourmet Food Iqbal Town </t>
  </si>
  <si>
    <t xml:space="preserve"> Gourmet Food Central Park </t>
  </si>
  <si>
    <t xml:space="preserve"> Gourmet Food Ghazi Road</t>
  </si>
  <si>
    <t xml:space="preserve"> Gourmet Food Ferozpur Road </t>
  </si>
  <si>
    <t xml:space="preserve"> Gourmet Food Ismail Nager Lahore</t>
  </si>
  <si>
    <t xml:space="preserve"> Gourmet Food Kahna </t>
  </si>
  <si>
    <t xml:space="preserve"> Gourmet Food Muslim Town </t>
  </si>
  <si>
    <t xml:space="preserve"> Gourmet Food Muslim Town Ayubia </t>
  </si>
  <si>
    <t xml:space="preserve"> Gourmet Food Pak Arab Society </t>
  </si>
  <si>
    <t xml:space="preserve"> Gourmet Food Walton Road </t>
  </si>
  <si>
    <t xml:space="preserve"> Gourmet Food Youhaba 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</si>
</sst>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5" fillId="5" borderId="33" xfId="0" applyFont="1" applyFill="1" applyBorder="1"/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5" fillId="5" borderId="33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13" borderId="57" xfId="0" applyFont="1" applyFill="1" applyBorder="1" applyAlignment="1">
      <alignment horizontal="left"/>
    </xf>
    <xf numFmtId="0" fontId="5" fillId="13" borderId="33" xfId="0" applyFont="1" applyFill="1" applyBorder="1"/>
    <xf numFmtId="0" fontId="5" fillId="13" borderId="33" xfId="0" applyFont="1" applyFill="1" applyBorder="1" applyAlignment="1">
      <alignment horizontal="center"/>
    </xf>
    <xf numFmtId="0" fontId="0" fillId="3" borderId="38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7" t="s">
        <v>33</v>
      </c>
      <c r="C9" s="77" t="s">
        <v>35</v>
      </c>
      <c r="D9" s="77" t="s">
        <v>36</v>
      </c>
      <c r="E9" s="154" t="s">
        <v>14</v>
      </c>
      <c r="F9" s="102" t="s">
        <v>75</v>
      </c>
    </row>
    <row r="10" spans="2:6" x14ac:dyDescent="0.35">
      <c r="B10" s="79" t="s">
        <v>26</v>
      </c>
      <c r="C10" s="79" t="s">
        <v>37</v>
      </c>
      <c r="D10" s="92">
        <v>3520247902365</v>
      </c>
      <c r="E10" s="155"/>
      <c r="F10">
        <v>10000</v>
      </c>
    </row>
    <row r="11" spans="2:6" x14ac:dyDescent="0.35">
      <c r="B11" s="79" t="s">
        <v>27</v>
      </c>
      <c r="C11" s="79"/>
      <c r="D11" s="79"/>
      <c r="E11" s="155"/>
    </row>
    <row r="12" spans="2:6" x14ac:dyDescent="0.35">
      <c r="B12" s="79" t="s">
        <v>41</v>
      </c>
      <c r="C12" s="79" t="s">
        <v>40</v>
      </c>
      <c r="D12" s="92">
        <v>300426949714</v>
      </c>
      <c r="E12" s="155"/>
    </row>
    <row r="13" spans="2:6" x14ac:dyDescent="0.35">
      <c r="B13" s="79" t="s">
        <v>28</v>
      </c>
      <c r="C13" s="79" t="s">
        <v>43</v>
      </c>
      <c r="D13" s="92">
        <v>3277876126916</v>
      </c>
      <c r="E13" s="155"/>
    </row>
    <row r="14" spans="2:6" x14ac:dyDescent="0.35">
      <c r="B14" s="79" t="s">
        <v>29</v>
      </c>
      <c r="C14" s="79" t="s">
        <v>47</v>
      </c>
      <c r="D14" s="92">
        <v>3520255124113</v>
      </c>
      <c r="E14" s="155"/>
    </row>
    <row r="15" spans="2:6" x14ac:dyDescent="0.35">
      <c r="B15" s="79" t="s">
        <v>30</v>
      </c>
      <c r="C15" s="79" t="s">
        <v>47</v>
      </c>
      <c r="D15" s="92">
        <v>3520255124113</v>
      </c>
      <c r="E15" s="155"/>
    </row>
    <row r="16" spans="2:6" x14ac:dyDescent="0.35">
      <c r="B16" s="79" t="s">
        <v>31</v>
      </c>
      <c r="C16" s="79" t="s">
        <v>45</v>
      </c>
      <c r="D16" s="92">
        <v>3520268948847</v>
      </c>
      <c r="E16" s="155"/>
    </row>
    <row r="17" spans="2:5" x14ac:dyDescent="0.35">
      <c r="B17" s="79" t="s">
        <v>32</v>
      </c>
      <c r="C17" s="79" t="s">
        <v>51</v>
      </c>
      <c r="D17" s="79"/>
      <c r="E17" s="155"/>
    </row>
    <row r="18" spans="2:5" x14ac:dyDescent="0.35">
      <c r="B18" s="79" t="s">
        <v>34</v>
      </c>
      <c r="C18" s="79" t="s">
        <v>46</v>
      </c>
      <c r="D18" s="79" t="s">
        <v>52</v>
      </c>
      <c r="E18" s="155"/>
    </row>
    <row r="19" spans="2:5" ht="15" customHeight="1" x14ac:dyDescent="0.35">
      <c r="B19" s="156" t="s">
        <v>63</v>
      </c>
      <c r="C19" s="155" t="s">
        <v>64</v>
      </c>
      <c r="D19" s="155"/>
      <c r="E19" s="155"/>
    </row>
    <row r="20" spans="2:5" x14ac:dyDescent="0.35">
      <c r="B20" s="156" t="s">
        <v>65</v>
      </c>
      <c r="C20" s="155"/>
      <c r="D20" s="155"/>
      <c r="E20" s="155"/>
    </row>
    <row r="21" spans="2:5" x14ac:dyDescent="0.35">
      <c r="B21" s="156" t="s">
        <v>66</v>
      </c>
      <c r="C21" s="155"/>
      <c r="D21" s="155"/>
      <c r="E21" s="155"/>
    </row>
    <row r="22" spans="2:5" x14ac:dyDescent="0.35">
      <c r="B22" s="156" t="s">
        <v>67</v>
      </c>
      <c r="C22" s="155"/>
      <c r="D22" s="155"/>
      <c r="E22" s="155"/>
    </row>
    <row r="23" spans="2:5" x14ac:dyDescent="0.35">
      <c r="B23" s="156" t="s">
        <v>79</v>
      </c>
      <c r="C23" s="155" t="s">
        <v>80</v>
      </c>
      <c r="D23" s="157">
        <v>3277876231301</v>
      </c>
      <c r="E23" s="155"/>
    </row>
    <row r="24" spans="2:5" x14ac:dyDescent="0.35">
      <c r="B24" s="156" t="s">
        <v>159</v>
      </c>
      <c r="C24" s="155" t="s">
        <v>160</v>
      </c>
      <c r="D24" s="155"/>
      <c r="E24" s="155" t="s">
        <v>161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108" zoomScaleNormal="100" workbookViewId="0">
      <selection activeCell="L113" sqref="L113:L123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82">
        <v>46186</v>
      </c>
      <c r="C1" s="182"/>
      <c r="D1" s="182"/>
      <c r="E1" s="182"/>
      <c r="F1" s="18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9" t="s">
        <v>38</v>
      </c>
      <c r="B2" s="18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1"/>
      <c r="N2" s="172"/>
      <c r="O2" s="173"/>
      <c r="P2" s="174" t="s">
        <v>14</v>
      </c>
      <c r="Q2" s="17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9"/>
      <c r="B3" s="18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6" t="s">
        <v>11</v>
      </c>
      <c r="N3" s="177"/>
      <c r="O3" s="178"/>
      <c r="P3" s="71"/>
      <c r="Q3" s="72"/>
      <c r="R3" s="186" t="s">
        <v>16</v>
      </c>
      <c r="S3" s="187"/>
      <c r="T3" s="187"/>
      <c r="U3" s="188"/>
      <c r="V3" s="189" t="s">
        <v>17</v>
      </c>
      <c r="W3" s="190"/>
      <c r="X3" s="190"/>
      <c r="Y3" s="191"/>
    </row>
    <row r="4" spans="1:25" ht="15" thickBot="1" x14ac:dyDescent="0.4">
      <c r="A4" s="179"/>
      <c r="B4" s="18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46179</v>
      </c>
      <c r="B5" s="36">
        <v>1</v>
      </c>
      <c r="C5" s="93" t="s">
        <v>72</v>
      </c>
      <c r="D5" s="94">
        <v>1003</v>
      </c>
      <c r="E5" s="95"/>
      <c r="F5" s="96"/>
      <c r="G5" s="97">
        <v>1613</v>
      </c>
      <c r="H5" s="95">
        <v>2442</v>
      </c>
      <c r="I5" s="96">
        <v>1036</v>
      </c>
      <c r="J5" s="97">
        <v>5269</v>
      </c>
      <c r="K5" s="95">
        <v>3838</v>
      </c>
      <c r="L5" s="98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137" si="0">SUM(D6:L6)/40</f>
        <v>140</v>
      </c>
      <c r="N6" s="39">
        <f>SUMPRODUCT($D$4:$L$4,$D$6:$L$6)</f>
        <v>0</v>
      </c>
      <c r="O6" s="49">
        <f t="shared" ref="O6:O136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136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46181</v>
      </c>
      <c r="B9" s="47">
        <v>5</v>
      </c>
      <c r="C9" s="124" t="s">
        <v>49</v>
      </c>
      <c r="D9" s="125"/>
      <c r="E9" s="126"/>
      <c r="F9" s="127"/>
      <c r="G9" s="128"/>
      <c r="H9" s="126"/>
      <c r="I9" s="56"/>
      <c r="J9" s="128">
        <v>560</v>
      </c>
      <c r="K9" s="126">
        <v>560</v>
      </c>
      <c r="L9" s="127">
        <v>880</v>
      </c>
      <c r="M9" s="129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>
        <v>46185</v>
      </c>
      <c r="B22" s="130">
        <v>18</v>
      </c>
      <c r="C22" s="124" t="s">
        <v>79</v>
      </c>
      <c r="D22" s="131"/>
      <c r="E22" s="132"/>
      <c r="F22" s="133"/>
      <c r="G22" s="128">
        <v>300</v>
      </c>
      <c r="H22" s="126">
        <v>300</v>
      </c>
      <c r="I22" s="56">
        <v>300</v>
      </c>
      <c r="J22" s="128">
        <v>300</v>
      </c>
      <c r="K22" s="126">
        <v>300</v>
      </c>
      <c r="L22" s="127">
        <v>300</v>
      </c>
      <c r="M22" s="129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46189</v>
      </c>
      <c r="B23" s="47">
        <v>19</v>
      </c>
      <c r="C23" s="57" t="s">
        <v>84</v>
      </c>
      <c r="D23" s="74"/>
      <c r="E23" s="75"/>
      <c r="F23" s="76"/>
      <c r="G23" s="134">
        <v>80</v>
      </c>
      <c r="H23" s="135">
        <v>80</v>
      </c>
      <c r="I23" s="136">
        <v>80</v>
      </c>
      <c r="J23" s="134">
        <v>80</v>
      </c>
      <c r="K23" s="135">
        <v>80</v>
      </c>
      <c r="L23" s="137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46189</v>
      </c>
      <c r="B24" s="47">
        <v>20</v>
      </c>
      <c r="C24" s="57" t="s">
        <v>85</v>
      </c>
      <c r="D24" s="74"/>
      <c r="E24" s="75"/>
      <c r="F24" s="76"/>
      <c r="G24" s="134">
        <v>80</v>
      </c>
      <c r="H24" s="135">
        <v>80</v>
      </c>
      <c r="I24" s="136">
        <v>80</v>
      </c>
      <c r="J24" s="134">
        <v>80</v>
      </c>
      <c r="K24" s="135">
        <v>80</v>
      </c>
      <c r="L24" s="137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46189</v>
      </c>
      <c r="B25" s="47">
        <v>21</v>
      </c>
      <c r="C25" s="57" t="s">
        <v>86</v>
      </c>
      <c r="D25" s="74"/>
      <c r="E25" s="75"/>
      <c r="F25" s="76"/>
      <c r="G25" s="134">
        <v>80</v>
      </c>
      <c r="H25" s="135">
        <v>80</v>
      </c>
      <c r="I25" s="136">
        <v>80</v>
      </c>
      <c r="J25" s="134">
        <v>80</v>
      </c>
      <c r="K25" s="135">
        <v>80</v>
      </c>
      <c r="L25" s="137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46189</v>
      </c>
      <c r="B26" s="47">
        <v>22</v>
      </c>
      <c r="C26" s="57" t="s">
        <v>87</v>
      </c>
      <c r="D26" s="74"/>
      <c r="E26" s="75"/>
      <c r="F26" s="76"/>
      <c r="G26" s="134">
        <v>40</v>
      </c>
      <c r="H26" s="135">
        <v>40</v>
      </c>
      <c r="I26" s="136">
        <v>40</v>
      </c>
      <c r="J26" s="134">
        <v>40</v>
      </c>
      <c r="K26" s="135">
        <v>40</v>
      </c>
      <c r="L26" s="137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46189</v>
      </c>
      <c r="B27" s="47">
        <v>23</v>
      </c>
      <c r="C27" s="57" t="s">
        <v>88</v>
      </c>
      <c r="D27" s="74">
        <v>80</v>
      </c>
      <c r="E27" s="75"/>
      <c r="F27" s="76"/>
      <c r="G27" s="134">
        <v>80</v>
      </c>
      <c r="H27" s="135">
        <v>80</v>
      </c>
      <c r="I27" s="136">
        <v>80</v>
      </c>
      <c r="J27" s="134">
        <v>80</v>
      </c>
      <c r="K27" s="135">
        <v>80</v>
      </c>
      <c r="L27" s="137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46189</v>
      </c>
      <c r="B28" s="47">
        <v>24</v>
      </c>
      <c r="C28" s="57" t="s">
        <v>89</v>
      </c>
      <c r="D28" s="74">
        <v>120</v>
      </c>
      <c r="E28" s="75"/>
      <c r="F28" s="76"/>
      <c r="G28" s="134">
        <v>120</v>
      </c>
      <c r="H28" s="135">
        <v>120</v>
      </c>
      <c r="I28" s="136">
        <v>120</v>
      </c>
      <c r="J28" s="134">
        <v>120</v>
      </c>
      <c r="K28" s="135">
        <v>120</v>
      </c>
      <c r="L28" s="137">
        <v>120</v>
      </c>
      <c r="M28" s="48">
        <f t="shared" ref="M28:M60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60" si="53">SUM(G28:I28)/20</f>
        <v>18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46189</v>
      </c>
      <c r="B29" s="47">
        <v>25</v>
      </c>
      <c r="C29" s="57" t="s">
        <v>107</v>
      </c>
      <c r="D29" s="74"/>
      <c r="E29" s="75"/>
      <c r="F29" s="76"/>
      <c r="G29" s="134">
        <v>40</v>
      </c>
      <c r="H29" s="135">
        <v>40</v>
      </c>
      <c r="I29" s="136">
        <v>80</v>
      </c>
      <c r="J29" s="134">
        <v>40</v>
      </c>
      <c r="K29" s="135"/>
      <c r="L29" s="137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46190</v>
      </c>
      <c r="B32" s="47">
        <v>28</v>
      </c>
      <c r="C32" s="124" t="s">
        <v>94</v>
      </c>
      <c r="D32" s="125"/>
      <c r="E32" s="126"/>
      <c r="F32" s="127"/>
      <c r="G32" s="128">
        <v>40</v>
      </c>
      <c r="H32" s="126">
        <v>40</v>
      </c>
      <c r="I32" s="56">
        <v>80</v>
      </c>
      <c r="J32" s="128">
        <v>80</v>
      </c>
      <c r="K32" s="126">
        <v>120</v>
      </c>
      <c r="L32" s="127">
        <v>40</v>
      </c>
      <c r="M32" s="129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6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6" si="69">SUM(G34:I34)/20</f>
        <v>6</v>
      </c>
      <c r="Q34" s="40">
        <f t="shared" ref="Q34:Q46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46191</v>
      </c>
      <c r="B45" s="47">
        <v>41</v>
      </c>
      <c r="C45" s="57" t="s">
        <v>112</v>
      </c>
      <c r="D45" s="74"/>
      <c r="E45" s="75"/>
      <c r="F45" s="76"/>
      <c r="G45" s="50">
        <v>280</v>
      </c>
      <c r="H45" s="75">
        <v>600</v>
      </c>
      <c r="I45" s="49">
        <v>600</v>
      </c>
      <c r="J45" s="50">
        <v>520</v>
      </c>
      <c r="K45" s="75">
        <v>760</v>
      </c>
      <c r="L45" s="76">
        <v>760</v>
      </c>
      <c r="M45" s="48">
        <f t="shared" si="68"/>
        <v>88</v>
      </c>
      <c r="N45" s="39">
        <f t="shared" si="18"/>
        <v>0</v>
      </c>
      <c r="O45" s="49">
        <f t="shared" si="1"/>
        <v>331.63</v>
      </c>
      <c r="P45" s="73">
        <f t="shared" si="69"/>
        <v>74</v>
      </c>
      <c r="Q45" s="40">
        <f t="shared" si="70"/>
        <v>102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46191</v>
      </c>
      <c r="B46" s="47">
        <v>42</v>
      </c>
      <c r="C46" s="57" t="s">
        <v>114</v>
      </c>
      <c r="D46" s="74"/>
      <c r="E46" s="75"/>
      <c r="F46" s="76"/>
      <c r="G46" s="50">
        <v>40</v>
      </c>
      <c r="H46" s="75">
        <v>40</v>
      </c>
      <c r="I46" s="49">
        <v>40</v>
      </c>
      <c r="J46" s="50">
        <v>40</v>
      </c>
      <c r="K46" s="75">
        <v>40</v>
      </c>
      <c r="L46" s="76">
        <v>40</v>
      </c>
      <c r="M46" s="48">
        <f t="shared" si="68"/>
        <v>6</v>
      </c>
      <c r="N46" s="39">
        <f t="shared" si="18"/>
        <v>0</v>
      </c>
      <c r="O46" s="49">
        <f t="shared" si="1"/>
        <v>331.63</v>
      </c>
      <c r="P46" s="73">
        <f t="shared" si="69"/>
        <v>6</v>
      </c>
      <c r="Q46" s="40">
        <f t="shared" si="70"/>
        <v>6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46191</v>
      </c>
      <c r="B47" s="47">
        <v>43</v>
      </c>
      <c r="C47" s="57" t="s">
        <v>115</v>
      </c>
      <c r="D47" s="74"/>
      <c r="E47" s="75"/>
      <c r="F47" s="76"/>
      <c r="G47" s="50">
        <v>40</v>
      </c>
      <c r="H47" s="75">
        <v>40</v>
      </c>
      <c r="I47" s="49">
        <v>40</v>
      </c>
      <c r="J47" s="50">
        <v>40</v>
      </c>
      <c r="K47" s="75">
        <v>40</v>
      </c>
      <c r="L47" s="76">
        <v>40</v>
      </c>
      <c r="M47" s="48">
        <f t="shared" ref="M47:M59" si="76">SUM(D47:L47)/40</f>
        <v>6</v>
      </c>
      <c r="N47" s="39">
        <f t="shared" si="18"/>
        <v>0</v>
      </c>
      <c r="O47" s="49">
        <f t="shared" si="1"/>
        <v>331.63</v>
      </c>
      <c r="P47" s="73">
        <f t="shared" ref="P47:P59" si="77">SUM(G47:I47)/20</f>
        <v>6</v>
      </c>
      <c r="Q47" s="40">
        <f t="shared" ref="Q47:Q59" si="78">SUM(J47:L47)/20</f>
        <v>6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46191</v>
      </c>
      <c r="B48" s="47">
        <v>44</v>
      </c>
      <c r="C48" s="57" t="s">
        <v>116</v>
      </c>
      <c r="D48" s="74"/>
      <c r="E48" s="75"/>
      <c r="F48" s="76"/>
      <c r="G48" s="50">
        <v>40</v>
      </c>
      <c r="H48" s="75">
        <v>40</v>
      </c>
      <c r="I48" s="49">
        <v>40</v>
      </c>
      <c r="J48" s="50">
        <v>40</v>
      </c>
      <c r="K48" s="75">
        <v>40</v>
      </c>
      <c r="L48" s="76">
        <v>40</v>
      </c>
      <c r="M48" s="48">
        <f t="shared" si="76"/>
        <v>6</v>
      </c>
      <c r="N48" s="39">
        <f t="shared" si="18"/>
        <v>0</v>
      </c>
      <c r="O48" s="49">
        <f t="shared" si="1"/>
        <v>331.63</v>
      </c>
      <c r="P48" s="73">
        <f t="shared" si="77"/>
        <v>6</v>
      </c>
      <c r="Q48" s="40">
        <f t="shared" si="78"/>
        <v>6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46191</v>
      </c>
      <c r="B49" s="47">
        <v>45</v>
      </c>
      <c r="C49" s="57" t="s">
        <v>117</v>
      </c>
      <c r="D49" s="74"/>
      <c r="E49" s="75"/>
      <c r="F49" s="76"/>
      <c r="G49" s="50">
        <v>40</v>
      </c>
      <c r="H49" s="75">
        <v>40</v>
      </c>
      <c r="I49" s="49">
        <v>40</v>
      </c>
      <c r="J49" s="50">
        <v>40</v>
      </c>
      <c r="K49" s="75">
        <v>40</v>
      </c>
      <c r="L49" s="76">
        <v>40</v>
      </c>
      <c r="M49" s="48">
        <f t="shared" si="76"/>
        <v>6</v>
      </c>
      <c r="N49" s="39">
        <f t="shared" si="18"/>
        <v>0</v>
      </c>
      <c r="O49" s="49">
        <f t="shared" si="1"/>
        <v>331.63</v>
      </c>
      <c r="P49" s="73">
        <f t="shared" si="77"/>
        <v>6</v>
      </c>
      <c r="Q49" s="40">
        <f t="shared" si="78"/>
        <v>6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46191</v>
      </c>
      <c r="B50" s="47">
        <v>46</v>
      </c>
      <c r="C50" s="57" t="s">
        <v>118</v>
      </c>
      <c r="D50" s="74"/>
      <c r="E50" s="75"/>
      <c r="F50" s="76"/>
      <c r="G50" s="50">
        <v>40</v>
      </c>
      <c r="H50" s="75">
        <v>40</v>
      </c>
      <c r="I50" s="49">
        <v>40</v>
      </c>
      <c r="J50" s="50">
        <v>40</v>
      </c>
      <c r="K50" s="75">
        <v>40</v>
      </c>
      <c r="L50" s="76">
        <v>40</v>
      </c>
      <c r="M50" s="48">
        <f t="shared" si="76"/>
        <v>6</v>
      </c>
      <c r="N50" s="39">
        <f t="shared" si="18"/>
        <v>0</v>
      </c>
      <c r="O50" s="49">
        <f t="shared" si="1"/>
        <v>331.63</v>
      </c>
      <c r="P50" s="73">
        <f t="shared" si="77"/>
        <v>6</v>
      </c>
      <c r="Q50" s="40">
        <f t="shared" si="78"/>
        <v>6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46191</v>
      </c>
      <c r="B51" s="47">
        <v>47</v>
      </c>
      <c r="C51" s="57" t="s">
        <v>119</v>
      </c>
      <c r="D51" s="74"/>
      <c r="E51" s="75"/>
      <c r="F51" s="76"/>
      <c r="G51" s="50">
        <v>40</v>
      </c>
      <c r="H51" s="75">
        <v>40</v>
      </c>
      <c r="I51" s="49">
        <v>40</v>
      </c>
      <c r="J51" s="50">
        <v>40</v>
      </c>
      <c r="K51" s="75">
        <v>40</v>
      </c>
      <c r="L51" s="76">
        <v>40</v>
      </c>
      <c r="M51" s="48">
        <f t="shared" si="76"/>
        <v>6</v>
      </c>
      <c r="N51" s="39">
        <f t="shared" si="18"/>
        <v>0</v>
      </c>
      <c r="O51" s="49">
        <f t="shared" si="1"/>
        <v>331.63</v>
      </c>
      <c r="P51" s="73">
        <f t="shared" si="77"/>
        <v>6</v>
      </c>
      <c r="Q51" s="40">
        <f t="shared" si="78"/>
        <v>6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46191</v>
      </c>
      <c r="B52" s="47">
        <v>48</v>
      </c>
      <c r="C52" s="57" t="s">
        <v>120</v>
      </c>
      <c r="D52" s="74"/>
      <c r="E52" s="75"/>
      <c r="F52" s="76"/>
      <c r="G52" s="50">
        <v>40</v>
      </c>
      <c r="H52" s="75">
        <v>40</v>
      </c>
      <c r="I52" s="49">
        <v>40</v>
      </c>
      <c r="J52" s="50">
        <v>40</v>
      </c>
      <c r="K52" s="75">
        <v>40</v>
      </c>
      <c r="L52" s="76">
        <v>40</v>
      </c>
      <c r="M52" s="48">
        <f t="shared" si="76"/>
        <v>6</v>
      </c>
      <c r="N52" s="39">
        <f t="shared" si="18"/>
        <v>0</v>
      </c>
      <c r="O52" s="49">
        <f t="shared" si="1"/>
        <v>331.63</v>
      </c>
      <c r="P52" s="73">
        <f t="shared" si="77"/>
        <v>6</v>
      </c>
      <c r="Q52" s="40">
        <f t="shared" si="78"/>
        <v>6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46191</v>
      </c>
      <c r="B53" s="47">
        <v>49</v>
      </c>
      <c r="C53" s="57" t="s">
        <v>121</v>
      </c>
      <c r="D53" s="74"/>
      <c r="E53" s="75"/>
      <c r="F53" s="76"/>
      <c r="G53" s="50">
        <v>40</v>
      </c>
      <c r="H53" s="75">
        <v>40</v>
      </c>
      <c r="I53" s="49">
        <v>40</v>
      </c>
      <c r="J53" s="50">
        <v>40</v>
      </c>
      <c r="K53" s="75">
        <v>40</v>
      </c>
      <c r="L53" s="76">
        <v>40</v>
      </c>
      <c r="M53" s="48">
        <f t="shared" si="76"/>
        <v>6</v>
      </c>
      <c r="N53" s="39">
        <f t="shared" si="18"/>
        <v>0</v>
      </c>
      <c r="O53" s="49">
        <f t="shared" si="1"/>
        <v>331.63</v>
      </c>
      <c r="P53" s="73">
        <f t="shared" si="77"/>
        <v>6</v>
      </c>
      <c r="Q53" s="40">
        <f t="shared" si="78"/>
        <v>6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46191</v>
      </c>
      <c r="B54" s="47">
        <v>50</v>
      </c>
      <c r="C54" s="57" t="s">
        <v>122</v>
      </c>
      <c r="D54" s="74"/>
      <c r="E54" s="75"/>
      <c r="F54" s="76"/>
      <c r="G54" s="50">
        <v>40</v>
      </c>
      <c r="H54" s="75">
        <v>40</v>
      </c>
      <c r="I54" s="49">
        <v>40</v>
      </c>
      <c r="J54" s="50">
        <v>40</v>
      </c>
      <c r="K54" s="75">
        <v>40</v>
      </c>
      <c r="L54" s="76">
        <v>40</v>
      </c>
      <c r="M54" s="48">
        <f t="shared" si="76"/>
        <v>6</v>
      </c>
      <c r="N54" s="39">
        <f t="shared" si="18"/>
        <v>0</v>
      </c>
      <c r="O54" s="49">
        <f t="shared" si="1"/>
        <v>331.63</v>
      </c>
      <c r="P54" s="73">
        <f t="shared" si="77"/>
        <v>6</v>
      </c>
      <c r="Q54" s="40">
        <f t="shared" si="78"/>
        <v>6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46191</v>
      </c>
      <c r="B55" s="47">
        <v>51</v>
      </c>
      <c r="C55" s="57" t="s">
        <v>123</v>
      </c>
      <c r="D55" s="74"/>
      <c r="E55" s="75"/>
      <c r="F55" s="76"/>
      <c r="G55" s="50">
        <v>40</v>
      </c>
      <c r="H55" s="75">
        <v>40</v>
      </c>
      <c r="I55" s="49">
        <v>40</v>
      </c>
      <c r="J55" s="50">
        <v>40</v>
      </c>
      <c r="K55" s="75">
        <v>40</v>
      </c>
      <c r="L55" s="76">
        <v>40</v>
      </c>
      <c r="M55" s="48">
        <f t="shared" si="76"/>
        <v>6</v>
      </c>
      <c r="N55" s="39">
        <f t="shared" si="18"/>
        <v>0</v>
      </c>
      <c r="O55" s="49">
        <f t="shared" si="1"/>
        <v>331.63</v>
      </c>
      <c r="P55" s="73">
        <f t="shared" si="77"/>
        <v>6</v>
      </c>
      <c r="Q55" s="40">
        <f t="shared" si="78"/>
        <v>6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46191</v>
      </c>
      <c r="B56" s="47">
        <v>52</v>
      </c>
      <c r="C56" s="57" t="s">
        <v>124</v>
      </c>
      <c r="D56" s="74"/>
      <c r="E56" s="75"/>
      <c r="F56" s="76"/>
      <c r="G56" s="50">
        <v>40</v>
      </c>
      <c r="H56" s="75">
        <v>40</v>
      </c>
      <c r="I56" s="49">
        <v>40</v>
      </c>
      <c r="J56" s="50">
        <v>40</v>
      </c>
      <c r="K56" s="75">
        <v>40</v>
      </c>
      <c r="L56" s="76">
        <v>40</v>
      </c>
      <c r="M56" s="48">
        <f t="shared" si="76"/>
        <v>6</v>
      </c>
      <c r="N56" s="39">
        <f t="shared" si="18"/>
        <v>0</v>
      </c>
      <c r="O56" s="49">
        <f t="shared" si="1"/>
        <v>331.63</v>
      </c>
      <c r="P56" s="73">
        <f t="shared" si="77"/>
        <v>6</v>
      </c>
      <c r="Q56" s="40">
        <f t="shared" si="78"/>
        <v>6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46191</v>
      </c>
      <c r="B57" s="47">
        <v>53</v>
      </c>
      <c r="C57" s="57" t="s">
        <v>125</v>
      </c>
      <c r="D57" s="75"/>
      <c r="E57" s="75"/>
      <c r="F57" s="75"/>
      <c r="G57" s="75">
        <v>40</v>
      </c>
      <c r="H57" s="75">
        <v>40</v>
      </c>
      <c r="I57" s="153">
        <v>40</v>
      </c>
      <c r="J57" s="75">
        <v>40</v>
      </c>
      <c r="K57" s="75">
        <v>40</v>
      </c>
      <c r="L57" s="75">
        <v>40</v>
      </c>
      <c r="M57" s="152">
        <f t="shared" si="76"/>
        <v>6</v>
      </c>
      <c r="N57" s="39">
        <f t="shared" si="18"/>
        <v>0</v>
      </c>
      <c r="O57" s="49">
        <f t="shared" si="1"/>
        <v>331.63</v>
      </c>
      <c r="P57" s="73">
        <f t="shared" si="77"/>
        <v>6</v>
      </c>
      <c r="Q57" s="40">
        <f t="shared" si="78"/>
        <v>6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46191</v>
      </c>
      <c r="B58" s="47">
        <v>54</v>
      </c>
      <c r="C58" s="57" t="s">
        <v>126</v>
      </c>
      <c r="D58" s="75"/>
      <c r="E58" s="75"/>
      <c r="F58" s="75"/>
      <c r="G58" s="75">
        <v>40</v>
      </c>
      <c r="H58" s="75">
        <v>40</v>
      </c>
      <c r="I58" s="153">
        <v>40</v>
      </c>
      <c r="J58" s="75">
        <v>40</v>
      </c>
      <c r="K58" s="75">
        <v>40</v>
      </c>
      <c r="L58" s="75">
        <v>40</v>
      </c>
      <c r="M58" s="152">
        <f t="shared" si="76"/>
        <v>6</v>
      </c>
      <c r="N58" s="39">
        <f t="shared" si="18"/>
        <v>0</v>
      </c>
      <c r="O58" s="49">
        <f t="shared" si="1"/>
        <v>331.63</v>
      </c>
      <c r="P58" s="73">
        <f t="shared" si="77"/>
        <v>6</v>
      </c>
      <c r="Q58" s="40">
        <f t="shared" si="78"/>
        <v>6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46191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53">
        <v>40</v>
      </c>
      <c r="J59" s="75">
        <v>40</v>
      </c>
      <c r="K59" s="75">
        <v>40</v>
      </c>
      <c r="L59" s="75">
        <v>40</v>
      </c>
      <c r="M59" s="152">
        <f t="shared" si="76"/>
        <v>6</v>
      </c>
      <c r="N59" s="39">
        <f t="shared" si="18"/>
        <v>0</v>
      </c>
      <c r="O59" s="49">
        <f t="shared" si="1"/>
        <v>331.63</v>
      </c>
      <c r="P59" s="73">
        <f t="shared" si="77"/>
        <v>6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46191</v>
      </c>
      <c r="B60" s="47">
        <v>56</v>
      </c>
      <c r="C60" s="57" t="s">
        <v>128</v>
      </c>
      <c r="D60" s="75"/>
      <c r="E60" s="75"/>
      <c r="F60" s="75"/>
      <c r="G60" s="75">
        <v>800</v>
      </c>
      <c r="H60" s="75">
        <v>1200</v>
      </c>
      <c r="I60" s="153">
        <v>2800</v>
      </c>
      <c r="J60" s="75">
        <v>1800</v>
      </c>
      <c r="K60" s="75">
        <v>1200</v>
      </c>
      <c r="L60" s="75">
        <v>3600</v>
      </c>
      <c r="M60" s="152">
        <f t="shared" si="52"/>
        <v>285</v>
      </c>
      <c r="N60" s="39">
        <f t="shared" si="18"/>
        <v>0</v>
      </c>
      <c r="O60" s="49">
        <f t="shared" si="1"/>
        <v>331.63</v>
      </c>
      <c r="P60" s="73">
        <f t="shared" si="53"/>
        <v>240</v>
      </c>
      <c r="Q60" s="40">
        <f t="shared" si="54"/>
        <v>330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46192</v>
      </c>
      <c r="B61" s="47">
        <v>57</v>
      </c>
      <c r="C61" s="151" t="s">
        <v>139</v>
      </c>
      <c r="D61" s="75"/>
      <c r="E61" s="75"/>
      <c r="F61" s="75"/>
      <c r="G61" s="75">
        <v>80</v>
      </c>
      <c r="H61" s="75">
        <v>0</v>
      </c>
      <c r="I61" s="153">
        <v>200</v>
      </c>
      <c r="J61" s="75">
        <v>200</v>
      </c>
      <c r="K61" s="75">
        <v>0</v>
      </c>
      <c r="L61" s="75">
        <v>400</v>
      </c>
      <c r="M61" s="152">
        <f t="shared" ref="M61:M83" si="81">SUM(D61:L61)/40</f>
        <v>22</v>
      </c>
      <c r="N61" s="39">
        <f t="shared" si="18"/>
        <v>0</v>
      </c>
      <c r="O61" s="49">
        <f t="shared" si="1"/>
        <v>331.63</v>
      </c>
      <c r="P61" s="73">
        <f t="shared" ref="P61:P78" si="82">SUM(G61:I61)/20</f>
        <v>14</v>
      </c>
      <c r="Q61" s="40">
        <f t="shared" ref="Q61:Q78" si="83">SUM(J61:L61)/20</f>
        <v>30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>
        <v>46192</v>
      </c>
      <c r="B62" s="47">
        <v>58</v>
      </c>
      <c r="C62" s="151" t="s">
        <v>140</v>
      </c>
      <c r="D62" s="75"/>
      <c r="E62" s="75"/>
      <c r="F62" s="75"/>
      <c r="G62" s="75">
        <v>80</v>
      </c>
      <c r="H62" s="75">
        <v>80</v>
      </c>
      <c r="I62" s="153">
        <v>200</v>
      </c>
      <c r="J62" s="75">
        <v>120</v>
      </c>
      <c r="K62" s="75">
        <v>120</v>
      </c>
      <c r="L62" s="75">
        <v>200</v>
      </c>
      <c r="M62" s="152">
        <f t="shared" si="81"/>
        <v>20</v>
      </c>
      <c r="N62" s="39">
        <f t="shared" si="18"/>
        <v>0</v>
      </c>
      <c r="O62" s="49">
        <f t="shared" si="1"/>
        <v>331.63</v>
      </c>
      <c r="P62" s="73">
        <f t="shared" si="82"/>
        <v>18</v>
      </c>
      <c r="Q62" s="40">
        <f t="shared" si="83"/>
        <v>22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46192</v>
      </c>
      <c r="B63" s="47">
        <v>59</v>
      </c>
      <c r="C63" s="151" t="s">
        <v>141</v>
      </c>
      <c r="D63" s="75"/>
      <c r="E63" s="75"/>
      <c r="F63" s="75"/>
      <c r="G63" s="75">
        <v>40</v>
      </c>
      <c r="H63" s="75">
        <v>40</v>
      </c>
      <c r="I63" s="153">
        <v>40</v>
      </c>
      <c r="J63" s="75">
        <v>40</v>
      </c>
      <c r="K63" s="75">
        <v>40</v>
      </c>
      <c r="L63" s="75">
        <v>40</v>
      </c>
      <c r="M63" s="152">
        <f t="shared" si="81"/>
        <v>6</v>
      </c>
      <c r="N63" s="39">
        <f t="shared" si="18"/>
        <v>0</v>
      </c>
      <c r="O63" s="49">
        <f t="shared" si="1"/>
        <v>331.63</v>
      </c>
      <c r="P63" s="73">
        <f t="shared" si="82"/>
        <v>6</v>
      </c>
      <c r="Q63" s="40">
        <f t="shared" si="83"/>
        <v>6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46192</v>
      </c>
      <c r="B64" s="47">
        <v>60</v>
      </c>
      <c r="C64" s="151" t="s">
        <v>142</v>
      </c>
      <c r="D64" s="75"/>
      <c r="E64" s="75"/>
      <c r="F64" s="75"/>
      <c r="G64" s="75">
        <v>40</v>
      </c>
      <c r="H64" s="75">
        <v>40</v>
      </c>
      <c r="I64" s="153">
        <v>40</v>
      </c>
      <c r="J64" s="75">
        <v>40</v>
      </c>
      <c r="K64" s="75">
        <v>40</v>
      </c>
      <c r="L64" s="75">
        <v>40</v>
      </c>
      <c r="M64" s="152">
        <f t="shared" si="81"/>
        <v>6</v>
      </c>
      <c r="N64" s="39">
        <f t="shared" si="18"/>
        <v>0</v>
      </c>
      <c r="O64" s="49">
        <f t="shared" si="1"/>
        <v>331.63</v>
      </c>
      <c r="P64" s="73">
        <f t="shared" si="82"/>
        <v>6</v>
      </c>
      <c r="Q64" s="40">
        <f t="shared" si="83"/>
        <v>6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46192</v>
      </c>
      <c r="B65" s="47">
        <v>61</v>
      </c>
      <c r="C65" s="151" t="s">
        <v>143</v>
      </c>
      <c r="D65" s="75"/>
      <c r="E65" s="75"/>
      <c r="F65" s="75"/>
      <c r="G65" s="75">
        <v>40</v>
      </c>
      <c r="H65" s="75">
        <v>40</v>
      </c>
      <c r="I65" s="153">
        <v>40</v>
      </c>
      <c r="J65" s="75">
        <v>40</v>
      </c>
      <c r="K65" s="75">
        <v>40</v>
      </c>
      <c r="L65" s="75">
        <v>40</v>
      </c>
      <c r="M65" s="152">
        <f t="shared" si="81"/>
        <v>6</v>
      </c>
      <c r="N65" s="39">
        <f t="shared" si="18"/>
        <v>0</v>
      </c>
      <c r="O65" s="49">
        <f t="shared" si="1"/>
        <v>331.63</v>
      </c>
      <c r="P65" s="73">
        <f t="shared" si="82"/>
        <v>6</v>
      </c>
      <c r="Q65" s="40">
        <f t="shared" si="83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46192</v>
      </c>
      <c r="B66" s="47">
        <v>62</v>
      </c>
      <c r="C66" s="151" t="s">
        <v>144</v>
      </c>
      <c r="D66" s="75"/>
      <c r="E66" s="75"/>
      <c r="F66" s="75"/>
      <c r="G66" s="75">
        <v>80</v>
      </c>
      <c r="H66" s="75">
        <v>80</v>
      </c>
      <c r="I66" s="153">
        <v>80</v>
      </c>
      <c r="J66" s="75">
        <v>80</v>
      </c>
      <c r="K66" s="75">
        <v>80</v>
      </c>
      <c r="L66" s="75">
        <v>80</v>
      </c>
      <c r="M66" s="152">
        <f t="shared" si="81"/>
        <v>12</v>
      </c>
      <c r="N66" s="39">
        <f t="shared" si="18"/>
        <v>0</v>
      </c>
      <c r="O66" s="49">
        <f t="shared" si="1"/>
        <v>331.63</v>
      </c>
      <c r="P66" s="73">
        <f t="shared" si="82"/>
        <v>12</v>
      </c>
      <c r="Q66" s="40">
        <f t="shared" si="83"/>
        <v>12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46192</v>
      </c>
      <c r="B67" s="47">
        <v>63</v>
      </c>
      <c r="C67" s="151" t="s">
        <v>145</v>
      </c>
      <c r="D67" s="75"/>
      <c r="E67" s="75"/>
      <c r="F67" s="75"/>
      <c r="G67" s="75">
        <v>40</v>
      </c>
      <c r="H67" s="75">
        <v>40</v>
      </c>
      <c r="I67" s="153">
        <v>40</v>
      </c>
      <c r="J67" s="75">
        <v>40</v>
      </c>
      <c r="K67" s="75">
        <v>40</v>
      </c>
      <c r="L67" s="75">
        <v>40</v>
      </c>
      <c r="M67" s="152">
        <f t="shared" si="81"/>
        <v>6</v>
      </c>
      <c r="N67" s="39">
        <f t="shared" si="18"/>
        <v>0</v>
      </c>
      <c r="O67" s="49">
        <f t="shared" si="1"/>
        <v>331.63</v>
      </c>
      <c r="P67" s="73">
        <f t="shared" si="82"/>
        <v>6</v>
      </c>
      <c r="Q67" s="40">
        <f t="shared" si="83"/>
        <v>6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46192</v>
      </c>
      <c r="B68" s="47">
        <v>64</v>
      </c>
      <c r="C68" s="151" t="s">
        <v>146</v>
      </c>
      <c r="D68" s="75"/>
      <c r="E68" s="75"/>
      <c r="F68" s="75"/>
      <c r="G68" s="75">
        <v>40</v>
      </c>
      <c r="H68" s="75">
        <v>40</v>
      </c>
      <c r="I68" s="153">
        <v>40</v>
      </c>
      <c r="J68" s="75">
        <v>40</v>
      </c>
      <c r="K68" s="75">
        <v>40</v>
      </c>
      <c r="L68" s="75">
        <v>40</v>
      </c>
      <c r="M68" s="152">
        <f t="shared" si="81"/>
        <v>6</v>
      </c>
      <c r="N68" s="39">
        <f t="shared" si="18"/>
        <v>0</v>
      </c>
      <c r="O68" s="49">
        <f t="shared" si="1"/>
        <v>331.63</v>
      </c>
      <c r="P68" s="73">
        <f t="shared" si="82"/>
        <v>6</v>
      </c>
      <c r="Q68" s="40">
        <f t="shared" si="83"/>
        <v>6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46192</v>
      </c>
      <c r="B69" s="47">
        <v>65</v>
      </c>
      <c r="C69" s="151" t="s">
        <v>147</v>
      </c>
      <c r="D69" s="75"/>
      <c r="E69" s="75"/>
      <c r="F69" s="75"/>
      <c r="G69" s="75">
        <v>80</v>
      </c>
      <c r="H69" s="75">
        <v>80</v>
      </c>
      <c r="I69" s="153">
        <v>80</v>
      </c>
      <c r="J69" s="75">
        <v>80</v>
      </c>
      <c r="K69" s="75">
        <v>80</v>
      </c>
      <c r="L69" s="75">
        <v>80</v>
      </c>
      <c r="M69" s="152">
        <f t="shared" si="81"/>
        <v>12</v>
      </c>
      <c r="N69" s="39">
        <f t="shared" si="18"/>
        <v>0</v>
      </c>
      <c r="O69" s="49">
        <f t="shared" si="1"/>
        <v>331.63</v>
      </c>
      <c r="P69" s="73">
        <f t="shared" si="82"/>
        <v>12</v>
      </c>
      <c r="Q69" s="40">
        <f t="shared" si="83"/>
        <v>12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46192</v>
      </c>
      <c r="B70" s="47">
        <v>66</v>
      </c>
      <c r="C70" s="151" t="s">
        <v>148</v>
      </c>
      <c r="D70" s="75"/>
      <c r="E70" s="75"/>
      <c r="F70" s="75"/>
      <c r="G70" s="75">
        <v>40</v>
      </c>
      <c r="H70" s="75">
        <v>40</v>
      </c>
      <c r="I70" s="153">
        <v>40</v>
      </c>
      <c r="J70" s="75">
        <v>40</v>
      </c>
      <c r="K70" s="75">
        <v>40</v>
      </c>
      <c r="L70" s="75">
        <v>40</v>
      </c>
      <c r="M70" s="152">
        <f t="shared" si="81"/>
        <v>6</v>
      </c>
      <c r="N70" s="39">
        <f t="shared" si="18"/>
        <v>0</v>
      </c>
      <c r="O70" s="49">
        <f t="shared" si="1"/>
        <v>331.63</v>
      </c>
      <c r="P70" s="73">
        <f t="shared" si="82"/>
        <v>6</v>
      </c>
      <c r="Q70" s="40">
        <f t="shared" si="83"/>
        <v>6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46192</v>
      </c>
      <c r="B71" s="47">
        <v>67</v>
      </c>
      <c r="C71" s="151" t="s">
        <v>149</v>
      </c>
      <c r="D71" s="75"/>
      <c r="E71" s="75"/>
      <c r="F71" s="75"/>
      <c r="G71" s="75">
        <v>0</v>
      </c>
      <c r="H71" s="75">
        <v>0</v>
      </c>
      <c r="I71" s="153">
        <v>0</v>
      </c>
      <c r="J71" s="75">
        <v>0</v>
      </c>
      <c r="K71" s="75">
        <v>0</v>
      </c>
      <c r="L71" s="75">
        <v>0</v>
      </c>
      <c r="M71" s="152">
        <f t="shared" si="81"/>
        <v>0</v>
      </c>
      <c r="N71" s="39">
        <f t="shared" si="18"/>
        <v>0</v>
      </c>
      <c r="O71" s="49">
        <f t="shared" si="1"/>
        <v>331.63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46192</v>
      </c>
      <c r="B72" s="47">
        <v>68</v>
      </c>
      <c r="C72" s="151" t="s">
        <v>150</v>
      </c>
      <c r="D72" s="75"/>
      <c r="E72" s="75"/>
      <c r="F72" s="75"/>
      <c r="G72" s="75">
        <v>40</v>
      </c>
      <c r="H72" s="75">
        <v>40</v>
      </c>
      <c r="I72" s="153">
        <v>40</v>
      </c>
      <c r="J72" s="75">
        <v>40</v>
      </c>
      <c r="K72" s="75">
        <v>40</v>
      </c>
      <c r="L72" s="75">
        <v>40</v>
      </c>
      <c r="M72" s="152">
        <f t="shared" si="81"/>
        <v>6</v>
      </c>
      <c r="N72" s="39">
        <f t="shared" si="18"/>
        <v>0</v>
      </c>
      <c r="O72" s="49">
        <f t="shared" si="1"/>
        <v>331.63</v>
      </c>
      <c r="P72" s="73">
        <f t="shared" si="82"/>
        <v>6</v>
      </c>
      <c r="Q72" s="40">
        <f t="shared" si="83"/>
        <v>6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46192</v>
      </c>
      <c r="B73" s="47">
        <v>69</v>
      </c>
      <c r="C73" s="151" t="s">
        <v>151</v>
      </c>
      <c r="D73" s="75"/>
      <c r="E73" s="75"/>
      <c r="F73" s="75"/>
      <c r="G73" s="75">
        <v>40</v>
      </c>
      <c r="H73" s="75">
        <v>40</v>
      </c>
      <c r="I73" s="153">
        <v>40</v>
      </c>
      <c r="J73" s="75">
        <v>40</v>
      </c>
      <c r="K73" s="75">
        <v>40</v>
      </c>
      <c r="L73" s="75">
        <v>40</v>
      </c>
      <c r="M73" s="152">
        <f t="shared" si="81"/>
        <v>6</v>
      </c>
      <c r="N73" s="39">
        <f t="shared" si="18"/>
        <v>0</v>
      </c>
      <c r="O73" s="49">
        <f t="shared" si="1"/>
        <v>331.63</v>
      </c>
      <c r="P73" s="73">
        <f t="shared" si="82"/>
        <v>6</v>
      </c>
      <c r="Q73" s="40">
        <f t="shared" si="83"/>
        <v>6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46192</v>
      </c>
      <c r="B74" s="47">
        <v>70</v>
      </c>
      <c r="C74" s="158" t="s">
        <v>152</v>
      </c>
      <c r="D74" s="75"/>
      <c r="E74" s="75"/>
      <c r="F74" s="50"/>
      <c r="G74" s="75">
        <v>40</v>
      </c>
      <c r="H74" s="75">
        <v>40</v>
      </c>
      <c r="I74" s="153">
        <v>40</v>
      </c>
      <c r="J74" s="75">
        <v>40</v>
      </c>
      <c r="K74" s="75">
        <v>40</v>
      </c>
      <c r="L74" s="75">
        <v>40</v>
      </c>
      <c r="M74" s="152">
        <f t="shared" si="81"/>
        <v>6</v>
      </c>
      <c r="N74" s="39">
        <f t="shared" si="18"/>
        <v>0</v>
      </c>
      <c r="O74" s="49">
        <f t="shared" si="1"/>
        <v>331.63</v>
      </c>
      <c r="P74" s="73">
        <f t="shared" si="82"/>
        <v>6</v>
      </c>
      <c r="Q74" s="40">
        <f t="shared" si="83"/>
        <v>6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46192</v>
      </c>
      <c r="B75" s="47">
        <v>71</v>
      </c>
      <c r="C75" s="158" t="s">
        <v>153</v>
      </c>
      <c r="D75" s="75"/>
      <c r="E75" s="50"/>
      <c r="F75" s="50"/>
      <c r="G75" s="75">
        <v>40</v>
      </c>
      <c r="H75" s="75">
        <v>40</v>
      </c>
      <c r="I75" s="153">
        <v>40</v>
      </c>
      <c r="J75" s="75">
        <v>40</v>
      </c>
      <c r="K75" s="75">
        <v>40</v>
      </c>
      <c r="L75" s="75">
        <v>40</v>
      </c>
      <c r="M75" s="152">
        <f t="shared" si="81"/>
        <v>6</v>
      </c>
      <c r="N75" s="39">
        <f t="shared" si="18"/>
        <v>0</v>
      </c>
      <c r="O75" s="49">
        <f t="shared" si="1"/>
        <v>331.63</v>
      </c>
      <c r="P75" s="73">
        <f t="shared" si="82"/>
        <v>6</v>
      </c>
      <c r="Q75" s="40">
        <f t="shared" si="83"/>
        <v>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46192</v>
      </c>
      <c r="B76" s="47">
        <v>72</v>
      </c>
      <c r="C76" s="158" t="s">
        <v>154</v>
      </c>
      <c r="D76" s="75"/>
      <c r="E76" s="50"/>
      <c r="F76" s="50"/>
      <c r="G76" s="75">
        <v>40</v>
      </c>
      <c r="H76" s="75">
        <v>40</v>
      </c>
      <c r="I76" s="153">
        <v>40</v>
      </c>
      <c r="J76" s="75">
        <v>40</v>
      </c>
      <c r="K76" s="75">
        <v>40</v>
      </c>
      <c r="L76" s="75">
        <v>40</v>
      </c>
      <c r="M76" s="152">
        <f t="shared" si="81"/>
        <v>6</v>
      </c>
      <c r="N76" s="39">
        <f t="shared" si="18"/>
        <v>0</v>
      </c>
      <c r="O76" s="49">
        <f t="shared" si="1"/>
        <v>331.63</v>
      </c>
      <c r="P76" s="73">
        <f t="shared" si="82"/>
        <v>6</v>
      </c>
      <c r="Q76" s="40">
        <f t="shared" si="83"/>
        <v>6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46192</v>
      </c>
      <c r="B77" s="47">
        <v>73</v>
      </c>
      <c r="C77" s="158" t="s">
        <v>155</v>
      </c>
      <c r="D77" s="75"/>
      <c r="E77" s="50"/>
      <c r="F77" s="50"/>
      <c r="G77" s="50">
        <v>0</v>
      </c>
      <c r="H77" s="50">
        <v>0</v>
      </c>
      <c r="I77" s="152">
        <v>0</v>
      </c>
      <c r="J77" s="50">
        <v>0</v>
      </c>
      <c r="K77" s="50">
        <v>0</v>
      </c>
      <c r="L77" s="50">
        <v>0</v>
      </c>
      <c r="M77" s="152">
        <f t="shared" si="81"/>
        <v>0</v>
      </c>
      <c r="N77" s="39">
        <f t="shared" si="18"/>
        <v>0</v>
      </c>
      <c r="O77" s="49">
        <f t="shared" si="1"/>
        <v>331.63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46192</v>
      </c>
      <c r="B78" s="47">
        <v>74</v>
      </c>
      <c r="C78" s="158" t="s">
        <v>156</v>
      </c>
      <c r="D78" s="75"/>
      <c r="E78" s="50"/>
      <c r="F78" s="50"/>
      <c r="G78" s="50">
        <v>0</v>
      </c>
      <c r="H78" s="50">
        <v>0</v>
      </c>
      <c r="I78" s="152">
        <v>0</v>
      </c>
      <c r="J78" s="50">
        <v>0</v>
      </c>
      <c r="K78" s="50">
        <v>0</v>
      </c>
      <c r="L78" s="50">
        <v>0</v>
      </c>
      <c r="M78" s="152">
        <f t="shared" si="81"/>
        <v>0</v>
      </c>
      <c r="N78" s="39">
        <f t="shared" si="18"/>
        <v>0</v>
      </c>
      <c r="O78" s="49">
        <f t="shared" si="1"/>
        <v>331.63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51" t="s">
        <v>163</v>
      </c>
      <c r="D79" s="50"/>
      <c r="E79" s="50"/>
      <c r="F79" s="50"/>
      <c r="G79" s="50">
        <v>314</v>
      </c>
      <c r="H79" s="50">
        <v>353</v>
      </c>
      <c r="I79" s="152">
        <v>388</v>
      </c>
      <c r="J79" s="50">
        <v>350</v>
      </c>
      <c r="K79" s="50">
        <v>311</v>
      </c>
      <c r="L79" s="50">
        <v>396</v>
      </c>
      <c r="M79" s="152">
        <f t="shared" si="81"/>
        <v>52.8</v>
      </c>
      <c r="N79" s="39">
        <f t="shared" si="18"/>
        <v>0</v>
      </c>
      <c r="O79" s="49">
        <f t="shared" si="1"/>
        <v>331.63</v>
      </c>
      <c r="P79" s="73">
        <f t="shared" ref="P79:P83" si="89">SUM(G79:I79)/20</f>
        <v>52.75</v>
      </c>
      <c r="Q79" s="40">
        <f t="shared" ref="Q79:Q83" si="90">SUM(J79:L79)/20</f>
        <v>52.85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51" t="s">
        <v>164</v>
      </c>
      <c r="D80" s="50">
        <v>40</v>
      </c>
      <c r="E80" s="50"/>
      <c r="F80" s="50"/>
      <c r="G80" s="50">
        <v>40</v>
      </c>
      <c r="H80" s="50">
        <v>0</v>
      </c>
      <c r="I80" s="152">
        <v>120</v>
      </c>
      <c r="J80" s="50">
        <v>200</v>
      </c>
      <c r="K80" s="50">
        <v>0</v>
      </c>
      <c r="L80" s="50">
        <v>200</v>
      </c>
      <c r="M80" s="152">
        <f t="shared" si="81"/>
        <v>15</v>
      </c>
      <c r="N80" s="39">
        <f t="shared" si="18"/>
        <v>0</v>
      </c>
      <c r="O80" s="49">
        <f t="shared" si="1"/>
        <v>331.63</v>
      </c>
      <c r="P80" s="73">
        <f t="shared" si="89"/>
        <v>8</v>
      </c>
      <c r="Q80" s="40">
        <f t="shared" si="90"/>
        <v>20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51" t="s">
        <v>169</v>
      </c>
      <c r="D81" s="50"/>
      <c r="E81" s="50"/>
      <c r="F81" s="50"/>
      <c r="G81" s="50">
        <v>40</v>
      </c>
      <c r="H81" s="50">
        <v>40</v>
      </c>
      <c r="I81" s="152"/>
      <c r="J81" s="50">
        <v>40</v>
      </c>
      <c r="K81" s="50">
        <v>40</v>
      </c>
      <c r="L81" s="50">
        <v>40</v>
      </c>
      <c r="M81" s="152">
        <f t="shared" si="81"/>
        <v>5</v>
      </c>
      <c r="N81" s="39">
        <f t="shared" si="18"/>
        <v>0</v>
      </c>
      <c r="O81" s="49">
        <f t="shared" si="1"/>
        <v>331.63</v>
      </c>
      <c r="P81" s="73">
        <f t="shared" si="89"/>
        <v>4</v>
      </c>
      <c r="Q81" s="40">
        <f t="shared" si="90"/>
        <v>6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51" t="s">
        <v>170</v>
      </c>
      <c r="D82" s="50"/>
      <c r="E82" s="50"/>
      <c r="F82" s="50"/>
      <c r="G82" s="50">
        <v>80</v>
      </c>
      <c r="H82" s="50">
        <v>80</v>
      </c>
      <c r="I82" s="152"/>
      <c r="J82" s="50">
        <v>80</v>
      </c>
      <c r="K82" s="50">
        <v>80</v>
      </c>
      <c r="L82" s="50">
        <v>80</v>
      </c>
      <c r="M82" s="152">
        <f t="shared" si="81"/>
        <v>10</v>
      </c>
      <c r="N82" s="39">
        <f t="shared" si="18"/>
        <v>0</v>
      </c>
      <c r="O82" s="49">
        <f t="shared" si="1"/>
        <v>331.63</v>
      </c>
      <c r="P82" s="73">
        <f t="shared" si="89"/>
        <v>8</v>
      </c>
      <c r="Q82" s="40">
        <f t="shared" si="90"/>
        <v>12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51" t="s">
        <v>171</v>
      </c>
      <c r="D83" s="50"/>
      <c r="E83" s="50"/>
      <c r="F83" s="50"/>
      <c r="G83" s="50">
        <v>40</v>
      </c>
      <c r="H83" s="50">
        <v>40</v>
      </c>
      <c r="I83" s="152"/>
      <c r="J83" s="50">
        <v>40</v>
      </c>
      <c r="K83" s="50">
        <v>40</v>
      </c>
      <c r="L83" s="50">
        <v>40</v>
      </c>
      <c r="M83" s="152">
        <f t="shared" si="81"/>
        <v>5</v>
      </c>
      <c r="N83" s="39">
        <f t="shared" si="18"/>
        <v>0</v>
      </c>
      <c r="O83" s="49">
        <f t="shared" si="1"/>
        <v>331.63</v>
      </c>
      <c r="P83" s="73">
        <f t="shared" si="89"/>
        <v>4</v>
      </c>
      <c r="Q83" s="40">
        <f t="shared" si="90"/>
        <v>6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51" t="s">
        <v>172</v>
      </c>
      <c r="D84" s="50"/>
      <c r="E84" s="50"/>
      <c r="F84" s="50"/>
      <c r="G84" s="50">
        <v>80</v>
      </c>
      <c r="H84" s="50">
        <v>80</v>
      </c>
      <c r="I84" s="152"/>
      <c r="J84" s="50">
        <v>80</v>
      </c>
      <c r="K84" s="50">
        <v>80</v>
      </c>
      <c r="L84" s="50">
        <v>80</v>
      </c>
      <c r="M84" s="152">
        <f t="shared" ref="M84:M131" si="96">SUM(D84:L84)/40</f>
        <v>10</v>
      </c>
      <c r="N84" s="39">
        <f t="shared" si="18"/>
        <v>0</v>
      </c>
      <c r="O84" s="49">
        <f t="shared" si="1"/>
        <v>331.63</v>
      </c>
      <c r="P84" s="73">
        <f t="shared" ref="P84:P131" si="97">SUM(G84:I84)/20</f>
        <v>8</v>
      </c>
      <c r="Q84" s="40">
        <f t="shared" ref="Q84:Q131" si="98">SUM(J84:L84)/20</f>
        <v>12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51" t="s">
        <v>173</v>
      </c>
      <c r="D85" s="50"/>
      <c r="E85" s="50"/>
      <c r="F85" s="50"/>
      <c r="G85" s="50">
        <v>40</v>
      </c>
      <c r="H85" s="50">
        <v>40</v>
      </c>
      <c r="I85" s="152"/>
      <c r="J85" s="50">
        <v>40</v>
      </c>
      <c r="K85" s="50">
        <v>40</v>
      </c>
      <c r="L85" s="50">
        <v>40</v>
      </c>
      <c r="M85" s="152">
        <f t="shared" si="96"/>
        <v>5</v>
      </c>
      <c r="N85" s="39">
        <f t="shared" si="18"/>
        <v>0</v>
      </c>
      <c r="O85" s="49">
        <f t="shared" si="1"/>
        <v>331.63</v>
      </c>
      <c r="P85" s="73">
        <f t="shared" si="97"/>
        <v>4</v>
      </c>
      <c r="Q85" s="40">
        <f t="shared" si="98"/>
        <v>6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51" t="s">
        <v>174</v>
      </c>
      <c r="D86" s="50"/>
      <c r="E86" s="50"/>
      <c r="F86" s="50"/>
      <c r="G86" s="50">
        <v>40</v>
      </c>
      <c r="H86" s="50">
        <v>40</v>
      </c>
      <c r="I86" s="152"/>
      <c r="J86" s="50">
        <v>40</v>
      </c>
      <c r="K86" s="50">
        <v>40</v>
      </c>
      <c r="L86" s="50">
        <v>40</v>
      </c>
      <c r="M86" s="152">
        <f t="shared" si="96"/>
        <v>5</v>
      </c>
      <c r="N86" s="39">
        <f t="shared" si="18"/>
        <v>0</v>
      </c>
      <c r="O86" s="49">
        <f t="shared" si="1"/>
        <v>331.63</v>
      </c>
      <c r="P86" s="73">
        <f t="shared" si="97"/>
        <v>4</v>
      </c>
      <c r="Q86" s="40">
        <f t="shared" si="98"/>
        <v>6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51" t="s">
        <v>175</v>
      </c>
      <c r="D87" s="50"/>
      <c r="E87" s="50"/>
      <c r="F87" s="50"/>
      <c r="G87" s="50">
        <v>40</v>
      </c>
      <c r="H87" s="50">
        <v>40</v>
      </c>
      <c r="I87" s="152"/>
      <c r="J87" s="50">
        <v>40</v>
      </c>
      <c r="K87" s="50">
        <v>40</v>
      </c>
      <c r="L87" s="50">
        <v>40</v>
      </c>
      <c r="M87" s="152">
        <f t="shared" si="96"/>
        <v>5</v>
      </c>
      <c r="N87" s="39">
        <f t="shared" si="18"/>
        <v>0</v>
      </c>
      <c r="O87" s="49">
        <f t="shared" si="1"/>
        <v>331.63</v>
      </c>
      <c r="P87" s="73">
        <f t="shared" si="97"/>
        <v>4</v>
      </c>
      <c r="Q87" s="40">
        <f t="shared" si="98"/>
        <v>6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51" t="s">
        <v>176</v>
      </c>
      <c r="D88" s="50"/>
      <c r="E88" s="50"/>
      <c r="F88" s="50"/>
      <c r="G88" s="50">
        <v>40</v>
      </c>
      <c r="H88" s="50">
        <v>40</v>
      </c>
      <c r="I88" s="152"/>
      <c r="J88" s="50">
        <v>40</v>
      </c>
      <c r="K88" s="50">
        <v>40</v>
      </c>
      <c r="L88" s="50">
        <v>40</v>
      </c>
      <c r="M88" s="152">
        <f t="shared" si="96"/>
        <v>5</v>
      </c>
      <c r="N88" s="39">
        <f t="shared" si="18"/>
        <v>0</v>
      </c>
      <c r="O88" s="49">
        <f t="shared" si="1"/>
        <v>331.63</v>
      </c>
      <c r="P88" s="73">
        <f t="shared" si="97"/>
        <v>4</v>
      </c>
      <c r="Q88" s="40">
        <f t="shared" si="98"/>
        <v>6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51" t="s">
        <v>177</v>
      </c>
      <c r="D89" s="50"/>
      <c r="E89" s="50"/>
      <c r="F89" s="50"/>
      <c r="G89" s="50">
        <v>40</v>
      </c>
      <c r="H89" s="50">
        <v>40</v>
      </c>
      <c r="I89" s="152"/>
      <c r="J89" s="50">
        <v>40</v>
      </c>
      <c r="K89" s="50">
        <v>40</v>
      </c>
      <c r="L89" s="50">
        <v>40</v>
      </c>
      <c r="M89" s="152">
        <f t="shared" si="96"/>
        <v>5</v>
      </c>
      <c r="N89" s="39">
        <f t="shared" si="18"/>
        <v>0</v>
      </c>
      <c r="O89" s="49">
        <f t="shared" si="1"/>
        <v>331.63</v>
      </c>
      <c r="P89" s="73">
        <f t="shared" si="97"/>
        <v>4</v>
      </c>
      <c r="Q89" s="40">
        <f t="shared" si="98"/>
        <v>6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51" t="s">
        <v>178</v>
      </c>
      <c r="D90" s="50"/>
      <c r="E90" s="50"/>
      <c r="F90" s="50"/>
      <c r="G90" s="50">
        <v>40</v>
      </c>
      <c r="H90" s="50">
        <v>40</v>
      </c>
      <c r="I90" s="152"/>
      <c r="J90" s="50">
        <v>40</v>
      </c>
      <c r="K90" s="50">
        <v>40</v>
      </c>
      <c r="L90" s="50">
        <v>40</v>
      </c>
      <c r="M90" s="152">
        <f t="shared" si="96"/>
        <v>5</v>
      </c>
      <c r="N90" s="39">
        <f t="shared" si="18"/>
        <v>0</v>
      </c>
      <c r="O90" s="49">
        <f t="shared" si="1"/>
        <v>331.63</v>
      </c>
      <c r="P90" s="73">
        <f t="shared" si="97"/>
        <v>4</v>
      </c>
      <c r="Q90" s="40">
        <f t="shared" si="98"/>
        <v>6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51" t="s">
        <v>168</v>
      </c>
      <c r="D91" s="50"/>
      <c r="E91" s="50"/>
      <c r="F91" s="50"/>
      <c r="G91" s="50">
        <v>84</v>
      </c>
      <c r="H91" s="50">
        <v>84</v>
      </c>
      <c r="I91" s="152"/>
      <c r="J91" s="50">
        <v>168</v>
      </c>
      <c r="K91" s="50">
        <v>126</v>
      </c>
      <c r="L91" s="50">
        <v>252</v>
      </c>
      <c r="M91" s="152">
        <f t="shared" si="96"/>
        <v>17.850000000000001</v>
      </c>
      <c r="N91" s="39">
        <f t="shared" si="18"/>
        <v>0</v>
      </c>
      <c r="O91" s="49">
        <f t="shared" si="1"/>
        <v>331.63</v>
      </c>
      <c r="P91" s="73">
        <f t="shared" si="97"/>
        <v>8.4</v>
      </c>
      <c r="Q91" s="40">
        <f t="shared" si="98"/>
        <v>27.3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50" t="s">
        <v>183</v>
      </c>
      <c r="D92" s="146">
        <v>80</v>
      </c>
      <c r="E92" s="146"/>
      <c r="F92" s="146"/>
      <c r="G92" s="146">
        <v>80</v>
      </c>
      <c r="H92" s="146">
        <v>80</v>
      </c>
      <c r="I92" s="159"/>
      <c r="J92" s="146">
        <v>80</v>
      </c>
      <c r="K92" s="146">
        <v>80</v>
      </c>
      <c r="L92" s="146">
        <v>80</v>
      </c>
      <c r="M92" s="152">
        <f t="shared" si="96"/>
        <v>12</v>
      </c>
      <c r="N92" s="39">
        <f t="shared" si="18"/>
        <v>0</v>
      </c>
      <c r="O92" s="49">
        <f t="shared" si="1"/>
        <v>331.63</v>
      </c>
      <c r="P92" s="73">
        <f t="shared" si="97"/>
        <v>8</v>
      </c>
      <c r="Q92" s="40">
        <f t="shared" si="98"/>
        <v>12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50" t="s">
        <v>184</v>
      </c>
      <c r="D93" s="146"/>
      <c r="E93" s="146"/>
      <c r="F93" s="146"/>
      <c r="G93" s="146">
        <v>80</v>
      </c>
      <c r="H93" s="146">
        <v>80</v>
      </c>
      <c r="I93" s="159"/>
      <c r="J93" s="146">
        <v>80</v>
      </c>
      <c r="K93" s="146">
        <v>80</v>
      </c>
      <c r="L93" s="146">
        <v>80</v>
      </c>
      <c r="M93" s="152">
        <f t="shared" si="96"/>
        <v>10</v>
      </c>
      <c r="N93" s="39">
        <f t="shared" si="18"/>
        <v>0</v>
      </c>
      <c r="O93" s="49">
        <f t="shared" si="1"/>
        <v>331.63</v>
      </c>
      <c r="P93" s="73">
        <f t="shared" si="97"/>
        <v>8</v>
      </c>
      <c r="Q93" s="40">
        <f t="shared" si="98"/>
        <v>12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50" t="s">
        <v>185</v>
      </c>
      <c r="D94" s="146"/>
      <c r="E94" s="146"/>
      <c r="F94" s="146"/>
      <c r="G94" s="146">
        <v>80</v>
      </c>
      <c r="H94" s="146">
        <v>80</v>
      </c>
      <c r="I94" s="159"/>
      <c r="J94" s="146">
        <v>80</v>
      </c>
      <c r="K94" s="146">
        <v>80</v>
      </c>
      <c r="L94" s="146">
        <v>80</v>
      </c>
      <c r="M94" s="152">
        <f t="shared" si="96"/>
        <v>10</v>
      </c>
      <c r="N94" s="39">
        <f t="shared" si="18"/>
        <v>0</v>
      </c>
      <c r="O94" s="49">
        <f t="shared" si="1"/>
        <v>331.63</v>
      </c>
      <c r="P94" s="73">
        <f t="shared" si="97"/>
        <v>8</v>
      </c>
      <c r="Q94" s="40">
        <f t="shared" si="98"/>
        <v>12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50" t="s">
        <v>186</v>
      </c>
      <c r="D95" s="146"/>
      <c r="E95" s="146"/>
      <c r="F95" s="146"/>
      <c r="G95" s="146"/>
      <c r="H95" s="146"/>
      <c r="I95" s="159"/>
      <c r="J95" s="146">
        <v>40</v>
      </c>
      <c r="K95" s="146">
        <v>40</v>
      </c>
      <c r="L95" s="146">
        <v>40</v>
      </c>
      <c r="M95" s="152">
        <f t="shared" si="96"/>
        <v>3</v>
      </c>
      <c r="N95" s="39">
        <f t="shared" si="18"/>
        <v>0</v>
      </c>
      <c r="O95" s="49">
        <f t="shared" si="1"/>
        <v>331.63</v>
      </c>
      <c r="P95" s="73">
        <f t="shared" si="97"/>
        <v>0</v>
      </c>
      <c r="Q95" s="40">
        <f t="shared" si="98"/>
        <v>6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50" t="s">
        <v>166</v>
      </c>
      <c r="D96" s="146"/>
      <c r="E96" s="146"/>
      <c r="F96" s="146"/>
      <c r="G96" s="146">
        <v>80</v>
      </c>
      <c r="H96" s="146">
        <v>80</v>
      </c>
      <c r="I96" s="159"/>
      <c r="J96" s="146">
        <v>80</v>
      </c>
      <c r="K96" s="146">
        <v>80</v>
      </c>
      <c r="L96" s="146">
        <v>80</v>
      </c>
      <c r="M96" s="152">
        <f t="shared" si="96"/>
        <v>10</v>
      </c>
      <c r="N96" s="39">
        <f t="shared" si="18"/>
        <v>0</v>
      </c>
      <c r="O96" s="49">
        <f t="shared" si="1"/>
        <v>331.63</v>
      </c>
      <c r="P96" s="73">
        <f t="shared" si="97"/>
        <v>8</v>
      </c>
      <c r="Q96" s="40">
        <f t="shared" si="98"/>
        <v>12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64" t="s">
        <v>181</v>
      </c>
      <c r="D97" s="165"/>
      <c r="E97" s="165"/>
      <c r="F97" s="165"/>
      <c r="G97" s="165">
        <v>80</v>
      </c>
      <c r="H97" s="165">
        <v>80</v>
      </c>
      <c r="I97" s="166"/>
      <c r="J97" s="165">
        <v>80</v>
      </c>
      <c r="K97" s="165">
        <v>120</v>
      </c>
      <c r="L97" s="165">
        <v>80</v>
      </c>
      <c r="M97" s="152">
        <f t="shared" si="96"/>
        <v>11</v>
      </c>
      <c r="N97" s="39">
        <f t="shared" si="18"/>
        <v>0</v>
      </c>
      <c r="O97" s="49">
        <f t="shared" si="1"/>
        <v>331.63</v>
      </c>
      <c r="P97" s="73">
        <f t="shared" si="97"/>
        <v>8</v>
      </c>
      <c r="Q97" s="40">
        <f t="shared" si="98"/>
        <v>14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>
        <v>46202</v>
      </c>
      <c r="B98" s="47">
        <v>94</v>
      </c>
      <c r="C98" s="151" t="s">
        <v>192</v>
      </c>
      <c r="D98" s="50"/>
      <c r="E98" s="50"/>
      <c r="F98" s="50"/>
      <c r="G98" s="50">
        <v>40</v>
      </c>
      <c r="H98" s="50">
        <v>40</v>
      </c>
      <c r="I98" s="152"/>
      <c r="J98" s="50">
        <v>40</v>
      </c>
      <c r="K98" s="50">
        <v>40</v>
      </c>
      <c r="L98" s="50">
        <v>40</v>
      </c>
      <c r="M98" s="152">
        <f t="shared" si="96"/>
        <v>5</v>
      </c>
      <c r="N98" s="39">
        <f t="shared" si="18"/>
        <v>0</v>
      </c>
      <c r="O98" s="49">
        <f t="shared" si="1"/>
        <v>331.63</v>
      </c>
      <c r="P98" s="73">
        <f t="shared" si="97"/>
        <v>4</v>
      </c>
      <c r="Q98" s="40">
        <f t="shared" si="98"/>
        <v>6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>
        <v>46202</v>
      </c>
      <c r="B99" s="47">
        <v>95</v>
      </c>
      <c r="C99" s="151" t="s">
        <v>193</v>
      </c>
      <c r="D99" s="50"/>
      <c r="E99" s="50"/>
      <c r="F99" s="50"/>
      <c r="G99" s="50">
        <v>80</v>
      </c>
      <c r="H99" s="50">
        <v>80</v>
      </c>
      <c r="I99" s="152"/>
      <c r="J99" s="50">
        <v>80</v>
      </c>
      <c r="K99" s="50">
        <v>80</v>
      </c>
      <c r="L99" s="50">
        <v>80</v>
      </c>
      <c r="M99" s="152">
        <f t="shared" si="96"/>
        <v>10</v>
      </c>
      <c r="N99" s="39">
        <f t="shared" si="18"/>
        <v>0</v>
      </c>
      <c r="O99" s="49">
        <f t="shared" si="1"/>
        <v>331.63</v>
      </c>
      <c r="P99" s="73">
        <f t="shared" si="97"/>
        <v>8</v>
      </c>
      <c r="Q99" s="40">
        <f t="shared" si="98"/>
        <v>12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>
        <v>46202</v>
      </c>
      <c r="B100" s="47">
        <v>96</v>
      </c>
      <c r="C100" s="151" t="s">
        <v>194</v>
      </c>
      <c r="D100" s="50"/>
      <c r="E100" s="50"/>
      <c r="F100" s="50"/>
      <c r="G100" s="50"/>
      <c r="H100" s="50"/>
      <c r="I100" s="152"/>
      <c r="J100" s="50"/>
      <c r="K100" s="50"/>
      <c r="L100" s="50"/>
      <c r="M100" s="152">
        <f t="shared" si="96"/>
        <v>0</v>
      </c>
      <c r="N100" s="39">
        <f t="shared" si="18"/>
        <v>0</v>
      </c>
      <c r="O100" s="49">
        <f t="shared" si="1"/>
        <v>331.63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>
        <v>46202</v>
      </c>
      <c r="B101" s="47">
        <v>97</v>
      </c>
      <c r="C101" s="151" t="s">
        <v>195</v>
      </c>
      <c r="D101" s="50"/>
      <c r="E101" s="50"/>
      <c r="F101" s="50"/>
      <c r="G101" s="50">
        <v>40</v>
      </c>
      <c r="H101" s="50">
        <v>40</v>
      </c>
      <c r="I101" s="152"/>
      <c r="J101" s="50">
        <v>40</v>
      </c>
      <c r="K101" s="50">
        <v>40</v>
      </c>
      <c r="L101" s="50">
        <v>40</v>
      </c>
      <c r="M101" s="152">
        <f t="shared" si="96"/>
        <v>5</v>
      </c>
      <c r="N101" s="39">
        <f t="shared" si="18"/>
        <v>0</v>
      </c>
      <c r="O101" s="49">
        <f t="shared" si="1"/>
        <v>331.63</v>
      </c>
      <c r="P101" s="73">
        <f t="shared" si="97"/>
        <v>4</v>
      </c>
      <c r="Q101" s="40">
        <f t="shared" si="98"/>
        <v>6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>
        <v>46202</v>
      </c>
      <c r="B102" s="47">
        <v>98</v>
      </c>
      <c r="C102" s="151" t="s">
        <v>196</v>
      </c>
      <c r="D102" s="50"/>
      <c r="E102" s="50"/>
      <c r="F102" s="50"/>
      <c r="G102" s="50">
        <v>80</v>
      </c>
      <c r="H102" s="50">
        <v>80</v>
      </c>
      <c r="I102" s="152"/>
      <c r="J102" s="50">
        <v>80</v>
      </c>
      <c r="K102" s="50">
        <v>80</v>
      </c>
      <c r="L102" s="50">
        <v>80</v>
      </c>
      <c r="M102" s="152">
        <f t="shared" si="96"/>
        <v>10</v>
      </c>
      <c r="N102" s="39">
        <f t="shared" si="18"/>
        <v>0</v>
      </c>
      <c r="O102" s="49">
        <f t="shared" si="1"/>
        <v>331.63</v>
      </c>
      <c r="P102" s="73">
        <f t="shared" si="97"/>
        <v>8</v>
      </c>
      <c r="Q102" s="40">
        <f t="shared" si="98"/>
        <v>12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>
        <v>46202</v>
      </c>
      <c r="B103" s="47">
        <v>99</v>
      </c>
      <c r="C103" s="151" t="s">
        <v>197</v>
      </c>
      <c r="D103" s="50"/>
      <c r="E103" s="50"/>
      <c r="F103" s="50"/>
      <c r="G103" s="50">
        <v>40</v>
      </c>
      <c r="H103" s="50">
        <v>40</v>
      </c>
      <c r="I103" s="152"/>
      <c r="J103" s="50">
        <v>40</v>
      </c>
      <c r="K103" s="50">
        <v>40</v>
      </c>
      <c r="L103" s="50">
        <v>40</v>
      </c>
      <c r="M103" s="152">
        <f t="shared" si="96"/>
        <v>5</v>
      </c>
      <c r="N103" s="39">
        <f t="shared" si="18"/>
        <v>0</v>
      </c>
      <c r="O103" s="49">
        <f t="shared" si="1"/>
        <v>331.63</v>
      </c>
      <c r="P103" s="73">
        <f t="shared" si="97"/>
        <v>4</v>
      </c>
      <c r="Q103" s="40">
        <f t="shared" si="98"/>
        <v>6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>
        <v>46202</v>
      </c>
      <c r="B104" s="47">
        <v>100</v>
      </c>
      <c r="C104" s="151" t="s">
        <v>198</v>
      </c>
      <c r="D104" s="50"/>
      <c r="E104" s="50"/>
      <c r="F104" s="50"/>
      <c r="G104" s="50">
        <v>40</v>
      </c>
      <c r="H104" s="50">
        <v>40</v>
      </c>
      <c r="I104" s="152"/>
      <c r="J104" s="50">
        <v>40</v>
      </c>
      <c r="K104" s="50">
        <v>40</v>
      </c>
      <c r="L104" s="50">
        <v>40</v>
      </c>
      <c r="M104" s="152">
        <f t="shared" si="96"/>
        <v>5</v>
      </c>
      <c r="N104" s="39">
        <f t="shared" si="18"/>
        <v>0</v>
      </c>
      <c r="O104" s="49">
        <f t="shared" si="1"/>
        <v>331.63</v>
      </c>
      <c r="P104" s="73">
        <f t="shared" si="97"/>
        <v>4</v>
      </c>
      <c r="Q104" s="40">
        <f t="shared" si="98"/>
        <v>6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>
        <v>46202</v>
      </c>
      <c r="B105" s="47">
        <v>101</v>
      </c>
      <c r="C105" s="151" t="s">
        <v>199</v>
      </c>
      <c r="D105" s="50"/>
      <c r="E105" s="50"/>
      <c r="F105" s="50"/>
      <c r="G105" s="50">
        <v>40</v>
      </c>
      <c r="H105" s="50">
        <v>40</v>
      </c>
      <c r="I105" s="152"/>
      <c r="J105" s="50">
        <v>40</v>
      </c>
      <c r="K105" s="50">
        <v>40</v>
      </c>
      <c r="L105" s="50">
        <v>40</v>
      </c>
      <c r="M105" s="152">
        <f t="shared" si="96"/>
        <v>5</v>
      </c>
      <c r="N105" s="39">
        <f t="shared" si="18"/>
        <v>0</v>
      </c>
      <c r="O105" s="49">
        <f t="shared" si="1"/>
        <v>331.63</v>
      </c>
      <c r="P105" s="73">
        <f t="shared" si="97"/>
        <v>4</v>
      </c>
      <c r="Q105" s="40">
        <f t="shared" si="98"/>
        <v>6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>
        <v>46202</v>
      </c>
      <c r="B106" s="47">
        <v>102</v>
      </c>
      <c r="C106" s="151" t="s">
        <v>200</v>
      </c>
      <c r="D106" s="50"/>
      <c r="E106" s="50"/>
      <c r="F106" s="50"/>
      <c r="G106" s="50">
        <v>40</v>
      </c>
      <c r="H106" s="50">
        <v>40</v>
      </c>
      <c r="I106" s="152"/>
      <c r="J106" s="50">
        <v>40</v>
      </c>
      <c r="K106" s="50">
        <v>40</v>
      </c>
      <c r="L106" s="50">
        <v>40</v>
      </c>
      <c r="M106" s="152">
        <f t="shared" si="96"/>
        <v>5</v>
      </c>
      <c r="N106" s="39">
        <f t="shared" si="18"/>
        <v>0</v>
      </c>
      <c r="O106" s="49">
        <f t="shared" si="1"/>
        <v>331.63</v>
      </c>
      <c r="P106" s="73">
        <f t="shared" si="97"/>
        <v>4</v>
      </c>
      <c r="Q106" s="40">
        <f t="shared" si="98"/>
        <v>6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>
        <v>46202</v>
      </c>
      <c r="B107" s="47">
        <v>103</v>
      </c>
      <c r="C107" s="151" t="s">
        <v>201</v>
      </c>
      <c r="D107" s="50"/>
      <c r="E107" s="50"/>
      <c r="F107" s="50"/>
      <c r="G107" s="50">
        <v>40</v>
      </c>
      <c r="H107" s="50">
        <v>40</v>
      </c>
      <c r="I107" s="152"/>
      <c r="J107" s="50">
        <v>40</v>
      </c>
      <c r="K107" s="50">
        <v>40</v>
      </c>
      <c r="L107" s="50">
        <v>40</v>
      </c>
      <c r="M107" s="152">
        <f t="shared" si="96"/>
        <v>5</v>
      </c>
      <c r="N107" s="39">
        <f t="shared" si="18"/>
        <v>0</v>
      </c>
      <c r="O107" s="49">
        <f t="shared" si="1"/>
        <v>331.63</v>
      </c>
      <c r="P107" s="73">
        <f t="shared" si="97"/>
        <v>4</v>
      </c>
      <c r="Q107" s="40">
        <f t="shared" si="98"/>
        <v>6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>
        <v>46202</v>
      </c>
      <c r="B108" s="47">
        <v>104</v>
      </c>
      <c r="C108" s="151" t="s">
        <v>202</v>
      </c>
      <c r="D108" s="50"/>
      <c r="E108" s="50"/>
      <c r="F108" s="50"/>
      <c r="G108" s="50">
        <v>40</v>
      </c>
      <c r="H108" s="50">
        <v>40</v>
      </c>
      <c r="I108" s="152"/>
      <c r="J108" s="50">
        <v>40</v>
      </c>
      <c r="K108" s="50">
        <v>40</v>
      </c>
      <c r="L108" s="50">
        <v>40</v>
      </c>
      <c r="M108" s="152">
        <f t="shared" si="96"/>
        <v>5</v>
      </c>
      <c r="N108" s="39">
        <f t="shared" si="18"/>
        <v>0</v>
      </c>
      <c r="O108" s="49">
        <f t="shared" si="1"/>
        <v>331.63</v>
      </c>
      <c r="P108" s="73">
        <f t="shared" si="97"/>
        <v>4</v>
      </c>
      <c r="Q108" s="40">
        <f t="shared" si="98"/>
        <v>6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>
        <v>46202</v>
      </c>
      <c r="B109" s="47">
        <v>105</v>
      </c>
      <c r="C109" s="151" t="s">
        <v>203</v>
      </c>
      <c r="D109" s="50"/>
      <c r="E109" s="50"/>
      <c r="F109" s="50"/>
      <c r="G109" s="50">
        <v>80</v>
      </c>
      <c r="H109" s="50">
        <v>80</v>
      </c>
      <c r="I109" s="152"/>
      <c r="J109" s="50">
        <v>80</v>
      </c>
      <c r="K109" s="50">
        <v>80</v>
      </c>
      <c r="L109" s="50">
        <v>80</v>
      </c>
      <c r="M109" s="152">
        <f t="shared" si="96"/>
        <v>10</v>
      </c>
      <c r="N109" s="39">
        <f t="shared" si="18"/>
        <v>0</v>
      </c>
      <c r="O109" s="49">
        <f t="shared" si="1"/>
        <v>331.63</v>
      </c>
      <c r="P109" s="73">
        <f t="shared" si="97"/>
        <v>8</v>
      </c>
      <c r="Q109" s="40">
        <f t="shared" si="98"/>
        <v>12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>
        <v>46202</v>
      </c>
      <c r="B110" s="47">
        <v>106</v>
      </c>
      <c r="C110" s="151" t="s">
        <v>25</v>
      </c>
      <c r="D110" s="50"/>
      <c r="E110" s="50"/>
      <c r="F110" s="50"/>
      <c r="G110" s="50">
        <v>160</v>
      </c>
      <c r="H110" s="50">
        <v>280</v>
      </c>
      <c r="I110" s="152"/>
      <c r="J110" s="50">
        <v>280</v>
      </c>
      <c r="K110" s="50">
        <v>280</v>
      </c>
      <c r="L110" s="50">
        <v>520</v>
      </c>
      <c r="M110" s="152">
        <f t="shared" si="96"/>
        <v>38</v>
      </c>
      <c r="N110" s="39">
        <f t="shared" si="18"/>
        <v>0</v>
      </c>
      <c r="O110" s="49">
        <f t="shared" si="1"/>
        <v>331.63</v>
      </c>
      <c r="P110" s="73">
        <f t="shared" si="97"/>
        <v>22</v>
      </c>
      <c r="Q110" s="40">
        <f t="shared" si="98"/>
        <v>54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>
        <v>46202</v>
      </c>
      <c r="B111" s="47">
        <v>107</v>
      </c>
      <c r="C111" s="151" t="s">
        <v>205</v>
      </c>
      <c r="D111" s="50"/>
      <c r="E111" s="50"/>
      <c r="F111" s="50"/>
      <c r="G111" s="50"/>
      <c r="H111" s="50"/>
      <c r="I111" s="152"/>
      <c r="J111" s="50">
        <v>40</v>
      </c>
      <c r="K111" s="50">
        <v>40</v>
      </c>
      <c r="L111" s="50">
        <v>120</v>
      </c>
      <c r="M111" s="152">
        <f t="shared" si="96"/>
        <v>5</v>
      </c>
      <c r="N111" s="39">
        <f t="shared" si="18"/>
        <v>0</v>
      </c>
      <c r="O111" s="49">
        <f t="shared" si="1"/>
        <v>331.63</v>
      </c>
      <c r="P111" s="73">
        <f t="shared" si="97"/>
        <v>0</v>
      </c>
      <c r="Q111" s="40">
        <f t="shared" si="98"/>
        <v>10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>
        <v>46202</v>
      </c>
      <c r="B112" s="47">
        <v>108</v>
      </c>
      <c r="C112" s="164" t="s">
        <v>206</v>
      </c>
      <c r="D112" s="165"/>
      <c r="E112" s="165"/>
      <c r="F112" s="165"/>
      <c r="G112" s="165">
        <v>80</v>
      </c>
      <c r="H112" s="165">
        <v>40</v>
      </c>
      <c r="I112" s="166"/>
      <c r="J112" s="165">
        <v>80</v>
      </c>
      <c r="K112" s="165">
        <v>40</v>
      </c>
      <c r="L112" s="165">
        <v>80</v>
      </c>
      <c r="M112" s="152">
        <f t="shared" si="96"/>
        <v>8</v>
      </c>
      <c r="N112" s="39">
        <f t="shared" si="18"/>
        <v>0</v>
      </c>
      <c r="O112" s="49">
        <f t="shared" si="1"/>
        <v>331.63</v>
      </c>
      <c r="P112" s="73">
        <f t="shared" si="97"/>
        <v>6</v>
      </c>
      <c r="Q112" s="40">
        <f t="shared" si="98"/>
        <v>10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>
        <v>46203</v>
      </c>
      <c r="B113" s="47">
        <v>109</v>
      </c>
      <c r="C113" s="150" t="s">
        <v>207</v>
      </c>
      <c r="D113" s="146"/>
      <c r="E113" s="146"/>
      <c r="F113" s="146"/>
      <c r="G113" s="146">
        <v>40</v>
      </c>
      <c r="H113" s="146">
        <v>40</v>
      </c>
      <c r="I113" s="159"/>
      <c r="J113" s="146">
        <v>40</v>
      </c>
      <c r="K113" s="146">
        <v>40</v>
      </c>
      <c r="L113" s="146">
        <v>40</v>
      </c>
      <c r="M113" s="152">
        <f t="shared" si="96"/>
        <v>5</v>
      </c>
      <c r="N113" s="39">
        <f t="shared" si="18"/>
        <v>0</v>
      </c>
      <c r="O113" s="49">
        <f t="shared" si="1"/>
        <v>331.63</v>
      </c>
      <c r="P113" s="73">
        <f t="shared" si="97"/>
        <v>4</v>
      </c>
      <c r="Q113" s="40">
        <f t="shared" si="98"/>
        <v>6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>
        <v>46203</v>
      </c>
      <c r="B114" s="47">
        <v>110</v>
      </c>
      <c r="C114" s="150" t="s">
        <v>208</v>
      </c>
      <c r="D114" s="146"/>
      <c r="E114" s="146"/>
      <c r="F114" s="146"/>
      <c r="G114" s="146">
        <v>80</v>
      </c>
      <c r="H114" s="146">
        <v>80</v>
      </c>
      <c r="I114" s="159"/>
      <c r="J114" s="146">
        <v>80</v>
      </c>
      <c r="K114" s="146">
        <v>80</v>
      </c>
      <c r="L114" s="146">
        <v>80</v>
      </c>
      <c r="M114" s="152">
        <f t="shared" si="96"/>
        <v>10</v>
      </c>
      <c r="N114" s="39">
        <f t="shared" si="18"/>
        <v>0</v>
      </c>
      <c r="O114" s="49">
        <f t="shared" si="1"/>
        <v>331.63</v>
      </c>
      <c r="P114" s="73">
        <f t="shared" si="97"/>
        <v>8</v>
      </c>
      <c r="Q114" s="40">
        <f t="shared" si="98"/>
        <v>12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>
        <v>46203</v>
      </c>
      <c r="B115" s="47">
        <v>111</v>
      </c>
      <c r="C115" s="150" t="s">
        <v>209</v>
      </c>
      <c r="D115" s="146"/>
      <c r="E115" s="146"/>
      <c r="F115" s="146"/>
      <c r="G115" s="146">
        <v>40</v>
      </c>
      <c r="H115" s="146">
        <v>40</v>
      </c>
      <c r="I115" s="159"/>
      <c r="J115" s="146">
        <v>40</v>
      </c>
      <c r="K115" s="146">
        <v>40</v>
      </c>
      <c r="L115" s="146">
        <v>40</v>
      </c>
      <c r="M115" s="152">
        <f t="shared" si="96"/>
        <v>5</v>
      </c>
      <c r="N115" s="39">
        <f t="shared" si="18"/>
        <v>0</v>
      </c>
      <c r="O115" s="49">
        <f t="shared" si="1"/>
        <v>331.63</v>
      </c>
      <c r="P115" s="73">
        <f t="shared" si="97"/>
        <v>4</v>
      </c>
      <c r="Q115" s="40">
        <f t="shared" si="98"/>
        <v>6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>
        <v>46203</v>
      </c>
      <c r="B116" s="47">
        <v>112</v>
      </c>
      <c r="C116" s="150" t="s">
        <v>210</v>
      </c>
      <c r="D116" s="146"/>
      <c r="E116" s="146"/>
      <c r="F116" s="146"/>
      <c r="G116" s="146">
        <v>40</v>
      </c>
      <c r="H116" s="146">
        <v>40</v>
      </c>
      <c r="I116" s="159"/>
      <c r="J116" s="146">
        <v>40</v>
      </c>
      <c r="K116" s="146">
        <v>40</v>
      </c>
      <c r="L116" s="146">
        <v>40</v>
      </c>
      <c r="M116" s="152">
        <f t="shared" si="96"/>
        <v>5</v>
      </c>
      <c r="N116" s="39">
        <f t="shared" si="18"/>
        <v>0</v>
      </c>
      <c r="O116" s="49">
        <f t="shared" si="1"/>
        <v>331.63</v>
      </c>
      <c r="P116" s="73">
        <f t="shared" si="97"/>
        <v>4</v>
      </c>
      <c r="Q116" s="40">
        <f t="shared" si="98"/>
        <v>6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>
        <v>46203</v>
      </c>
      <c r="B117" s="47">
        <v>113</v>
      </c>
      <c r="C117" s="150" t="s">
        <v>211</v>
      </c>
      <c r="D117" s="146"/>
      <c r="E117" s="146"/>
      <c r="F117" s="146"/>
      <c r="G117" s="146">
        <v>40</v>
      </c>
      <c r="H117" s="146">
        <v>40</v>
      </c>
      <c r="I117" s="159"/>
      <c r="J117" s="146">
        <v>40</v>
      </c>
      <c r="K117" s="146">
        <v>40</v>
      </c>
      <c r="L117" s="146">
        <v>40</v>
      </c>
      <c r="M117" s="152">
        <f t="shared" si="96"/>
        <v>5</v>
      </c>
      <c r="N117" s="39">
        <f t="shared" si="18"/>
        <v>0</v>
      </c>
      <c r="O117" s="49">
        <f t="shared" si="1"/>
        <v>331.63</v>
      </c>
      <c r="P117" s="73">
        <f t="shared" si="97"/>
        <v>4</v>
      </c>
      <c r="Q117" s="40">
        <f t="shared" si="98"/>
        <v>6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>
        <v>46203</v>
      </c>
      <c r="B118" s="47">
        <v>114</v>
      </c>
      <c r="C118" s="150" t="s">
        <v>212</v>
      </c>
      <c r="D118" s="146"/>
      <c r="E118" s="146"/>
      <c r="F118" s="146"/>
      <c r="G118" s="146">
        <v>40</v>
      </c>
      <c r="H118" s="146">
        <v>40</v>
      </c>
      <c r="I118" s="159"/>
      <c r="J118" s="146">
        <v>40</v>
      </c>
      <c r="K118" s="146">
        <v>40</v>
      </c>
      <c r="L118" s="146">
        <v>40</v>
      </c>
      <c r="M118" s="152">
        <f t="shared" si="96"/>
        <v>5</v>
      </c>
      <c r="N118" s="39">
        <f t="shared" si="18"/>
        <v>0</v>
      </c>
      <c r="O118" s="49">
        <f t="shared" si="1"/>
        <v>331.63</v>
      </c>
      <c r="P118" s="73">
        <f t="shared" si="97"/>
        <v>4</v>
      </c>
      <c r="Q118" s="40">
        <f t="shared" si="98"/>
        <v>6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>
        <v>46203</v>
      </c>
      <c r="B119" s="47">
        <v>115</v>
      </c>
      <c r="C119" s="150" t="s">
        <v>213</v>
      </c>
      <c r="D119" s="146"/>
      <c r="E119" s="146"/>
      <c r="F119" s="146"/>
      <c r="G119" s="146">
        <v>40</v>
      </c>
      <c r="H119" s="146">
        <v>40</v>
      </c>
      <c r="I119" s="159"/>
      <c r="J119" s="146">
        <v>40</v>
      </c>
      <c r="K119" s="146">
        <v>40</v>
      </c>
      <c r="L119" s="146">
        <v>40</v>
      </c>
      <c r="M119" s="152">
        <f t="shared" si="96"/>
        <v>5</v>
      </c>
      <c r="N119" s="39">
        <f t="shared" si="18"/>
        <v>0</v>
      </c>
      <c r="O119" s="49">
        <f t="shared" si="1"/>
        <v>331.63</v>
      </c>
      <c r="P119" s="73">
        <f t="shared" si="97"/>
        <v>4</v>
      </c>
      <c r="Q119" s="40">
        <f t="shared" si="98"/>
        <v>6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>
        <v>46203</v>
      </c>
      <c r="B120" s="47">
        <v>116</v>
      </c>
      <c r="C120" s="150" t="s">
        <v>214</v>
      </c>
      <c r="D120" s="146"/>
      <c r="E120" s="146"/>
      <c r="F120" s="146"/>
      <c r="G120" s="146">
        <v>40</v>
      </c>
      <c r="H120" s="146">
        <v>40</v>
      </c>
      <c r="I120" s="159"/>
      <c r="J120" s="146">
        <v>40</v>
      </c>
      <c r="K120" s="146">
        <v>40</v>
      </c>
      <c r="L120" s="146">
        <v>40</v>
      </c>
      <c r="M120" s="152">
        <f t="shared" si="96"/>
        <v>5</v>
      </c>
      <c r="N120" s="39">
        <f t="shared" si="18"/>
        <v>0</v>
      </c>
      <c r="O120" s="49">
        <f t="shared" si="1"/>
        <v>331.63</v>
      </c>
      <c r="P120" s="73">
        <f t="shared" si="97"/>
        <v>4</v>
      </c>
      <c r="Q120" s="40">
        <f t="shared" si="98"/>
        <v>6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>
        <v>46203</v>
      </c>
      <c r="B121" s="47">
        <v>117</v>
      </c>
      <c r="C121" s="150" t="s">
        <v>215</v>
      </c>
      <c r="D121" s="146"/>
      <c r="E121" s="146"/>
      <c r="F121" s="146"/>
      <c r="G121" s="146">
        <v>80</v>
      </c>
      <c r="H121" s="146">
        <v>80</v>
      </c>
      <c r="I121" s="159"/>
      <c r="J121" s="146">
        <v>80</v>
      </c>
      <c r="K121" s="146">
        <v>80</v>
      </c>
      <c r="L121" s="146">
        <v>80</v>
      </c>
      <c r="M121" s="152">
        <f t="shared" si="96"/>
        <v>10</v>
      </c>
      <c r="N121" s="39">
        <f t="shared" si="18"/>
        <v>0</v>
      </c>
      <c r="O121" s="49">
        <f t="shared" si="1"/>
        <v>331.63</v>
      </c>
      <c r="P121" s="73">
        <f t="shared" si="97"/>
        <v>8</v>
      </c>
      <c r="Q121" s="40">
        <f t="shared" si="98"/>
        <v>12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>
        <v>46203</v>
      </c>
      <c r="B122" s="47">
        <v>118</v>
      </c>
      <c r="C122" s="150" t="s">
        <v>216</v>
      </c>
      <c r="D122" s="146"/>
      <c r="E122" s="146"/>
      <c r="F122" s="146"/>
      <c r="G122" s="146">
        <v>40</v>
      </c>
      <c r="H122" s="146">
        <v>40</v>
      </c>
      <c r="I122" s="159"/>
      <c r="J122" s="146">
        <v>40</v>
      </c>
      <c r="K122" s="146">
        <v>40</v>
      </c>
      <c r="L122" s="146">
        <v>40</v>
      </c>
      <c r="M122" s="152">
        <f t="shared" si="96"/>
        <v>5</v>
      </c>
      <c r="N122" s="39">
        <f t="shared" si="18"/>
        <v>0</v>
      </c>
      <c r="O122" s="49">
        <f t="shared" si="1"/>
        <v>331.63</v>
      </c>
      <c r="P122" s="73">
        <f t="shared" si="97"/>
        <v>4</v>
      </c>
      <c r="Q122" s="40">
        <f t="shared" si="98"/>
        <v>6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>
        <v>46203</v>
      </c>
      <c r="B123" s="47">
        <v>119</v>
      </c>
      <c r="C123" s="150" t="s">
        <v>217</v>
      </c>
      <c r="D123" s="146"/>
      <c r="E123" s="146"/>
      <c r="F123" s="146"/>
      <c r="G123" s="146">
        <v>40</v>
      </c>
      <c r="H123" s="146">
        <v>40</v>
      </c>
      <c r="I123" s="159"/>
      <c r="J123" s="146">
        <v>40</v>
      </c>
      <c r="K123" s="146">
        <v>40</v>
      </c>
      <c r="L123" s="146">
        <v>40</v>
      </c>
      <c r="M123" s="152">
        <f t="shared" si="96"/>
        <v>5</v>
      </c>
      <c r="N123" s="39">
        <f t="shared" si="18"/>
        <v>0</v>
      </c>
      <c r="O123" s="49">
        <f t="shared" si="1"/>
        <v>331.63</v>
      </c>
      <c r="P123" s="73">
        <f t="shared" si="97"/>
        <v>4</v>
      </c>
      <c r="Q123" s="40">
        <f t="shared" si="98"/>
        <v>6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8"/>
      <c r="C124" s="151"/>
      <c r="D124" s="50"/>
      <c r="E124" s="50"/>
      <c r="F124" s="50"/>
      <c r="G124" s="50"/>
      <c r="H124" s="50"/>
      <c r="I124" s="152"/>
      <c r="J124" s="50"/>
      <c r="K124" s="50"/>
      <c r="L124" s="50"/>
      <c r="M124" s="152">
        <f t="shared" si="96"/>
        <v>0</v>
      </c>
      <c r="N124" s="39">
        <f t="shared" si="18"/>
        <v>0</v>
      </c>
      <c r="O124" s="49">
        <f t="shared" si="1"/>
        <v>331.63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8"/>
      <c r="C125" s="151"/>
      <c r="D125" s="50"/>
      <c r="E125" s="50"/>
      <c r="F125" s="50"/>
      <c r="G125" s="50"/>
      <c r="H125" s="50"/>
      <c r="I125" s="152"/>
      <c r="J125" s="50"/>
      <c r="K125" s="50"/>
      <c r="L125" s="50"/>
      <c r="M125" s="152">
        <f t="shared" si="96"/>
        <v>0</v>
      </c>
      <c r="N125" s="39">
        <f t="shared" si="18"/>
        <v>0</v>
      </c>
      <c r="O125" s="49">
        <f t="shared" si="1"/>
        <v>331.63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8"/>
      <c r="C126" s="151"/>
      <c r="D126" s="50"/>
      <c r="E126" s="50"/>
      <c r="F126" s="50"/>
      <c r="G126" s="50"/>
      <c r="H126" s="50"/>
      <c r="I126" s="152"/>
      <c r="J126" s="50"/>
      <c r="K126" s="50"/>
      <c r="L126" s="50"/>
      <c r="M126" s="152">
        <f t="shared" si="96"/>
        <v>0</v>
      </c>
      <c r="N126" s="39">
        <f t="shared" si="18"/>
        <v>0</v>
      </c>
      <c r="O126" s="49">
        <f t="shared" si="1"/>
        <v>331.63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8"/>
      <c r="C127" s="151"/>
      <c r="D127" s="50"/>
      <c r="E127" s="50"/>
      <c r="F127" s="50"/>
      <c r="G127" s="50"/>
      <c r="H127" s="50"/>
      <c r="I127" s="152"/>
      <c r="J127" s="50"/>
      <c r="K127" s="50"/>
      <c r="L127" s="50"/>
      <c r="M127" s="152">
        <f t="shared" si="96"/>
        <v>0</v>
      </c>
      <c r="N127" s="39">
        <f t="shared" si="18"/>
        <v>0</v>
      </c>
      <c r="O127" s="49">
        <f t="shared" si="1"/>
        <v>331.63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8"/>
      <c r="C128" s="151"/>
      <c r="D128" s="50"/>
      <c r="E128" s="50"/>
      <c r="F128" s="50"/>
      <c r="G128" s="50"/>
      <c r="H128" s="50"/>
      <c r="I128" s="152"/>
      <c r="J128" s="50"/>
      <c r="K128" s="50"/>
      <c r="L128" s="50"/>
      <c r="M128" s="152">
        <f t="shared" si="96"/>
        <v>0</v>
      </c>
      <c r="N128" s="39">
        <f t="shared" si="18"/>
        <v>0</v>
      </c>
      <c r="O128" s="49">
        <f t="shared" si="1"/>
        <v>331.63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8"/>
      <c r="C129" s="151"/>
      <c r="D129" s="50"/>
      <c r="E129" s="50"/>
      <c r="F129" s="50"/>
      <c r="G129" s="50"/>
      <c r="H129" s="50"/>
      <c r="I129" s="152"/>
      <c r="J129" s="50"/>
      <c r="K129" s="50"/>
      <c r="L129" s="50"/>
      <c r="M129" s="152">
        <f t="shared" si="96"/>
        <v>0</v>
      </c>
      <c r="N129" s="39">
        <f t="shared" si="18"/>
        <v>0</v>
      </c>
      <c r="O129" s="49">
        <f t="shared" si="1"/>
        <v>331.63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8"/>
      <c r="C130" s="151"/>
      <c r="D130" s="50"/>
      <c r="E130" s="50"/>
      <c r="F130" s="50"/>
      <c r="G130" s="50"/>
      <c r="H130" s="50"/>
      <c r="I130" s="152"/>
      <c r="J130" s="50"/>
      <c r="K130" s="50"/>
      <c r="L130" s="50"/>
      <c r="M130" s="152">
        <f t="shared" si="96"/>
        <v>0</v>
      </c>
      <c r="N130" s="39">
        <f t="shared" si="18"/>
        <v>0</v>
      </c>
      <c r="O130" s="49">
        <f t="shared" si="1"/>
        <v>331.63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8"/>
      <c r="C131" s="151"/>
      <c r="D131" s="50"/>
      <c r="E131" s="50"/>
      <c r="F131" s="50"/>
      <c r="G131" s="50"/>
      <c r="H131" s="50"/>
      <c r="I131" s="152"/>
      <c r="J131" s="50"/>
      <c r="K131" s="50"/>
      <c r="L131" s="50"/>
      <c r="M131" s="152">
        <f t="shared" si="96"/>
        <v>0</v>
      </c>
      <c r="N131" s="39">
        <f t="shared" si="18"/>
        <v>0</v>
      </c>
      <c r="O131" s="49">
        <f t="shared" si="1"/>
        <v>331.63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92" t="s">
        <v>11</v>
      </c>
      <c r="C132" s="193"/>
      <c r="D132" s="88">
        <f t="shared" ref="D132:L132" si="104">SUM(D6:D60)</f>
        <v>1320</v>
      </c>
      <c r="E132" s="88">
        <f t="shared" si="104"/>
        <v>0</v>
      </c>
      <c r="F132" s="88">
        <f t="shared" si="104"/>
        <v>0</v>
      </c>
      <c r="G132" s="88">
        <f t="shared" si="104"/>
        <v>7140</v>
      </c>
      <c r="H132" s="88">
        <f t="shared" si="104"/>
        <v>7657</v>
      </c>
      <c r="I132" s="88">
        <f t="shared" si="104"/>
        <v>10657</v>
      </c>
      <c r="J132" s="88">
        <f t="shared" si="104"/>
        <v>11297</v>
      </c>
      <c r="K132" s="88">
        <f t="shared" si="104"/>
        <v>9684</v>
      </c>
      <c r="L132" s="88">
        <f t="shared" si="104"/>
        <v>13219</v>
      </c>
      <c r="M132" s="48">
        <f t="shared" ref="M132:M135" si="105">SUM(D132:L132)/40</f>
        <v>1524.35</v>
      </c>
      <c r="N132" s="39">
        <f t="shared" si="18"/>
        <v>0</v>
      </c>
      <c r="O132" s="49">
        <f t="shared" si="1"/>
        <v>331.63</v>
      </c>
      <c r="P132" s="73">
        <f t="shared" ref="P132:P136" si="106">SUM(G132:I132)/20</f>
        <v>1272.7</v>
      </c>
      <c r="Q132" s="40">
        <f t="shared" ref="Q132:Q136" si="107">SUM(J132:L132)/20</f>
        <v>1710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8">
        <v>0</v>
      </c>
      <c r="C133" s="57" t="s">
        <v>91</v>
      </c>
      <c r="D133" s="119">
        <v>1600</v>
      </c>
      <c r="E133" s="120"/>
      <c r="F133" s="121"/>
      <c r="G133" s="120"/>
      <c r="H133" s="120"/>
      <c r="I133" s="121"/>
      <c r="J133" s="120">
        <v>520</v>
      </c>
      <c r="K133" s="120">
        <v>920</v>
      </c>
      <c r="L133" s="121">
        <v>960</v>
      </c>
      <c r="M133" s="122">
        <f>SUM(D133:L133)</f>
        <v>4000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34</v>
      </c>
      <c r="D134" s="74"/>
      <c r="E134" s="75"/>
      <c r="F134" s="76"/>
      <c r="G134" s="50">
        <f>280+1600</f>
        <v>1880</v>
      </c>
      <c r="H134" s="75">
        <f>0+600</f>
        <v>600</v>
      </c>
      <c r="I134" s="49">
        <f>320+1800</f>
        <v>2120</v>
      </c>
      <c r="J134" s="50">
        <f>600+2800</f>
        <v>3400</v>
      </c>
      <c r="K134" s="75">
        <f>600+2400</f>
        <v>3000</v>
      </c>
      <c r="L134" s="76">
        <f>2200+2800</f>
        <v>5000</v>
      </c>
      <c r="M134" s="48">
        <f t="shared" si="105"/>
        <v>400</v>
      </c>
      <c r="N134" s="39">
        <f t="shared" si="18"/>
        <v>0</v>
      </c>
      <c r="O134" s="49">
        <f t="shared" si="1"/>
        <v>331.63</v>
      </c>
      <c r="P134" s="73">
        <f t="shared" si="106"/>
        <v>230</v>
      </c>
      <c r="Q134" s="40">
        <f t="shared" si="107"/>
        <v>570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27</v>
      </c>
      <c r="D135" s="74">
        <v>1400</v>
      </c>
      <c r="E135" s="75"/>
      <c r="F135" s="76"/>
      <c r="G135" s="50">
        <v>400</v>
      </c>
      <c r="H135" s="75">
        <v>400</v>
      </c>
      <c r="I135" s="49">
        <v>0</v>
      </c>
      <c r="J135" s="50">
        <v>400</v>
      </c>
      <c r="K135" s="75">
        <v>400</v>
      </c>
      <c r="L135" s="76">
        <v>600</v>
      </c>
      <c r="M135" s="48">
        <f t="shared" si="105"/>
        <v>90</v>
      </c>
      <c r="N135" s="39">
        <f t="shared" si="18"/>
        <v>0</v>
      </c>
      <c r="O135" s="49">
        <f t="shared" si="1"/>
        <v>331.63</v>
      </c>
      <c r="P135" s="73">
        <f t="shared" si="106"/>
        <v>40</v>
      </c>
      <c r="Q135" s="40">
        <f t="shared" si="107"/>
        <v>70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80" t="s">
        <v>93</v>
      </c>
      <c r="C136" s="181"/>
      <c r="D136" s="87">
        <f>SUM(D134:D135)</f>
        <v>1400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2280</v>
      </c>
      <c r="H136" s="87">
        <f t="shared" si="111"/>
        <v>1000</v>
      </c>
      <c r="I136" s="87">
        <f t="shared" si="111"/>
        <v>2120</v>
      </c>
      <c r="J136" s="87">
        <f t="shared" si="111"/>
        <v>3800</v>
      </c>
      <c r="K136" s="87">
        <f t="shared" si="111"/>
        <v>3400</v>
      </c>
      <c r="L136" s="87">
        <f t="shared" si="111"/>
        <v>5600</v>
      </c>
      <c r="M136" s="123">
        <f>SUM(M133:M135)</f>
        <v>4490</v>
      </c>
      <c r="N136" s="59">
        <f t="shared" si="18"/>
        <v>0</v>
      </c>
      <c r="O136" s="58">
        <f t="shared" si="1"/>
        <v>331.63</v>
      </c>
      <c r="P136" s="73">
        <f t="shared" si="106"/>
        <v>270</v>
      </c>
      <c r="Q136" s="40">
        <f t="shared" si="107"/>
        <v>640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9" t="s">
        <v>11</v>
      </c>
      <c r="C137" s="170"/>
      <c r="D137" s="89">
        <f>SUM(D132,D136)</f>
        <v>2720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9420</v>
      </c>
      <c r="H137" s="89">
        <f t="shared" si="112"/>
        <v>8657</v>
      </c>
      <c r="I137" s="89">
        <f t="shared" si="112"/>
        <v>12777</v>
      </c>
      <c r="J137" s="89">
        <f t="shared" si="112"/>
        <v>15097</v>
      </c>
      <c r="K137" s="89">
        <f t="shared" si="112"/>
        <v>13084</v>
      </c>
      <c r="L137" s="89">
        <f t="shared" si="112"/>
        <v>18819</v>
      </c>
      <c r="M137" s="60">
        <f t="shared" si="0"/>
        <v>2014.35</v>
      </c>
      <c r="N137" s="63">
        <f>SUM(N5:N136)</f>
        <v>0</v>
      </c>
      <c r="O137" s="61">
        <f t="shared" ref="O137:Y137" si="113">SUM(O5:O136)</f>
        <v>43443.529999999948</v>
      </c>
      <c r="P137" s="62">
        <f t="shared" si="113"/>
        <v>3755.1000000000004</v>
      </c>
      <c r="Q137" s="64">
        <f t="shared" si="113"/>
        <v>6015.25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opLeftCell="B1" zoomScale="85" zoomScaleNormal="85" workbookViewId="0">
      <selection activeCell="I8" sqref="I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94" t="s">
        <v>57</v>
      </c>
      <c r="D3" s="195"/>
      <c r="E3" s="195"/>
      <c r="F3" s="195"/>
      <c r="G3" s="196"/>
      <c r="H3" s="198" t="s">
        <v>77</v>
      </c>
      <c r="I3" s="199"/>
      <c r="K3" s="200" t="s">
        <v>81</v>
      </c>
      <c r="L3" s="200"/>
      <c r="M3" s="200"/>
      <c r="N3" s="200"/>
      <c r="O3" s="200"/>
    </row>
    <row r="4" spans="3:15" ht="29.5" customHeight="1" x14ac:dyDescent="0.55000000000000004">
      <c r="C4" s="109"/>
      <c r="D4" s="80" t="s">
        <v>53</v>
      </c>
      <c r="E4" s="80" t="s">
        <v>54</v>
      </c>
      <c r="F4" s="80" t="s">
        <v>71</v>
      </c>
      <c r="G4" s="110" t="s">
        <v>56</v>
      </c>
      <c r="H4" s="103" t="s">
        <v>77</v>
      </c>
      <c r="I4" s="104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1" t="s">
        <v>58</v>
      </c>
      <c r="D5" s="92">
        <v>757</v>
      </c>
      <c r="E5" s="79">
        <v>1979</v>
      </c>
      <c r="F5" s="79">
        <v>590</v>
      </c>
      <c r="G5" s="112">
        <f>SUM(D5:F5)</f>
        <v>3326</v>
      </c>
      <c r="H5" s="105">
        <v>10000</v>
      </c>
      <c r="I5" s="106">
        <f>G5-H5</f>
        <v>-6674</v>
      </c>
      <c r="K5" s="1" t="s">
        <v>1</v>
      </c>
      <c r="L5" s="7">
        <v>70</v>
      </c>
      <c r="M5" s="5">
        <v>13608</v>
      </c>
      <c r="N5" s="6">
        <f t="shared" ref="N5:N11" si="0">M5/40</f>
        <v>340.2</v>
      </c>
      <c r="O5" s="81">
        <v>100</v>
      </c>
    </row>
    <row r="6" spans="3:15" ht="32" customHeight="1" thickBot="1" x14ac:dyDescent="0.6">
      <c r="C6" s="113" t="s">
        <v>59</v>
      </c>
      <c r="D6" s="114">
        <f>D5*40</f>
        <v>30280</v>
      </c>
      <c r="E6" s="115">
        <f>E5*40</f>
        <v>79160</v>
      </c>
      <c r="F6" s="115">
        <f>F5*40</f>
        <v>23600</v>
      </c>
      <c r="G6" s="116">
        <f>SUM(D6:F6)</f>
        <v>133040</v>
      </c>
      <c r="H6" s="107">
        <f>H5*40</f>
        <v>400000</v>
      </c>
      <c r="I6" s="108">
        <f>G6-H6</f>
        <v>-266960</v>
      </c>
      <c r="K6" s="1" t="s">
        <v>2</v>
      </c>
      <c r="L6" s="7">
        <v>70</v>
      </c>
      <c r="M6" s="5">
        <v>14695</v>
      </c>
      <c r="N6" s="6">
        <f t="shared" si="0"/>
        <v>367.375</v>
      </c>
      <c r="O6" s="81">
        <v>56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1335</v>
      </c>
      <c r="N7" s="6">
        <f t="shared" si="0"/>
        <v>33.375</v>
      </c>
      <c r="O7" s="81">
        <v>21</v>
      </c>
    </row>
    <row r="8" spans="3:15" ht="23.5" x14ac:dyDescent="0.55000000000000004">
      <c r="C8" s="82" t="s">
        <v>61</v>
      </c>
      <c r="K8" s="1" t="s">
        <v>4</v>
      </c>
      <c r="L8" s="7">
        <v>120</v>
      </c>
      <c r="M8" s="5">
        <v>12655</v>
      </c>
      <c r="N8" s="6">
        <f t="shared" si="0"/>
        <v>316.375</v>
      </c>
      <c r="O8" s="81">
        <v>12</v>
      </c>
    </row>
    <row r="9" spans="3:15" ht="23.5" x14ac:dyDescent="0.55000000000000004">
      <c r="C9" s="82" t="s">
        <v>62</v>
      </c>
      <c r="D9" s="117">
        <f>D8-D5</f>
        <v>-757</v>
      </c>
      <c r="E9" s="117">
        <f>E8-E5</f>
        <v>-1979</v>
      </c>
      <c r="K9" s="1" t="s">
        <v>5</v>
      </c>
      <c r="L9" s="7">
        <v>120</v>
      </c>
      <c r="M9" s="5">
        <v>7217</v>
      </c>
      <c r="N9" s="6">
        <f t="shared" si="0"/>
        <v>180.42500000000001</v>
      </c>
      <c r="O9" s="81">
        <v>33</v>
      </c>
    </row>
    <row r="10" spans="3:15" ht="23.5" x14ac:dyDescent="0.55000000000000004">
      <c r="K10" s="1" t="s">
        <v>6</v>
      </c>
      <c r="L10" s="7">
        <v>120</v>
      </c>
      <c r="M10" s="5">
        <v>9472</v>
      </c>
      <c r="N10" s="6">
        <f t="shared" si="0"/>
        <v>236.8</v>
      </c>
      <c r="O10" s="81">
        <v>8</v>
      </c>
    </row>
    <row r="11" spans="3:15" ht="23.5" x14ac:dyDescent="0.55000000000000004">
      <c r="C11" s="197" t="s">
        <v>73</v>
      </c>
      <c r="D11" s="197"/>
      <c r="F11" s="197" t="s">
        <v>83</v>
      </c>
      <c r="G11" s="197"/>
      <c r="H11" t="s">
        <v>157</v>
      </c>
      <c r="I11">
        <f>D5/20</f>
        <v>37.85</v>
      </c>
      <c r="K11" s="1" t="s">
        <v>7</v>
      </c>
      <c r="L11" s="7">
        <v>60</v>
      </c>
      <c r="M11" s="5">
        <v>57979</v>
      </c>
      <c r="N11" s="6">
        <f t="shared" si="0"/>
        <v>1449.4749999999999</v>
      </c>
      <c r="O11" s="81">
        <v>20</v>
      </c>
    </row>
    <row r="12" spans="3:15" ht="23.5" x14ac:dyDescent="0.55000000000000004">
      <c r="C12" s="99" t="s">
        <v>58</v>
      </c>
      <c r="D12" s="91">
        <v>500.9</v>
      </c>
      <c r="F12" s="99" t="s">
        <v>58</v>
      </c>
      <c r="G12" s="101">
        <f>D12+G5</f>
        <v>3826.9</v>
      </c>
      <c r="K12" s="1" t="s">
        <v>11</v>
      </c>
      <c r="L12" s="2"/>
      <c r="M12" s="8">
        <f>SUM(M5:M11)</f>
        <v>116961</v>
      </c>
      <c r="N12" s="9">
        <f>SUM(N5:N11)</f>
        <v>2924.0249999999996</v>
      </c>
      <c r="O12" s="9">
        <f>SUM(O5:O11)</f>
        <v>250</v>
      </c>
    </row>
    <row r="13" spans="3:15" ht="18.5" x14ac:dyDescent="0.35">
      <c r="C13" s="100" t="s">
        <v>59</v>
      </c>
      <c r="D13" s="101">
        <f>D12*40</f>
        <v>20036</v>
      </c>
      <c r="F13" s="100" t="s">
        <v>59</v>
      </c>
      <c r="G13" s="101">
        <f>G12*40</f>
        <v>153076</v>
      </c>
    </row>
    <row r="16" spans="3:15" ht="24" thickBot="1" x14ac:dyDescent="0.6">
      <c r="K16" s="142" t="s">
        <v>111</v>
      </c>
      <c r="L16" s="142" t="s">
        <v>8</v>
      </c>
      <c r="M16" s="142" t="s">
        <v>75</v>
      </c>
      <c r="N16" s="142" t="s">
        <v>110</v>
      </c>
      <c r="O16" s="142" t="s">
        <v>113</v>
      </c>
    </row>
    <row r="17" spans="11:15" ht="23.5" x14ac:dyDescent="0.55000000000000004">
      <c r="K17" s="138" t="s">
        <v>1</v>
      </c>
      <c r="L17" s="140">
        <v>70</v>
      </c>
      <c r="M17" s="139">
        <v>11562</v>
      </c>
      <c r="N17" s="147">
        <v>13270</v>
      </c>
      <c r="O17" s="148">
        <f>N17-M5</f>
        <v>-338</v>
      </c>
    </row>
    <row r="18" spans="11:15" ht="23.5" x14ac:dyDescent="0.55000000000000004">
      <c r="K18" s="1" t="s">
        <v>2</v>
      </c>
      <c r="L18" s="141">
        <v>70</v>
      </c>
      <c r="M18" s="5">
        <v>10770</v>
      </c>
      <c r="N18" s="5">
        <v>14352</v>
      </c>
      <c r="O18" s="148">
        <f>N18-M6</f>
        <v>-343</v>
      </c>
    </row>
    <row r="19" spans="11:15" ht="23.5" x14ac:dyDescent="0.55000000000000004">
      <c r="K19" s="1" t="s">
        <v>3</v>
      </c>
      <c r="L19" s="141">
        <v>70</v>
      </c>
      <c r="M19" s="5">
        <v>14619</v>
      </c>
      <c r="N19" s="5">
        <v>1010</v>
      </c>
      <c r="O19" s="148">
        <f t="shared" ref="O19:O23" si="1">N19-M7</f>
        <v>-325</v>
      </c>
    </row>
    <row r="20" spans="11:15" ht="23.5" x14ac:dyDescent="0.55000000000000004">
      <c r="K20" s="1" t="s">
        <v>4</v>
      </c>
      <c r="L20" s="141">
        <v>120</v>
      </c>
      <c r="M20" s="5">
        <v>19143</v>
      </c>
      <c r="N20" s="5">
        <v>12294</v>
      </c>
      <c r="O20" s="148">
        <f t="shared" si="1"/>
        <v>-361</v>
      </c>
    </row>
    <row r="21" spans="11:15" ht="23.5" x14ac:dyDescent="0.55000000000000004">
      <c r="K21" s="1" t="s">
        <v>5</v>
      </c>
      <c r="L21" s="141">
        <v>120</v>
      </c>
      <c r="M21" s="5">
        <v>17100</v>
      </c>
      <c r="N21" s="5">
        <v>6522</v>
      </c>
      <c r="O21" s="148">
        <f t="shared" si="1"/>
        <v>-695</v>
      </c>
    </row>
    <row r="22" spans="11:15" ht="23.5" x14ac:dyDescent="0.55000000000000004">
      <c r="K22" s="1" t="s">
        <v>6</v>
      </c>
      <c r="L22" s="141">
        <v>120</v>
      </c>
      <c r="M22" s="5">
        <v>23404</v>
      </c>
      <c r="N22" s="5">
        <v>9539</v>
      </c>
      <c r="O22" s="148">
        <f t="shared" si="1"/>
        <v>67</v>
      </c>
    </row>
    <row r="23" spans="11:15" ht="23.5" x14ac:dyDescent="0.55000000000000004">
      <c r="K23" s="1" t="s">
        <v>7</v>
      </c>
      <c r="L23" s="141">
        <v>60</v>
      </c>
      <c r="M23" s="5">
        <v>7379</v>
      </c>
      <c r="N23" s="5">
        <v>57991</v>
      </c>
      <c r="O23" s="148">
        <f t="shared" si="1"/>
        <v>12</v>
      </c>
    </row>
    <row r="24" spans="11:15" ht="24" thickBot="1" x14ac:dyDescent="0.6">
      <c r="K24" s="143" t="s">
        <v>108</v>
      </c>
      <c r="L24" s="144"/>
      <c r="M24" s="145">
        <f>SUM(M17:M23)</f>
        <v>103977</v>
      </c>
      <c r="N24" s="145">
        <f>SUM(N17:N23)</f>
        <v>114978</v>
      </c>
      <c r="O24" s="142">
        <f>SUM(O17:O23)</f>
        <v>-1983</v>
      </c>
    </row>
    <row r="25" spans="11:15" ht="24" thickBot="1" x14ac:dyDescent="0.6">
      <c r="K25" s="143" t="s">
        <v>109</v>
      </c>
      <c r="L25" s="144"/>
      <c r="M25" s="145">
        <f>M24/40</f>
        <v>2599.4250000000002</v>
      </c>
      <c r="N25" s="145">
        <f>N24/40</f>
        <v>2874.45</v>
      </c>
      <c r="O25" s="142">
        <f>O24/40</f>
        <v>-49.575000000000003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opLeftCell="B1" zoomScale="115" zoomScaleNormal="115" workbookViewId="0">
      <selection activeCell="G21" sqref="G21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38</v>
      </c>
      <c r="B1" s="81" t="s">
        <v>60</v>
      </c>
      <c r="C1" s="81" t="s">
        <v>55</v>
      </c>
      <c r="D1" s="81" t="s">
        <v>9</v>
      </c>
      <c r="I1" s="149" t="s">
        <v>131</v>
      </c>
      <c r="J1" s="149" t="s">
        <v>132</v>
      </c>
      <c r="K1" s="149" t="s">
        <v>130</v>
      </c>
    </row>
    <row r="2" spans="1:12" x14ac:dyDescent="0.35">
      <c r="A2" s="2" t="s">
        <v>129</v>
      </c>
      <c r="B2" s="2"/>
      <c r="C2" s="2"/>
      <c r="D2" s="2"/>
      <c r="I2" s="81" t="s">
        <v>136</v>
      </c>
      <c r="J2" s="81">
        <v>20</v>
      </c>
      <c r="K2" s="161" t="s">
        <v>182</v>
      </c>
      <c r="L2" t="s">
        <v>158</v>
      </c>
    </row>
    <row r="3" spans="1:12" x14ac:dyDescent="0.35">
      <c r="A3" s="2"/>
      <c r="B3" s="2"/>
      <c r="C3" s="2"/>
      <c r="D3" s="2"/>
      <c r="I3" s="81" t="s">
        <v>137</v>
      </c>
      <c r="J3" s="81">
        <v>22</v>
      </c>
      <c r="K3" s="161" t="s">
        <v>182</v>
      </c>
      <c r="L3" t="s">
        <v>158</v>
      </c>
    </row>
    <row r="4" spans="1:12" x14ac:dyDescent="0.35">
      <c r="A4" s="2"/>
      <c r="B4" s="2"/>
      <c r="C4" s="2"/>
      <c r="D4" s="2"/>
      <c r="I4" s="81" t="s">
        <v>133</v>
      </c>
      <c r="J4" s="81">
        <v>114</v>
      </c>
      <c r="K4" s="161" t="s">
        <v>182</v>
      </c>
      <c r="L4" t="s">
        <v>158</v>
      </c>
    </row>
    <row r="5" spans="1:12" x14ac:dyDescent="0.35">
      <c r="A5" s="2"/>
      <c r="B5" s="2"/>
      <c r="C5" s="2"/>
      <c r="D5" s="2"/>
      <c r="I5" s="81" t="s">
        <v>134</v>
      </c>
      <c r="J5" s="81">
        <v>60</v>
      </c>
      <c r="K5" s="161" t="s">
        <v>182</v>
      </c>
      <c r="L5" t="s">
        <v>158</v>
      </c>
    </row>
    <row r="6" spans="1:12" x14ac:dyDescent="0.35">
      <c r="A6" s="2"/>
      <c r="B6" s="2"/>
      <c r="C6" s="2"/>
      <c r="D6" s="2"/>
      <c r="I6" s="81" t="s">
        <v>135</v>
      </c>
      <c r="J6" s="81">
        <v>15</v>
      </c>
      <c r="K6" s="161" t="s">
        <v>182</v>
      </c>
      <c r="L6" t="s">
        <v>158</v>
      </c>
    </row>
    <row r="7" spans="1:12" x14ac:dyDescent="0.35">
      <c r="A7" s="2"/>
      <c r="B7" s="2"/>
      <c r="C7" s="2"/>
      <c r="D7" s="2"/>
      <c r="I7" s="81" t="s">
        <v>133</v>
      </c>
      <c r="J7" s="81">
        <v>60</v>
      </c>
      <c r="K7" s="161" t="s">
        <v>182</v>
      </c>
      <c r="L7" t="s">
        <v>158</v>
      </c>
    </row>
    <row r="8" spans="1:12" x14ac:dyDescent="0.35">
      <c r="A8" s="2"/>
      <c r="B8" s="2"/>
      <c r="C8" s="2"/>
      <c r="D8" s="2"/>
      <c r="F8" s="81"/>
      <c r="G8" s="81"/>
      <c r="H8" s="81"/>
      <c r="I8" s="81" t="s">
        <v>168</v>
      </c>
      <c r="J8" s="81">
        <v>18</v>
      </c>
      <c r="K8" s="161" t="s">
        <v>182</v>
      </c>
      <c r="L8" s="160"/>
    </row>
    <row r="9" spans="1:12" x14ac:dyDescent="0.35">
      <c r="A9" s="2"/>
      <c r="B9" s="2"/>
      <c r="C9" s="2"/>
      <c r="D9" s="2"/>
      <c r="I9" s="163" t="s">
        <v>162</v>
      </c>
      <c r="J9" s="81">
        <v>13</v>
      </c>
      <c r="K9" s="161" t="s">
        <v>182</v>
      </c>
      <c r="L9" s="160" t="s">
        <v>158</v>
      </c>
    </row>
    <row r="10" spans="1:12" x14ac:dyDescent="0.35">
      <c r="A10" s="2"/>
      <c r="B10" s="2"/>
      <c r="C10" s="2"/>
      <c r="D10" s="2"/>
      <c r="I10" s="163" t="s">
        <v>133</v>
      </c>
      <c r="J10" s="81">
        <v>22</v>
      </c>
      <c r="K10" s="161" t="s">
        <v>182</v>
      </c>
      <c r="L10" s="160" t="s">
        <v>158</v>
      </c>
    </row>
    <row r="11" spans="1:12" x14ac:dyDescent="0.35">
      <c r="A11" s="2"/>
      <c r="B11" s="2"/>
      <c r="C11" s="2"/>
      <c r="D11" s="2"/>
      <c r="I11" s="163" t="s">
        <v>165</v>
      </c>
      <c r="J11" s="81">
        <v>3</v>
      </c>
      <c r="K11" s="161" t="s">
        <v>182</v>
      </c>
      <c r="L11" s="160" t="s">
        <v>158</v>
      </c>
    </row>
    <row r="12" spans="1:12" x14ac:dyDescent="0.35">
      <c r="A12" s="2"/>
      <c r="B12" s="2"/>
      <c r="C12" s="2"/>
      <c r="D12" s="2"/>
      <c r="I12" s="163" t="s">
        <v>166</v>
      </c>
      <c r="J12" s="81">
        <v>11</v>
      </c>
      <c r="K12" s="161" t="s">
        <v>182</v>
      </c>
      <c r="L12" s="160" t="s">
        <v>158</v>
      </c>
    </row>
    <row r="13" spans="1:12" x14ac:dyDescent="0.35">
      <c r="A13" s="2"/>
      <c r="B13" s="2"/>
      <c r="C13" s="2"/>
      <c r="D13" s="2"/>
      <c r="I13" s="163" t="s">
        <v>181</v>
      </c>
      <c r="J13" s="81">
        <v>12</v>
      </c>
      <c r="K13" s="161" t="s">
        <v>182</v>
      </c>
      <c r="L13" s="160" t="s">
        <v>158</v>
      </c>
    </row>
    <row r="14" spans="1:12" x14ac:dyDescent="0.35">
      <c r="A14" s="2"/>
      <c r="B14" s="2"/>
      <c r="C14" s="2"/>
      <c r="D14" s="2"/>
      <c r="H14" t="s">
        <v>190</v>
      </c>
      <c r="I14" s="161" t="s">
        <v>133</v>
      </c>
      <c r="J14" s="81">
        <v>70</v>
      </c>
      <c r="K14" s="161" t="s">
        <v>182</v>
      </c>
      <c r="L14" s="160" t="s">
        <v>158</v>
      </c>
    </row>
    <row r="15" spans="1:12" x14ac:dyDescent="0.35">
      <c r="A15" s="2"/>
      <c r="B15" s="2"/>
      <c r="C15" s="2"/>
      <c r="D15" s="2"/>
      <c r="H15" t="s">
        <v>190</v>
      </c>
      <c r="I15" s="81" t="s">
        <v>167</v>
      </c>
      <c r="J15" s="81">
        <v>18</v>
      </c>
      <c r="K15" s="162" t="s">
        <v>138</v>
      </c>
    </row>
    <row r="16" spans="1:12" x14ac:dyDescent="0.35">
      <c r="A16" s="2"/>
      <c r="B16" s="2"/>
      <c r="C16" s="2"/>
      <c r="D16" s="2"/>
      <c r="H16" t="s">
        <v>190</v>
      </c>
      <c r="I16" s="161" t="s">
        <v>25</v>
      </c>
      <c r="J16" s="81">
        <v>38</v>
      </c>
      <c r="K16" s="161" t="s">
        <v>182</v>
      </c>
      <c r="L16" s="168" t="s">
        <v>158</v>
      </c>
    </row>
    <row r="17" spans="1:12" x14ac:dyDescent="0.35">
      <c r="A17" s="2"/>
      <c r="B17" s="2"/>
      <c r="C17" s="2"/>
      <c r="D17" s="2"/>
      <c r="I17" s="81" t="s">
        <v>179</v>
      </c>
      <c r="J17" s="81">
        <v>45</v>
      </c>
      <c r="K17" s="162" t="s">
        <v>138</v>
      </c>
    </row>
    <row r="18" spans="1:12" x14ac:dyDescent="0.35">
      <c r="A18" s="2"/>
      <c r="B18" s="2"/>
      <c r="C18" s="2"/>
      <c r="D18" s="2"/>
      <c r="I18" s="81" t="s">
        <v>180</v>
      </c>
      <c r="J18" s="81">
        <v>3</v>
      </c>
      <c r="K18" s="162" t="s">
        <v>138</v>
      </c>
    </row>
    <row r="19" spans="1:12" ht="15" thickBot="1" x14ac:dyDescent="0.4">
      <c r="A19" s="83"/>
      <c r="B19" s="83"/>
      <c r="C19" s="83"/>
      <c r="D19" s="83"/>
      <c r="I19" s="81"/>
      <c r="J19" s="81"/>
      <c r="K19" s="162"/>
    </row>
    <row r="20" spans="1:12" ht="15" thickBot="1" x14ac:dyDescent="0.4">
      <c r="A20" s="84"/>
      <c r="B20" s="85"/>
      <c r="C20" s="85"/>
      <c r="D20" s="86"/>
      <c r="I20" s="81" t="s">
        <v>187</v>
      </c>
      <c r="J20" s="81">
        <v>10</v>
      </c>
      <c r="K20" s="162" t="s">
        <v>138</v>
      </c>
    </row>
    <row r="21" spans="1:12" x14ac:dyDescent="0.35">
      <c r="I21" s="160" t="s">
        <v>188</v>
      </c>
      <c r="J21" s="160">
        <v>5</v>
      </c>
      <c r="K21" s="162" t="s">
        <v>138</v>
      </c>
    </row>
    <row r="22" spans="1:12" x14ac:dyDescent="0.35">
      <c r="H22" t="s">
        <v>190</v>
      </c>
      <c r="I22" s="167" t="s">
        <v>165</v>
      </c>
      <c r="J22" s="160">
        <v>5</v>
      </c>
      <c r="K22" s="161" t="s">
        <v>182</v>
      </c>
      <c r="L22" t="s">
        <v>158</v>
      </c>
    </row>
    <row r="23" spans="1:12" x14ac:dyDescent="0.35">
      <c r="H23" t="s">
        <v>190</v>
      </c>
      <c r="I23" s="167" t="s">
        <v>189</v>
      </c>
      <c r="J23" s="160">
        <v>8</v>
      </c>
      <c r="K23" s="161" t="s">
        <v>182</v>
      </c>
      <c r="L23" t="s">
        <v>158</v>
      </c>
    </row>
    <row r="24" spans="1:12" x14ac:dyDescent="0.35">
      <c r="I24" s="160" t="s">
        <v>79</v>
      </c>
      <c r="J24" s="160">
        <v>65</v>
      </c>
      <c r="K24" s="162" t="s">
        <v>204</v>
      </c>
    </row>
    <row r="25" spans="1:12" x14ac:dyDescent="0.35">
      <c r="I25" s="160" t="s">
        <v>191</v>
      </c>
      <c r="J25" s="160">
        <v>14</v>
      </c>
      <c r="K25" s="162" t="s">
        <v>204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2026-06-30T13:23:08Z</dcterms:modified>
</cp:coreProperties>
</file>