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78D24A10-36F9-49A6-BF1E-336A170313A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M78" i="2" l="1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I11" i="3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95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96" i="2" l="1"/>
  <c r="K96" i="2"/>
  <c r="J96" i="2"/>
  <c r="I96" i="2"/>
  <c r="H96" i="2"/>
  <c r="G96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94" i="2" l="1"/>
  <c r="F94" i="2"/>
  <c r="G94" i="2"/>
  <c r="H94" i="2"/>
  <c r="I94" i="2"/>
  <c r="J94" i="2"/>
  <c r="K94" i="2"/>
  <c r="L94" i="2"/>
  <c r="D94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98" i="2"/>
  <c r="E99" i="2" s="1"/>
  <c r="F98" i="2"/>
  <c r="F99" i="2" s="1"/>
  <c r="G98" i="2"/>
  <c r="H98" i="2"/>
  <c r="I98" i="2"/>
  <c r="J98" i="2"/>
  <c r="K98" i="2"/>
  <c r="L98" i="2"/>
  <c r="D98" i="2"/>
  <c r="M96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99" i="2"/>
  <c r="H99" i="2"/>
  <c r="I99" i="2"/>
  <c r="D99" i="2"/>
  <c r="J99" i="2"/>
  <c r="L99" i="2"/>
  <c r="K99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94" i="2"/>
  <c r="Q94" i="2"/>
  <c r="R94" i="2"/>
  <c r="U94" i="2" s="1"/>
  <c r="S94" i="2"/>
  <c r="T94" i="2"/>
  <c r="V94" i="2"/>
  <c r="Y94" i="2" s="1"/>
  <c r="W94" i="2"/>
  <c r="X94" i="2"/>
  <c r="P96" i="2"/>
  <c r="Q96" i="2"/>
  <c r="R96" i="2"/>
  <c r="U96" i="2" s="1"/>
  <c r="S96" i="2"/>
  <c r="T96" i="2"/>
  <c r="V96" i="2"/>
  <c r="Y96" i="2" s="1"/>
  <c r="W96" i="2"/>
  <c r="X96" i="2"/>
  <c r="P97" i="2"/>
  <c r="Q97" i="2"/>
  <c r="R97" i="2"/>
  <c r="U97" i="2" s="1"/>
  <c r="S97" i="2"/>
  <c r="T97" i="2"/>
  <c r="V97" i="2"/>
  <c r="Y97" i="2" s="1"/>
  <c r="W97" i="2"/>
  <c r="X97" i="2"/>
  <c r="P98" i="2"/>
  <c r="Q98" i="2"/>
  <c r="R98" i="2"/>
  <c r="U98" i="2" s="1"/>
  <c r="S98" i="2"/>
  <c r="T98" i="2"/>
  <c r="V98" i="2"/>
  <c r="Y98" i="2" s="1"/>
  <c r="W98" i="2"/>
  <c r="X98" i="2"/>
  <c r="M13" i="2"/>
  <c r="N13" i="2"/>
  <c r="O13" i="2"/>
  <c r="M14" i="2"/>
  <c r="N14" i="2"/>
  <c r="O14" i="2"/>
  <c r="M15" i="2"/>
  <c r="N15" i="2"/>
  <c r="O15" i="2"/>
  <c r="M94" i="2"/>
  <c r="N94" i="2"/>
  <c r="O94" i="2"/>
  <c r="N96" i="2"/>
  <c r="O96" i="2"/>
  <c r="M97" i="2"/>
  <c r="M98" i="2" s="1"/>
  <c r="N97" i="2"/>
  <c r="O97" i="2"/>
  <c r="O98" i="2" l="1"/>
  <c r="N98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99" i="2" s="1"/>
  <c r="T5" i="2"/>
  <c r="S5" i="2"/>
  <c r="R5" i="2"/>
  <c r="U5" i="2" s="1"/>
  <c r="U99" i="2" s="1"/>
  <c r="Q5" i="2"/>
  <c r="P5" i="2"/>
  <c r="O5" i="2"/>
  <c r="N5" i="2"/>
  <c r="M5" i="2"/>
  <c r="M99" i="2" l="1"/>
  <c r="P99" i="2"/>
  <c r="X99" i="2"/>
  <c r="R99" i="2"/>
  <c r="T99" i="2"/>
  <c r="Q99" i="2"/>
  <c r="Y5" i="2"/>
  <c r="Y99" i="2" s="1"/>
  <c r="O99" i="2"/>
  <c r="S99" i="2"/>
  <c r="W99" i="2"/>
  <c r="N99" i="2"/>
</calcChain>
</file>

<file path=xl/sharedStrings.xml><?xml version="1.0" encoding="utf-8"?>
<sst xmlns="http://schemas.openxmlformats.org/spreadsheetml/2006/main" count="241" uniqueCount="180">
  <si>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</si>
  <si>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</si>
  <si>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</si>
  <si>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</si>
  <si>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</si>
  <si>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</si>
  <si>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</si>
  <si>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</si>
  <si>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</si>
  <si>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</si>
  <si>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</si>
  <si>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</si>
  <si>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</si>
  <si>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</si>
  <si>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</si>
  <si>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</si>
  <si>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</si>
  <si>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</si>
  <si>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</si>
  <si>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</si>
  <si>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</si>
  <si>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</si>
  <si>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</si>
  <si>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</si>
  <si>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</si>
  <si>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</si>
  <si>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</si>
  <si>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</si>
  <si>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</si>
  <si>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</si>
  <si>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</si>
  <si>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</si>
  <si>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</si>
  <si>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</si>
  <si>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</si>
  <si>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</si>
  <si>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</si>
  <si>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</si>
  <si>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</si>
  <si>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</si>
  <si>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</si>
  <si>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</si>
  <si>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</si>
  <si>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</si>
  <si>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</si>
  <si>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</si>
  <si>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</si>
  <si>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</si>
  <si>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</si>
  <si>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</si>
  <si>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</si>
  <si>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</si>
  <si>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</si>
  <si>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</si>
  <si>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</si>
  <si>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</si>
  <si>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</si>
  <si>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</si>
  <si>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</si>
  <si>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</si>
  <si>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</si>
  <si>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</si>
  <si>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</si>
  <si>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</si>
  <si>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</si>
  <si>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</si>
  <si>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</si>
  <si>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</si>
  <si>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</si>
  <si>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</si>
  <si>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</si>
  <si>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</si>
  <si>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</si>
  <si>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</si>
  <si>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</si>
  <si>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</si>
  <si>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</si>
  <si>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</si>
  <si>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</si>
  <si>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</si>
  <si>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</si>
  <si>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</si>
  <si>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</si>
  <si>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</si>
  <si>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</si>
  <si>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</si>
  <si>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</si>
  <si>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</si>
  <si>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</si>
  <si>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</si>
  <si>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</si>
  <si>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</si>
  <si>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</si>
  <si>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</si>
  <si>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</si>
  <si>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</si>
  <si>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</si>
  <si>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</si>
  <si>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</si>
  <si>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</si>
  <si>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</si>
  <si>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</si>
  <si>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</si>
  <si>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</si>
  <si>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</si>
  <si>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</si>
  <si>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</si>
  <si>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</si>
  <si>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</si>
  <si>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</si>
  <si>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</si>
  <si>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</si>
  <si>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</si>
  <si>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</si>
  <si>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</si>
  <si>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</si>
  <si>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</si>
  <si>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</si>
  <si>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</si>
  <si>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</si>
  <si>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</si>
  <si>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</si>
  <si>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</si>
  <si>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</si>
  <si>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</si>
  <si>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</si>
  <si>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</si>
  <si>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</si>
  <si>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</si>
  <si>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</si>
  <si>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</si>
  <si>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</si>
  <si>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</si>
  <si>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</si>
  <si>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</si>
  <si>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</si>
  <si>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</si>
  <si>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</si>
  <si>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On The Way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</si>
  <si>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</si>
  <si>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</si>
  <si>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</si>
  <si>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</si>
  <si>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</si>
  <si>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</si>
  <si>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</si>
  <si>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</si>
  <si>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</si>
  <si>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</si>
  <si>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</si>
  <si>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</si>
  <si>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</si>
  <si>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</si>
  <si>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</si>
  <si>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</si>
  <si>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</si>
  <si>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</si>
  <si>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</si>
  <si>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</si>
  <si>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</si>
  <si>
    <t>4 Season</t>
  </si>
  <si>
    <t>8074586-2</t>
  </si>
  <si>
    <t>Allowed</t>
  </si>
  <si>
    <t>Sana C &amp; C</t>
  </si>
  <si>
    <t>Aslam Super Mart</t>
  </si>
  <si>
    <t>4 Reason</t>
  </si>
  <si>
    <t>Jalal Sons Behria Orchard</t>
  </si>
  <si>
    <t>Shehwar Mega Mart</t>
  </si>
  <si>
    <t>Vip</t>
  </si>
  <si>
    <t>Rainbow Shadra</t>
  </si>
  <si>
    <t>Gourmet Food Badami Bagh</t>
  </si>
  <si>
    <t>Gourmet Food Begum Kot</t>
  </si>
  <si>
    <t>Gourmet Food Imamia Colony</t>
  </si>
  <si>
    <t xml:space="preserve">Gourmet Food Bilal Ganj </t>
  </si>
  <si>
    <t>Gourmet Food Islam Pura</t>
  </si>
  <si>
    <t>Gourmet Food Kareem Park</t>
  </si>
  <si>
    <t>Gourmet Food Kot Abdul malik</t>
  </si>
  <si>
    <t>Gourmet Food Krishan Nager</t>
  </si>
  <si>
    <t>Gourmet Food Lakshman</t>
  </si>
  <si>
    <t>Gourmet Food Shadra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</si>
</sst>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5" fillId="5" borderId="33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6" fillId="0" borderId="57" xfId="0" applyFont="1" applyFill="1" applyBorder="1" applyAlignment="1">
      <alignment horizontal="left"/>
    </xf>
    <xf numFmtId="0" fontId="5" fillId="0" borderId="33" xfId="0" applyFont="1" applyFill="1" applyBorder="1"/>
    <xf numFmtId="0" fontId="5" fillId="0" borderId="3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7" t="s">
        <v>33</v>
      </c>
      <c r="C9" s="77" t="s">
        <v>35</v>
      </c>
      <c r="D9" s="77" t="s">
        <v>36</v>
      </c>
      <c r="E9" s="154" t="s">
        <v>14</v>
      </c>
      <c r="F9" s="102" t="s">
        <v>75</v>
      </c>
    </row>
    <row r="10" spans="2:6" x14ac:dyDescent="0.35">
      <c r="B10" s="79" t="s">
        <v>26</v>
      </c>
      <c r="C10" s="79" t="s">
        <v>37</v>
      </c>
      <c r="D10" s="92">
        <v>3520247902365</v>
      </c>
      <c r="E10" s="155"/>
      <c r="F10">
        <v>10000</v>
      </c>
    </row>
    <row r="11" spans="2:6" x14ac:dyDescent="0.35">
      <c r="B11" s="79" t="s">
        <v>27</v>
      </c>
      <c r="C11" s="79"/>
      <c r="D11" s="79"/>
      <c r="E11" s="155"/>
    </row>
    <row r="12" spans="2:6" x14ac:dyDescent="0.35">
      <c r="B12" s="79" t="s">
        <v>41</v>
      </c>
      <c r="C12" s="79" t="s">
        <v>40</v>
      </c>
      <c r="D12" s="92">
        <v>300426949714</v>
      </c>
      <c r="E12" s="155"/>
    </row>
    <row r="13" spans="2:6" x14ac:dyDescent="0.35">
      <c r="B13" s="79" t="s">
        <v>28</v>
      </c>
      <c r="C13" s="79" t="s">
        <v>43</v>
      </c>
      <c r="D13" s="92">
        <v>3277876126916</v>
      </c>
      <c r="E13" s="155"/>
    </row>
    <row r="14" spans="2:6" x14ac:dyDescent="0.35">
      <c r="B14" s="79" t="s">
        <v>29</v>
      </c>
      <c r="C14" s="79" t="s">
        <v>47</v>
      </c>
      <c r="D14" s="92">
        <v>3520255124113</v>
      </c>
      <c r="E14" s="155"/>
    </row>
    <row r="15" spans="2:6" x14ac:dyDescent="0.35">
      <c r="B15" s="79" t="s">
        <v>30</v>
      </c>
      <c r="C15" s="79" t="s">
        <v>47</v>
      </c>
      <c r="D15" s="92">
        <v>3520255124113</v>
      </c>
      <c r="E15" s="155"/>
    </row>
    <row r="16" spans="2:6" x14ac:dyDescent="0.35">
      <c r="B16" s="79" t="s">
        <v>31</v>
      </c>
      <c r="C16" s="79" t="s">
        <v>45</v>
      </c>
      <c r="D16" s="92">
        <v>3520268948847</v>
      </c>
      <c r="E16" s="155"/>
    </row>
    <row r="17" spans="2:5" x14ac:dyDescent="0.35">
      <c r="B17" s="79" t="s">
        <v>32</v>
      </c>
      <c r="C17" s="79" t="s">
        <v>51</v>
      </c>
      <c r="D17" s="79"/>
      <c r="E17" s="155"/>
    </row>
    <row r="18" spans="2:5" x14ac:dyDescent="0.35">
      <c r="B18" s="79" t="s">
        <v>34</v>
      </c>
      <c r="C18" s="79" t="s">
        <v>46</v>
      </c>
      <c r="D18" s="79" t="s">
        <v>52</v>
      </c>
      <c r="E18" s="155"/>
    </row>
    <row r="19" spans="2:5" ht="15" customHeight="1" x14ac:dyDescent="0.35">
      <c r="B19" s="156" t="s">
        <v>63</v>
      </c>
      <c r="C19" s="155" t="s">
        <v>64</v>
      </c>
      <c r="D19" s="155"/>
      <c r="E19" s="155"/>
    </row>
    <row r="20" spans="2:5" x14ac:dyDescent="0.35">
      <c r="B20" s="156" t="s">
        <v>65</v>
      </c>
      <c r="C20" s="155"/>
      <c r="D20" s="155"/>
      <c r="E20" s="155"/>
    </row>
    <row r="21" spans="2:5" x14ac:dyDescent="0.35">
      <c r="B21" s="156" t="s">
        <v>66</v>
      </c>
      <c r="C21" s="155"/>
      <c r="D21" s="155"/>
      <c r="E21" s="155"/>
    </row>
    <row r="22" spans="2:5" x14ac:dyDescent="0.35">
      <c r="B22" s="156" t="s">
        <v>67</v>
      </c>
      <c r="C22" s="155"/>
      <c r="D22" s="155"/>
      <c r="E22" s="155"/>
    </row>
    <row r="23" spans="2:5" x14ac:dyDescent="0.35">
      <c r="B23" s="156" t="s">
        <v>79</v>
      </c>
      <c r="C23" s="155" t="s">
        <v>80</v>
      </c>
      <c r="D23" s="157">
        <v>3277876231301</v>
      </c>
      <c r="E23" s="155"/>
    </row>
    <row r="24" spans="2:5" x14ac:dyDescent="0.35">
      <c r="B24" s="156" t="s">
        <v>160</v>
      </c>
      <c r="C24" s="155" t="s">
        <v>161</v>
      </c>
      <c r="D24" s="155"/>
      <c r="E24" s="155" t="s">
        <v>162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9"/>
  <sheetViews>
    <sheetView tabSelected="1" topLeftCell="A73" zoomScaleNormal="100" workbookViewId="0">
      <selection activeCell="C84" sqref="C84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0">
        <v>46186</v>
      </c>
      <c r="C1" s="160"/>
      <c r="D1" s="160"/>
      <c r="E1" s="160"/>
      <c r="F1" s="16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2" t="s">
        <v>38</v>
      </c>
      <c r="B2" s="16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4"/>
      <c r="N2" s="175"/>
      <c r="O2" s="176"/>
      <c r="P2" s="177" t="s">
        <v>14</v>
      </c>
      <c r="Q2" s="17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2"/>
      <c r="B3" s="16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9" t="s">
        <v>11</v>
      </c>
      <c r="N3" s="180"/>
      <c r="O3" s="181"/>
      <c r="P3" s="71"/>
      <c r="Q3" s="72"/>
      <c r="R3" s="164" t="s">
        <v>16</v>
      </c>
      <c r="S3" s="165"/>
      <c r="T3" s="165"/>
      <c r="U3" s="166"/>
      <c r="V3" s="167" t="s">
        <v>17</v>
      </c>
      <c r="W3" s="168"/>
      <c r="X3" s="168"/>
      <c r="Y3" s="169"/>
    </row>
    <row r="4" spans="1:25" ht="15" thickBot="1" x14ac:dyDescent="0.4">
      <c r="A4" s="182"/>
      <c r="B4" s="16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46179</v>
      </c>
      <c r="B5" s="36">
        <v>1</v>
      </c>
      <c r="C5" s="93" t="s">
        <v>72</v>
      </c>
      <c r="D5" s="94">
        <v>1003</v>
      </c>
      <c r="E5" s="95"/>
      <c r="F5" s="96"/>
      <c r="G5" s="97">
        <v>1613</v>
      </c>
      <c r="H5" s="95">
        <v>2442</v>
      </c>
      <c r="I5" s="96">
        <v>1036</v>
      </c>
      <c r="J5" s="97">
        <v>5269</v>
      </c>
      <c r="K5" s="95">
        <v>3838</v>
      </c>
      <c r="L5" s="98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99" si="0">SUM(D6:L6)/40</f>
        <v>140</v>
      </c>
      <c r="N6" s="39">
        <f>SUMPRODUCT($D$4:$L$4,$D$6:$L$6)</f>
        <v>0</v>
      </c>
      <c r="O6" s="49">
        <f t="shared" ref="O6:O98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98" si="4">SUMPRODUCT($D$4:$F$4,$D$6:$F$6)*$R$3</f>
        <v>#VALUE!</v>
      </c>
      <c r="S6" s="52">
        <f t="shared" ref="S6:S98" si="5">SUMPRODUCT($G$4:$I$4,$G$6:$I$6)*$S$3</f>
        <v>0</v>
      </c>
      <c r="T6" s="52">
        <f t="shared" ref="T6:T98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98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46181</v>
      </c>
      <c r="B9" s="47">
        <v>5</v>
      </c>
      <c r="C9" s="124" t="s">
        <v>49</v>
      </c>
      <c r="D9" s="125"/>
      <c r="E9" s="126"/>
      <c r="F9" s="127"/>
      <c r="G9" s="128"/>
      <c r="H9" s="126"/>
      <c r="I9" s="56"/>
      <c r="J9" s="128">
        <v>560</v>
      </c>
      <c r="K9" s="126">
        <v>560</v>
      </c>
      <c r="L9" s="127">
        <v>880</v>
      </c>
      <c r="M9" s="129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98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98" si="20">SUM(V13:X13)</f>
        <v>#VALUE!</v>
      </c>
    </row>
    <row r="14" spans="1:25" x14ac:dyDescent="0.35">
      <c r="A14" s="78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94" si="44">SUM(V21:X21)</f>
        <v>#VALUE!</v>
      </c>
    </row>
    <row r="22" spans="1:25" x14ac:dyDescent="0.35">
      <c r="A22" s="78">
        <v>46185</v>
      </c>
      <c r="B22" s="130">
        <v>18</v>
      </c>
      <c r="C22" s="124" t="s">
        <v>79</v>
      </c>
      <c r="D22" s="131"/>
      <c r="E22" s="132"/>
      <c r="F22" s="133"/>
      <c r="G22" s="128">
        <v>300</v>
      </c>
      <c r="H22" s="126">
        <v>300</v>
      </c>
      <c r="I22" s="56">
        <v>300</v>
      </c>
      <c r="J22" s="128">
        <v>300</v>
      </c>
      <c r="K22" s="126">
        <v>300</v>
      </c>
      <c r="L22" s="127">
        <v>300</v>
      </c>
      <c r="M22" s="129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46189</v>
      </c>
      <c r="B23" s="47">
        <v>19</v>
      </c>
      <c r="C23" s="57" t="s">
        <v>84</v>
      </c>
      <c r="D23" s="74"/>
      <c r="E23" s="75"/>
      <c r="F23" s="76"/>
      <c r="G23" s="134">
        <v>80</v>
      </c>
      <c r="H23" s="135">
        <v>80</v>
      </c>
      <c r="I23" s="136">
        <v>80</v>
      </c>
      <c r="J23" s="134">
        <v>80</v>
      </c>
      <c r="K23" s="135">
        <v>80</v>
      </c>
      <c r="L23" s="13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46189</v>
      </c>
      <c r="B24" s="47">
        <v>20</v>
      </c>
      <c r="C24" s="57" t="s">
        <v>85</v>
      </c>
      <c r="D24" s="74"/>
      <c r="E24" s="75"/>
      <c r="F24" s="76"/>
      <c r="G24" s="134">
        <v>80</v>
      </c>
      <c r="H24" s="135">
        <v>80</v>
      </c>
      <c r="I24" s="136">
        <v>80</v>
      </c>
      <c r="J24" s="134">
        <v>80</v>
      </c>
      <c r="K24" s="135">
        <v>80</v>
      </c>
      <c r="L24" s="13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46189</v>
      </c>
      <c r="B25" s="47">
        <v>21</v>
      </c>
      <c r="C25" s="57" t="s">
        <v>86</v>
      </c>
      <c r="D25" s="74"/>
      <c r="E25" s="75"/>
      <c r="F25" s="76"/>
      <c r="G25" s="134">
        <v>80</v>
      </c>
      <c r="H25" s="135">
        <v>80</v>
      </c>
      <c r="I25" s="136">
        <v>80</v>
      </c>
      <c r="J25" s="134">
        <v>80</v>
      </c>
      <c r="K25" s="135">
        <v>80</v>
      </c>
      <c r="L25" s="13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46189</v>
      </c>
      <c r="B26" s="47">
        <v>22</v>
      </c>
      <c r="C26" s="57" t="s">
        <v>87</v>
      </c>
      <c r="D26" s="74"/>
      <c r="E26" s="75"/>
      <c r="F26" s="76"/>
      <c r="G26" s="134">
        <v>40</v>
      </c>
      <c r="H26" s="135">
        <v>40</v>
      </c>
      <c r="I26" s="136">
        <v>40</v>
      </c>
      <c r="J26" s="134">
        <v>40</v>
      </c>
      <c r="K26" s="135">
        <v>40</v>
      </c>
      <c r="L26" s="13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46189</v>
      </c>
      <c r="B27" s="47">
        <v>23</v>
      </c>
      <c r="C27" s="57" t="s">
        <v>88</v>
      </c>
      <c r="D27" s="74">
        <v>80</v>
      </c>
      <c r="E27" s="75"/>
      <c r="F27" s="76"/>
      <c r="G27" s="134">
        <v>80</v>
      </c>
      <c r="H27" s="135">
        <v>80</v>
      </c>
      <c r="I27" s="136">
        <v>80</v>
      </c>
      <c r="J27" s="134">
        <v>80</v>
      </c>
      <c r="K27" s="135">
        <v>80</v>
      </c>
      <c r="L27" s="13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46189</v>
      </c>
      <c r="B28" s="47">
        <v>24</v>
      </c>
      <c r="C28" s="57" t="s">
        <v>89</v>
      </c>
      <c r="D28" s="74">
        <v>120</v>
      </c>
      <c r="E28" s="75"/>
      <c r="F28" s="76"/>
      <c r="G28" s="134">
        <v>120</v>
      </c>
      <c r="H28" s="135">
        <v>120</v>
      </c>
      <c r="I28" s="136">
        <v>120</v>
      </c>
      <c r="J28" s="134">
        <v>120</v>
      </c>
      <c r="K28" s="135">
        <v>120</v>
      </c>
      <c r="L28" s="137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46189</v>
      </c>
      <c r="B29" s="47">
        <v>25</v>
      </c>
      <c r="C29" s="57" t="s">
        <v>107</v>
      </c>
      <c r="D29" s="74"/>
      <c r="E29" s="75"/>
      <c r="F29" s="76"/>
      <c r="G29" s="134">
        <v>40</v>
      </c>
      <c r="H29" s="135">
        <v>40</v>
      </c>
      <c r="I29" s="136">
        <v>80</v>
      </c>
      <c r="J29" s="134">
        <v>40</v>
      </c>
      <c r="K29" s="135"/>
      <c r="L29" s="137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46190</v>
      </c>
      <c r="B32" s="47">
        <v>28</v>
      </c>
      <c r="C32" s="124" t="s">
        <v>94</v>
      </c>
      <c r="D32" s="125"/>
      <c r="E32" s="126"/>
      <c r="F32" s="127"/>
      <c r="G32" s="128">
        <v>40</v>
      </c>
      <c r="H32" s="126">
        <v>40</v>
      </c>
      <c r="I32" s="56">
        <v>80</v>
      </c>
      <c r="J32" s="128">
        <v>80</v>
      </c>
      <c r="K32" s="126">
        <v>120</v>
      </c>
      <c r="L32" s="127">
        <v>40</v>
      </c>
      <c r="M32" s="129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3">
        <v>40</v>
      </c>
      <c r="J57" s="75">
        <v>40</v>
      </c>
      <c r="K57" s="75">
        <v>40</v>
      </c>
      <c r="L57" s="75">
        <v>40</v>
      </c>
      <c r="M57" s="152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3">
        <v>40</v>
      </c>
      <c r="J58" s="75">
        <v>40</v>
      </c>
      <c r="K58" s="75">
        <v>40</v>
      </c>
      <c r="L58" s="75">
        <v>40</v>
      </c>
      <c r="M58" s="152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3">
        <v>40</v>
      </c>
      <c r="J59" s="75">
        <v>40</v>
      </c>
      <c r="K59" s="75">
        <v>40</v>
      </c>
      <c r="L59" s="75">
        <v>40</v>
      </c>
      <c r="M59" s="152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3">
        <v>2800</v>
      </c>
      <c r="J60" s="75">
        <v>1800</v>
      </c>
      <c r="K60" s="75">
        <v>1200</v>
      </c>
      <c r="L60" s="75">
        <v>3600</v>
      </c>
      <c r="M60" s="152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46192</v>
      </c>
      <c r="B61" s="47">
        <v>57</v>
      </c>
      <c r="C61" s="151" t="s">
        <v>140</v>
      </c>
      <c r="D61" s="75"/>
      <c r="E61" s="75"/>
      <c r="F61" s="75"/>
      <c r="G61" s="75">
        <v>80</v>
      </c>
      <c r="H61" s="75">
        <v>0</v>
      </c>
      <c r="I61" s="153">
        <v>200</v>
      </c>
      <c r="J61" s="75">
        <v>200</v>
      </c>
      <c r="K61" s="75">
        <v>0</v>
      </c>
      <c r="L61" s="75">
        <v>400</v>
      </c>
      <c r="M61" s="152">
        <f t="shared" ref="M61:M93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93" si="82">SUM(G61:I61)/20</f>
        <v>14</v>
      </c>
      <c r="Q61" s="40">
        <f t="shared" ref="Q61:Q93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93" si="84">SUM(R61:T61)</f>
        <v>#VALUE!</v>
      </c>
      <c r="V61" s="54" t="e">
        <f t="shared" ref="V61:V93" si="85">SUM(D61:F61)*$V$3</f>
        <v>#VALUE!</v>
      </c>
      <c r="W61" s="55">
        <f t="shared" ref="W61:W93" si="86">SUM(G61:I61)*$W$3</f>
        <v>0</v>
      </c>
      <c r="X61" s="55">
        <f t="shared" ref="X61:X93" si="87">SUM(J61:L61)*$X$3</f>
        <v>0</v>
      </c>
      <c r="Y61" s="56" t="e">
        <f t="shared" ref="Y61:Y93" si="88">SUM(V61:X61)</f>
        <v>#VALUE!</v>
      </c>
    </row>
    <row r="62" spans="1:25" x14ac:dyDescent="0.35">
      <c r="A62" s="78">
        <v>46192</v>
      </c>
      <c r="B62" s="47">
        <v>58</v>
      </c>
      <c r="C62" s="151" t="s">
        <v>141</v>
      </c>
      <c r="D62" s="75"/>
      <c r="E62" s="75"/>
      <c r="F62" s="75"/>
      <c r="G62" s="75">
        <v>80</v>
      </c>
      <c r="H62" s="75">
        <v>80</v>
      </c>
      <c r="I62" s="153">
        <v>200</v>
      </c>
      <c r="J62" s="75">
        <v>120</v>
      </c>
      <c r="K62" s="75">
        <v>120</v>
      </c>
      <c r="L62" s="75">
        <v>200</v>
      </c>
      <c r="M62" s="152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46192</v>
      </c>
      <c r="B63" s="47">
        <v>59</v>
      </c>
      <c r="C63" s="151" t="s">
        <v>142</v>
      </c>
      <c r="D63" s="75"/>
      <c r="E63" s="75"/>
      <c r="F63" s="75"/>
      <c r="G63" s="75">
        <v>40</v>
      </c>
      <c r="H63" s="75">
        <v>40</v>
      </c>
      <c r="I63" s="153">
        <v>40</v>
      </c>
      <c r="J63" s="75">
        <v>40</v>
      </c>
      <c r="K63" s="75">
        <v>40</v>
      </c>
      <c r="L63" s="75">
        <v>40</v>
      </c>
      <c r="M63" s="152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46192</v>
      </c>
      <c r="B64" s="47">
        <v>60</v>
      </c>
      <c r="C64" s="151" t="s">
        <v>143</v>
      </c>
      <c r="D64" s="75"/>
      <c r="E64" s="75"/>
      <c r="F64" s="75"/>
      <c r="G64" s="75">
        <v>40</v>
      </c>
      <c r="H64" s="75">
        <v>40</v>
      </c>
      <c r="I64" s="153">
        <v>40</v>
      </c>
      <c r="J64" s="75">
        <v>40</v>
      </c>
      <c r="K64" s="75">
        <v>40</v>
      </c>
      <c r="L64" s="75">
        <v>40</v>
      </c>
      <c r="M64" s="152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46192</v>
      </c>
      <c r="B65" s="47">
        <v>61</v>
      </c>
      <c r="C65" s="151" t="s">
        <v>144</v>
      </c>
      <c r="D65" s="75"/>
      <c r="E65" s="75"/>
      <c r="F65" s="75"/>
      <c r="G65" s="75">
        <v>40</v>
      </c>
      <c r="H65" s="75">
        <v>40</v>
      </c>
      <c r="I65" s="153">
        <v>40</v>
      </c>
      <c r="J65" s="75">
        <v>40</v>
      </c>
      <c r="K65" s="75">
        <v>40</v>
      </c>
      <c r="L65" s="75">
        <v>40</v>
      </c>
      <c r="M65" s="152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46192</v>
      </c>
      <c r="B66" s="47">
        <v>62</v>
      </c>
      <c r="C66" s="151" t="s">
        <v>145</v>
      </c>
      <c r="D66" s="75"/>
      <c r="E66" s="75"/>
      <c r="F66" s="75"/>
      <c r="G66" s="75">
        <v>80</v>
      </c>
      <c r="H66" s="75">
        <v>80</v>
      </c>
      <c r="I66" s="153">
        <v>80</v>
      </c>
      <c r="J66" s="75">
        <v>80</v>
      </c>
      <c r="K66" s="75">
        <v>80</v>
      </c>
      <c r="L66" s="75">
        <v>80</v>
      </c>
      <c r="M66" s="152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46192</v>
      </c>
      <c r="B67" s="47">
        <v>63</v>
      </c>
      <c r="C67" s="151" t="s">
        <v>146</v>
      </c>
      <c r="D67" s="75"/>
      <c r="E67" s="75"/>
      <c r="F67" s="75"/>
      <c r="G67" s="75">
        <v>40</v>
      </c>
      <c r="H67" s="75">
        <v>40</v>
      </c>
      <c r="I67" s="153">
        <v>40</v>
      </c>
      <c r="J67" s="75">
        <v>40</v>
      </c>
      <c r="K67" s="75">
        <v>40</v>
      </c>
      <c r="L67" s="75">
        <v>40</v>
      </c>
      <c r="M67" s="152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46192</v>
      </c>
      <c r="B68" s="47">
        <v>64</v>
      </c>
      <c r="C68" s="151" t="s">
        <v>147</v>
      </c>
      <c r="D68" s="75"/>
      <c r="E68" s="75"/>
      <c r="F68" s="75"/>
      <c r="G68" s="75">
        <v>40</v>
      </c>
      <c r="H68" s="75">
        <v>40</v>
      </c>
      <c r="I68" s="153">
        <v>40</v>
      </c>
      <c r="J68" s="75">
        <v>40</v>
      </c>
      <c r="K68" s="75">
        <v>40</v>
      </c>
      <c r="L68" s="75">
        <v>40</v>
      </c>
      <c r="M68" s="152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46192</v>
      </c>
      <c r="B69" s="47">
        <v>65</v>
      </c>
      <c r="C69" s="151" t="s">
        <v>148</v>
      </c>
      <c r="D69" s="75"/>
      <c r="E69" s="75"/>
      <c r="F69" s="75"/>
      <c r="G69" s="75">
        <v>80</v>
      </c>
      <c r="H69" s="75">
        <v>80</v>
      </c>
      <c r="I69" s="153">
        <v>80</v>
      </c>
      <c r="J69" s="75">
        <v>80</v>
      </c>
      <c r="K69" s="75">
        <v>80</v>
      </c>
      <c r="L69" s="75">
        <v>80</v>
      </c>
      <c r="M69" s="152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46192</v>
      </c>
      <c r="B70" s="47">
        <v>66</v>
      </c>
      <c r="C70" s="151" t="s">
        <v>149</v>
      </c>
      <c r="D70" s="75"/>
      <c r="E70" s="75"/>
      <c r="F70" s="75"/>
      <c r="G70" s="75">
        <v>40</v>
      </c>
      <c r="H70" s="75">
        <v>40</v>
      </c>
      <c r="I70" s="153">
        <v>40</v>
      </c>
      <c r="J70" s="75">
        <v>40</v>
      </c>
      <c r="K70" s="75">
        <v>40</v>
      </c>
      <c r="L70" s="75">
        <v>40</v>
      </c>
      <c r="M70" s="152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46192</v>
      </c>
      <c r="B71" s="47">
        <v>67</v>
      </c>
      <c r="C71" s="151" t="s">
        <v>150</v>
      </c>
      <c r="D71" s="75"/>
      <c r="E71" s="75"/>
      <c r="F71" s="75"/>
      <c r="G71" s="75">
        <v>0</v>
      </c>
      <c r="H71" s="75">
        <v>0</v>
      </c>
      <c r="I71" s="153">
        <v>0</v>
      </c>
      <c r="J71" s="75">
        <v>0</v>
      </c>
      <c r="K71" s="75">
        <v>0</v>
      </c>
      <c r="L71" s="75">
        <v>0</v>
      </c>
      <c r="M71" s="152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46192</v>
      </c>
      <c r="B72" s="47">
        <v>68</v>
      </c>
      <c r="C72" s="151" t="s">
        <v>151</v>
      </c>
      <c r="D72" s="75"/>
      <c r="E72" s="75"/>
      <c r="F72" s="75"/>
      <c r="G72" s="75">
        <v>40</v>
      </c>
      <c r="H72" s="75">
        <v>40</v>
      </c>
      <c r="I72" s="153">
        <v>40</v>
      </c>
      <c r="J72" s="75">
        <v>40</v>
      </c>
      <c r="K72" s="75">
        <v>40</v>
      </c>
      <c r="L72" s="75">
        <v>40</v>
      </c>
      <c r="M72" s="152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46192</v>
      </c>
      <c r="B73" s="47">
        <v>69</v>
      </c>
      <c r="C73" s="151" t="s">
        <v>152</v>
      </c>
      <c r="D73" s="75"/>
      <c r="E73" s="75"/>
      <c r="F73" s="75"/>
      <c r="G73" s="75">
        <v>40</v>
      </c>
      <c r="H73" s="75">
        <v>40</v>
      </c>
      <c r="I73" s="153">
        <v>40</v>
      </c>
      <c r="J73" s="75">
        <v>40</v>
      </c>
      <c r="K73" s="75">
        <v>40</v>
      </c>
      <c r="L73" s="75">
        <v>40</v>
      </c>
      <c r="M73" s="152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46192</v>
      </c>
      <c r="B74" s="47">
        <v>70</v>
      </c>
      <c r="C74" s="158" t="s">
        <v>153</v>
      </c>
      <c r="D74" s="75"/>
      <c r="E74" s="75"/>
      <c r="F74" s="50"/>
      <c r="G74" s="75">
        <v>40</v>
      </c>
      <c r="H74" s="75">
        <v>40</v>
      </c>
      <c r="I74" s="153">
        <v>40</v>
      </c>
      <c r="J74" s="75">
        <v>40</v>
      </c>
      <c r="K74" s="75">
        <v>40</v>
      </c>
      <c r="L74" s="75">
        <v>40</v>
      </c>
      <c r="M74" s="152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46192</v>
      </c>
      <c r="B75" s="47">
        <v>71</v>
      </c>
      <c r="C75" s="158" t="s">
        <v>154</v>
      </c>
      <c r="D75" s="75"/>
      <c r="E75" s="50"/>
      <c r="F75" s="50"/>
      <c r="G75" s="75">
        <v>40</v>
      </c>
      <c r="H75" s="75">
        <v>40</v>
      </c>
      <c r="I75" s="153">
        <v>40</v>
      </c>
      <c r="J75" s="75">
        <v>40</v>
      </c>
      <c r="K75" s="75">
        <v>40</v>
      </c>
      <c r="L75" s="75">
        <v>40</v>
      </c>
      <c r="M75" s="152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46192</v>
      </c>
      <c r="B76" s="47">
        <v>72</v>
      </c>
      <c r="C76" s="158" t="s">
        <v>155</v>
      </c>
      <c r="D76" s="75"/>
      <c r="E76" s="50"/>
      <c r="F76" s="50"/>
      <c r="G76" s="75">
        <v>40</v>
      </c>
      <c r="H76" s="75">
        <v>40</v>
      </c>
      <c r="I76" s="153">
        <v>40</v>
      </c>
      <c r="J76" s="75">
        <v>40</v>
      </c>
      <c r="K76" s="75">
        <v>40</v>
      </c>
      <c r="L76" s="75">
        <v>40</v>
      </c>
      <c r="M76" s="152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46192</v>
      </c>
      <c r="B77" s="47">
        <v>73</v>
      </c>
      <c r="C77" s="158" t="s">
        <v>156</v>
      </c>
      <c r="D77" s="75"/>
      <c r="E77" s="50"/>
      <c r="F77" s="50"/>
      <c r="G77" s="50">
        <v>0</v>
      </c>
      <c r="H77" s="50">
        <v>0</v>
      </c>
      <c r="I77" s="152">
        <v>0</v>
      </c>
      <c r="J77" s="50">
        <v>0</v>
      </c>
      <c r="K77" s="50">
        <v>0</v>
      </c>
      <c r="L77" s="50">
        <v>0</v>
      </c>
      <c r="M77" s="152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46192</v>
      </c>
      <c r="B78" s="47">
        <v>74</v>
      </c>
      <c r="C78" s="158" t="s">
        <v>157</v>
      </c>
      <c r="D78" s="75"/>
      <c r="E78" s="50"/>
      <c r="F78" s="50"/>
      <c r="G78" s="50">
        <v>0</v>
      </c>
      <c r="H78" s="50">
        <v>0</v>
      </c>
      <c r="I78" s="152">
        <v>0</v>
      </c>
      <c r="J78" s="50">
        <v>0</v>
      </c>
      <c r="K78" s="50">
        <v>0</v>
      </c>
      <c r="L78" s="50">
        <v>0</v>
      </c>
      <c r="M78" s="152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92" t="s">
        <v>164</v>
      </c>
      <c r="D79" s="193"/>
      <c r="E79" s="193"/>
      <c r="F79" s="193"/>
      <c r="G79" s="193">
        <v>314</v>
      </c>
      <c r="H79" s="193">
        <v>353</v>
      </c>
      <c r="I79" s="194">
        <v>388</v>
      </c>
      <c r="J79" s="193">
        <v>350</v>
      </c>
      <c r="K79" s="193">
        <v>311</v>
      </c>
      <c r="L79" s="193">
        <v>396</v>
      </c>
      <c r="M79" s="152">
        <f t="shared" si="81"/>
        <v>52.8</v>
      </c>
      <c r="N79" s="39">
        <f t="shared" si="18"/>
        <v>0</v>
      </c>
      <c r="O79" s="49">
        <f t="shared" si="1"/>
        <v>331.63</v>
      </c>
      <c r="P79" s="73">
        <f t="shared" ref="P79:P83" si="89">SUM(G79:I79)/20</f>
        <v>52.75</v>
      </c>
      <c r="Q79" s="40">
        <f t="shared" ref="Q79:Q83" si="90">SUM(J79:L79)/20</f>
        <v>52.85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92" t="s">
        <v>165</v>
      </c>
      <c r="D80" s="193">
        <v>40</v>
      </c>
      <c r="E80" s="193"/>
      <c r="F80" s="193"/>
      <c r="G80" s="193">
        <v>40</v>
      </c>
      <c r="H80" s="193">
        <v>0</v>
      </c>
      <c r="I80" s="194">
        <v>120</v>
      </c>
      <c r="J80" s="193">
        <v>200</v>
      </c>
      <c r="K80" s="193">
        <v>0</v>
      </c>
      <c r="L80" s="193">
        <v>200</v>
      </c>
      <c r="M80" s="152">
        <f t="shared" si="81"/>
        <v>15</v>
      </c>
      <c r="N80" s="39">
        <f t="shared" si="18"/>
        <v>0</v>
      </c>
      <c r="O80" s="49">
        <f t="shared" si="1"/>
        <v>331.63</v>
      </c>
      <c r="P80" s="73">
        <f t="shared" si="89"/>
        <v>8</v>
      </c>
      <c r="Q80" s="40">
        <f t="shared" si="90"/>
        <v>20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50" t="s">
        <v>170</v>
      </c>
      <c r="D81" s="146"/>
      <c r="E81" s="146"/>
      <c r="F81" s="146"/>
      <c r="G81" s="146">
        <v>40</v>
      </c>
      <c r="H81" s="146">
        <v>40</v>
      </c>
      <c r="I81" s="159"/>
      <c r="J81" s="146">
        <v>40</v>
      </c>
      <c r="K81" s="146">
        <v>40</v>
      </c>
      <c r="L81" s="146">
        <v>40</v>
      </c>
      <c r="M81" s="159">
        <f t="shared" si="81"/>
        <v>5</v>
      </c>
      <c r="N81" s="39">
        <f t="shared" si="18"/>
        <v>0</v>
      </c>
      <c r="O81" s="49">
        <f t="shared" si="1"/>
        <v>331.63</v>
      </c>
      <c r="P81" s="73">
        <f t="shared" si="89"/>
        <v>4</v>
      </c>
      <c r="Q81" s="40">
        <f t="shared" si="90"/>
        <v>6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50" t="s">
        <v>171</v>
      </c>
      <c r="D82" s="146"/>
      <c r="E82" s="146"/>
      <c r="F82" s="146"/>
      <c r="G82" s="146">
        <v>80</v>
      </c>
      <c r="H82" s="146">
        <v>80</v>
      </c>
      <c r="I82" s="159"/>
      <c r="J82" s="146">
        <v>80</v>
      </c>
      <c r="K82" s="146">
        <v>80</v>
      </c>
      <c r="L82" s="146">
        <v>80</v>
      </c>
      <c r="M82" s="159">
        <f t="shared" si="81"/>
        <v>10</v>
      </c>
      <c r="N82" s="39">
        <f t="shared" si="18"/>
        <v>0</v>
      </c>
      <c r="O82" s="49">
        <f t="shared" si="1"/>
        <v>331.63</v>
      </c>
      <c r="P82" s="73">
        <f t="shared" si="89"/>
        <v>8</v>
      </c>
      <c r="Q82" s="40">
        <f t="shared" si="90"/>
        <v>12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50" t="s">
        <v>172</v>
      </c>
      <c r="D83" s="146"/>
      <c r="E83" s="146"/>
      <c r="F83" s="146"/>
      <c r="G83" s="146">
        <v>40</v>
      </c>
      <c r="H83" s="146">
        <v>40</v>
      </c>
      <c r="I83" s="159"/>
      <c r="J83" s="146">
        <v>40</v>
      </c>
      <c r="K83" s="146">
        <v>40</v>
      </c>
      <c r="L83" s="146">
        <v>40</v>
      </c>
      <c r="M83" s="159">
        <f t="shared" si="81"/>
        <v>5</v>
      </c>
      <c r="N83" s="39">
        <f t="shared" si="18"/>
        <v>0</v>
      </c>
      <c r="O83" s="49">
        <f t="shared" si="1"/>
        <v>331.63</v>
      </c>
      <c r="P83" s="73">
        <f t="shared" si="89"/>
        <v>4</v>
      </c>
      <c r="Q83" s="40">
        <f t="shared" si="90"/>
        <v>6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/>
      <c r="C84" s="150" t="s">
        <v>173</v>
      </c>
      <c r="D84" s="146"/>
      <c r="E84" s="146"/>
      <c r="F84" s="146"/>
      <c r="G84" s="146">
        <v>80</v>
      </c>
      <c r="H84" s="146">
        <v>80</v>
      </c>
      <c r="I84" s="159"/>
      <c r="J84" s="146">
        <v>80</v>
      </c>
      <c r="K84" s="146">
        <v>80</v>
      </c>
      <c r="L84" s="146">
        <v>80</v>
      </c>
      <c r="M84" s="159">
        <f t="shared" si="81"/>
        <v>10</v>
      </c>
      <c r="N84" s="39"/>
      <c r="O84" s="49"/>
      <c r="P84" s="73"/>
      <c r="Q84" s="40"/>
      <c r="R84" s="51"/>
      <c r="S84" s="52"/>
      <c r="T84" s="52"/>
      <c r="U84" s="53"/>
      <c r="V84" s="54"/>
      <c r="W84" s="55"/>
      <c r="X84" s="55"/>
      <c r="Y84" s="56"/>
    </row>
    <row r="85" spans="1:25" x14ac:dyDescent="0.35">
      <c r="A85" s="78"/>
      <c r="B85" s="47"/>
      <c r="C85" s="150" t="s">
        <v>174</v>
      </c>
      <c r="D85" s="146"/>
      <c r="E85" s="146"/>
      <c r="F85" s="146"/>
      <c r="G85" s="146">
        <v>40</v>
      </c>
      <c r="H85" s="146">
        <v>40</v>
      </c>
      <c r="I85" s="159"/>
      <c r="J85" s="146">
        <v>40</v>
      </c>
      <c r="K85" s="146">
        <v>40</v>
      </c>
      <c r="L85" s="146">
        <v>40</v>
      </c>
      <c r="M85" s="159">
        <f t="shared" si="81"/>
        <v>5</v>
      </c>
      <c r="N85" s="39"/>
      <c r="O85" s="49"/>
      <c r="P85" s="73"/>
      <c r="Q85" s="40"/>
      <c r="R85" s="51"/>
      <c r="S85" s="52"/>
      <c r="T85" s="52"/>
      <c r="U85" s="53"/>
      <c r="V85" s="54"/>
      <c r="W85" s="55"/>
      <c r="X85" s="55"/>
      <c r="Y85" s="56"/>
    </row>
    <row r="86" spans="1:25" x14ac:dyDescent="0.35">
      <c r="A86" s="78"/>
      <c r="B86" s="47"/>
      <c r="C86" s="150" t="s">
        <v>175</v>
      </c>
      <c r="D86" s="146"/>
      <c r="E86" s="146"/>
      <c r="F86" s="146"/>
      <c r="G86" s="146">
        <v>40</v>
      </c>
      <c r="H86" s="146">
        <v>40</v>
      </c>
      <c r="I86" s="159"/>
      <c r="J86" s="146">
        <v>40</v>
      </c>
      <c r="K86" s="146">
        <v>40</v>
      </c>
      <c r="L86" s="146">
        <v>40</v>
      </c>
      <c r="M86" s="159">
        <f t="shared" si="81"/>
        <v>5</v>
      </c>
      <c r="N86" s="39"/>
      <c r="O86" s="49"/>
      <c r="P86" s="73"/>
      <c r="Q86" s="40"/>
      <c r="R86" s="51"/>
      <c r="S86" s="52"/>
      <c r="T86" s="52"/>
      <c r="U86" s="53"/>
      <c r="V86" s="54"/>
      <c r="W86" s="55"/>
      <c r="X86" s="55"/>
      <c r="Y86" s="56"/>
    </row>
    <row r="87" spans="1:25" x14ac:dyDescent="0.35">
      <c r="A87" s="78"/>
      <c r="B87" s="47"/>
      <c r="C87" s="150" t="s">
        <v>176</v>
      </c>
      <c r="D87" s="146"/>
      <c r="E87" s="146"/>
      <c r="F87" s="146"/>
      <c r="G87" s="146">
        <v>40</v>
      </c>
      <c r="H87" s="146">
        <v>40</v>
      </c>
      <c r="I87" s="159"/>
      <c r="J87" s="146">
        <v>40</v>
      </c>
      <c r="K87" s="146">
        <v>40</v>
      </c>
      <c r="L87" s="146">
        <v>40</v>
      </c>
      <c r="M87" s="159">
        <f t="shared" si="81"/>
        <v>5</v>
      </c>
      <c r="N87" s="39"/>
      <c r="O87" s="49"/>
      <c r="P87" s="73"/>
      <c r="Q87" s="40"/>
      <c r="R87" s="51"/>
      <c r="S87" s="52"/>
      <c r="T87" s="52"/>
      <c r="U87" s="53"/>
      <c r="V87" s="54"/>
      <c r="W87" s="55"/>
      <c r="X87" s="55"/>
      <c r="Y87" s="56"/>
    </row>
    <row r="88" spans="1:25" x14ac:dyDescent="0.35">
      <c r="A88" s="78"/>
      <c r="B88" s="47"/>
      <c r="C88" s="150" t="s">
        <v>177</v>
      </c>
      <c r="D88" s="146"/>
      <c r="E88" s="146"/>
      <c r="F88" s="146"/>
      <c r="G88" s="146">
        <v>40</v>
      </c>
      <c r="H88" s="146">
        <v>40</v>
      </c>
      <c r="I88" s="159"/>
      <c r="J88" s="146">
        <v>40</v>
      </c>
      <c r="K88" s="146">
        <v>40</v>
      </c>
      <c r="L88" s="146">
        <v>40</v>
      </c>
      <c r="M88" s="159">
        <f t="shared" si="81"/>
        <v>5</v>
      </c>
      <c r="N88" s="39"/>
      <c r="O88" s="49"/>
      <c r="P88" s="73"/>
      <c r="Q88" s="40"/>
      <c r="R88" s="51"/>
      <c r="S88" s="52"/>
      <c r="T88" s="52"/>
      <c r="U88" s="53"/>
      <c r="V88" s="54"/>
      <c r="W88" s="55"/>
      <c r="X88" s="55"/>
      <c r="Y88" s="56"/>
    </row>
    <row r="89" spans="1:25" x14ac:dyDescent="0.35">
      <c r="A89" s="78"/>
      <c r="B89" s="47"/>
      <c r="C89" s="150" t="s">
        <v>178</v>
      </c>
      <c r="D89" s="146"/>
      <c r="E89" s="146"/>
      <c r="F89" s="146"/>
      <c r="G89" s="146">
        <v>40</v>
      </c>
      <c r="H89" s="146">
        <v>40</v>
      </c>
      <c r="I89" s="159"/>
      <c r="J89" s="146">
        <v>40</v>
      </c>
      <c r="K89" s="146">
        <v>40</v>
      </c>
      <c r="L89" s="146">
        <v>40</v>
      </c>
      <c r="M89" s="159">
        <f t="shared" si="81"/>
        <v>5</v>
      </c>
      <c r="N89" s="39"/>
      <c r="O89" s="49"/>
      <c r="P89" s="73"/>
      <c r="Q89" s="40"/>
      <c r="R89" s="51"/>
      <c r="S89" s="52"/>
      <c r="T89" s="52"/>
      <c r="U89" s="53"/>
      <c r="V89" s="54"/>
      <c r="W89" s="55"/>
      <c r="X89" s="55"/>
      <c r="Y89" s="56"/>
    </row>
    <row r="90" spans="1:25" x14ac:dyDescent="0.35">
      <c r="A90" s="78"/>
      <c r="B90" s="47"/>
      <c r="C90" s="150" t="s">
        <v>179</v>
      </c>
      <c r="D90" s="146"/>
      <c r="E90" s="146"/>
      <c r="F90" s="146"/>
      <c r="G90" s="146">
        <v>40</v>
      </c>
      <c r="H90" s="146">
        <v>40</v>
      </c>
      <c r="I90" s="159"/>
      <c r="J90" s="146">
        <v>40</v>
      </c>
      <c r="K90" s="146">
        <v>40</v>
      </c>
      <c r="L90" s="146">
        <v>40</v>
      </c>
      <c r="M90" s="159">
        <f t="shared" si="81"/>
        <v>5</v>
      </c>
      <c r="N90" s="39"/>
      <c r="O90" s="49"/>
      <c r="P90" s="73"/>
      <c r="Q90" s="40"/>
      <c r="R90" s="51"/>
      <c r="S90" s="52"/>
      <c r="T90" s="52"/>
      <c r="U90" s="53"/>
      <c r="V90" s="54"/>
      <c r="W90" s="55"/>
      <c r="X90" s="55"/>
      <c r="Y90" s="56"/>
    </row>
    <row r="91" spans="1:25" x14ac:dyDescent="0.35">
      <c r="A91" s="78"/>
      <c r="B91" s="47"/>
      <c r="C91" s="150" t="s">
        <v>169</v>
      </c>
      <c r="D91" s="146"/>
      <c r="E91" s="146"/>
      <c r="F91" s="146"/>
      <c r="G91" s="146">
        <v>84</v>
      </c>
      <c r="H91" s="146">
        <v>84</v>
      </c>
      <c r="I91" s="159"/>
      <c r="J91" s="146">
        <v>168</v>
      </c>
      <c r="K91" s="146">
        <v>126</v>
      </c>
      <c r="L91" s="146">
        <v>252</v>
      </c>
      <c r="M91" s="159">
        <f t="shared" si="81"/>
        <v>17.850000000000001</v>
      </c>
      <c r="N91" s="39"/>
      <c r="O91" s="49"/>
      <c r="P91" s="73"/>
      <c r="Q91" s="40"/>
      <c r="R91" s="51"/>
      <c r="S91" s="52"/>
      <c r="T91" s="52"/>
      <c r="U91" s="53"/>
      <c r="V91" s="54"/>
      <c r="W91" s="55"/>
      <c r="X91" s="55"/>
      <c r="Y91" s="56"/>
    </row>
    <row r="92" spans="1:25" x14ac:dyDescent="0.35">
      <c r="A92" s="78"/>
      <c r="B92" s="47"/>
      <c r="C92" s="151"/>
      <c r="D92" s="50"/>
      <c r="E92" s="50"/>
      <c r="F92" s="50"/>
      <c r="G92" s="50"/>
      <c r="H92" s="50"/>
      <c r="I92" s="152"/>
      <c r="J92" s="50"/>
      <c r="K92" s="50"/>
      <c r="L92" s="50"/>
      <c r="M92" s="152">
        <f t="shared" si="81"/>
        <v>0</v>
      </c>
      <c r="N92" s="39"/>
      <c r="O92" s="49"/>
      <c r="P92" s="73"/>
      <c r="Q92" s="40"/>
      <c r="R92" s="51"/>
      <c r="S92" s="52"/>
      <c r="T92" s="52"/>
      <c r="U92" s="53"/>
      <c r="V92" s="54"/>
      <c r="W92" s="55"/>
      <c r="X92" s="55"/>
      <c r="Y92" s="56"/>
    </row>
    <row r="93" spans="1:25" x14ac:dyDescent="0.35">
      <c r="A93" s="78"/>
      <c r="B93" s="47">
        <v>80</v>
      </c>
      <c r="C93" s="151"/>
      <c r="D93" s="50"/>
      <c r="E93" s="50"/>
      <c r="F93" s="50"/>
      <c r="G93" s="50"/>
      <c r="H93" s="50"/>
      <c r="I93" s="152"/>
      <c r="J93" s="50"/>
      <c r="K93" s="50"/>
      <c r="L93" s="50"/>
      <c r="M93" s="152">
        <f t="shared" si="81"/>
        <v>0</v>
      </c>
      <c r="N93" s="39">
        <f t="shared" si="18"/>
        <v>0</v>
      </c>
      <c r="O93" s="49">
        <f t="shared" si="1"/>
        <v>331.63</v>
      </c>
      <c r="P93" s="73">
        <f t="shared" si="82"/>
        <v>0</v>
      </c>
      <c r="Q93" s="40">
        <f t="shared" si="83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84"/>
        <v>#VALUE!</v>
      </c>
      <c r="V93" s="54" t="e">
        <f t="shared" si="85"/>
        <v>#VALUE!</v>
      </c>
      <c r="W93" s="55">
        <f t="shared" si="86"/>
        <v>0</v>
      </c>
      <c r="X93" s="55">
        <f t="shared" si="87"/>
        <v>0</v>
      </c>
      <c r="Y93" s="56" t="e">
        <f t="shared" si="88"/>
        <v>#VALUE!</v>
      </c>
    </row>
    <row r="94" spans="1:25" x14ac:dyDescent="0.35">
      <c r="A94" s="78"/>
      <c r="B94" s="170" t="s">
        <v>11</v>
      </c>
      <c r="C94" s="171"/>
      <c r="D94" s="88">
        <f t="shared" ref="D94:L94" si="96">SUM(D6:D60)</f>
        <v>1320</v>
      </c>
      <c r="E94" s="88">
        <f t="shared" si="96"/>
        <v>0</v>
      </c>
      <c r="F94" s="88">
        <f t="shared" si="96"/>
        <v>0</v>
      </c>
      <c r="G94" s="88">
        <f t="shared" si="96"/>
        <v>7140</v>
      </c>
      <c r="H94" s="88">
        <f t="shared" si="96"/>
        <v>7657</v>
      </c>
      <c r="I94" s="88">
        <f t="shared" si="96"/>
        <v>10657</v>
      </c>
      <c r="J94" s="88">
        <f t="shared" si="96"/>
        <v>11297</v>
      </c>
      <c r="K94" s="88">
        <f t="shared" si="96"/>
        <v>9684</v>
      </c>
      <c r="L94" s="88">
        <f t="shared" si="96"/>
        <v>13219</v>
      </c>
      <c r="M94" s="48">
        <f t="shared" ref="M94:M97" si="97">SUM(D94:L94)/40</f>
        <v>1524.35</v>
      </c>
      <c r="N94" s="39">
        <f t="shared" si="18"/>
        <v>0</v>
      </c>
      <c r="O94" s="49">
        <f t="shared" si="1"/>
        <v>331.63</v>
      </c>
      <c r="P94" s="73">
        <f t="shared" ref="P94:P98" si="98">SUM(G94:I94)/20</f>
        <v>1272.7</v>
      </c>
      <c r="Q94" s="40">
        <f t="shared" ref="Q94:Q98" si="99">SUM(J94:L94)/20</f>
        <v>1710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9"/>
        <v>#VALUE!</v>
      </c>
      <c r="V94" s="54" t="e">
        <f t="shared" ref="V94:V98" si="100">SUM(D94:F94)*$V$3</f>
        <v>#VALUE!</v>
      </c>
      <c r="W94" s="55">
        <f t="shared" ref="W94:W98" si="101">SUM(G94:I94)*$W$3</f>
        <v>0</v>
      </c>
      <c r="X94" s="55">
        <f t="shared" ref="X94:X98" si="102">SUM(J94:L94)*$X$3</f>
        <v>0</v>
      </c>
      <c r="Y94" s="56" t="e">
        <f t="shared" si="44"/>
        <v>#VALUE!</v>
      </c>
    </row>
    <row r="95" spans="1:25" x14ac:dyDescent="0.35">
      <c r="A95" s="78"/>
      <c r="B95" s="118">
        <v>0</v>
      </c>
      <c r="C95" s="57" t="s">
        <v>91</v>
      </c>
      <c r="D95" s="119">
        <v>1600</v>
      </c>
      <c r="E95" s="120"/>
      <c r="F95" s="121"/>
      <c r="G95" s="120"/>
      <c r="H95" s="120"/>
      <c r="I95" s="121"/>
      <c r="J95" s="120">
        <v>520</v>
      </c>
      <c r="K95" s="120">
        <v>920</v>
      </c>
      <c r="L95" s="121">
        <v>960</v>
      </c>
      <c r="M95" s="122">
        <f>SUM(D95:L95)</f>
        <v>4000</v>
      </c>
      <c r="N95" s="39"/>
      <c r="O95" s="49"/>
      <c r="P95" s="73"/>
      <c r="Q95" s="40"/>
      <c r="R95" s="51"/>
      <c r="S95" s="52"/>
      <c r="T95" s="52"/>
      <c r="U95" s="53"/>
      <c r="V95" s="54"/>
      <c r="W95" s="55"/>
      <c r="X95" s="55"/>
      <c r="Y95" s="56"/>
    </row>
    <row r="96" spans="1:25" x14ac:dyDescent="0.35">
      <c r="A96" s="78"/>
      <c r="B96" s="47">
        <v>1</v>
      </c>
      <c r="C96" s="57" t="s">
        <v>34</v>
      </c>
      <c r="D96" s="74"/>
      <c r="E96" s="75"/>
      <c r="F96" s="76"/>
      <c r="G96" s="50">
        <f>280+1600</f>
        <v>1880</v>
      </c>
      <c r="H96" s="75">
        <f>0+600</f>
        <v>600</v>
      </c>
      <c r="I96" s="49">
        <f>320+1800</f>
        <v>2120</v>
      </c>
      <c r="J96" s="50">
        <f>600+2800</f>
        <v>3400</v>
      </c>
      <c r="K96" s="75">
        <f>600+2400</f>
        <v>3000</v>
      </c>
      <c r="L96" s="76">
        <f>2200+2800</f>
        <v>5000</v>
      </c>
      <c r="M96" s="48">
        <f t="shared" si="97"/>
        <v>400</v>
      </c>
      <c r="N96" s="39">
        <f t="shared" si="18"/>
        <v>0</v>
      </c>
      <c r="O96" s="49">
        <f t="shared" si="1"/>
        <v>331.63</v>
      </c>
      <c r="P96" s="73">
        <f t="shared" si="98"/>
        <v>230</v>
      </c>
      <c r="Q96" s="40">
        <f t="shared" si="99"/>
        <v>570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20"/>
        <v>#VALUE!</v>
      </c>
    </row>
    <row r="97" spans="2:25" x14ac:dyDescent="0.35">
      <c r="B97" s="47">
        <v>2</v>
      </c>
      <c r="C97" s="57" t="s">
        <v>27</v>
      </c>
      <c r="D97" s="74">
        <v>1400</v>
      </c>
      <c r="E97" s="75"/>
      <c r="F97" s="76"/>
      <c r="G97" s="50">
        <v>400</v>
      </c>
      <c r="H97" s="75">
        <v>400</v>
      </c>
      <c r="I97" s="49">
        <v>0</v>
      </c>
      <c r="J97" s="50">
        <v>400</v>
      </c>
      <c r="K97" s="75">
        <v>400</v>
      </c>
      <c r="L97" s="76">
        <v>600</v>
      </c>
      <c r="M97" s="48">
        <f t="shared" si="97"/>
        <v>90</v>
      </c>
      <c r="N97" s="39">
        <f t="shared" si="18"/>
        <v>0</v>
      </c>
      <c r="O97" s="49">
        <f t="shared" si="1"/>
        <v>331.63</v>
      </c>
      <c r="P97" s="73">
        <f t="shared" si="98"/>
        <v>40</v>
      </c>
      <c r="Q97" s="40">
        <f t="shared" si="99"/>
        <v>70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20"/>
        <v>#VALUE!</v>
      </c>
    </row>
    <row r="98" spans="2:25" ht="15" thickBot="1" x14ac:dyDescent="0.4">
      <c r="B98" s="183" t="s">
        <v>93</v>
      </c>
      <c r="C98" s="184"/>
      <c r="D98" s="87">
        <f>SUM(D96:D97)</f>
        <v>1400</v>
      </c>
      <c r="E98" s="87">
        <f t="shared" ref="E98:L98" si="103">SUM(E96:E97)</f>
        <v>0</v>
      </c>
      <c r="F98" s="87">
        <f t="shared" si="103"/>
        <v>0</v>
      </c>
      <c r="G98" s="87">
        <f t="shared" si="103"/>
        <v>2280</v>
      </c>
      <c r="H98" s="87">
        <f t="shared" si="103"/>
        <v>1000</v>
      </c>
      <c r="I98" s="87">
        <f t="shared" si="103"/>
        <v>2120</v>
      </c>
      <c r="J98" s="87">
        <f t="shared" si="103"/>
        <v>3800</v>
      </c>
      <c r="K98" s="87">
        <f t="shared" si="103"/>
        <v>3400</v>
      </c>
      <c r="L98" s="87">
        <f t="shared" si="103"/>
        <v>5600</v>
      </c>
      <c r="M98" s="123">
        <f>SUM(M95:M97)</f>
        <v>4490</v>
      </c>
      <c r="N98" s="59">
        <f t="shared" si="18"/>
        <v>0</v>
      </c>
      <c r="O98" s="58">
        <f t="shared" si="1"/>
        <v>331.63</v>
      </c>
      <c r="P98" s="73">
        <f t="shared" si="98"/>
        <v>270</v>
      </c>
      <c r="Q98" s="40">
        <f t="shared" si="99"/>
        <v>640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20"/>
        <v>#VALUE!</v>
      </c>
    </row>
    <row r="99" spans="2:25" ht="15" thickBot="1" x14ac:dyDescent="0.4">
      <c r="B99" s="172" t="s">
        <v>11</v>
      </c>
      <c r="C99" s="173"/>
      <c r="D99" s="89">
        <f>SUM(D94,D98)</f>
        <v>2720</v>
      </c>
      <c r="E99" s="89">
        <f t="shared" ref="E99:L99" si="104">SUM(E94,E98)</f>
        <v>0</v>
      </c>
      <c r="F99" s="89">
        <f t="shared" si="104"/>
        <v>0</v>
      </c>
      <c r="G99" s="89">
        <f t="shared" si="104"/>
        <v>9420</v>
      </c>
      <c r="H99" s="89">
        <f t="shared" si="104"/>
        <v>8657</v>
      </c>
      <c r="I99" s="89">
        <f t="shared" si="104"/>
        <v>12777</v>
      </c>
      <c r="J99" s="89">
        <f t="shared" si="104"/>
        <v>15097</v>
      </c>
      <c r="K99" s="89">
        <f t="shared" si="104"/>
        <v>13084</v>
      </c>
      <c r="L99" s="89">
        <f t="shared" si="104"/>
        <v>18819</v>
      </c>
      <c r="M99" s="60">
        <f t="shared" si="0"/>
        <v>2014.35</v>
      </c>
      <c r="N99" s="63">
        <f>SUM(N5:N98)</f>
        <v>0</v>
      </c>
      <c r="O99" s="61">
        <f t="shared" ref="O99:Y99" si="105">SUM(O5:O98)</f>
        <v>27856.920000000016</v>
      </c>
      <c r="P99" s="62">
        <f t="shared" si="105"/>
        <v>3538.7</v>
      </c>
      <c r="Q99" s="64">
        <f t="shared" si="105"/>
        <v>5635.95</v>
      </c>
      <c r="R99" s="65" t="e">
        <f t="shared" si="105"/>
        <v>#VALUE!</v>
      </c>
      <c r="S99" s="66">
        <f t="shared" si="105"/>
        <v>0</v>
      </c>
      <c r="T99" s="66">
        <f t="shared" si="105"/>
        <v>0</v>
      </c>
      <c r="U99" s="67" t="e">
        <f t="shared" si="105"/>
        <v>#VALUE!</v>
      </c>
      <c r="V99" s="68" t="e">
        <f t="shared" si="105"/>
        <v>#VALUE!</v>
      </c>
      <c r="W99" s="69">
        <f t="shared" si="105"/>
        <v>0</v>
      </c>
      <c r="X99" s="69">
        <f t="shared" si="105"/>
        <v>0</v>
      </c>
      <c r="Y99" s="70" t="e">
        <f t="shared" si="105"/>
        <v>#VALUE!</v>
      </c>
    </row>
  </sheetData>
  <mergeCells count="11">
    <mergeCell ref="B99:C99"/>
    <mergeCell ref="M2:O2"/>
    <mergeCell ref="P2:Q2"/>
    <mergeCell ref="M3:O3"/>
    <mergeCell ref="A2:A4"/>
    <mergeCell ref="B98:C98"/>
    <mergeCell ref="B1:F1"/>
    <mergeCell ref="B2:B4"/>
    <mergeCell ref="R3:U3"/>
    <mergeCell ref="V3:Y3"/>
    <mergeCell ref="B94:C94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opLeftCell="B1" zoomScale="85" zoomScaleNormal="85" workbookViewId="0">
      <selection activeCell="I9" sqref="I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85" t="s">
        <v>57</v>
      </c>
      <c r="D3" s="186"/>
      <c r="E3" s="186"/>
      <c r="F3" s="186"/>
      <c r="G3" s="187"/>
      <c r="H3" s="189" t="s">
        <v>77</v>
      </c>
      <c r="I3" s="190"/>
      <c r="K3" s="191" t="s">
        <v>81</v>
      </c>
      <c r="L3" s="191"/>
      <c r="M3" s="191"/>
      <c r="N3" s="191"/>
      <c r="O3" s="191"/>
    </row>
    <row r="4" spans="3:15" ht="29.5" customHeight="1" x14ac:dyDescent="0.55000000000000004">
      <c r="C4" s="109"/>
      <c r="D4" s="80" t="s">
        <v>53</v>
      </c>
      <c r="E4" s="80" t="s">
        <v>54</v>
      </c>
      <c r="F4" s="80" t="s">
        <v>71</v>
      </c>
      <c r="G4" s="110" t="s">
        <v>56</v>
      </c>
      <c r="H4" s="103" t="s">
        <v>77</v>
      </c>
      <c r="I4" s="104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1" t="s">
        <v>58</v>
      </c>
      <c r="D5" s="92">
        <v>598</v>
      </c>
      <c r="E5" s="79">
        <v>1724</v>
      </c>
      <c r="F5" s="79">
        <v>590</v>
      </c>
      <c r="G5" s="112">
        <f>SUM(D5:F5)</f>
        <v>2912</v>
      </c>
      <c r="H5" s="105">
        <v>10000</v>
      </c>
      <c r="I5" s="106">
        <f>G5-H5</f>
        <v>-7088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1">
        <v>100</v>
      </c>
    </row>
    <row r="6" spans="3:15" ht="32" customHeight="1" thickBot="1" x14ac:dyDescent="0.6">
      <c r="C6" s="113" t="s">
        <v>59</v>
      </c>
      <c r="D6" s="114">
        <f>D5*40</f>
        <v>23920</v>
      </c>
      <c r="E6" s="115">
        <f>E5*40</f>
        <v>68960</v>
      </c>
      <c r="F6" s="115">
        <f>F5*40</f>
        <v>23600</v>
      </c>
      <c r="G6" s="116">
        <f>SUM(D6:F6)</f>
        <v>116480</v>
      </c>
      <c r="H6" s="107">
        <f>H5*40</f>
        <v>400000</v>
      </c>
      <c r="I6" s="108">
        <f>G6-H6</f>
        <v>-283520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1">
        <v>56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1335</v>
      </c>
      <c r="N7" s="6">
        <f t="shared" si="0"/>
        <v>33.375</v>
      </c>
      <c r="O7" s="81">
        <v>21</v>
      </c>
    </row>
    <row r="8" spans="3:15" ht="23.5" x14ac:dyDescent="0.55000000000000004">
      <c r="C8" s="82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1">
        <v>12</v>
      </c>
    </row>
    <row r="9" spans="3:15" ht="23.5" x14ac:dyDescent="0.55000000000000004">
      <c r="C9" s="82" t="s">
        <v>62</v>
      </c>
      <c r="D9" s="117">
        <f>D8-D5</f>
        <v>-598</v>
      </c>
      <c r="E9" s="117">
        <f>E8-E5</f>
        <v>-1724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1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1">
        <v>8</v>
      </c>
    </row>
    <row r="11" spans="3:15" ht="23.5" x14ac:dyDescent="0.55000000000000004">
      <c r="C11" s="188" t="s">
        <v>73</v>
      </c>
      <c r="D11" s="188"/>
      <c r="F11" s="188" t="s">
        <v>83</v>
      </c>
      <c r="G11" s="188"/>
      <c r="H11" t="s">
        <v>158</v>
      </c>
      <c r="I11">
        <f>D5/20</f>
        <v>29.9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1">
        <v>20</v>
      </c>
    </row>
    <row r="12" spans="3:15" ht="23.5" x14ac:dyDescent="0.55000000000000004">
      <c r="C12" s="99" t="s">
        <v>58</v>
      </c>
      <c r="D12" s="91">
        <v>500.9</v>
      </c>
      <c r="F12" s="99" t="s">
        <v>58</v>
      </c>
      <c r="G12" s="101">
        <f>D12+G5</f>
        <v>3412.9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0" t="s">
        <v>59</v>
      </c>
      <c r="D13" s="101">
        <f>D12*40</f>
        <v>20036</v>
      </c>
      <c r="F13" s="100" t="s">
        <v>59</v>
      </c>
      <c r="G13" s="101">
        <f>G12*40</f>
        <v>136516</v>
      </c>
    </row>
    <row r="16" spans="3:15" ht="24" thickBot="1" x14ac:dyDescent="0.6">
      <c r="K16" s="142" t="s">
        <v>111</v>
      </c>
      <c r="L16" s="142" t="s">
        <v>8</v>
      </c>
      <c r="M16" s="142" t="s">
        <v>75</v>
      </c>
      <c r="N16" s="142" t="s">
        <v>110</v>
      </c>
      <c r="O16" s="142" t="s">
        <v>113</v>
      </c>
    </row>
    <row r="17" spans="11:15" ht="23.5" x14ac:dyDescent="0.55000000000000004">
      <c r="K17" s="138" t="s">
        <v>1</v>
      </c>
      <c r="L17" s="140">
        <v>70</v>
      </c>
      <c r="M17" s="139">
        <v>11562</v>
      </c>
      <c r="N17" s="147">
        <v>13270</v>
      </c>
      <c r="O17" s="148">
        <f>N17-M5</f>
        <v>-338</v>
      </c>
    </row>
    <row r="18" spans="11:15" ht="23.5" x14ac:dyDescent="0.55000000000000004">
      <c r="K18" s="1" t="s">
        <v>2</v>
      </c>
      <c r="L18" s="141">
        <v>70</v>
      </c>
      <c r="M18" s="5">
        <v>10770</v>
      </c>
      <c r="N18" s="5">
        <v>14352</v>
      </c>
      <c r="O18" s="148">
        <f>N18-M6</f>
        <v>-343</v>
      </c>
    </row>
    <row r="19" spans="11:15" ht="23.5" x14ac:dyDescent="0.55000000000000004">
      <c r="K19" s="1" t="s">
        <v>3</v>
      </c>
      <c r="L19" s="141">
        <v>70</v>
      </c>
      <c r="M19" s="5">
        <v>14619</v>
      </c>
      <c r="N19" s="5">
        <v>1010</v>
      </c>
      <c r="O19" s="148">
        <f t="shared" ref="O19:O23" si="1">N19-M7</f>
        <v>-325</v>
      </c>
    </row>
    <row r="20" spans="11:15" ht="23.5" x14ac:dyDescent="0.55000000000000004">
      <c r="K20" s="1" t="s">
        <v>4</v>
      </c>
      <c r="L20" s="141">
        <v>120</v>
      </c>
      <c r="M20" s="5">
        <v>19143</v>
      </c>
      <c r="N20" s="5">
        <v>12294</v>
      </c>
      <c r="O20" s="148">
        <f t="shared" si="1"/>
        <v>-361</v>
      </c>
    </row>
    <row r="21" spans="11:15" ht="23.5" x14ac:dyDescent="0.55000000000000004">
      <c r="K21" s="1" t="s">
        <v>5</v>
      </c>
      <c r="L21" s="141">
        <v>120</v>
      </c>
      <c r="M21" s="5">
        <v>17100</v>
      </c>
      <c r="N21" s="5">
        <v>6522</v>
      </c>
      <c r="O21" s="148">
        <f t="shared" si="1"/>
        <v>-695</v>
      </c>
    </row>
    <row r="22" spans="11:15" ht="23.5" x14ac:dyDescent="0.55000000000000004">
      <c r="K22" s="1" t="s">
        <v>6</v>
      </c>
      <c r="L22" s="141">
        <v>120</v>
      </c>
      <c r="M22" s="5">
        <v>23404</v>
      </c>
      <c r="N22" s="5">
        <v>9539</v>
      </c>
      <c r="O22" s="148">
        <f t="shared" si="1"/>
        <v>67</v>
      </c>
    </row>
    <row r="23" spans="11:15" ht="23.5" x14ac:dyDescent="0.55000000000000004">
      <c r="K23" s="1" t="s">
        <v>7</v>
      </c>
      <c r="L23" s="141">
        <v>60</v>
      </c>
      <c r="M23" s="5">
        <v>7379</v>
      </c>
      <c r="N23" s="5">
        <v>57991</v>
      </c>
      <c r="O23" s="148">
        <f t="shared" si="1"/>
        <v>12</v>
      </c>
    </row>
    <row r="24" spans="11:15" ht="24" thickBot="1" x14ac:dyDescent="0.6">
      <c r="K24" s="143" t="s">
        <v>108</v>
      </c>
      <c r="L24" s="144"/>
      <c r="M24" s="145">
        <f>SUM(M17:M23)</f>
        <v>103977</v>
      </c>
      <c r="N24" s="145">
        <f>SUM(N17:N23)</f>
        <v>114978</v>
      </c>
      <c r="O24" s="142">
        <f>SUM(O17:O23)</f>
        <v>-1983</v>
      </c>
    </row>
    <row r="25" spans="11:15" ht="24" thickBot="1" x14ac:dyDescent="0.6">
      <c r="K25" s="143" t="s">
        <v>109</v>
      </c>
      <c r="L25" s="144"/>
      <c r="M25" s="145">
        <f>M24/40</f>
        <v>2599.4250000000002</v>
      </c>
      <c r="N25" s="145">
        <f>N24/40</f>
        <v>2874.45</v>
      </c>
      <c r="O25" s="142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0"/>
  <sheetViews>
    <sheetView workbookViewId="0">
      <selection activeCell="A5" sqref="A5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1" t="s">
        <v>60</v>
      </c>
      <c r="C1" s="81" t="s">
        <v>55</v>
      </c>
      <c r="D1" s="81" t="s">
        <v>9</v>
      </c>
      <c r="I1" s="149" t="s">
        <v>131</v>
      </c>
      <c r="J1" s="149" t="s">
        <v>132</v>
      </c>
      <c r="K1" s="149" t="s">
        <v>130</v>
      </c>
    </row>
    <row r="2" spans="1:12" x14ac:dyDescent="0.35">
      <c r="A2" s="2" t="s">
        <v>129</v>
      </c>
      <c r="B2" s="2"/>
      <c r="C2" s="2"/>
      <c r="D2" s="2"/>
      <c r="I2" s="81" t="s">
        <v>136</v>
      </c>
      <c r="J2" s="81">
        <v>20</v>
      </c>
      <c r="K2" s="81" t="s">
        <v>138</v>
      </c>
      <c r="L2" t="s">
        <v>159</v>
      </c>
    </row>
    <row r="3" spans="1:12" x14ac:dyDescent="0.35">
      <c r="A3" s="2"/>
      <c r="B3" s="2"/>
      <c r="C3" s="2"/>
      <c r="D3" s="2"/>
      <c r="I3" s="81" t="s">
        <v>137</v>
      </c>
      <c r="J3" s="81">
        <v>22</v>
      </c>
      <c r="K3" s="81" t="s">
        <v>138</v>
      </c>
      <c r="L3" t="s">
        <v>159</v>
      </c>
    </row>
    <row r="4" spans="1:12" x14ac:dyDescent="0.35">
      <c r="A4" s="2"/>
      <c r="B4" s="2"/>
      <c r="C4" s="2"/>
      <c r="D4" s="2"/>
      <c r="I4" s="81" t="s">
        <v>133</v>
      </c>
      <c r="J4" s="81">
        <v>114</v>
      </c>
      <c r="K4" s="81" t="s">
        <v>138</v>
      </c>
      <c r="L4" t="s">
        <v>159</v>
      </c>
    </row>
    <row r="5" spans="1:12" x14ac:dyDescent="0.35">
      <c r="A5" s="2"/>
      <c r="B5" s="2"/>
      <c r="C5" s="2"/>
      <c r="D5" s="2"/>
      <c r="I5" s="81" t="s">
        <v>134</v>
      </c>
      <c r="J5" s="81">
        <v>60</v>
      </c>
      <c r="K5" s="81" t="s">
        <v>138</v>
      </c>
      <c r="L5" t="s">
        <v>159</v>
      </c>
    </row>
    <row r="6" spans="1:12" x14ac:dyDescent="0.35">
      <c r="A6" s="2"/>
      <c r="B6" s="2"/>
      <c r="C6" s="2"/>
      <c r="D6" s="2"/>
      <c r="I6" s="81" t="s">
        <v>135</v>
      </c>
      <c r="J6" s="81">
        <v>15</v>
      </c>
      <c r="K6" s="81" t="s">
        <v>138</v>
      </c>
      <c r="L6" t="s">
        <v>159</v>
      </c>
    </row>
    <row r="7" spans="1:12" x14ac:dyDescent="0.35">
      <c r="A7" s="2"/>
      <c r="B7" s="2"/>
      <c r="C7" s="2"/>
      <c r="D7" s="2"/>
      <c r="I7" s="81" t="s">
        <v>133</v>
      </c>
      <c r="J7" s="81">
        <v>60</v>
      </c>
      <c r="K7" s="81" t="s">
        <v>139</v>
      </c>
      <c r="L7" t="s">
        <v>159</v>
      </c>
    </row>
    <row r="8" spans="1:12" x14ac:dyDescent="0.35">
      <c r="A8" s="2"/>
      <c r="B8" s="2"/>
      <c r="C8" s="2"/>
      <c r="D8" s="2"/>
      <c r="I8" s="81" t="s">
        <v>163</v>
      </c>
      <c r="J8" s="81">
        <v>13</v>
      </c>
      <c r="K8" s="81" t="s">
        <v>139</v>
      </c>
    </row>
    <row r="9" spans="1:12" x14ac:dyDescent="0.35">
      <c r="A9" s="2"/>
      <c r="B9" s="2"/>
      <c r="C9" s="2"/>
      <c r="D9" s="2"/>
      <c r="I9" s="81" t="s">
        <v>169</v>
      </c>
      <c r="J9" s="81">
        <v>18</v>
      </c>
      <c r="K9" s="81" t="s">
        <v>139</v>
      </c>
      <c r="L9" t="s">
        <v>159</v>
      </c>
    </row>
    <row r="10" spans="1:12" x14ac:dyDescent="0.35">
      <c r="A10" s="2"/>
      <c r="B10" s="2"/>
      <c r="C10" s="2"/>
      <c r="D10" s="2"/>
      <c r="I10" s="81" t="s">
        <v>133</v>
      </c>
      <c r="J10" s="81">
        <v>22</v>
      </c>
      <c r="K10" s="81" t="s">
        <v>139</v>
      </c>
    </row>
    <row r="11" spans="1:12" x14ac:dyDescent="0.35">
      <c r="A11" s="2"/>
      <c r="B11" s="2"/>
      <c r="C11" s="2"/>
      <c r="D11" s="2"/>
      <c r="I11" s="81" t="s">
        <v>166</v>
      </c>
      <c r="J11" s="81">
        <v>3</v>
      </c>
      <c r="K11" s="81" t="s">
        <v>139</v>
      </c>
    </row>
    <row r="12" spans="1:12" x14ac:dyDescent="0.35">
      <c r="A12" s="2"/>
      <c r="B12" s="2"/>
      <c r="C12" s="2"/>
      <c r="D12" s="2"/>
      <c r="I12" s="81" t="s">
        <v>167</v>
      </c>
      <c r="J12" s="81">
        <v>11</v>
      </c>
      <c r="K12" s="81" t="s">
        <v>139</v>
      </c>
    </row>
    <row r="13" spans="1:12" x14ac:dyDescent="0.35">
      <c r="A13" s="2"/>
      <c r="B13" s="2"/>
      <c r="C13" s="2"/>
      <c r="D13" s="2"/>
      <c r="I13" s="81" t="s">
        <v>133</v>
      </c>
      <c r="J13" s="81">
        <v>80</v>
      </c>
      <c r="K13" s="81" t="s">
        <v>139</v>
      </c>
    </row>
    <row r="14" spans="1:12" x14ac:dyDescent="0.35">
      <c r="A14" s="2"/>
      <c r="B14" s="2"/>
      <c r="C14" s="2"/>
      <c r="D14" s="2"/>
      <c r="I14" s="81" t="s">
        <v>168</v>
      </c>
      <c r="J14" s="81"/>
      <c r="K14" s="81" t="s">
        <v>139</v>
      </c>
    </row>
    <row r="15" spans="1:12" x14ac:dyDescent="0.35">
      <c r="A15" s="2"/>
      <c r="B15" s="2"/>
      <c r="C15" s="2"/>
      <c r="D15" s="2"/>
      <c r="I15" s="81" t="s">
        <v>169</v>
      </c>
      <c r="J15" s="81">
        <v>12</v>
      </c>
      <c r="K15" s="81" t="s">
        <v>139</v>
      </c>
    </row>
    <row r="16" spans="1:12" x14ac:dyDescent="0.35">
      <c r="A16" s="2"/>
      <c r="B16" s="2"/>
      <c r="C16" s="2"/>
      <c r="D16" s="2"/>
      <c r="I16" s="81"/>
      <c r="J16" s="81"/>
      <c r="K16" s="81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2026-06-24T12:51:03Z</dcterms:modified>
</cp:coreProperties>
</file>