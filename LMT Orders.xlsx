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B49F2E4F-B829-498D-B081-5B0194A436DD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G5" i="3" l="1"/>
  <c r="L25" i="2" l="1"/>
  <c r="K25" i="2"/>
  <c r="J25" i="2"/>
  <c r="I25" i="2"/>
  <c r="H25" i="2"/>
  <c r="G25" i="2"/>
  <c r="D13" i="3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M23" i="2"/>
  <c r="N23" i="2"/>
  <c r="O23" i="2"/>
  <c r="P23" i="2"/>
  <c r="Q23" i="2"/>
  <c r="R23" i="2"/>
  <c r="U23" i="2" s="1"/>
  <c r="S23" i="2"/>
  <c r="T23" i="2"/>
  <c r="V23" i="2"/>
  <c r="Y23" i="2" s="1"/>
  <c r="W23" i="2"/>
  <c r="X23" i="2"/>
  <c r="E24" i="2" l="1"/>
  <c r="F24" i="2"/>
  <c r="G24" i="2"/>
  <c r="H24" i="2"/>
  <c r="I24" i="2"/>
  <c r="J24" i="2"/>
  <c r="K24" i="2"/>
  <c r="L24" i="2"/>
  <c r="D24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27" i="2"/>
  <c r="E28" i="2" s="1"/>
  <c r="F27" i="2"/>
  <c r="F28" i="2" s="1"/>
  <c r="G27" i="2"/>
  <c r="H27" i="2"/>
  <c r="I27" i="2"/>
  <c r="J27" i="2"/>
  <c r="K27" i="2"/>
  <c r="L27" i="2"/>
  <c r="D27" i="2"/>
  <c r="M25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28" i="2"/>
  <c r="H28" i="2"/>
  <c r="I28" i="2"/>
  <c r="D28" i="2"/>
  <c r="J28" i="2"/>
  <c r="L28" i="2"/>
  <c r="K28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24" i="2"/>
  <c r="Q24" i="2"/>
  <c r="R24" i="2"/>
  <c r="U24" i="2" s="1"/>
  <c r="S24" i="2"/>
  <c r="T24" i="2"/>
  <c r="V24" i="2"/>
  <c r="Y24" i="2" s="1"/>
  <c r="W24" i="2"/>
  <c r="X24" i="2"/>
  <c r="P25" i="2"/>
  <c r="Q25" i="2"/>
  <c r="R25" i="2"/>
  <c r="U25" i="2" s="1"/>
  <c r="S25" i="2"/>
  <c r="T25" i="2"/>
  <c r="V25" i="2"/>
  <c r="Y25" i="2" s="1"/>
  <c r="W25" i="2"/>
  <c r="X25" i="2"/>
  <c r="P26" i="2"/>
  <c r="Q26" i="2"/>
  <c r="R26" i="2"/>
  <c r="U26" i="2" s="1"/>
  <c r="S26" i="2"/>
  <c r="T26" i="2"/>
  <c r="V26" i="2"/>
  <c r="Y26" i="2" s="1"/>
  <c r="W26" i="2"/>
  <c r="X26" i="2"/>
  <c r="P27" i="2"/>
  <c r="Q27" i="2"/>
  <c r="R27" i="2"/>
  <c r="U27" i="2" s="1"/>
  <c r="S27" i="2"/>
  <c r="T27" i="2"/>
  <c r="V27" i="2"/>
  <c r="Y27" i="2" s="1"/>
  <c r="W27" i="2"/>
  <c r="X27" i="2"/>
  <c r="M13" i="2"/>
  <c r="N13" i="2"/>
  <c r="O13" i="2"/>
  <c r="M14" i="2"/>
  <c r="N14" i="2"/>
  <c r="O14" i="2"/>
  <c r="M15" i="2"/>
  <c r="N15" i="2"/>
  <c r="O15" i="2"/>
  <c r="M24" i="2"/>
  <c r="N24" i="2"/>
  <c r="O24" i="2"/>
  <c r="N25" i="2"/>
  <c r="O25" i="2"/>
  <c r="M26" i="2"/>
  <c r="N26" i="2"/>
  <c r="O26" i="2"/>
  <c r="O27" i="2" l="1"/>
  <c r="N27" i="2"/>
  <c r="M27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28" i="2" s="1"/>
  <c r="T5" i="2"/>
  <c r="S5" i="2"/>
  <c r="R5" i="2"/>
  <c r="U5" i="2" s="1"/>
  <c r="U28" i="2" s="1"/>
  <c r="Q5" i="2"/>
  <c r="P5" i="2"/>
  <c r="O5" i="2"/>
  <c r="N5" i="2"/>
  <c r="M5" i="2"/>
  <c r="M28" i="2" l="1"/>
  <c r="P28" i="2"/>
  <c r="X28" i="2"/>
  <c r="R28" i="2"/>
  <c r="T28" i="2"/>
  <c r="Q28" i="2"/>
  <c r="Y5" i="2"/>
  <c r="Y28" i="2" s="1"/>
  <c r="O28" i="2"/>
  <c r="S28" i="2"/>
  <c r="W28" i="2"/>
  <c r="N28" i="2"/>
</calcChain>
</file>

<file path=xl/sharedStrings.xml><?xml version="1.0" encoding="utf-8"?>
<sst xmlns="http://schemas.openxmlformats.org/spreadsheetml/2006/main" count="112" uniqueCount="85">
  <si>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</si>
  <si>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</si>
  <si>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</si>
  <si>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</si>
  <si>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</si>
  <si>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</si>
  <si>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</si>
  <si>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</si>
  <si>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</si>
  <si>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</si>
  <si>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</si>
  <si>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</si>
  <si>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</si>
  <si>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</si>
  <si>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</si>
  <si>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</si>
  <si>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</si>
  <si>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</si>
  <si>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</si>
  <si>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</si>
  <si>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</si>
  <si>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</si>
  <si>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</si>
  <si>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</si>
  <si>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</si>
  <si>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>Clinix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</si>
  <si>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</si>
  <si>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</si>
  <si>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</si>
  <si>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</si>
  <si>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</si>
  <si>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</si>
  <si>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</si>
  <si>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</si>
  <si>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</si>
  <si>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</si>
  <si>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</si>
  <si>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</si>
  <si>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</si>
  <si>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 xml:space="preserve">Al-Fatah </t>
  </si>
  <si>
    <t>4269497-3</t>
  </si>
  <si>
    <t>Al-fateh Zubaida Associates</t>
  </si>
  <si>
    <t>Jalal Sons phase 5</t>
  </si>
  <si>
    <t>7278831-0</t>
  </si>
  <si>
    <t>Swera Store</t>
  </si>
  <si>
    <t>1265416-7</t>
  </si>
  <si>
    <t>E378144-0</t>
  </si>
  <si>
    <t>1010737-1</t>
  </si>
  <si>
    <t>Jalal sons main market</t>
  </si>
  <si>
    <t>Asgher Store</t>
  </si>
  <si>
    <t>Ms Traders (Risen)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</si>
  <si>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</si>
  <si>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</si>
  <si>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</si>
  <si>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</si>
  <si>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</si>
  <si>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</si>
  <si>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</si>
  <si>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</si>
  <si>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</si>
  <si>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</si>
  <si>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</si>
  <si>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</si>
  <si>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SD Total 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</si>
  <si>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</si>
  <si>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</si>
  <si>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</si>
  <si>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</si>
  <si>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</si>
  <si>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 xml:space="preserve">Rafaqat &amp; Sons </t>
  </si>
  <si>
    <t>Rehman Garden (Risen)</t>
  </si>
  <si>
    <t>Pak Madina (Jharawala)</t>
  </si>
  <si>
    <t>SD</t>
  </si>
  <si>
    <t>Last Month Sale</t>
  </si>
  <si>
    <t xml:space="preserve">Last Month Sale </t>
  </si>
  <si>
    <t>Monthly Targets</t>
  </si>
  <si>
    <t>Secondary</t>
  </si>
  <si>
    <t xml:space="preserve">Jalal Sons 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</si>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</sst>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54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1" fontId="0" fillId="0" borderId="1" xfId="0" applyNumberForma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0" fillId="0" borderId="38" xfId="0" applyBorder="1"/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6" fillId="8" borderId="25" xfId="0" applyFont="1" applyFill="1" applyBorder="1" applyAlignment="1">
      <alignment horizontal="left"/>
    </xf>
    <xf numFmtId="0" fontId="5" fillId="8" borderId="26" xfId="0" applyFont="1" applyFill="1" applyBorder="1"/>
    <xf numFmtId="0" fontId="5" fillId="8" borderId="24" xfId="0" applyFont="1" applyFill="1" applyBorder="1"/>
    <xf numFmtId="0" fontId="5" fillId="8" borderId="27" xfId="0" applyFont="1" applyFill="1" applyBorder="1" applyAlignment="1">
      <alignment horizontal="center"/>
    </xf>
    <xf numFmtId="0" fontId="5" fillId="8" borderId="28" xfId="0" applyFont="1" applyFill="1" applyBorder="1"/>
    <xf numFmtId="0" fontId="5" fillId="8" borderId="27" xfId="0" applyFont="1" applyFill="1" applyBorder="1"/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10" borderId="50" xfId="0" applyFont="1" applyFill="1" applyBorder="1" applyAlignment="1">
      <alignment horizontal="center" vertical="center"/>
    </xf>
    <xf numFmtId="1" fontId="10" fillId="9" borderId="44" xfId="0" applyNumberFormat="1" applyFont="1" applyFill="1" applyBorder="1" applyAlignment="1">
      <alignment horizontal="center" vertical="center"/>
    </xf>
    <xf numFmtId="0" fontId="7" fillId="10" borderId="19" xfId="0" applyFont="1" applyFill="1" applyBorder="1" applyAlignment="1">
      <alignment horizontal="center" vertical="center"/>
    </xf>
    <xf numFmtId="1" fontId="10" fillId="9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1" fontId="0" fillId="0" borderId="0" xfId="0" applyNumberFormat="1"/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3"/>
  <sheetViews>
    <sheetView topLeftCell="A7" zoomScale="85" zoomScaleNormal="85" workbookViewId="0">
      <selection activeCell="B24" sqref="B2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75</v>
      </c>
    </row>
    <row r="9" spans="2:6" ht="22.5" customHeight="1" x14ac:dyDescent="0.35">
      <c r="B9" s="79" t="s">
        <v>33</v>
      </c>
      <c r="C9" s="79" t="s">
        <v>35</v>
      </c>
      <c r="D9" s="79" t="s">
        <v>36</v>
      </c>
      <c r="F9" s="105" t="s">
        <v>76</v>
      </c>
    </row>
    <row r="10" spans="2:6" x14ac:dyDescent="0.35">
      <c r="B10" s="2" t="s">
        <v>26</v>
      </c>
      <c r="C10" s="2" t="s">
        <v>37</v>
      </c>
      <c r="D10" s="78">
        <v>3520247902365</v>
      </c>
      <c r="F10">
        <v>10000</v>
      </c>
    </row>
    <row r="11" spans="2:6" x14ac:dyDescent="0.35">
      <c r="B11" s="2" t="s">
        <v>27</v>
      </c>
      <c r="C11" s="2"/>
      <c r="D11" s="2"/>
    </row>
    <row r="12" spans="2:6" x14ac:dyDescent="0.35">
      <c r="B12" s="2" t="s">
        <v>41</v>
      </c>
      <c r="C12" s="2" t="s">
        <v>40</v>
      </c>
      <c r="D12" s="78">
        <v>300426949714</v>
      </c>
    </row>
    <row r="13" spans="2:6" x14ac:dyDescent="0.35">
      <c r="B13" s="2" t="s">
        <v>28</v>
      </c>
      <c r="C13" s="2" t="s">
        <v>43</v>
      </c>
      <c r="D13" s="78">
        <v>3277876126916</v>
      </c>
    </row>
    <row r="14" spans="2:6" x14ac:dyDescent="0.35">
      <c r="B14" s="2" t="s">
        <v>29</v>
      </c>
      <c r="C14" s="2" t="s">
        <v>47</v>
      </c>
      <c r="D14" s="78">
        <v>3520255124113</v>
      </c>
    </row>
    <row r="15" spans="2:6" x14ac:dyDescent="0.35">
      <c r="B15" s="2" t="s">
        <v>30</v>
      </c>
      <c r="C15" s="2" t="s">
        <v>47</v>
      </c>
      <c r="D15" s="78">
        <v>3520255124113</v>
      </c>
    </row>
    <row r="16" spans="2:6" x14ac:dyDescent="0.35">
      <c r="B16" s="2" t="s">
        <v>31</v>
      </c>
      <c r="C16" s="2" t="s">
        <v>45</v>
      </c>
      <c r="D16" s="78">
        <v>3520268948847</v>
      </c>
    </row>
    <row r="17" spans="2:4" x14ac:dyDescent="0.35">
      <c r="B17" s="2" t="s">
        <v>32</v>
      </c>
      <c r="C17" s="2" t="s">
        <v>51</v>
      </c>
      <c r="D17" s="2"/>
    </row>
    <row r="18" spans="2:4" x14ac:dyDescent="0.35">
      <c r="B18" s="2" t="s">
        <v>34</v>
      </c>
      <c r="C18" s="2" t="s">
        <v>46</v>
      </c>
      <c r="D18" s="81" t="s">
        <v>52</v>
      </c>
    </row>
    <row r="19" spans="2:4" ht="15" customHeight="1" x14ac:dyDescent="0.35">
      <c r="B19" s="92" t="s">
        <v>64</v>
      </c>
      <c r="C19" t="s">
        <v>65</v>
      </c>
    </row>
    <row r="20" spans="2:4" x14ac:dyDescent="0.35">
      <c r="B20" s="92" t="s">
        <v>66</v>
      </c>
    </row>
    <row r="21" spans="2:4" x14ac:dyDescent="0.35">
      <c r="B21" s="92" t="s">
        <v>67</v>
      </c>
    </row>
    <row r="22" spans="2:4" x14ac:dyDescent="0.35">
      <c r="B22" s="92" t="s">
        <v>68</v>
      </c>
    </row>
    <row r="23" spans="2:4" x14ac:dyDescent="0.35">
      <c r="B23" s="92" t="s">
        <v>80</v>
      </c>
      <c r="C23" t="s">
        <v>81</v>
      </c>
      <c r="D23" s="121">
        <v>3277876231301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28"/>
  <sheetViews>
    <sheetView tabSelected="1" topLeftCell="A4" zoomScaleNormal="100" workbookViewId="0">
      <selection activeCell="E23" sqref="E23"/>
    </sheetView>
  </sheetViews>
  <sheetFormatPr defaultRowHeight="14.5" x14ac:dyDescent="0.35"/>
  <cols>
    <col min="3" max="3" width="18.453125" bestFit="1" customWidth="1"/>
  </cols>
  <sheetData>
    <row r="1" spans="1:25" ht="15" thickBot="1" x14ac:dyDescent="0.4">
      <c r="B1" s="122">
        <v>46174</v>
      </c>
      <c r="C1" s="122"/>
      <c r="D1" s="122"/>
      <c r="E1" s="122"/>
      <c r="F1" s="122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44" t="s">
        <v>38</v>
      </c>
      <c r="B2" s="123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36"/>
      <c r="N2" s="137"/>
      <c r="O2" s="138"/>
      <c r="P2" s="139" t="s">
        <v>14</v>
      </c>
      <c r="Q2" s="140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44"/>
      <c r="B3" s="124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41" t="s">
        <v>11</v>
      </c>
      <c r="N3" s="142"/>
      <c r="O3" s="143"/>
      <c r="P3" s="72"/>
      <c r="Q3" s="73"/>
      <c r="R3" s="126" t="s">
        <v>16</v>
      </c>
      <c r="S3" s="127"/>
      <c r="T3" s="127"/>
      <c r="U3" s="128"/>
      <c r="V3" s="129" t="s">
        <v>17</v>
      </c>
      <c r="W3" s="130"/>
      <c r="X3" s="130"/>
      <c r="Y3" s="131"/>
    </row>
    <row r="4" spans="1:25" ht="15" thickBot="1" x14ac:dyDescent="0.4">
      <c r="A4" s="144"/>
      <c r="B4" s="125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80">
        <v>46179</v>
      </c>
      <c r="B5" s="36">
        <v>1</v>
      </c>
      <c r="C5" s="96" t="s">
        <v>73</v>
      </c>
      <c r="D5" s="97">
        <v>1003</v>
      </c>
      <c r="E5" s="98"/>
      <c r="F5" s="99"/>
      <c r="G5" s="100">
        <v>1613</v>
      </c>
      <c r="H5" s="98">
        <v>2442</v>
      </c>
      <c r="I5" s="99">
        <v>1036</v>
      </c>
      <c r="J5" s="100">
        <v>5269</v>
      </c>
      <c r="K5" s="98">
        <v>3838</v>
      </c>
      <c r="L5" s="101">
        <v>4835</v>
      </c>
      <c r="M5" s="37">
        <f>SUM(D5:L5)/40</f>
        <v>500.9</v>
      </c>
      <c r="N5" s="39">
        <f>SUMPRODUCT($D$4:$L$4,$D$6:$L$6)</f>
        <v>0</v>
      </c>
      <c r="O5" s="38">
        <f>SUMPRODUCT($D$3:$L$3,$D$6:$L$6)/1000</f>
        <v>331.63</v>
      </c>
      <c r="P5" s="74">
        <f>SUM(G5:I5)/20</f>
        <v>254.55</v>
      </c>
      <c r="Q5" s="40">
        <f>SUM(J5:L5)/20</f>
        <v>697.1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80">
        <v>46179</v>
      </c>
      <c r="B6" s="47">
        <v>2</v>
      </c>
      <c r="C6" s="57" t="s">
        <v>42</v>
      </c>
      <c r="D6" s="75">
        <v>800</v>
      </c>
      <c r="E6" s="76"/>
      <c r="F6" s="77"/>
      <c r="G6" s="50">
        <v>800</v>
      </c>
      <c r="H6" s="76">
        <v>800</v>
      </c>
      <c r="I6" s="49">
        <v>800</v>
      </c>
      <c r="J6" s="50">
        <v>800</v>
      </c>
      <c r="K6" s="76">
        <v>800</v>
      </c>
      <c r="L6" s="77">
        <v>800</v>
      </c>
      <c r="M6" s="48">
        <f t="shared" ref="M6:M28" si="0">SUM(D6:L6)/40</f>
        <v>140</v>
      </c>
      <c r="N6" s="39">
        <f>SUMPRODUCT($D$4:$L$4,$D$6:$L$6)</f>
        <v>0</v>
      </c>
      <c r="O6" s="49">
        <f t="shared" ref="O6:O27" si="1">SUMPRODUCT($D$3:$L$3,$D$6:$L$6)/1000</f>
        <v>331.63</v>
      </c>
      <c r="P6" s="74">
        <f t="shared" ref="P6" si="2">SUM(G6:I6)/20</f>
        <v>120</v>
      </c>
      <c r="Q6" s="40">
        <f t="shared" ref="Q6" si="3">SUM(J6:L6)/20</f>
        <v>120</v>
      </c>
      <c r="R6" s="51" t="e">
        <f t="shared" ref="R6:R27" si="4">SUMPRODUCT($D$4:$F$4,$D$6:$F$6)*$R$3</f>
        <v>#VALUE!</v>
      </c>
      <c r="S6" s="52">
        <f t="shared" ref="S6:S27" si="5">SUMPRODUCT($G$4:$I$4,$G$6:$I$6)*$S$3</f>
        <v>0</v>
      </c>
      <c r="T6" s="52">
        <f t="shared" ref="T6:T27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80">
        <v>46179</v>
      </c>
      <c r="B7" s="47">
        <v>3</v>
      </c>
      <c r="C7" s="57" t="s">
        <v>44</v>
      </c>
      <c r="D7" s="75">
        <v>80</v>
      </c>
      <c r="E7" s="76"/>
      <c r="F7" s="77"/>
      <c r="G7" s="50">
        <v>80</v>
      </c>
      <c r="H7" s="76">
        <v>80</v>
      </c>
      <c r="I7" s="49">
        <v>80</v>
      </c>
      <c r="J7" s="50">
        <v>80</v>
      </c>
      <c r="K7" s="76">
        <v>80</v>
      </c>
      <c r="L7" s="77">
        <v>80</v>
      </c>
      <c r="M7" s="48">
        <f t="shared" ref="M7:M15" si="12">SUM(D7:L7)/40</f>
        <v>14</v>
      </c>
      <c r="N7" s="39">
        <f>SUMPRODUCT($D$4:$L$4,$D$6:$L$6)</f>
        <v>0</v>
      </c>
      <c r="O7" s="49">
        <f t="shared" si="1"/>
        <v>331.63</v>
      </c>
      <c r="P7" s="74">
        <f t="shared" ref="P7:P15" si="13">SUM(G7:I7)/20</f>
        <v>12</v>
      </c>
      <c r="Q7" s="40">
        <f t="shared" ref="Q7:Q15" si="14">SUM(J7:L7)/20</f>
        <v>12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80">
        <v>46181</v>
      </c>
      <c r="B8" s="47">
        <v>4</v>
      </c>
      <c r="C8" s="57" t="s">
        <v>48</v>
      </c>
      <c r="D8" s="75">
        <v>200</v>
      </c>
      <c r="E8" s="76"/>
      <c r="F8" s="77"/>
      <c r="G8" s="50">
        <v>200</v>
      </c>
      <c r="H8" s="76">
        <v>200</v>
      </c>
      <c r="I8" s="49">
        <v>200</v>
      </c>
      <c r="J8" s="50">
        <v>200</v>
      </c>
      <c r="K8" s="76">
        <v>200</v>
      </c>
      <c r="L8" s="77">
        <v>200</v>
      </c>
      <c r="M8" s="48">
        <f t="shared" si="12"/>
        <v>35</v>
      </c>
      <c r="N8" s="39">
        <f t="shared" ref="N8:N27" si="18">SUMPRODUCT($D$4:$L$4,$D$6:$L$6)</f>
        <v>0</v>
      </c>
      <c r="O8" s="49">
        <f t="shared" si="1"/>
        <v>331.63</v>
      </c>
      <c r="P8" s="74">
        <f t="shared" si="13"/>
        <v>30</v>
      </c>
      <c r="Q8" s="40">
        <f t="shared" si="14"/>
        <v>30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80">
        <v>46181</v>
      </c>
      <c r="B9" s="47">
        <v>5</v>
      </c>
      <c r="C9" s="57" t="s">
        <v>49</v>
      </c>
      <c r="D9" s="75"/>
      <c r="E9" s="76"/>
      <c r="F9" s="77"/>
      <c r="G9" s="50"/>
      <c r="H9" s="76"/>
      <c r="I9" s="49"/>
      <c r="J9" s="50">
        <v>560</v>
      </c>
      <c r="K9" s="76">
        <v>560</v>
      </c>
      <c r="L9" s="77">
        <v>880</v>
      </c>
      <c r="M9" s="48">
        <f t="shared" si="12"/>
        <v>50</v>
      </c>
      <c r="N9" s="39">
        <f t="shared" si="18"/>
        <v>0</v>
      </c>
      <c r="O9" s="49">
        <f t="shared" si="1"/>
        <v>331.63</v>
      </c>
      <c r="P9" s="74">
        <f t="shared" si="13"/>
        <v>0</v>
      </c>
      <c r="Q9" s="40">
        <f t="shared" si="14"/>
        <v>100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80">
        <v>46182</v>
      </c>
      <c r="B10" s="47">
        <v>6</v>
      </c>
      <c r="C10" s="57" t="s">
        <v>39</v>
      </c>
      <c r="D10" s="75"/>
      <c r="E10" s="76"/>
      <c r="F10" s="77"/>
      <c r="G10" s="50">
        <v>1200</v>
      </c>
      <c r="H10" s="76">
        <v>1200</v>
      </c>
      <c r="I10" s="49">
        <v>1800</v>
      </c>
      <c r="J10" s="50">
        <v>2400</v>
      </c>
      <c r="K10" s="76">
        <v>1800</v>
      </c>
      <c r="L10" s="77">
        <v>1800</v>
      </c>
      <c r="M10" s="48">
        <f t="shared" si="12"/>
        <v>255</v>
      </c>
      <c r="N10" s="39">
        <f t="shared" si="18"/>
        <v>0</v>
      </c>
      <c r="O10" s="49">
        <f t="shared" si="1"/>
        <v>331.63</v>
      </c>
      <c r="P10" s="74">
        <f t="shared" si="13"/>
        <v>210</v>
      </c>
      <c r="Q10" s="40">
        <f t="shared" si="14"/>
        <v>300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80">
        <v>46182</v>
      </c>
      <c r="B11" s="47">
        <v>7</v>
      </c>
      <c r="C11" s="57" t="s">
        <v>29</v>
      </c>
      <c r="D11" s="75"/>
      <c r="E11" s="76"/>
      <c r="F11" s="77"/>
      <c r="G11" s="50"/>
      <c r="H11" s="76">
        <v>40</v>
      </c>
      <c r="I11" s="49">
        <v>40</v>
      </c>
      <c r="J11" s="50">
        <v>40</v>
      </c>
      <c r="K11" s="76">
        <v>40</v>
      </c>
      <c r="L11" s="77">
        <v>40</v>
      </c>
      <c r="M11" s="48">
        <f t="shared" si="12"/>
        <v>5</v>
      </c>
      <c r="N11" s="39">
        <f t="shared" si="18"/>
        <v>0</v>
      </c>
      <c r="O11" s="49">
        <f t="shared" si="1"/>
        <v>331.63</v>
      </c>
      <c r="P11" s="74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80">
        <v>46182</v>
      </c>
      <c r="B12" s="47">
        <v>8</v>
      </c>
      <c r="C12" s="57" t="s">
        <v>50</v>
      </c>
      <c r="D12" s="75"/>
      <c r="E12" s="76"/>
      <c r="F12" s="77"/>
      <c r="G12" s="50">
        <v>400</v>
      </c>
      <c r="H12" s="76">
        <v>200</v>
      </c>
      <c r="I12" s="49">
        <v>400</v>
      </c>
      <c r="J12" s="50">
        <v>400</v>
      </c>
      <c r="K12" s="76">
        <v>200</v>
      </c>
      <c r="L12" s="77">
        <v>400</v>
      </c>
      <c r="M12" s="48">
        <f t="shared" si="12"/>
        <v>50</v>
      </c>
      <c r="N12" s="39">
        <f t="shared" si="18"/>
        <v>0</v>
      </c>
      <c r="O12" s="49">
        <f t="shared" si="1"/>
        <v>331.63</v>
      </c>
      <c r="P12" s="74">
        <f t="shared" si="13"/>
        <v>50</v>
      </c>
      <c r="Q12" s="40">
        <f t="shared" si="14"/>
        <v>50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80">
        <v>46183</v>
      </c>
      <c r="B13" s="47">
        <v>9</v>
      </c>
      <c r="C13" s="57" t="s">
        <v>64</v>
      </c>
      <c r="D13" s="75"/>
      <c r="E13" s="76"/>
      <c r="F13" s="77"/>
      <c r="G13" s="50">
        <v>40</v>
      </c>
      <c r="H13" s="76">
        <v>40</v>
      </c>
      <c r="I13" s="49">
        <v>40</v>
      </c>
      <c r="J13" s="50">
        <v>40</v>
      </c>
      <c r="K13" s="76">
        <v>40</v>
      </c>
      <c r="L13" s="77">
        <v>40</v>
      </c>
      <c r="M13" s="48">
        <f t="shared" si="12"/>
        <v>6</v>
      </c>
      <c r="N13" s="39">
        <f t="shared" si="18"/>
        <v>0</v>
      </c>
      <c r="O13" s="49">
        <f t="shared" si="1"/>
        <v>331.63</v>
      </c>
      <c r="P13" s="74">
        <f t="shared" si="13"/>
        <v>6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27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27" si="20">SUM(V13:X13)</f>
        <v>#VALUE!</v>
      </c>
    </row>
    <row r="14" spans="1:25" x14ac:dyDescent="0.35">
      <c r="A14" s="80">
        <v>46183</v>
      </c>
      <c r="B14" s="47">
        <v>10</v>
      </c>
      <c r="C14" s="57" t="s">
        <v>25</v>
      </c>
      <c r="D14" s="75"/>
      <c r="E14" s="76"/>
      <c r="F14" s="77"/>
      <c r="G14" s="50">
        <v>240</v>
      </c>
      <c r="H14" s="76">
        <v>240</v>
      </c>
      <c r="I14" s="49">
        <v>240</v>
      </c>
      <c r="J14" s="50">
        <v>240</v>
      </c>
      <c r="K14" s="76">
        <v>240</v>
      </c>
      <c r="L14" s="77">
        <v>600</v>
      </c>
      <c r="M14" s="48">
        <f t="shared" si="12"/>
        <v>45</v>
      </c>
      <c r="N14" s="39">
        <f t="shared" si="18"/>
        <v>0</v>
      </c>
      <c r="O14" s="49">
        <f t="shared" si="1"/>
        <v>331.63</v>
      </c>
      <c r="P14" s="74">
        <f t="shared" si="13"/>
        <v>36</v>
      </c>
      <c r="Q14" s="40">
        <f t="shared" si="14"/>
        <v>54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80">
        <v>46183</v>
      </c>
      <c r="B15" s="47">
        <v>11</v>
      </c>
      <c r="C15" s="57" t="s">
        <v>69</v>
      </c>
      <c r="D15" s="75"/>
      <c r="E15" s="76"/>
      <c r="F15" s="77"/>
      <c r="G15" s="50"/>
      <c r="H15" s="76"/>
      <c r="I15" s="49">
        <v>80</v>
      </c>
      <c r="J15" s="50">
        <v>80</v>
      </c>
      <c r="K15" s="76">
        <v>80</v>
      </c>
      <c r="L15" s="77">
        <v>80</v>
      </c>
      <c r="M15" s="48">
        <f t="shared" si="12"/>
        <v>8</v>
      </c>
      <c r="N15" s="39">
        <f t="shared" si="18"/>
        <v>0</v>
      </c>
      <c r="O15" s="49">
        <f t="shared" si="1"/>
        <v>331.63</v>
      </c>
      <c r="P15" s="74">
        <f t="shared" si="13"/>
        <v>4</v>
      </c>
      <c r="Q15" s="40">
        <f t="shared" si="14"/>
        <v>12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80">
        <v>46184</v>
      </c>
      <c r="B16" s="47">
        <v>12</v>
      </c>
      <c r="C16" s="57" t="s">
        <v>70</v>
      </c>
      <c r="D16" s="75"/>
      <c r="E16" s="76"/>
      <c r="F16" s="77"/>
      <c r="G16" s="50">
        <v>80</v>
      </c>
      <c r="H16" s="76">
        <v>80</v>
      </c>
      <c r="I16" s="49">
        <v>120</v>
      </c>
      <c r="J16" s="50">
        <v>80</v>
      </c>
      <c r="K16" s="76">
        <v>40</v>
      </c>
      <c r="L16" s="77">
        <v>80</v>
      </c>
      <c r="M16" s="48">
        <f t="shared" ref="M16:M17" si="21">SUM(D16:L16)/40</f>
        <v>12</v>
      </c>
      <c r="N16" s="39">
        <f t="shared" si="18"/>
        <v>0</v>
      </c>
      <c r="O16" s="49">
        <f t="shared" si="1"/>
        <v>331.63</v>
      </c>
      <c r="P16" s="74">
        <f t="shared" ref="P16:P17" si="22">SUM(G16:I16)/20</f>
        <v>14</v>
      </c>
      <c r="Q16" s="40">
        <f t="shared" ref="Q16:Q17" si="23">SUM(J16:L16)/20</f>
        <v>10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80">
        <v>46184</v>
      </c>
      <c r="B17" s="47">
        <v>13</v>
      </c>
      <c r="C17" s="57" t="s">
        <v>71</v>
      </c>
      <c r="D17" s="75">
        <v>40</v>
      </c>
      <c r="E17" s="76"/>
      <c r="F17" s="77"/>
      <c r="G17" s="50">
        <v>40</v>
      </c>
      <c r="H17" s="76"/>
      <c r="I17" s="49">
        <v>40</v>
      </c>
      <c r="J17" s="50"/>
      <c r="K17" s="76"/>
      <c r="L17" s="77">
        <v>80</v>
      </c>
      <c r="M17" s="48">
        <f t="shared" si="21"/>
        <v>5</v>
      </c>
      <c r="N17" s="39">
        <f t="shared" si="18"/>
        <v>0</v>
      </c>
      <c r="O17" s="49">
        <f t="shared" si="1"/>
        <v>331.63</v>
      </c>
      <c r="P17" s="74">
        <f t="shared" si="22"/>
        <v>4</v>
      </c>
      <c r="Q17" s="40">
        <f t="shared" si="23"/>
        <v>4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80">
        <v>46184</v>
      </c>
      <c r="B18" s="47">
        <v>14</v>
      </c>
      <c r="C18" s="57" t="s">
        <v>39</v>
      </c>
      <c r="D18" s="75"/>
      <c r="E18" s="76"/>
      <c r="F18" s="77"/>
      <c r="G18" s="50">
        <v>600</v>
      </c>
      <c r="H18" s="76">
        <v>597</v>
      </c>
      <c r="I18" s="49">
        <v>797</v>
      </c>
      <c r="J18" s="50">
        <v>1597</v>
      </c>
      <c r="K18" s="76">
        <v>1184</v>
      </c>
      <c r="L18" s="77">
        <v>1199</v>
      </c>
      <c r="M18" s="48">
        <f t="shared" ref="M18:M20" si="29">SUM(D18:L18)/40</f>
        <v>149.35</v>
      </c>
      <c r="N18" s="39">
        <f t="shared" si="18"/>
        <v>0</v>
      </c>
      <c r="O18" s="49">
        <f t="shared" si="1"/>
        <v>331.63</v>
      </c>
      <c r="P18" s="74">
        <f t="shared" ref="P18:P20" si="30">SUM(G18:I18)/20</f>
        <v>99.7</v>
      </c>
      <c r="Q18" s="40">
        <f t="shared" ref="Q18:Q20" si="31">SUM(J18:L18)/20</f>
        <v>199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80">
        <v>46184</v>
      </c>
      <c r="B19" s="47">
        <v>15</v>
      </c>
      <c r="C19" s="57" t="s">
        <v>77</v>
      </c>
      <c r="D19" s="75"/>
      <c r="E19" s="76"/>
      <c r="F19" s="77"/>
      <c r="G19" s="50"/>
      <c r="H19" s="76"/>
      <c r="I19" s="49">
        <v>40</v>
      </c>
      <c r="J19" s="50">
        <v>40</v>
      </c>
      <c r="K19" s="76">
        <v>40</v>
      </c>
      <c r="L19" s="77">
        <v>40</v>
      </c>
      <c r="M19" s="48">
        <f t="shared" si="29"/>
        <v>4</v>
      </c>
      <c r="N19" s="39">
        <f t="shared" si="18"/>
        <v>0</v>
      </c>
      <c r="O19" s="49">
        <f t="shared" si="1"/>
        <v>331.63</v>
      </c>
      <c r="P19" s="74">
        <f t="shared" si="30"/>
        <v>2</v>
      </c>
      <c r="Q19" s="40">
        <f t="shared" si="31"/>
        <v>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80">
        <v>46184</v>
      </c>
      <c r="B20" s="47">
        <v>16</v>
      </c>
      <c r="C20" s="57" t="s">
        <v>64</v>
      </c>
      <c r="D20" s="75"/>
      <c r="E20" s="76"/>
      <c r="F20" s="77"/>
      <c r="G20" s="50">
        <v>40</v>
      </c>
      <c r="H20" s="76">
        <v>40</v>
      </c>
      <c r="I20" s="49">
        <v>40</v>
      </c>
      <c r="J20" s="50">
        <v>40</v>
      </c>
      <c r="K20" s="76">
        <v>40</v>
      </c>
      <c r="L20" s="77">
        <v>40</v>
      </c>
      <c r="M20" s="48">
        <f t="shared" si="29"/>
        <v>6</v>
      </c>
      <c r="N20" s="39">
        <f t="shared" si="18"/>
        <v>0</v>
      </c>
      <c r="O20" s="49">
        <f t="shared" si="1"/>
        <v>331.63</v>
      </c>
      <c r="P20" s="74">
        <f t="shared" si="30"/>
        <v>6</v>
      </c>
      <c r="Q20" s="40">
        <f t="shared" si="31"/>
        <v>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80">
        <v>46185</v>
      </c>
      <c r="B21" s="47">
        <v>17</v>
      </c>
      <c r="C21" s="57" t="s">
        <v>80</v>
      </c>
      <c r="D21" s="75"/>
      <c r="E21" s="76"/>
      <c r="F21" s="77"/>
      <c r="G21" s="50">
        <v>120</v>
      </c>
      <c r="H21" s="76">
        <v>120</v>
      </c>
      <c r="I21" s="49">
        <v>120</v>
      </c>
      <c r="J21" s="50">
        <v>120</v>
      </c>
      <c r="K21" s="76">
        <v>120</v>
      </c>
      <c r="L21" s="77">
        <v>120</v>
      </c>
      <c r="M21" s="48">
        <f t="shared" ref="M21:M23" si="37">SUM(D21:L21)/40</f>
        <v>18</v>
      </c>
      <c r="N21" s="39">
        <f t="shared" si="18"/>
        <v>0</v>
      </c>
      <c r="O21" s="49">
        <f t="shared" si="1"/>
        <v>331.63</v>
      </c>
      <c r="P21" s="74">
        <f t="shared" ref="P21:P23" si="38">SUM(G21:I21)/20</f>
        <v>18</v>
      </c>
      <c r="Q21" s="40">
        <f t="shared" ref="Q21:Q23" si="39">SUM(J21:L21)/20</f>
        <v>18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3" si="40">SUM(R21:T21)</f>
        <v>#VALUE!</v>
      </c>
      <c r="V21" s="54" t="e">
        <f t="shared" ref="V21:V23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23" si="44">SUM(V21:X21)</f>
        <v>#VALUE!</v>
      </c>
    </row>
    <row r="22" spans="1:25" x14ac:dyDescent="0.35">
      <c r="A22" s="80">
        <v>46185</v>
      </c>
      <c r="B22" s="47">
        <v>18</v>
      </c>
      <c r="C22" s="57" t="s">
        <v>80</v>
      </c>
      <c r="D22" s="75"/>
      <c r="E22" s="76"/>
      <c r="F22" s="77"/>
      <c r="G22" s="50">
        <v>300</v>
      </c>
      <c r="H22" s="76">
        <v>300</v>
      </c>
      <c r="I22" s="49">
        <v>300</v>
      </c>
      <c r="J22" s="50">
        <v>300</v>
      </c>
      <c r="K22" s="76">
        <v>300</v>
      </c>
      <c r="L22" s="77">
        <v>300</v>
      </c>
      <c r="M22" s="48">
        <f t="shared" si="37"/>
        <v>45</v>
      </c>
      <c r="N22" s="39">
        <f t="shared" si="18"/>
        <v>0</v>
      </c>
      <c r="O22" s="49">
        <f t="shared" si="1"/>
        <v>331.63</v>
      </c>
      <c r="P22" s="74">
        <f t="shared" si="38"/>
        <v>45</v>
      </c>
      <c r="Q22" s="40">
        <f t="shared" si="39"/>
        <v>45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80">
        <v>46185</v>
      </c>
      <c r="B23" s="47">
        <v>19</v>
      </c>
      <c r="C23" s="57"/>
      <c r="D23" s="75"/>
      <c r="E23" s="76"/>
      <c r="F23" s="77"/>
      <c r="G23" s="50"/>
      <c r="H23" s="76"/>
      <c r="I23" s="49"/>
      <c r="J23" s="50"/>
      <c r="K23" s="76"/>
      <c r="L23" s="77"/>
      <c r="M23" s="48">
        <f t="shared" si="37"/>
        <v>0</v>
      </c>
      <c r="N23" s="39">
        <f t="shared" si="18"/>
        <v>0</v>
      </c>
      <c r="O23" s="49">
        <f t="shared" si="1"/>
        <v>331.63</v>
      </c>
      <c r="P23" s="74">
        <f t="shared" si="38"/>
        <v>0</v>
      </c>
      <c r="Q23" s="40">
        <f t="shared" si="39"/>
        <v>0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si="40"/>
        <v>#VALUE!</v>
      </c>
      <c r="V23" s="54" t="e">
        <f t="shared" si="41"/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80"/>
      <c r="B24" s="132" t="s">
        <v>11</v>
      </c>
      <c r="C24" s="133"/>
      <c r="D24" s="90">
        <f>SUM(D6:D23)</f>
        <v>1120</v>
      </c>
      <c r="E24" s="90">
        <f t="shared" ref="E24:L24" si="45">SUM(E6:E23)</f>
        <v>0</v>
      </c>
      <c r="F24" s="90">
        <f t="shared" si="45"/>
        <v>0</v>
      </c>
      <c r="G24" s="90">
        <f t="shared" si="45"/>
        <v>4140</v>
      </c>
      <c r="H24" s="90">
        <f t="shared" si="45"/>
        <v>3937</v>
      </c>
      <c r="I24" s="90">
        <f t="shared" si="45"/>
        <v>5137</v>
      </c>
      <c r="J24" s="90">
        <f t="shared" si="45"/>
        <v>7017</v>
      </c>
      <c r="K24" s="90">
        <f t="shared" si="45"/>
        <v>5764</v>
      </c>
      <c r="L24" s="90">
        <f t="shared" si="45"/>
        <v>6779</v>
      </c>
      <c r="M24" s="48">
        <f t="shared" ref="M24:M26" si="46">SUM(D24:L24)/40</f>
        <v>847.35</v>
      </c>
      <c r="N24" s="39">
        <f t="shared" si="18"/>
        <v>0</v>
      </c>
      <c r="O24" s="49">
        <f t="shared" si="1"/>
        <v>331.63</v>
      </c>
      <c r="P24" s="74">
        <f t="shared" ref="P24:P27" si="47">SUM(G24:I24)/20</f>
        <v>660.7</v>
      </c>
      <c r="Q24" s="40">
        <f t="shared" ref="Q24:Q27" si="48">SUM(J24:L24)/20</f>
        <v>978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19"/>
        <v>#VALUE!</v>
      </c>
      <c r="V24" s="54" t="e">
        <f t="shared" ref="V24:V27" si="49">SUM(D24:F24)*$V$3</f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20"/>
        <v>#VALUE!</v>
      </c>
    </row>
    <row r="25" spans="1:25" x14ac:dyDescent="0.35">
      <c r="A25" s="80"/>
      <c r="B25" s="47">
        <v>0</v>
      </c>
      <c r="C25" s="57" t="s">
        <v>34</v>
      </c>
      <c r="D25" s="75"/>
      <c r="E25" s="76"/>
      <c r="F25" s="77"/>
      <c r="G25" s="50">
        <f>280+1600</f>
        <v>1880</v>
      </c>
      <c r="H25" s="76">
        <f>0+600</f>
        <v>600</v>
      </c>
      <c r="I25" s="49">
        <f>320+1800</f>
        <v>2120</v>
      </c>
      <c r="J25" s="50">
        <f>600+2800</f>
        <v>3400</v>
      </c>
      <c r="K25" s="76">
        <f>600+2400</f>
        <v>3000</v>
      </c>
      <c r="L25" s="77">
        <f>2200+2800</f>
        <v>5000</v>
      </c>
      <c r="M25" s="48">
        <f t="shared" si="46"/>
        <v>400</v>
      </c>
      <c r="N25" s="39">
        <f t="shared" si="18"/>
        <v>0</v>
      </c>
      <c r="O25" s="49">
        <f t="shared" si="1"/>
        <v>331.63</v>
      </c>
      <c r="P25" s="74">
        <f t="shared" si="47"/>
        <v>230</v>
      </c>
      <c r="Q25" s="40">
        <f t="shared" si="48"/>
        <v>570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19"/>
        <v>#VALUE!</v>
      </c>
      <c r="V25" s="54" t="e">
        <f t="shared" si="49"/>
        <v>#VALUE!</v>
      </c>
      <c r="W25" s="55">
        <f t="shared" si="50"/>
        <v>0</v>
      </c>
      <c r="X25" s="55">
        <f t="shared" si="51"/>
        <v>0</v>
      </c>
      <c r="Y25" s="56" t="e">
        <f t="shared" si="20"/>
        <v>#VALUE!</v>
      </c>
    </row>
    <row r="26" spans="1:25" x14ac:dyDescent="0.35">
      <c r="B26" s="47">
        <v>1</v>
      </c>
      <c r="C26" s="57" t="s">
        <v>27</v>
      </c>
      <c r="D26" s="75">
        <v>1400</v>
      </c>
      <c r="E26" s="76"/>
      <c r="F26" s="77"/>
      <c r="G26" s="50">
        <v>400</v>
      </c>
      <c r="H26" s="76">
        <v>400</v>
      </c>
      <c r="I26" s="49">
        <v>0</v>
      </c>
      <c r="J26" s="50">
        <v>400</v>
      </c>
      <c r="K26" s="76">
        <v>400</v>
      </c>
      <c r="L26" s="77">
        <v>600</v>
      </c>
      <c r="M26" s="48">
        <f t="shared" si="46"/>
        <v>90</v>
      </c>
      <c r="N26" s="39">
        <f t="shared" si="18"/>
        <v>0</v>
      </c>
      <c r="O26" s="49">
        <f t="shared" si="1"/>
        <v>331.63</v>
      </c>
      <c r="P26" s="74">
        <f t="shared" si="47"/>
        <v>40</v>
      </c>
      <c r="Q26" s="40">
        <f t="shared" si="48"/>
        <v>70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19"/>
        <v>#VALUE!</v>
      </c>
      <c r="V26" s="54" t="e">
        <f t="shared" si="49"/>
        <v>#VALUE!</v>
      </c>
      <c r="W26" s="55">
        <f t="shared" si="50"/>
        <v>0</v>
      </c>
      <c r="X26" s="55">
        <f t="shared" si="51"/>
        <v>0</v>
      </c>
      <c r="Y26" s="56" t="e">
        <f t="shared" si="20"/>
        <v>#VALUE!</v>
      </c>
    </row>
    <row r="27" spans="1:25" ht="15" thickBot="1" x14ac:dyDescent="0.4">
      <c r="B27" s="145" t="s">
        <v>63</v>
      </c>
      <c r="C27" s="146"/>
      <c r="D27" s="89">
        <f>SUM(D25:D26)</f>
        <v>1400</v>
      </c>
      <c r="E27" s="89">
        <f t="shared" ref="E27:L27" si="52">SUM(E25:E26)</f>
        <v>0</v>
      </c>
      <c r="F27" s="89">
        <f t="shared" si="52"/>
        <v>0</v>
      </c>
      <c r="G27" s="89">
        <f t="shared" si="52"/>
        <v>2280</v>
      </c>
      <c r="H27" s="89">
        <f t="shared" si="52"/>
        <v>1000</v>
      </c>
      <c r="I27" s="89">
        <f t="shared" si="52"/>
        <v>2120</v>
      </c>
      <c r="J27" s="89">
        <f t="shared" si="52"/>
        <v>3800</v>
      </c>
      <c r="K27" s="89">
        <f t="shared" si="52"/>
        <v>3400</v>
      </c>
      <c r="L27" s="89">
        <f t="shared" si="52"/>
        <v>5600</v>
      </c>
      <c r="M27" s="59">
        <f t="shared" si="0"/>
        <v>490</v>
      </c>
      <c r="N27" s="60">
        <f t="shared" si="18"/>
        <v>0</v>
      </c>
      <c r="O27" s="58">
        <f t="shared" si="1"/>
        <v>331.63</v>
      </c>
      <c r="P27" s="74">
        <f t="shared" si="47"/>
        <v>270</v>
      </c>
      <c r="Q27" s="40">
        <f t="shared" si="48"/>
        <v>640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19"/>
        <v>#VALUE!</v>
      </c>
      <c r="V27" s="54" t="e">
        <f t="shared" si="49"/>
        <v>#VALUE!</v>
      </c>
      <c r="W27" s="55">
        <f t="shared" si="50"/>
        <v>0</v>
      </c>
      <c r="X27" s="55">
        <f t="shared" si="51"/>
        <v>0</v>
      </c>
      <c r="Y27" s="56" t="e">
        <f t="shared" si="20"/>
        <v>#VALUE!</v>
      </c>
    </row>
    <row r="28" spans="1:25" ht="15" thickBot="1" x14ac:dyDescent="0.4">
      <c r="B28" s="134" t="s">
        <v>11</v>
      </c>
      <c r="C28" s="135"/>
      <c r="D28" s="91">
        <f>SUM(D24,D27)</f>
        <v>2520</v>
      </c>
      <c r="E28" s="91">
        <f t="shared" ref="E28:L28" si="53">SUM(E24,E27)</f>
        <v>0</v>
      </c>
      <c r="F28" s="91">
        <f t="shared" si="53"/>
        <v>0</v>
      </c>
      <c r="G28" s="91">
        <f t="shared" si="53"/>
        <v>6420</v>
      </c>
      <c r="H28" s="91">
        <f t="shared" si="53"/>
        <v>4937</v>
      </c>
      <c r="I28" s="91">
        <f t="shared" si="53"/>
        <v>7257</v>
      </c>
      <c r="J28" s="91">
        <f t="shared" si="53"/>
        <v>10817</v>
      </c>
      <c r="K28" s="91">
        <f t="shared" si="53"/>
        <v>9164</v>
      </c>
      <c r="L28" s="91">
        <f t="shared" si="53"/>
        <v>12379</v>
      </c>
      <c r="M28" s="61">
        <f t="shared" si="0"/>
        <v>1337.35</v>
      </c>
      <c r="N28" s="64">
        <f>SUM(N5:N27)</f>
        <v>0</v>
      </c>
      <c r="O28" s="62">
        <f t="shared" ref="O28:Y28" si="54">SUM(O5:O27)</f>
        <v>7627.4900000000016</v>
      </c>
      <c r="P28" s="63">
        <f t="shared" si="54"/>
        <v>2115.9499999999998</v>
      </c>
      <c r="Q28" s="65">
        <f t="shared" si="54"/>
        <v>3933.1</v>
      </c>
      <c r="R28" s="66" t="e">
        <f t="shared" si="54"/>
        <v>#VALUE!</v>
      </c>
      <c r="S28" s="67">
        <f t="shared" si="54"/>
        <v>0</v>
      </c>
      <c r="T28" s="67">
        <f t="shared" si="54"/>
        <v>0</v>
      </c>
      <c r="U28" s="68" t="e">
        <f t="shared" si="54"/>
        <v>#VALUE!</v>
      </c>
      <c r="V28" s="69" t="e">
        <f t="shared" si="54"/>
        <v>#VALUE!</v>
      </c>
      <c r="W28" s="70">
        <f t="shared" si="54"/>
        <v>0</v>
      </c>
      <c r="X28" s="70">
        <f t="shared" si="54"/>
        <v>0</v>
      </c>
      <c r="Y28" s="71" t="e">
        <f t="shared" si="54"/>
        <v>#VALUE!</v>
      </c>
    </row>
  </sheetData>
  <mergeCells count="11">
    <mergeCell ref="B28:C28"/>
    <mergeCell ref="M2:O2"/>
    <mergeCell ref="P2:Q2"/>
    <mergeCell ref="M3:O3"/>
    <mergeCell ref="A2:A4"/>
    <mergeCell ref="B27:C27"/>
    <mergeCell ref="B1:F1"/>
    <mergeCell ref="B2:B4"/>
    <mergeCell ref="R3:U3"/>
    <mergeCell ref="V3:Y3"/>
    <mergeCell ref="B24:C2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O13"/>
  <sheetViews>
    <sheetView zoomScale="85" zoomScaleNormal="85" workbookViewId="0">
      <selection activeCell="G9" sqref="G9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0.90625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3" width="12.08984375" customWidth="1"/>
    <col min="14" max="14" width="7.7265625" bestFit="1" customWidth="1"/>
    <col min="15" max="15" width="17" bestFit="1" customWidth="1"/>
  </cols>
  <sheetData>
    <row r="2" spans="3:15" ht="15" thickBot="1" x14ac:dyDescent="0.4"/>
    <row r="3" spans="3:15" ht="30" customHeight="1" thickBot="1" x14ac:dyDescent="0.4">
      <c r="C3" s="147" t="s">
        <v>57</v>
      </c>
      <c r="D3" s="148"/>
      <c r="E3" s="148"/>
      <c r="F3" s="148"/>
      <c r="G3" s="149"/>
      <c r="H3" s="151" t="s">
        <v>78</v>
      </c>
      <c r="I3" s="152"/>
      <c r="K3" s="153" t="s">
        <v>82</v>
      </c>
      <c r="L3" s="153"/>
      <c r="M3" s="153"/>
      <c r="N3" s="153"/>
      <c r="O3" s="153"/>
    </row>
    <row r="4" spans="3:15" ht="29.5" customHeight="1" x14ac:dyDescent="0.55000000000000004">
      <c r="C4" s="112"/>
      <c r="D4" s="82" t="s">
        <v>53</v>
      </c>
      <c r="E4" s="82" t="s">
        <v>54</v>
      </c>
      <c r="F4" s="82" t="s">
        <v>72</v>
      </c>
      <c r="G4" s="113" t="s">
        <v>56</v>
      </c>
      <c r="H4" s="106" t="s">
        <v>78</v>
      </c>
      <c r="I4" s="107" t="s">
        <v>79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83</v>
      </c>
    </row>
    <row r="5" spans="3:15" ht="32" customHeight="1" x14ac:dyDescent="0.55000000000000004">
      <c r="C5" s="114" t="s">
        <v>58</v>
      </c>
      <c r="D5" s="95">
        <v>341.7</v>
      </c>
      <c r="E5" s="81">
        <v>847.35</v>
      </c>
      <c r="F5" s="81">
        <v>490</v>
      </c>
      <c r="G5" s="115">
        <f>SUM(D5:F5)</f>
        <v>1679.05</v>
      </c>
      <c r="H5" s="108">
        <v>10000</v>
      </c>
      <c r="I5" s="109">
        <f>G5-H5</f>
        <v>-8320.9500000000007</v>
      </c>
      <c r="K5" s="1" t="s">
        <v>1</v>
      </c>
      <c r="L5" s="7">
        <v>70</v>
      </c>
      <c r="M5" s="5">
        <v>20391</v>
      </c>
      <c r="N5" s="6">
        <f t="shared" ref="N5:N11" si="0">M5/40</f>
        <v>509.77499999999998</v>
      </c>
      <c r="O5" s="83">
        <v>99</v>
      </c>
    </row>
    <row r="6" spans="3:15" ht="32" customHeight="1" thickBot="1" x14ac:dyDescent="0.6">
      <c r="C6" s="116" t="s">
        <v>59</v>
      </c>
      <c r="D6" s="117">
        <f>D5*40</f>
        <v>13668</v>
      </c>
      <c r="E6" s="118">
        <f>E5*40</f>
        <v>33894</v>
      </c>
      <c r="F6" s="118">
        <f>F5*40</f>
        <v>19600</v>
      </c>
      <c r="G6" s="119">
        <f>SUM(D6:F6)</f>
        <v>67162</v>
      </c>
      <c r="H6" s="110">
        <f>H5*40</f>
        <v>400000</v>
      </c>
      <c r="I6" s="111">
        <f>G6-H6</f>
        <v>-332838</v>
      </c>
      <c r="K6" s="1" t="s">
        <v>2</v>
      </c>
      <c r="L6" s="7">
        <v>70</v>
      </c>
      <c r="M6" s="5">
        <v>21114</v>
      </c>
      <c r="N6" s="6">
        <f t="shared" si="0"/>
        <v>527.85</v>
      </c>
      <c r="O6" s="83">
        <v>54</v>
      </c>
    </row>
    <row r="7" spans="3:15" ht="32" customHeight="1" x14ac:dyDescent="0.55000000000000004">
      <c r="C7" s="93"/>
      <c r="K7" s="1" t="s">
        <v>3</v>
      </c>
      <c r="L7" s="7">
        <v>70</v>
      </c>
      <c r="M7" s="5">
        <v>10976</v>
      </c>
      <c r="N7" s="6">
        <f t="shared" si="0"/>
        <v>274.39999999999998</v>
      </c>
      <c r="O7" s="83">
        <v>17</v>
      </c>
    </row>
    <row r="8" spans="3:15" ht="23.5" x14ac:dyDescent="0.55000000000000004">
      <c r="C8" s="84" t="s">
        <v>61</v>
      </c>
      <c r="K8" s="1" t="s">
        <v>4</v>
      </c>
      <c r="L8" s="7">
        <v>120</v>
      </c>
      <c r="M8" s="5">
        <v>22714</v>
      </c>
      <c r="N8" s="6">
        <f t="shared" si="0"/>
        <v>567.85</v>
      </c>
      <c r="O8" s="83">
        <v>4</v>
      </c>
    </row>
    <row r="9" spans="3:15" ht="23.5" x14ac:dyDescent="0.55000000000000004">
      <c r="C9" s="84" t="s">
        <v>62</v>
      </c>
      <c r="D9" s="120">
        <f>D8-D5</f>
        <v>-341.7</v>
      </c>
      <c r="E9" s="120">
        <f>E8-E5</f>
        <v>-847.35</v>
      </c>
      <c r="K9" s="1" t="s">
        <v>5</v>
      </c>
      <c r="L9" s="7">
        <v>120</v>
      </c>
      <c r="M9" s="5">
        <v>24231</v>
      </c>
      <c r="N9" s="6">
        <f t="shared" si="0"/>
        <v>605.77499999999998</v>
      </c>
      <c r="O9" s="83">
        <v>18</v>
      </c>
    </row>
    <row r="10" spans="3:15" ht="23.5" x14ac:dyDescent="0.55000000000000004">
      <c r="K10" s="1" t="s">
        <v>6</v>
      </c>
      <c r="L10" s="7">
        <v>120</v>
      </c>
      <c r="M10" s="5">
        <v>14849</v>
      </c>
      <c r="N10" s="6">
        <f t="shared" si="0"/>
        <v>371.22500000000002</v>
      </c>
      <c r="O10" s="83">
        <v>2</v>
      </c>
    </row>
    <row r="11" spans="3:15" ht="23.5" x14ac:dyDescent="0.55000000000000004">
      <c r="C11" s="150" t="s">
        <v>74</v>
      </c>
      <c r="D11" s="150"/>
      <c r="F11" s="150" t="s">
        <v>84</v>
      </c>
      <c r="G11" s="150"/>
      <c r="K11" s="1" t="s">
        <v>7</v>
      </c>
      <c r="L11" s="7">
        <v>60</v>
      </c>
      <c r="M11" s="5">
        <v>58621</v>
      </c>
      <c r="N11" s="6">
        <f t="shared" si="0"/>
        <v>1465.5250000000001</v>
      </c>
      <c r="O11" s="83">
        <v>5</v>
      </c>
    </row>
    <row r="12" spans="3:15" ht="23.5" x14ac:dyDescent="0.55000000000000004">
      <c r="C12" s="102" t="s">
        <v>58</v>
      </c>
      <c r="D12" s="94">
        <v>500.9</v>
      </c>
      <c r="F12" s="102" t="s">
        <v>58</v>
      </c>
      <c r="G12" s="104">
        <f>D12+G5</f>
        <v>2179.9499999999998</v>
      </c>
      <c r="K12" s="1" t="s">
        <v>11</v>
      </c>
      <c r="L12" s="2"/>
      <c r="M12" s="8">
        <f>SUM(M5:M11)</f>
        <v>172896</v>
      </c>
      <c r="N12" s="9">
        <f>SUM(N5:N11)</f>
        <v>4322.3999999999996</v>
      </c>
      <c r="O12" s="9">
        <f>SUM(O5:O11)</f>
        <v>199</v>
      </c>
    </row>
    <row r="13" spans="3:15" ht="18.5" x14ac:dyDescent="0.35">
      <c r="C13" s="103" t="s">
        <v>59</v>
      </c>
      <c r="D13" s="104">
        <f>D12*40</f>
        <v>20036</v>
      </c>
      <c r="F13" s="103" t="s">
        <v>59</v>
      </c>
      <c r="G13" s="104">
        <f>G12*40</f>
        <v>87198</v>
      </c>
    </row>
  </sheetData>
  <mergeCells count="5"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D20"/>
  <sheetViews>
    <sheetView workbookViewId="0">
      <selection activeCell="F8" sqref="F8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</cols>
  <sheetData>
    <row r="1" spans="1:4" x14ac:dyDescent="0.35">
      <c r="A1" s="2" t="s">
        <v>38</v>
      </c>
      <c r="B1" s="83" t="s">
        <v>60</v>
      </c>
      <c r="C1" s="83" t="s">
        <v>55</v>
      </c>
      <c r="D1" s="83" t="s">
        <v>9</v>
      </c>
    </row>
    <row r="2" spans="1:4" x14ac:dyDescent="0.35">
      <c r="A2" s="2"/>
      <c r="B2" s="2"/>
      <c r="C2" s="2"/>
      <c r="D2" s="2"/>
    </row>
    <row r="3" spans="1:4" x14ac:dyDescent="0.35">
      <c r="A3" s="2"/>
      <c r="B3" s="2"/>
      <c r="C3" s="2"/>
      <c r="D3" s="2"/>
    </row>
    <row r="4" spans="1:4" x14ac:dyDescent="0.35">
      <c r="A4" s="2"/>
      <c r="B4" s="2"/>
      <c r="C4" s="2"/>
      <c r="D4" s="2"/>
    </row>
    <row r="5" spans="1:4" x14ac:dyDescent="0.35">
      <c r="A5" s="2"/>
      <c r="B5" s="2"/>
      <c r="C5" s="2"/>
      <c r="D5" s="2"/>
    </row>
    <row r="6" spans="1:4" x14ac:dyDescent="0.35">
      <c r="A6" s="2"/>
      <c r="B6" s="2"/>
      <c r="C6" s="2"/>
      <c r="D6" s="2"/>
    </row>
    <row r="7" spans="1:4" x14ac:dyDescent="0.35">
      <c r="A7" s="2"/>
      <c r="B7" s="2"/>
      <c r="C7" s="2"/>
      <c r="D7" s="2"/>
    </row>
    <row r="8" spans="1:4" x14ac:dyDescent="0.35">
      <c r="A8" s="2"/>
      <c r="B8" s="2"/>
      <c r="C8" s="2"/>
      <c r="D8" s="2"/>
    </row>
    <row r="9" spans="1:4" x14ac:dyDescent="0.35">
      <c r="A9" s="2"/>
      <c r="B9" s="2"/>
      <c r="C9" s="2"/>
      <c r="D9" s="2"/>
    </row>
    <row r="10" spans="1:4" x14ac:dyDescent="0.35">
      <c r="A10" s="2"/>
      <c r="B10" s="2"/>
      <c r="C10" s="2"/>
      <c r="D10" s="2"/>
    </row>
    <row r="11" spans="1:4" x14ac:dyDescent="0.35">
      <c r="A11" s="2"/>
      <c r="B11" s="2"/>
      <c r="C11" s="2"/>
      <c r="D11" s="2"/>
    </row>
    <row r="12" spans="1:4" x14ac:dyDescent="0.35">
      <c r="A12" s="2"/>
      <c r="B12" s="2"/>
      <c r="C12" s="2"/>
      <c r="D12" s="2"/>
    </row>
    <row r="13" spans="1:4" x14ac:dyDescent="0.35">
      <c r="A13" s="2"/>
      <c r="B13" s="2"/>
      <c r="C13" s="2"/>
      <c r="D13" s="2"/>
    </row>
    <row r="14" spans="1:4" x14ac:dyDescent="0.35">
      <c r="A14" s="2"/>
      <c r="B14" s="2"/>
      <c r="C14" s="2"/>
      <c r="D14" s="2"/>
    </row>
    <row r="15" spans="1:4" x14ac:dyDescent="0.35">
      <c r="A15" s="2"/>
      <c r="B15" s="2"/>
      <c r="C15" s="2"/>
      <c r="D15" s="2"/>
    </row>
    <row r="16" spans="1:4" x14ac:dyDescent="0.35">
      <c r="A16" s="2"/>
      <c r="B16" s="2"/>
      <c r="C16" s="2"/>
      <c r="D16" s="2"/>
    </row>
    <row r="17" spans="1:4" x14ac:dyDescent="0.35">
      <c r="A17" s="2"/>
      <c r="B17" s="2"/>
      <c r="C17" s="2"/>
      <c r="D17" s="2"/>
    </row>
    <row r="18" spans="1:4" x14ac:dyDescent="0.35">
      <c r="A18" s="2"/>
      <c r="B18" s="2"/>
      <c r="C18" s="2"/>
      <c r="D18" s="2"/>
    </row>
    <row r="19" spans="1:4" ht="15" thickBot="1" x14ac:dyDescent="0.4">
      <c r="A19" s="85"/>
      <c r="B19" s="85"/>
      <c r="C19" s="85"/>
      <c r="D19" s="85"/>
    </row>
    <row r="20" spans="1:4" ht="15" thickBot="1" x14ac:dyDescent="0.4">
      <c r="A20" s="86"/>
      <c r="B20" s="87"/>
      <c r="C20" s="87"/>
      <c r="D20" s="8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2026-06-06T05:30:02Z</cp:lastPrinted>
  <dcterms:created xsi:type="dcterms:W3CDTF">2026-05-23T04:02:39Z</dcterms:created>
  <dcterms:modified xsi:type="dcterms:W3CDTF">2026-06-16T05:10:40Z</dcterms:modified>
</cp:coreProperties>
</file>