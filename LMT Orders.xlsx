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834887AF-6771-44B1-B42A-213B1EE58C14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E22" i="2" l="1"/>
  <c r="F22" i="2"/>
  <c r="G22" i="2"/>
  <c r="H22" i="2"/>
  <c r="I22" i="2"/>
  <c r="J22" i="2"/>
  <c r="K22" i="2"/>
  <c r="L22" i="2"/>
  <c r="D22" i="2"/>
  <c r="G5" i="3"/>
  <c r="F6" i="3"/>
  <c r="M18" i="2" l="1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25" i="2"/>
  <c r="E26" i="2" s="1"/>
  <c r="F25" i="2"/>
  <c r="F26" i="2" s="1"/>
  <c r="G25" i="2"/>
  <c r="H25" i="2"/>
  <c r="I25" i="2"/>
  <c r="J25" i="2"/>
  <c r="K25" i="2"/>
  <c r="L25" i="2"/>
  <c r="D25" i="2"/>
  <c r="M23" i="2"/>
  <c r="E9" i="3"/>
  <c r="D9" i="3"/>
  <c r="M12" i="3"/>
  <c r="N11" i="3"/>
  <c r="N10" i="3"/>
  <c r="N9" i="3"/>
  <c r="N8" i="3"/>
  <c r="N7" i="3"/>
  <c r="N6" i="3"/>
  <c r="N5" i="3"/>
  <c r="E6" i="3"/>
  <c r="D6" i="3"/>
  <c r="G6" i="3" s="1"/>
  <c r="N12" i="3" l="1"/>
  <c r="G26" i="2"/>
  <c r="H26" i="2"/>
  <c r="I26" i="2"/>
  <c r="D26" i="2"/>
  <c r="J26" i="2"/>
  <c r="L26" i="2"/>
  <c r="K26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22" i="2"/>
  <c r="Q22" i="2"/>
  <c r="R22" i="2"/>
  <c r="U22" i="2" s="1"/>
  <c r="S22" i="2"/>
  <c r="T22" i="2"/>
  <c r="V22" i="2"/>
  <c r="Y22" i="2" s="1"/>
  <c r="W22" i="2"/>
  <c r="X22" i="2"/>
  <c r="P23" i="2"/>
  <c r="Q23" i="2"/>
  <c r="R23" i="2"/>
  <c r="U23" i="2" s="1"/>
  <c r="S23" i="2"/>
  <c r="T23" i="2"/>
  <c r="V23" i="2"/>
  <c r="Y23" i="2" s="1"/>
  <c r="W23" i="2"/>
  <c r="X23" i="2"/>
  <c r="P24" i="2"/>
  <c r="Q24" i="2"/>
  <c r="R24" i="2"/>
  <c r="U24" i="2" s="1"/>
  <c r="S24" i="2"/>
  <c r="T24" i="2"/>
  <c r="V24" i="2"/>
  <c r="Y24" i="2" s="1"/>
  <c r="W24" i="2"/>
  <c r="X24" i="2"/>
  <c r="P25" i="2"/>
  <c r="Q25" i="2"/>
  <c r="R25" i="2"/>
  <c r="U25" i="2" s="1"/>
  <c r="S25" i="2"/>
  <c r="T25" i="2"/>
  <c r="V25" i="2"/>
  <c r="Y25" i="2" s="1"/>
  <c r="W25" i="2"/>
  <c r="X25" i="2"/>
  <c r="M13" i="2"/>
  <c r="N13" i="2"/>
  <c r="O13" i="2"/>
  <c r="M14" i="2"/>
  <c r="N14" i="2"/>
  <c r="O14" i="2"/>
  <c r="M15" i="2"/>
  <c r="N15" i="2"/>
  <c r="O15" i="2"/>
  <c r="M22" i="2"/>
  <c r="N22" i="2"/>
  <c r="O22" i="2"/>
  <c r="N23" i="2"/>
  <c r="O23" i="2"/>
  <c r="M24" i="2"/>
  <c r="N24" i="2"/>
  <c r="O24" i="2"/>
  <c r="O25" i="2" l="1"/>
  <c r="N25" i="2"/>
  <c r="M25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26" i="2" s="1"/>
  <c r="T5" i="2"/>
  <c r="S5" i="2"/>
  <c r="R5" i="2"/>
  <c r="U5" i="2" s="1"/>
  <c r="U26" i="2" s="1"/>
  <c r="Q5" i="2"/>
  <c r="P5" i="2"/>
  <c r="O5" i="2"/>
  <c r="N5" i="2"/>
  <c r="M5" i="2"/>
  <c r="M26" i="2" l="1"/>
  <c r="P26" i="2"/>
  <c r="X26" i="2"/>
  <c r="R26" i="2"/>
  <c r="T26" i="2"/>
  <c r="Q26" i="2"/>
  <c r="Y5" i="2"/>
  <c r="Y26" i="2" s="1"/>
  <c r="O26" i="2"/>
  <c r="S26" i="2"/>
  <c r="W26" i="2"/>
  <c r="N26" i="2"/>
</calcChain>
</file>

<file path=xl/sharedStrings.xml><?xml version="1.0" encoding="utf-8"?>
<sst xmlns="http://schemas.openxmlformats.org/spreadsheetml/2006/main" count="99" uniqueCount="76">
  <si>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</si>
  <si>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</si>
  <si>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</si>
  <si>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</si>
  <si>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</si>
  <si>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</si>
  <si>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</si>
  <si>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</si>
  <si>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</si>
  <si>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</si>
  <si>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</si>
  <si>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</si>
  <si>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</si>
  <si>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</si>
  <si>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</si>
  <si>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</si>
  <si>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</si>
  <si>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</si>
  <si>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</si>
  <si>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</si>
  <si>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</si>
  <si>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</si>
  <si>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</si>
  <si>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</si>
  <si>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</si>
  <si>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</si>
  <si>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</si>
  <si>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</si>
  <si>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</si>
  <si>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</si>
  <si>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</si>
  <si>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</si>
  <si>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</si>
  <si>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</si>
  <si>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</si>
  <si>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</si>
  <si>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</si>
  <si>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</si>
  <si>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</si>
  <si>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</si>
  <si>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</si>
  <si>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</si>
  <si>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</si>
  <si>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</si>
  <si>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</si>
  <si>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</si>
  <si>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</si>
  <si>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</si>
  <si>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</si>
  <si>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</si>
  <si>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</si>
  <si>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</si>
  <si>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</si>
  <si>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</si>
  <si>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</si>
  <si>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</si>
  <si>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</si>
  <si>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</si>
  <si>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</si>
  <si>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</si>
  <si>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>Primary Report MTD</t>
  </si>
  <si>
    <t xml:space="preserve">Client Name </t>
  </si>
  <si>
    <t>New</t>
  </si>
  <si>
    <t>Diff</t>
  </si>
  <si>
    <t xml:space="preserve">SD Total 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</si>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</sst>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30" xfId="0" applyFont="1" applyBorder="1"/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0" borderId="0" xfId="0" applyFont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D22"/>
  <sheetViews>
    <sheetView topLeftCell="A4" zoomScale="85" zoomScaleNormal="85" workbookViewId="0">
      <selection activeCell="C20" sqref="C20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4" ht="21.75" customHeight="1" x14ac:dyDescent="0.35"/>
    <row r="8" spans="2:4" ht="28.5" customHeight="1" x14ac:dyDescent="0.35"/>
    <row r="9" spans="2:4" ht="22.5" customHeight="1" x14ac:dyDescent="0.35">
      <c r="B9" s="80" t="s">
        <v>33</v>
      </c>
      <c r="C9" s="80" t="s">
        <v>35</v>
      </c>
      <c r="D9" s="80" t="s">
        <v>36</v>
      </c>
    </row>
    <row r="10" spans="2:4" x14ac:dyDescent="0.35">
      <c r="B10" s="2" t="s">
        <v>26</v>
      </c>
      <c r="C10" s="2" t="s">
        <v>37</v>
      </c>
      <c r="D10" s="79">
        <v>3520247902365</v>
      </c>
    </row>
    <row r="11" spans="2:4" x14ac:dyDescent="0.35">
      <c r="B11" s="2" t="s">
        <v>27</v>
      </c>
      <c r="C11" s="2"/>
      <c r="D11" s="2"/>
    </row>
    <row r="12" spans="2:4" x14ac:dyDescent="0.35">
      <c r="B12" s="2" t="s">
        <v>41</v>
      </c>
      <c r="C12" s="2" t="s">
        <v>40</v>
      </c>
      <c r="D12" s="79">
        <v>300426949714</v>
      </c>
    </row>
    <row r="13" spans="2:4" x14ac:dyDescent="0.35">
      <c r="B13" s="2" t="s">
        <v>28</v>
      </c>
      <c r="C13" s="2" t="s">
        <v>43</v>
      </c>
      <c r="D13" s="79">
        <v>3277876126916</v>
      </c>
    </row>
    <row r="14" spans="2:4" x14ac:dyDescent="0.35">
      <c r="B14" s="2" t="s">
        <v>29</v>
      </c>
      <c r="C14" s="2" t="s">
        <v>47</v>
      </c>
      <c r="D14" s="79">
        <v>3520255124113</v>
      </c>
    </row>
    <row r="15" spans="2:4" x14ac:dyDescent="0.35">
      <c r="B15" s="2" t="s">
        <v>30</v>
      </c>
      <c r="C15" s="2" t="s">
        <v>47</v>
      </c>
      <c r="D15" s="79">
        <v>3520255124113</v>
      </c>
    </row>
    <row r="16" spans="2:4" x14ac:dyDescent="0.35">
      <c r="B16" s="2" t="s">
        <v>31</v>
      </c>
      <c r="C16" s="2" t="s">
        <v>45</v>
      </c>
      <c r="D16" s="79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2" t="s">
        <v>52</v>
      </c>
    </row>
    <row r="19" spans="2:4" ht="28.5" customHeight="1" x14ac:dyDescent="0.35">
      <c r="B19" s="93" t="s">
        <v>65</v>
      </c>
      <c r="C19" t="s">
        <v>66</v>
      </c>
    </row>
    <row r="20" spans="2:4" x14ac:dyDescent="0.35">
      <c r="B20" s="93" t="s">
        <v>67</v>
      </c>
    </row>
    <row r="21" spans="2:4" x14ac:dyDescent="0.35">
      <c r="B21" s="93" t="s">
        <v>68</v>
      </c>
    </row>
    <row r="22" spans="2:4" x14ac:dyDescent="0.35">
      <c r="B22" s="93" t="s">
        <v>69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6"/>
  <sheetViews>
    <sheetView workbookViewId="0">
      <selection activeCell="F10" sqref="F10"/>
    </sheetView>
  </sheetViews>
  <sheetFormatPr defaultRowHeight="14.5" x14ac:dyDescent="0.35"/>
  <cols>
    <col min="3" max="3" width="18.453125" bestFit="1" customWidth="1"/>
  </cols>
  <sheetData>
    <row r="1" spans="1:25" ht="15" thickBot="1" x14ac:dyDescent="0.4">
      <c r="B1" s="120">
        <v>46174</v>
      </c>
      <c r="C1" s="120"/>
      <c r="D1" s="120"/>
      <c r="E1" s="120"/>
      <c r="F1" s="12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17" t="s">
        <v>38</v>
      </c>
      <c r="B2" s="12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09"/>
      <c r="N2" s="110"/>
      <c r="O2" s="111"/>
      <c r="P2" s="112" t="s">
        <v>14</v>
      </c>
      <c r="Q2" s="113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17"/>
      <c r="B3" s="12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14" t="s">
        <v>11</v>
      </c>
      <c r="N3" s="115"/>
      <c r="O3" s="116"/>
      <c r="P3" s="73"/>
      <c r="Q3" s="74"/>
      <c r="R3" s="124" t="s">
        <v>16</v>
      </c>
      <c r="S3" s="125"/>
      <c r="T3" s="125"/>
      <c r="U3" s="126"/>
      <c r="V3" s="127" t="s">
        <v>17</v>
      </c>
      <c r="W3" s="128"/>
      <c r="X3" s="128"/>
      <c r="Y3" s="129"/>
    </row>
    <row r="4" spans="1:25" ht="15" thickBot="1" x14ac:dyDescent="0.4">
      <c r="A4" s="117"/>
      <c r="B4" s="12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81">
        <v>46179</v>
      </c>
      <c r="B5" s="36">
        <v>1</v>
      </c>
      <c r="C5" s="97" t="s">
        <v>74</v>
      </c>
      <c r="D5" s="98">
        <v>1003</v>
      </c>
      <c r="E5" s="99"/>
      <c r="F5" s="100"/>
      <c r="G5" s="101">
        <v>1613</v>
      </c>
      <c r="H5" s="99">
        <v>2442</v>
      </c>
      <c r="I5" s="100">
        <v>1036</v>
      </c>
      <c r="J5" s="101">
        <v>5269</v>
      </c>
      <c r="K5" s="99">
        <v>3838</v>
      </c>
      <c r="L5" s="102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116.2242</v>
      </c>
      <c r="P5" s="75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81">
        <v>46179</v>
      </c>
      <c r="B6" s="47">
        <v>2</v>
      </c>
      <c r="C6" s="48" t="s">
        <v>25</v>
      </c>
      <c r="D6" s="76"/>
      <c r="E6" s="77"/>
      <c r="F6" s="78"/>
      <c r="G6" s="51">
        <v>240</v>
      </c>
      <c r="H6" s="77">
        <v>240</v>
      </c>
      <c r="I6" s="50">
        <v>240</v>
      </c>
      <c r="J6" s="51">
        <v>240</v>
      </c>
      <c r="K6" s="77">
        <v>240</v>
      </c>
      <c r="L6" s="78">
        <v>600</v>
      </c>
      <c r="M6" s="49">
        <f t="shared" ref="M6:M26" si="0">SUM(D6:L6)/40</f>
        <v>45</v>
      </c>
      <c r="N6" s="39">
        <f>SUMPRODUCT($D$4:$L$4,$D$6:$L$6)</f>
        <v>0</v>
      </c>
      <c r="O6" s="50">
        <f t="shared" ref="O6:O25" si="1">SUMPRODUCT($D$3:$L$3,$D$6:$L$6)/1000</f>
        <v>116.2242</v>
      </c>
      <c r="P6" s="75">
        <f t="shared" ref="P6" si="2">SUM(G6:I6)/20</f>
        <v>36</v>
      </c>
      <c r="Q6" s="40">
        <f t="shared" ref="Q6" si="3">SUM(J6:L6)/20</f>
        <v>54</v>
      </c>
      <c r="R6" s="52" t="e">
        <f t="shared" ref="R6:R25" si="4">SUMPRODUCT($D$4:$F$4,$D$6:$F$6)*$R$3</f>
        <v>#VALUE!</v>
      </c>
      <c r="S6" s="53">
        <f t="shared" ref="S6:S25" si="5">SUMPRODUCT($G$4:$I$4,$G$6:$I$6)*$S$3</f>
        <v>0</v>
      </c>
      <c r="T6" s="53">
        <f t="shared" ref="T6:T25" si="6">SUMPRODUCT($J$4:$L$4,$J$6:$L$6)*$T$3</f>
        <v>0</v>
      </c>
      <c r="U6" s="54" t="e">
        <f t="shared" ref="U6:U12" si="7">SUM(R6:T6)</f>
        <v>#VALUE!</v>
      </c>
      <c r="V6" s="55" t="e">
        <f t="shared" ref="V6" si="8">SUM(D6:F6)*$V$3</f>
        <v>#VALUE!</v>
      </c>
      <c r="W6" s="56">
        <f t="shared" ref="W6" si="9">SUM(G6:I6)*$W$3</f>
        <v>0</v>
      </c>
      <c r="X6" s="56">
        <f t="shared" ref="X6" si="10">SUM(J6:L6)*$X$3</f>
        <v>0</v>
      </c>
      <c r="Y6" s="57" t="e">
        <f t="shared" ref="Y6:Y12" si="11">SUM(V6:X6)</f>
        <v>#VALUE!</v>
      </c>
    </row>
    <row r="7" spans="1:25" x14ac:dyDescent="0.35">
      <c r="A7" s="81">
        <v>46179</v>
      </c>
      <c r="B7" s="47">
        <v>3</v>
      </c>
      <c r="C7" s="58" t="s">
        <v>39</v>
      </c>
      <c r="D7" s="76"/>
      <c r="E7" s="77"/>
      <c r="F7" s="78"/>
      <c r="G7" s="51">
        <v>600</v>
      </c>
      <c r="H7" s="77">
        <v>600</v>
      </c>
      <c r="I7" s="50">
        <v>1200</v>
      </c>
      <c r="J7" s="51">
        <v>1800</v>
      </c>
      <c r="K7" s="77">
        <v>1200</v>
      </c>
      <c r="L7" s="78">
        <v>1200</v>
      </c>
      <c r="M7" s="49">
        <f t="shared" ref="M7:M15" si="12">SUM(D7:L7)/40</f>
        <v>165</v>
      </c>
      <c r="N7" s="39">
        <f>SUMPRODUCT($D$4:$L$4,$D$6:$L$6)</f>
        <v>0</v>
      </c>
      <c r="O7" s="50">
        <f t="shared" si="1"/>
        <v>116.2242</v>
      </c>
      <c r="P7" s="75">
        <f t="shared" ref="P7:P15" si="13">SUM(G7:I7)/20</f>
        <v>120</v>
      </c>
      <c r="Q7" s="40">
        <f t="shared" ref="Q7:Q15" si="14">SUM(J7:L7)/20</f>
        <v>210</v>
      </c>
      <c r="R7" s="52" t="e">
        <f t="shared" si="4"/>
        <v>#VALUE!</v>
      </c>
      <c r="S7" s="53">
        <f t="shared" si="5"/>
        <v>0</v>
      </c>
      <c r="T7" s="53">
        <f t="shared" si="6"/>
        <v>0</v>
      </c>
      <c r="U7" s="54" t="e">
        <f t="shared" si="7"/>
        <v>#VALUE!</v>
      </c>
      <c r="V7" s="55" t="e">
        <f t="shared" ref="V7:V15" si="15">SUM(D7:F7)*$V$3</f>
        <v>#VALUE!</v>
      </c>
      <c r="W7" s="56">
        <f t="shared" ref="W7:W15" si="16">SUM(G7:I7)*$W$3</f>
        <v>0</v>
      </c>
      <c r="X7" s="56">
        <f t="shared" ref="X7:X15" si="17">SUM(J7:L7)*$X$3</f>
        <v>0</v>
      </c>
      <c r="Y7" s="57" t="e">
        <f t="shared" si="11"/>
        <v>#VALUE!</v>
      </c>
    </row>
    <row r="8" spans="1:25" x14ac:dyDescent="0.35">
      <c r="A8" s="81">
        <v>46181</v>
      </c>
      <c r="B8" s="47">
        <v>4</v>
      </c>
      <c r="C8" s="58" t="s">
        <v>42</v>
      </c>
      <c r="D8" s="76">
        <v>800</v>
      </c>
      <c r="E8" s="77"/>
      <c r="F8" s="78"/>
      <c r="G8" s="51">
        <v>800</v>
      </c>
      <c r="H8" s="77">
        <v>800</v>
      </c>
      <c r="I8" s="50">
        <v>800</v>
      </c>
      <c r="J8" s="51">
        <v>800</v>
      </c>
      <c r="K8" s="77">
        <v>800</v>
      </c>
      <c r="L8" s="78">
        <v>800</v>
      </c>
      <c r="M8" s="49">
        <f t="shared" si="12"/>
        <v>140</v>
      </c>
      <c r="N8" s="39">
        <f t="shared" ref="N8:N25" si="18">SUMPRODUCT($D$4:$L$4,$D$6:$L$6)</f>
        <v>0</v>
      </c>
      <c r="O8" s="50">
        <f t="shared" si="1"/>
        <v>116.2242</v>
      </c>
      <c r="P8" s="75">
        <f t="shared" si="13"/>
        <v>120</v>
      </c>
      <c r="Q8" s="40">
        <f t="shared" si="14"/>
        <v>120</v>
      </c>
      <c r="R8" s="52" t="e">
        <f t="shared" si="4"/>
        <v>#VALUE!</v>
      </c>
      <c r="S8" s="53">
        <f t="shared" si="5"/>
        <v>0</v>
      </c>
      <c r="T8" s="53">
        <f t="shared" si="6"/>
        <v>0</v>
      </c>
      <c r="U8" s="54" t="e">
        <f t="shared" si="7"/>
        <v>#VALUE!</v>
      </c>
      <c r="V8" s="55" t="e">
        <f t="shared" si="15"/>
        <v>#VALUE!</v>
      </c>
      <c r="W8" s="56">
        <f t="shared" si="16"/>
        <v>0</v>
      </c>
      <c r="X8" s="56">
        <f t="shared" si="17"/>
        <v>0</v>
      </c>
      <c r="Y8" s="57" t="e">
        <f t="shared" si="11"/>
        <v>#VALUE!</v>
      </c>
    </row>
    <row r="9" spans="1:25" x14ac:dyDescent="0.35">
      <c r="A9" s="81">
        <v>46181</v>
      </c>
      <c r="B9" s="47">
        <v>5</v>
      </c>
      <c r="C9" s="58" t="s">
        <v>44</v>
      </c>
      <c r="D9" s="76">
        <v>80</v>
      </c>
      <c r="E9" s="77"/>
      <c r="F9" s="78"/>
      <c r="G9" s="51">
        <v>80</v>
      </c>
      <c r="H9" s="77">
        <v>80</v>
      </c>
      <c r="I9" s="50">
        <v>80</v>
      </c>
      <c r="J9" s="51">
        <v>80</v>
      </c>
      <c r="K9" s="77">
        <v>80</v>
      </c>
      <c r="L9" s="78">
        <v>80</v>
      </c>
      <c r="M9" s="49">
        <f t="shared" si="12"/>
        <v>14</v>
      </c>
      <c r="N9" s="39">
        <f t="shared" si="18"/>
        <v>0</v>
      </c>
      <c r="O9" s="50">
        <f t="shared" si="1"/>
        <v>116.2242</v>
      </c>
      <c r="P9" s="75">
        <f t="shared" si="13"/>
        <v>12</v>
      </c>
      <c r="Q9" s="40">
        <f t="shared" si="14"/>
        <v>12</v>
      </c>
      <c r="R9" s="52" t="e">
        <f t="shared" si="4"/>
        <v>#VALUE!</v>
      </c>
      <c r="S9" s="53">
        <f t="shared" si="5"/>
        <v>0</v>
      </c>
      <c r="T9" s="53">
        <f t="shared" si="6"/>
        <v>0</v>
      </c>
      <c r="U9" s="54" t="e">
        <f t="shared" si="7"/>
        <v>#VALUE!</v>
      </c>
      <c r="V9" s="55" t="e">
        <f t="shared" si="15"/>
        <v>#VALUE!</v>
      </c>
      <c r="W9" s="56">
        <f t="shared" si="16"/>
        <v>0</v>
      </c>
      <c r="X9" s="56">
        <f t="shared" si="17"/>
        <v>0</v>
      </c>
      <c r="Y9" s="57" t="e">
        <f t="shared" si="11"/>
        <v>#VALUE!</v>
      </c>
    </row>
    <row r="10" spans="1:25" x14ac:dyDescent="0.35">
      <c r="A10" s="81">
        <v>46182</v>
      </c>
      <c r="B10" s="47">
        <v>6</v>
      </c>
      <c r="C10" s="58" t="s">
        <v>34</v>
      </c>
      <c r="D10" s="76">
        <v>0</v>
      </c>
      <c r="E10" s="77"/>
      <c r="F10" s="78"/>
      <c r="G10" s="51">
        <v>280</v>
      </c>
      <c r="H10" s="77">
        <v>0</v>
      </c>
      <c r="I10" s="50">
        <v>320</v>
      </c>
      <c r="J10" s="51">
        <v>600</v>
      </c>
      <c r="K10" s="77">
        <v>600</v>
      </c>
      <c r="L10" s="78">
        <v>2200</v>
      </c>
      <c r="M10" s="49">
        <f t="shared" si="12"/>
        <v>100</v>
      </c>
      <c r="N10" s="39">
        <f t="shared" si="18"/>
        <v>0</v>
      </c>
      <c r="O10" s="50">
        <f t="shared" si="1"/>
        <v>116.2242</v>
      </c>
      <c r="P10" s="75">
        <f t="shared" si="13"/>
        <v>30</v>
      </c>
      <c r="Q10" s="40">
        <f t="shared" si="14"/>
        <v>170</v>
      </c>
      <c r="R10" s="52" t="e">
        <f t="shared" si="4"/>
        <v>#VALUE!</v>
      </c>
      <c r="S10" s="53">
        <f t="shared" si="5"/>
        <v>0</v>
      </c>
      <c r="T10" s="53">
        <f t="shared" si="6"/>
        <v>0</v>
      </c>
      <c r="U10" s="54" t="e">
        <f t="shared" si="7"/>
        <v>#VALUE!</v>
      </c>
      <c r="V10" s="55" t="e">
        <f t="shared" si="15"/>
        <v>#VALUE!</v>
      </c>
      <c r="W10" s="56">
        <f t="shared" si="16"/>
        <v>0</v>
      </c>
      <c r="X10" s="56">
        <f t="shared" si="17"/>
        <v>0</v>
      </c>
      <c r="Y10" s="57" t="e">
        <f t="shared" si="11"/>
        <v>#VALUE!</v>
      </c>
    </row>
    <row r="11" spans="1:25" x14ac:dyDescent="0.35">
      <c r="A11" s="81">
        <v>46182</v>
      </c>
      <c r="B11" s="47">
        <v>7</v>
      </c>
      <c r="C11" s="58" t="s">
        <v>48</v>
      </c>
      <c r="D11" s="76">
        <v>200</v>
      </c>
      <c r="E11" s="77"/>
      <c r="F11" s="78"/>
      <c r="G11" s="51">
        <v>200</v>
      </c>
      <c r="H11" s="77">
        <v>200</v>
      </c>
      <c r="I11" s="50">
        <v>200</v>
      </c>
      <c r="J11" s="51">
        <v>200</v>
      </c>
      <c r="K11" s="77">
        <v>200</v>
      </c>
      <c r="L11" s="78">
        <v>200</v>
      </c>
      <c r="M11" s="49">
        <f t="shared" si="12"/>
        <v>35</v>
      </c>
      <c r="N11" s="39">
        <f t="shared" si="18"/>
        <v>0</v>
      </c>
      <c r="O11" s="50">
        <f t="shared" si="1"/>
        <v>116.2242</v>
      </c>
      <c r="P11" s="75">
        <f t="shared" si="13"/>
        <v>30</v>
      </c>
      <c r="Q11" s="40">
        <f t="shared" si="14"/>
        <v>30</v>
      </c>
      <c r="R11" s="52" t="e">
        <f t="shared" si="4"/>
        <v>#VALUE!</v>
      </c>
      <c r="S11" s="53">
        <f t="shared" si="5"/>
        <v>0</v>
      </c>
      <c r="T11" s="53">
        <f t="shared" si="6"/>
        <v>0</v>
      </c>
      <c r="U11" s="54" t="e">
        <f t="shared" si="7"/>
        <v>#VALUE!</v>
      </c>
      <c r="V11" s="55" t="e">
        <f t="shared" si="15"/>
        <v>#VALUE!</v>
      </c>
      <c r="W11" s="56">
        <f t="shared" si="16"/>
        <v>0</v>
      </c>
      <c r="X11" s="56">
        <f t="shared" si="17"/>
        <v>0</v>
      </c>
      <c r="Y11" s="57" t="e">
        <f t="shared" si="11"/>
        <v>#VALUE!</v>
      </c>
    </row>
    <row r="12" spans="1:25" x14ac:dyDescent="0.35">
      <c r="A12" s="81">
        <v>46182</v>
      </c>
      <c r="B12" s="47">
        <v>8</v>
      </c>
      <c r="C12" s="58" t="s">
        <v>49</v>
      </c>
      <c r="D12" s="76"/>
      <c r="E12" s="77"/>
      <c r="F12" s="78"/>
      <c r="G12" s="51"/>
      <c r="H12" s="77"/>
      <c r="I12" s="50"/>
      <c r="J12" s="51">
        <v>560</v>
      </c>
      <c r="K12" s="77">
        <v>560</v>
      </c>
      <c r="L12" s="78">
        <v>880</v>
      </c>
      <c r="M12" s="49">
        <f t="shared" si="12"/>
        <v>50</v>
      </c>
      <c r="N12" s="39">
        <f t="shared" si="18"/>
        <v>0</v>
      </c>
      <c r="O12" s="50">
        <f t="shared" si="1"/>
        <v>116.2242</v>
      </c>
      <c r="P12" s="75">
        <f t="shared" si="13"/>
        <v>0</v>
      </c>
      <c r="Q12" s="40">
        <f t="shared" si="14"/>
        <v>100</v>
      </c>
      <c r="R12" s="52" t="e">
        <f t="shared" si="4"/>
        <v>#VALUE!</v>
      </c>
      <c r="S12" s="53">
        <f t="shared" si="5"/>
        <v>0</v>
      </c>
      <c r="T12" s="53">
        <f t="shared" si="6"/>
        <v>0</v>
      </c>
      <c r="U12" s="54" t="e">
        <f t="shared" si="7"/>
        <v>#VALUE!</v>
      </c>
      <c r="V12" s="55" t="e">
        <f t="shared" si="15"/>
        <v>#VALUE!</v>
      </c>
      <c r="W12" s="56">
        <f t="shared" si="16"/>
        <v>0</v>
      </c>
      <c r="X12" s="56">
        <f t="shared" si="17"/>
        <v>0</v>
      </c>
      <c r="Y12" s="57" t="e">
        <f t="shared" si="11"/>
        <v>#VALUE!</v>
      </c>
    </row>
    <row r="13" spans="1:25" x14ac:dyDescent="0.35">
      <c r="A13" s="81">
        <v>46183</v>
      </c>
      <c r="B13" s="47">
        <v>9</v>
      </c>
      <c r="C13" s="58" t="s">
        <v>39</v>
      </c>
      <c r="D13" s="76"/>
      <c r="E13" s="77"/>
      <c r="F13" s="78"/>
      <c r="G13" s="51">
        <v>1200</v>
      </c>
      <c r="H13" s="77">
        <v>1200</v>
      </c>
      <c r="I13" s="50">
        <v>1800</v>
      </c>
      <c r="J13" s="51">
        <v>2400</v>
      </c>
      <c r="K13" s="77">
        <v>1800</v>
      </c>
      <c r="L13" s="78">
        <v>1800</v>
      </c>
      <c r="M13" s="49">
        <f t="shared" si="12"/>
        <v>255</v>
      </c>
      <c r="N13" s="39">
        <f t="shared" si="18"/>
        <v>0</v>
      </c>
      <c r="O13" s="50">
        <f t="shared" si="1"/>
        <v>116.2242</v>
      </c>
      <c r="P13" s="75">
        <f t="shared" si="13"/>
        <v>210</v>
      </c>
      <c r="Q13" s="40">
        <f t="shared" si="14"/>
        <v>300</v>
      </c>
      <c r="R13" s="52" t="e">
        <f t="shared" si="4"/>
        <v>#VALUE!</v>
      </c>
      <c r="S13" s="53">
        <f t="shared" si="5"/>
        <v>0</v>
      </c>
      <c r="T13" s="53">
        <f t="shared" si="6"/>
        <v>0</v>
      </c>
      <c r="U13" s="54" t="e">
        <f t="shared" ref="U13:U25" si="19">SUM(R13:T13)</f>
        <v>#VALUE!</v>
      </c>
      <c r="V13" s="55" t="e">
        <f t="shared" si="15"/>
        <v>#VALUE!</v>
      </c>
      <c r="W13" s="56">
        <f t="shared" si="16"/>
        <v>0</v>
      </c>
      <c r="X13" s="56">
        <f t="shared" si="17"/>
        <v>0</v>
      </c>
      <c r="Y13" s="57" t="e">
        <f t="shared" ref="Y13:Y25" si="20">SUM(V13:X13)</f>
        <v>#VALUE!</v>
      </c>
    </row>
    <row r="14" spans="1:25" x14ac:dyDescent="0.35">
      <c r="A14" s="81">
        <v>46183</v>
      </c>
      <c r="B14" s="47">
        <v>10</v>
      </c>
      <c r="C14" s="58" t="s">
        <v>29</v>
      </c>
      <c r="D14" s="76"/>
      <c r="E14" s="77"/>
      <c r="F14" s="78"/>
      <c r="G14" s="51"/>
      <c r="H14" s="77">
        <v>40</v>
      </c>
      <c r="I14" s="50">
        <v>40</v>
      </c>
      <c r="J14" s="51">
        <v>40</v>
      </c>
      <c r="K14" s="77">
        <v>40</v>
      </c>
      <c r="L14" s="78">
        <v>40</v>
      </c>
      <c r="M14" s="49">
        <f t="shared" si="12"/>
        <v>5</v>
      </c>
      <c r="N14" s="39">
        <f t="shared" si="18"/>
        <v>0</v>
      </c>
      <c r="O14" s="50">
        <f t="shared" si="1"/>
        <v>116.2242</v>
      </c>
      <c r="P14" s="75">
        <f t="shared" si="13"/>
        <v>4</v>
      </c>
      <c r="Q14" s="40">
        <f t="shared" si="14"/>
        <v>6</v>
      </c>
      <c r="R14" s="52" t="e">
        <f t="shared" si="4"/>
        <v>#VALUE!</v>
      </c>
      <c r="S14" s="53">
        <f t="shared" si="5"/>
        <v>0</v>
      </c>
      <c r="T14" s="53">
        <f t="shared" si="6"/>
        <v>0</v>
      </c>
      <c r="U14" s="54" t="e">
        <f t="shared" si="19"/>
        <v>#VALUE!</v>
      </c>
      <c r="V14" s="55" t="e">
        <f t="shared" si="15"/>
        <v>#VALUE!</v>
      </c>
      <c r="W14" s="56">
        <f t="shared" si="16"/>
        <v>0</v>
      </c>
      <c r="X14" s="56">
        <f t="shared" si="17"/>
        <v>0</v>
      </c>
      <c r="Y14" s="57" t="e">
        <f t="shared" si="20"/>
        <v>#VALUE!</v>
      </c>
    </row>
    <row r="15" spans="1:25" x14ac:dyDescent="0.35">
      <c r="A15" s="81">
        <v>46183</v>
      </c>
      <c r="B15" s="47">
        <v>11</v>
      </c>
      <c r="C15" s="58" t="s">
        <v>50</v>
      </c>
      <c r="D15" s="76"/>
      <c r="E15" s="77"/>
      <c r="F15" s="78"/>
      <c r="G15" s="51">
        <v>400</v>
      </c>
      <c r="H15" s="77">
        <v>200</v>
      </c>
      <c r="I15" s="50">
        <v>400</v>
      </c>
      <c r="J15" s="51">
        <v>400</v>
      </c>
      <c r="K15" s="77">
        <v>200</v>
      </c>
      <c r="L15" s="78">
        <v>400</v>
      </c>
      <c r="M15" s="49">
        <f t="shared" si="12"/>
        <v>50</v>
      </c>
      <c r="N15" s="39">
        <f t="shared" si="18"/>
        <v>0</v>
      </c>
      <c r="O15" s="50">
        <f t="shared" si="1"/>
        <v>116.2242</v>
      </c>
      <c r="P15" s="75">
        <f t="shared" si="13"/>
        <v>50</v>
      </c>
      <c r="Q15" s="40">
        <f t="shared" si="14"/>
        <v>50</v>
      </c>
      <c r="R15" s="52" t="e">
        <f t="shared" si="4"/>
        <v>#VALUE!</v>
      </c>
      <c r="S15" s="53">
        <f t="shared" si="5"/>
        <v>0</v>
      </c>
      <c r="T15" s="53">
        <f t="shared" si="6"/>
        <v>0</v>
      </c>
      <c r="U15" s="54" t="e">
        <f t="shared" si="19"/>
        <v>#VALUE!</v>
      </c>
      <c r="V15" s="55" t="e">
        <f t="shared" si="15"/>
        <v>#VALUE!</v>
      </c>
      <c r="W15" s="56">
        <f t="shared" si="16"/>
        <v>0</v>
      </c>
      <c r="X15" s="56">
        <f t="shared" si="17"/>
        <v>0</v>
      </c>
      <c r="Y15" s="57" t="e">
        <f t="shared" si="20"/>
        <v>#VALUE!</v>
      </c>
    </row>
    <row r="16" spans="1:25" x14ac:dyDescent="0.35">
      <c r="A16" s="81">
        <v>46184</v>
      </c>
      <c r="B16" s="47">
        <v>12</v>
      </c>
      <c r="C16" s="58" t="s">
        <v>65</v>
      </c>
      <c r="D16" s="76"/>
      <c r="E16" s="77"/>
      <c r="F16" s="78"/>
      <c r="G16" s="51">
        <v>40</v>
      </c>
      <c r="H16" s="77">
        <v>40</v>
      </c>
      <c r="I16" s="50">
        <v>40</v>
      </c>
      <c r="J16" s="51">
        <v>40</v>
      </c>
      <c r="K16" s="77">
        <v>40</v>
      </c>
      <c r="L16" s="78">
        <v>40</v>
      </c>
      <c r="M16" s="49">
        <f t="shared" ref="M16:M17" si="21">SUM(D16:L16)/40</f>
        <v>6</v>
      </c>
      <c r="N16" s="39">
        <f t="shared" si="18"/>
        <v>0</v>
      </c>
      <c r="O16" s="50">
        <f t="shared" si="1"/>
        <v>116.2242</v>
      </c>
      <c r="P16" s="75">
        <f t="shared" ref="P16:P17" si="22">SUM(G16:I16)/20</f>
        <v>6</v>
      </c>
      <c r="Q16" s="40">
        <f t="shared" ref="Q16:Q17" si="23">SUM(J16:L16)/20</f>
        <v>6</v>
      </c>
      <c r="R16" s="52" t="e">
        <f t="shared" si="4"/>
        <v>#VALUE!</v>
      </c>
      <c r="S16" s="53">
        <f t="shared" si="5"/>
        <v>0</v>
      </c>
      <c r="T16" s="53">
        <f t="shared" si="6"/>
        <v>0</v>
      </c>
      <c r="U16" s="54" t="e">
        <f t="shared" ref="U16:U17" si="24">SUM(R16:T16)</f>
        <v>#VALUE!</v>
      </c>
      <c r="V16" s="55" t="e">
        <f t="shared" ref="V16:V17" si="25">SUM(D16:F16)*$V$3</f>
        <v>#VALUE!</v>
      </c>
      <c r="W16" s="56">
        <f t="shared" ref="W16:W17" si="26">SUM(G16:I16)*$W$3</f>
        <v>0</v>
      </c>
      <c r="X16" s="56">
        <f t="shared" ref="X16:X17" si="27">SUM(J16:L16)*$X$3</f>
        <v>0</v>
      </c>
      <c r="Y16" s="57" t="e">
        <f t="shared" ref="Y16:Y17" si="28">SUM(V16:X16)</f>
        <v>#VALUE!</v>
      </c>
    </row>
    <row r="17" spans="1:25" x14ac:dyDescent="0.35">
      <c r="A17" s="81">
        <v>46184</v>
      </c>
      <c r="B17" s="47">
        <v>13</v>
      </c>
      <c r="C17" s="58" t="s">
        <v>25</v>
      </c>
      <c r="D17" s="76"/>
      <c r="E17" s="77"/>
      <c r="F17" s="78"/>
      <c r="G17" s="51">
        <v>1280</v>
      </c>
      <c r="H17" s="77">
        <v>3400</v>
      </c>
      <c r="I17" s="50">
        <v>1840</v>
      </c>
      <c r="J17" s="51"/>
      <c r="K17" s="77">
        <v>5040</v>
      </c>
      <c r="L17" s="78">
        <v>1760</v>
      </c>
      <c r="M17" s="49">
        <f t="shared" si="21"/>
        <v>333</v>
      </c>
      <c r="N17" s="39">
        <f t="shared" si="18"/>
        <v>0</v>
      </c>
      <c r="O17" s="50">
        <f t="shared" si="1"/>
        <v>116.2242</v>
      </c>
      <c r="P17" s="75">
        <f t="shared" si="22"/>
        <v>326</v>
      </c>
      <c r="Q17" s="40">
        <f t="shared" si="23"/>
        <v>340</v>
      </c>
      <c r="R17" s="52" t="e">
        <f t="shared" si="4"/>
        <v>#VALUE!</v>
      </c>
      <c r="S17" s="53">
        <f t="shared" si="5"/>
        <v>0</v>
      </c>
      <c r="T17" s="53">
        <f t="shared" si="6"/>
        <v>0</v>
      </c>
      <c r="U17" s="54" t="e">
        <f t="shared" si="24"/>
        <v>#VALUE!</v>
      </c>
      <c r="V17" s="55" t="e">
        <f t="shared" si="25"/>
        <v>#VALUE!</v>
      </c>
      <c r="W17" s="56">
        <f t="shared" si="26"/>
        <v>0</v>
      </c>
      <c r="X17" s="56">
        <f t="shared" si="27"/>
        <v>0</v>
      </c>
      <c r="Y17" s="57" t="e">
        <f t="shared" si="28"/>
        <v>#VALUE!</v>
      </c>
    </row>
    <row r="18" spans="1:25" x14ac:dyDescent="0.35">
      <c r="A18" s="81"/>
      <c r="B18" s="47">
        <v>14</v>
      </c>
      <c r="C18" s="58" t="s">
        <v>70</v>
      </c>
      <c r="D18" s="76"/>
      <c r="E18" s="77"/>
      <c r="F18" s="78"/>
      <c r="G18" s="51"/>
      <c r="H18" s="77"/>
      <c r="I18" s="50">
        <v>80</v>
      </c>
      <c r="J18" s="51">
        <v>80</v>
      </c>
      <c r="K18" s="77">
        <v>80</v>
      </c>
      <c r="L18" s="78">
        <v>80</v>
      </c>
      <c r="M18" s="49">
        <f t="shared" ref="M18:M21" si="29">SUM(D18:L18)/40</f>
        <v>8</v>
      </c>
      <c r="N18" s="39">
        <f t="shared" si="18"/>
        <v>0</v>
      </c>
      <c r="O18" s="50">
        <f t="shared" si="1"/>
        <v>116.2242</v>
      </c>
      <c r="P18" s="75">
        <f t="shared" ref="P18:P21" si="30">SUM(G18:I18)/20</f>
        <v>4</v>
      </c>
      <c r="Q18" s="40">
        <f t="shared" ref="Q18:Q21" si="31">SUM(J18:L18)/20</f>
        <v>12</v>
      </c>
      <c r="R18" s="52" t="e">
        <f t="shared" si="4"/>
        <v>#VALUE!</v>
      </c>
      <c r="S18" s="53">
        <f t="shared" si="5"/>
        <v>0</v>
      </c>
      <c r="T18" s="53">
        <f t="shared" si="6"/>
        <v>0</v>
      </c>
      <c r="U18" s="54" t="e">
        <f t="shared" ref="U18:U21" si="32">SUM(R18:T18)</f>
        <v>#VALUE!</v>
      </c>
      <c r="V18" s="55" t="e">
        <f t="shared" ref="V18:V21" si="33">SUM(D18:F18)*$V$3</f>
        <v>#VALUE!</v>
      </c>
      <c r="W18" s="56">
        <f t="shared" ref="W18:W21" si="34">SUM(G18:I18)*$W$3</f>
        <v>0</v>
      </c>
      <c r="X18" s="56">
        <f t="shared" ref="X18:X21" si="35">SUM(J18:L18)*$X$3</f>
        <v>0</v>
      </c>
      <c r="Y18" s="57" t="e">
        <f t="shared" ref="Y18:Y21" si="36">SUM(V18:X18)</f>
        <v>#VALUE!</v>
      </c>
    </row>
    <row r="19" spans="1:25" x14ac:dyDescent="0.35">
      <c r="A19" s="81"/>
      <c r="B19" s="47">
        <v>15</v>
      </c>
      <c r="C19" s="58" t="s">
        <v>71</v>
      </c>
      <c r="D19" s="76"/>
      <c r="E19" s="77"/>
      <c r="F19" s="78"/>
      <c r="G19" s="51">
        <v>80</v>
      </c>
      <c r="H19" s="77">
        <v>80</v>
      </c>
      <c r="I19" s="50">
        <v>120</v>
      </c>
      <c r="J19" s="51">
        <v>80</v>
      </c>
      <c r="K19" s="77">
        <v>40</v>
      </c>
      <c r="L19" s="78">
        <v>80</v>
      </c>
      <c r="M19" s="49">
        <f t="shared" si="29"/>
        <v>12</v>
      </c>
      <c r="N19" s="39">
        <f t="shared" si="18"/>
        <v>0</v>
      </c>
      <c r="O19" s="50">
        <f t="shared" si="1"/>
        <v>116.2242</v>
      </c>
      <c r="P19" s="75">
        <f t="shared" si="30"/>
        <v>14</v>
      </c>
      <c r="Q19" s="40">
        <f t="shared" si="31"/>
        <v>10</v>
      </c>
      <c r="R19" s="52" t="e">
        <f t="shared" si="4"/>
        <v>#VALUE!</v>
      </c>
      <c r="S19" s="53">
        <f t="shared" si="5"/>
        <v>0</v>
      </c>
      <c r="T19" s="53">
        <f t="shared" si="6"/>
        <v>0</v>
      </c>
      <c r="U19" s="54" t="e">
        <f t="shared" si="32"/>
        <v>#VALUE!</v>
      </c>
      <c r="V19" s="55" t="e">
        <f t="shared" si="33"/>
        <v>#VALUE!</v>
      </c>
      <c r="W19" s="56">
        <f t="shared" si="34"/>
        <v>0</v>
      </c>
      <c r="X19" s="56">
        <f t="shared" si="35"/>
        <v>0</v>
      </c>
      <c r="Y19" s="57" t="e">
        <f t="shared" si="36"/>
        <v>#VALUE!</v>
      </c>
    </row>
    <row r="20" spans="1:25" x14ac:dyDescent="0.35">
      <c r="A20" s="81"/>
      <c r="B20" s="47">
        <v>16</v>
      </c>
      <c r="C20" s="58" t="s">
        <v>72</v>
      </c>
      <c r="D20" s="76">
        <v>40</v>
      </c>
      <c r="E20" s="77"/>
      <c r="F20" s="78"/>
      <c r="G20" s="51">
        <v>40</v>
      </c>
      <c r="H20" s="77"/>
      <c r="I20" s="50">
        <v>40</v>
      </c>
      <c r="J20" s="51"/>
      <c r="K20" s="77"/>
      <c r="L20" s="78">
        <v>80</v>
      </c>
      <c r="M20" s="49">
        <f t="shared" si="29"/>
        <v>5</v>
      </c>
      <c r="N20" s="39">
        <f t="shared" si="18"/>
        <v>0</v>
      </c>
      <c r="O20" s="50">
        <f t="shared" si="1"/>
        <v>116.2242</v>
      </c>
      <c r="P20" s="75">
        <f t="shared" si="30"/>
        <v>4</v>
      </c>
      <c r="Q20" s="40">
        <f t="shared" si="31"/>
        <v>4</v>
      </c>
      <c r="R20" s="52" t="e">
        <f t="shared" si="4"/>
        <v>#VALUE!</v>
      </c>
      <c r="S20" s="53">
        <f t="shared" si="5"/>
        <v>0</v>
      </c>
      <c r="T20" s="53">
        <f t="shared" si="6"/>
        <v>0</v>
      </c>
      <c r="U20" s="54" t="e">
        <f t="shared" si="32"/>
        <v>#VALUE!</v>
      </c>
      <c r="V20" s="55" t="e">
        <f t="shared" si="33"/>
        <v>#VALUE!</v>
      </c>
      <c r="W20" s="56">
        <f t="shared" si="34"/>
        <v>0</v>
      </c>
      <c r="X20" s="56">
        <f t="shared" si="35"/>
        <v>0</v>
      </c>
      <c r="Y20" s="57" t="e">
        <f t="shared" si="36"/>
        <v>#VALUE!</v>
      </c>
    </row>
    <row r="21" spans="1:25" x14ac:dyDescent="0.35">
      <c r="A21" s="81">
        <v>46184</v>
      </c>
      <c r="B21" s="47">
        <v>17</v>
      </c>
      <c r="C21" s="58"/>
      <c r="D21" s="76"/>
      <c r="E21" s="77"/>
      <c r="F21" s="78"/>
      <c r="G21" s="51"/>
      <c r="H21" s="77"/>
      <c r="I21" s="50"/>
      <c r="J21" s="51"/>
      <c r="K21" s="77"/>
      <c r="L21" s="78"/>
      <c r="M21" s="49">
        <f t="shared" si="29"/>
        <v>0</v>
      </c>
      <c r="N21" s="39">
        <f t="shared" si="18"/>
        <v>0</v>
      </c>
      <c r="O21" s="50">
        <f t="shared" si="1"/>
        <v>116.2242</v>
      </c>
      <c r="P21" s="75">
        <f t="shared" si="30"/>
        <v>0</v>
      </c>
      <c r="Q21" s="40">
        <f t="shared" si="31"/>
        <v>0</v>
      </c>
      <c r="R21" s="52" t="e">
        <f t="shared" si="4"/>
        <v>#VALUE!</v>
      </c>
      <c r="S21" s="53">
        <f t="shared" si="5"/>
        <v>0</v>
      </c>
      <c r="T21" s="53">
        <f t="shared" si="6"/>
        <v>0</v>
      </c>
      <c r="U21" s="54" t="e">
        <f t="shared" si="32"/>
        <v>#VALUE!</v>
      </c>
      <c r="V21" s="55" t="e">
        <f t="shared" si="33"/>
        <v>#VALUE!</v>
      </c>
      <c r="W21" s="56">
        <f t="shared" si="34"/>
        <v>0</v>
      </c>
      <c r="X21" s="56">
        <f t="shared" si="35"/>
        <v>0</v>
      </c>
      <c r="Y21" s="57" t="e">
        <f t="shared" si="36"/>
        <v>#VALUE!</v>
      </c>
    </row>
    <row r="22" spans="1:25" x14ac:dyDescent="0.35">
      <c r="A22" s="81"/>
      <c r="B22" s="130" t="s">
        <v>11</v>
      </c>
      <c r="C22" s="131"/>
      <c r="D22" s="91">
        <f>SUM(D6:D21)</f>
        <v>1120</v>
      </c>
      <c r="E22" s="91">
        <f t="shared" ref="E22:L22" si="37">SUM(E6:E21)</f>
        <v>0</v>
      </c>
      <c r="F22" s="91">
        <f t="shared" si="37"/>
        <v>0</v>
      </c>
      <c r="G22" s="91">
        <f t="shared" si="37"/>
        <v>5240</v>
      </c>
      <c r="H22" s="91">
        <f t="shared" si="37"/>
        <v>6880</v>
      </c>
      <c r="I22" s="91">
        <f t="shared" si="37"/>
        <v>7200</v>
      </c>
      <c r="J22" s="91">
        <f t="shared" si="37"/>
        <v>7320</v>
      </c>
      <c r="K22" s="91">
        <f t="shared" si="37"/>
        <v>10920</v>
      </c>
      <c r="L22" s="91">
        <f t="shared" si="37"/>
        <v>10240</v>
      </c>
      <c r="M22" s="49">
        <f t="shared" ref="M22:M24" si="38">SUM(D22:L22)/40</f>
        <v>1223</v>
      </c>
      <c r="N22" s="39">
        <f t="shared" si="18"/>
        <v>0</v>
      </c>
      <c r="O22" s="50">
        <f t="shared" si="1"/>
        <v>116.2242</v>
      </c>
      <c r="P22" s="75">
        <f t="shared" ref="P22:P25" si="39">SUM(G22:I22)/20</f>
        <v>966</v>
      </c>
      <c r="Q22" s="40">
        <f t="shared" ref="Q22:Q25" si="40">SUM(J22:L22)/20</f>
        <v>1424</v>
      </c>
      <c r="R22" s="52" t="e">
        <f t="shared" si="4"/>
        <v>#VALUE!</v>
      </c>
      <c r="S22" s="53">
        <f t="shared" si="5"/>
        <v>0</v>
      </c>
      <c r="T22" s="53">
        <f t="shared" si="6"/>
        <v>0</v>
      </c>
      <c r="U22" s="54" t="e">
        <f t="shared" si="19"/>
        <v>#VALUE!</v>
      </c>
      <c r="V22" s="55" t="e">
        <f t="shared" ref="V22:V25" si="41">SUM(D22:F22)*$V$3</f>
        <v>#VALUE!</v>
      </c>
      <c r="W22" s="56">
        <f t="shared" ref="W22:W25" si="42">SUM(G22:I22)*$W$3</f>
        <v>0</v>
      </c>
      <c r="X22" s="56">
        <f t="shared" ref="X22:X25" si="43">SUM(J22:L22)*$X$3</f>
        <v>0</v>
      </c>
      <c r="Y22" s="57" t="e">
        <f t="shared" si="20"/>
        <v>#VALUE!</v>
      </c>
    </row>
    <row r="23" spans="1:25" x14ac:dyDescent="0.35">
      <c r="A23" s="81"/>
      <c r="B23" s="47">
        <v>0</v>
      </c>
      <c r="C23" s="58" t="s">
        <v>27</v>
      </c>
      <c r="D23" s="76">
        <v>1400</v>
      </c>
      <c r="E23" s="77"/>
      <c r="F23" s="78"/>
      <c r="G23" s="51">
        <v>400</v>
      </c>
      <c r="H23" s="77">
        <v>400</v>
      </c>
      <c r="I23" s="50">
        <v>0</v>
      </c>
      <c r="J23" s="51">
        <v>400</v>
      </c>
      <c r="K23" s="77">
        <v>400</v>
      </c>
      <c r="L23" s="78">
        <v>600</v>
      </c>
      <c r="M23" s="49">
        <f t="shared" si="38"/>
        <v>90</v>
      </c>
      <c r="N23" s="39">
        <f t="shared" si="18"/>
        <v>0</v>
      </c>
      <c r="O23" s="50">
        <f t="shared" si="1"/>
        <v>116.2242</v>
      </c>
      <c r="P23" s="75">
        <f t="shared" si="39"/>
        <v>40</v>
      </c>
      <c r="Q23" s="40">
        <f t="shared" si="40"/>
        <v>70</v>
      </c>
      <c r="R23" s="52" t="e">
        <f t="shared" si="4"/>
        <v>#VALUE!</v>
      </c>
      <c r="S23" s="53">
        <f t="shared" si="5"/>
        <v>0</v>
      </c>
      <c r="T23" s="53">
        <f t="shared" si="6"/>
        <v>0</v>
      </c>
      <c r="U23" s="54" t="e">
        <f t="shared" si="19"/>
        <v>#VALUE!</v>
      </c>
      <c r="V23" s="55" t="e">
        <f t="shared" si="41"/>
        <v>#VALUE!</v>
      </c>
      <c r="W23" s="56">
        <f t="shared" si="42"/>
        <v>0</v>
      </c>
      <c r="X23" s="56">
        <f t="shared" si="43"/>
        <v>0</v>
      </c>
      <c r="Y23" s="57" t="e">
        <f t="shared" si="20"/>
        <v>#VALUE!</v>
      </c>
    </row>
    <row r="24" spans="1:25" x14ac:dyDescent="0.35">
      <c r="B24" s="47">
        <v>0</v>
      </c>
      <c r="C24" s="58" t="s">
        <v>34</v>
      </c>
      <c r="D24" s="76">
        <v>0</v>
      </c>
      <c r="E24" s="77"/>
      <c r="F24" s="78"/>
      <c r="G24" s="51">
        <v>280</v>
      </c>
      <c r="H24" s="77">
        <v>0</v>
      </c>
      <c r="I24" s="50">
        <v>320</v>
      </c>
      <c r="J24" s="51">
        <v>600</v>
      </c>
      <c r="K24" s="77">
        <v>600</v>
      </c>
      <c r="L24" s="78">
        <v>2200</v>
      </c>
      <c r="M24" s="49">
        <f t="shared" si="38"/>
        <v>100</v>
      </c>
      <c r="N24" s="39">
        <f t="shared" si="18"/>
        <v>0</v>
      </c>
      <c r="O24" s="50">
        <f t="shared" si="1"/>
        <v>116.2242</v>
      </c>
      <c r="P24" s="75">
        <f t="shared" si="39"/>
        <v>30</v>
      </c>
      <c r="Q24" s="40">
        <f t="shared" si="40"/>
        <v>170</v>
      </c>
      <c r="R24" s="52" t="e">
        <f t="shared" si="4"/>
        <v>#VALUE!</v>
      </c>
      <c r="S24" s="53">
        <f t="shared" si="5"/>
        <v>0</v>
      </c>
      <c r="T24" s="53">
        <f t="shared" si="6"/>
        <v>0</v>
      </c>
      <c r="U24" s="54" t="e">
        <f t="shared" si="19"/>
        <v>#VALUE!</v>
      </c>
      <c r="V24" s="55" t="e">
        <f t="shared" si="41"/>
        <v>#VALUE!</v>
      </c>
      <c r="W24" s="56">
        <f t="shared" si="42"/>
        <v>0</v>
      </c>
      <c r="X24" s="56">
        <f t="shared" si="43"/>
        <v>0</v>
      </c>
      <c r="Y24" s="57" t="e">
        <f t="shared" si="20"/>
        <v>#VALUE!</v>
      </c>
    </row>
    <row r="25" spans="1:25" ht="15" thickBot="1" x14ac:dyDescent="0.4">
      <c r="B25" s="118" t="s">
        <v>64</v>
      </c>
      <c r="C25" s="119"/>
      <c r="D25" s="90">
        <f>SUM(D23:D24)</f>
        <v>1400</v>
      </c>
      <c r="E25" s="90">
        <f t="shared" ref="E25:L25" si="44">SUM(E23:E24)</f>
        <v>0</v>
      </c>
      <c r="F25" s="90">
        <f t="shared" si="44"/>
        <v>0</v>
      </c>
      <c r="G25" s="90">
        <f t="shared" si="44"/>
        <v>680</v>
      </c>
      <c r="H25" s="90">
        <f t="shared" si="44"/>
        <v>400</v>
      </c>
      <c r="I25" s="90">
        <f t="shared" si="44"/>
        <v>320</v>
      </c>
      <c r="J25" s="90">
        <f t="shared" si="44"/>
        <v>1000</v>
      </c>
      <c r="K25" s="90">
        <f t="shared" si="44"/>
        <v>1000</v>
      </c>
      <c r="L25" s="90">
        <f t="shared" si="44"/>
        <v>2800</v>
      </c>
      <c r="M25" s="60">
        <f t="shared" si="0"/>
        <v>190</v>
      </c>
      <c r="N25" s="61">
        <f t="shared" si="18"/>
        <v>0</v>
      </c>
      <c r="O25" s="59">
        <f t="shared" si="1"/>
        <v>116.2242</v>
      </c>
      <c r="P25" s="75">
        <f t="shared" si="39"/>
        <v>70</v>
      </c>
      <c r="Q25" s="40">
        <f t="shared" si="40"/>
        <v>240</v>
      </c>
      <c r="R25" s="52" t="e">
        <f t="shared" si="4"/>
        <v>#VALUE!</v>
      </c>
      <c r="S25" s="53">
        <f t="shared" si="5"/>
        <v>0</v>
      </c>
      <c r="T25" s="53">
        <f t="shared" si="6"/>
        <v>0</v>
      </c>
      <c r="U25" s="54" t="e">
        <f t="shared" si="19"/>
        <v>#VALUE!</v>
      </c>
      <c r="V25" s="55" t="e">
        <f t="shared" si="41"/>
        <v>#VALUE!</v>
      </c>
      <c r="W25" s="56">
        <f t="shared" si="42"/>
        <v>0</v>
      </c>
      <c r="X25" s="56">
        <f t="shared" si="43"/>
        <v>0</v>
      </c>
      <c r="Y25" s="57" t="e">
        <f t="shared" si="20"/>
        <v>#VALUE!</v>
      </c>
    </row>
    <row r="26" spans="1:25" ht="15" thickBot="1" x14ac:dyDescent="0.4">
      <c r="B26" s="107" t="s">
        <v>11</v>
      </c>
      <c r="C26" s="108"/>
      <c r="D26" s="92">
        <f>SUM(D22,D25)</f>
        <v>2520</v>
      </c>
      <c r="E26" s="92">
        <f t="shared" ref="E26:L26" si="45">SUM(E22,E25)</f>
        <v>0</v>
      </c>
      <c r="F26" s="92">
        <f t="shared" si="45"/>
        <v>0</v>
      </c>
      <c r="G26" s="92">
        <f t="shared" si="45"/>
        <v>5920</v>
      </c>
      <c r="H26" s="92">
        <f t="shared" si="45"/>
        <v>7280</v>
      </c>
      <c r="I26" s="92">
        <f t="shared" si="45"/>
        <v>7520</v>
      </c>
      <c r="J26" s="92">
        <f t="shared" si="45"/>
        <v>8320</v>
      </c>
      <c r="K26" s="92">
        <f t="shared" si="45"/>
        <v>11920</v>
      </c>
      <c r="L26" s="92">
        <f t="shared" si="45"/>
        <v>13040</v>
      </c>
      <c r="M26" s="62">
        <f t="shared" si="0"/>
        <v>1413</v>
      </c>
      <c r="N26" s="65">
        <f>SUM(N5:N25)</f>
        <v>0</v>
      </c>
      <c r="O26" s="63">
        <f t="shared" ref="O26:Y26" si="46">SUM(O5:O25)</f>
        <v>2440.7082000000014</v>
      </c>
      <c r="P26" s="64">
        <f t="shared" si="46"/>
        <v>2326.5500000000002</v>
      </c>
      <c r="Q26" s="66">
        <f t="shared" si="46"/>
        <v>4025.1</v>
      </c>
      <c r="R26" s="67" t="e">
        <f t="shared" si="46"/>
        <v>#VALUE!</v>
      </c>
      <c r="S26" s="68">
        <f t="shared" si="46"/>
        <v>0</v>
      </c>
      <c r="T26" s="68">
        <f t="shared" si="46"/>
        <v>0</v>
      </c>
      <c r="U26" s="69" t="e">
        <f t="shared" si="46"/>
        <v>#VALUE!</v>
      </c>
      <c r="V26" s="70" t="e">
        <f t="shared" si="46"/>
        <v>#VALUE!</v>
      </c>
      <c r="W26" s="71">
        <f t="shared" si="46"/>
        <v>0</v>
      </c>
      <c r="X26" s="71">
        <f t="shared" si="46"/>
        <v>0</v>
      </c>
      <c r="Y26" s="72" t="e">
        <f t="shared" si="46"/>
        <v>#VALUE!</v>
      </c>
    </row>
  </sheetData>
  <mergeCells count="11">
    <mergeCell ref="B1:F1"/>
    <mergeCell ref="B2:B4"/>
    <mergeCell ref="R3:U3"/>
    <mergeCell ref="V3:Y3"/>
    <mergeCell ref="B22:C22"/>
    <mergeCell ref="B26:C26"/>
    <mergeCell ref="M2:O2"/>
    <mergeCell ref="P2:Q2"/>
    <mergeCell ref="M3:O3"/>
    <mergeCell ref="A2:A4"/>
    <mergeCell ref="B25:C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N13"/>
  <sheetViews>
    <sheetView tabSelected="1" topLeftCell="A4" workbookViewId="0">
      <selection activeCell="G10" sqref="G10"/>
    </sheetView>
  </sheetViews>
  <sheetFormatPr defaultRowHeight="14.5" x14ac:dyDescent="0.35"/>
  <cols>
    <col min="3" max="3" width="10.36328125" customWidth="1"/>
    <col min="4" max="4" width="10.1796875" customWidth="1"/>
    <col min="5" max="6" width="12.36328125" customWidth="1"/>
    <col min="7" max="7" width="11.26953125" customWidth="1"/>
    <col min="11" max="11" width="38.6328125" bestFit="1" customWidth="1"/>
    <col min="12" max="12" width="6.08984375" bestFit="1" customWidth="1"/>
    <col min="14" max="14" width="7.7265625" bestFit="1" customWidth="1"/>
  </cols>
  <sheetData>
    <row r="3" spans="3:14" ht="30" customHeight="1" thickBot="1" x14ac:dyDescent="0.4">
      <c r="C3" s="132" t="s">
        <v>57</v>
      </c>
      <c r="D3" s="132"/>
      <c r="E3" s="132"/>
      <c r="F3" s="132"/>
      <c r="G3" s="132"/>
      <c r="K3" s="132" t="s">
        <v>60</v>
      </c>
      <c r="L3" s="132"/>
      <c r="M3" s="132"/>
      <c r="N3" s="132"/>
    </row>
    <row r="4" spans="3:14" ht="29.5" customHeight="1" x14ac:dyDescent="0.55000000000000004">
      <c r="C4" s="83"/>
      <c r="D4" s="83" t="s">
        <v>53</v>
      </c>
      <c r="E4" s="83" t="s">
        <v>54</v>
      </c>
      <c r="F4" s="83" t="s">
        <v>73</v>
      </c>
      <c r="G4" s="83" t="s">
        <v>56</v>
      </c>
      <c r="K4" s="3" t="s">
        <v>0</v>
      </c>
      <c r="L4" s="4" t="s">
        <v>8</v>
      </c>
      <c r="M4" s="4" t="s">
        <v>9</v>
      </c>
      <c r="N4" s="4" t="s">
        <v>10</v>
      </c>
    </row>
    <row r="5" spans="3:14" ht="32" customHeight="1" x14ac:dyDescent="0.55000000000000004">
      <c r="C5" s="85" t="s">
        <v>58</v>
      </c>
      <c r="D5" s="96">
        <v>248.22</v>
      </c>
      <c r="E5" s="82">
        <v>1222</v>
      </c>
      <c r="F5" s="82">
        <v>190</v>
      </c>
      <c r="G5" s="95">
        <f>SUM(D5:F5)</f>
        <v>1660.22</v>
      </c>
      <c r="K5" s="1" t="s">
        <v>1</v>
      </c>
      <c r="L5" s="7">
        <v>70</v>
      </c>
      <c r="M5" s="5">
        <v>7794</v>
      </c>
      <c r="N5" s="6">
        <f t="shared" ref="N5:N11" si="0">M5/40</f>
        <v>194.85</v>
      </c>
    </row>
    <row r="6" spans="3:14" ht="32" customHeight="1" x14ac:dyDescent="0.55000000000000004">
      <c r="C6" s="85" t="s">
        <v>59</v>
      </c>
      <c r="D6" s="96">
        <f>D5*40</f>
        <v>9928.7999999999993</v>
      </c>
      <c r="E6" s="82">
        <f>E5*40</f>
        <v>48880</v>
      </c>
      <c r="F6" s="82">
        <f>F5*40</f>
        <v>7600</v>
      </c>
      <c r="G6" s="95">
        <f>SUM(D6:F6)</f>
        <v>66408.800000000003</v>
      </c>
      <c r="K6" s="1" t="s">
        <v>2</v>
      </c>
      <c r="L6" s="7">
        <v>70</v>
      </c>
      <c r="M6" s="5">
        <v>8638</v>
      </c>
      <c r="N6" s="6">
        <f t="shared" si="0"/>
        <v>215.95</v>
      </c>
    </row>
    <row r="7" spans="3:14" ht="32" customHeight="1" x14ac:dyDescent="0.55000000000000004">
      <c r="C7" s="94"/>
      <c r="K7" s="1" t="s">
        <v>3</v>
      </c>
      <c r="L7" s="7">
        <v>70</v>
      </c>
      <c r="M7" s="5">
        <v>153</v>
      </c>
      <c r="N7" s="6">
        <f t="shared" si="0"/>
        <v>3.8250000000000002</v>
      </c>
    </row>
    <row r="8" spans="3:14" ht="23.5" x14ac:dyDescent="0.55000000000000004">
      <c r="C8" s="85" t="s">
        <v>62</v>
      </c>
      <c r="K8" s="1" t="s">
        <v>4</v>
      </c>
      <c r="L8" s="7">
        <v>120</v>
      </c>
      <c r="M8" s="5">
        <v>805</v>
      </c>
      <c r="N8" s="6">
        <f t="shared" si="0"/>
        <v>20.125</v>
      </c>
    </row>
    <row r="9" spans="3:14" ht="23.5" x14ac:dyDescent="0.55000000000000004">
      <c r="C9" s="85" t="s">
        <v>63</v>
      </c>
      <c r="D9">
        <f>D8-D5</f>
        <v>-248.22</v>
      </c>
      <c r="E9">
        <f>E8-E5</f>
        <v>-1222</v>
      </c>
      <c r="K9" s="1" t="s">
        <v>5</v>
      </c>
      <c r="L9" s="7">
        <v>120</v>
      </c>
      <c r="M9" s="5">
        <v>1874</v>
      </c>
      <c r="N9" s="6">
        <f t="shared" si="0"/>
        <v>46.85</v>
      </c>
    </row>
    <row r="10" spans="3:14" ht="23.5" x14ac:dyDescent="0.55000000000000004">
      <c r="K10" s="1" t="s">
        <v>6</v>
      </c>
      <c r="L10" s="7">
        <v>120</v>
      </c>
      <c r="M10" s="5"/>
      <c r="N10" s="5">
        <f t="shared" si="0"/>
        <v>0</v>
      </c>
    </row>
    <row r="11" spans="3:14" ht="23.5" x14ac:dyDescent="0.55000000000000004">
      <c r="D11" s="133" t="s">
        <v>75</v>
      </c>
      <c r="E11" s="133"/>
      <c r="F11" s="103"/>
      <c r="G11" s="103"/>
      <c r="K11" s="1" t="s">
        <v>7</v>
      </c>
      <c r="L11" s="7">
        <v>60</v>
      </c>
      <c r="M11" s="5">
        <v>72000</v>
      </c>
      <c r="N11" s="5">
        <f t="shared" si="0"/>
        <v>1800</v>
      </c>
    </row>
    <row r="12" spans="3:14" ht="23.5" x14ac:dyDescent="0.55000000000000004">
      <c r="D12" s="104" t="s">
        <v>58</v>
      </c>
      <c r="E12" s="95">
        <v>500.9</v>
      </c>
      <c r="K12" s="1" t="s">
        <v>11</v>
      </c>
      <c r="L12" s="2"/>
      <c r="M12" s="8">
        <f>SUM(M5:M11)</f>
        <v>91264</v>
      </c>
      <c r="N12" s="9">
        <f>SUM(N5:N11)</f>
        <v>2281.6</v>
      </c>
    </row>
    <row r="13" spans="3:14" ht="18.5" x14ac:dyDescent="0.35">
      <c r="D13" s="105" t="s">
        <v>59</v>
      </c>
      <c r="E13" s="106">
        <v>20036</v>
      </c>
    </row>
  </sheetData>
  <mergeCells count="3">
    <mergeCell ref="K3:N3"/>
    <mergeCell ref="C3:G3"/>
    <mergeCell ref="D11:E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F8" sqref="F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84" t="s">
        <v>61</v>
      </c>
      <c r="C1" s="84" t="s">
        <v>55</v>
      </c>
      <c r="D1" s="84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86"/>
      <c r="B19" s="86"/>
      <c r="C19" s="86"/>
      <c r="D19" s="86"/>
    </row>
    <row r="20" spans="1:4" ht="15" thickBot="1" x14ac:dyDescent="0.4">
      <c r="A20" s="87"/>
      <c r="B20" s="88"/>
      <c r="C20" s="88"/>
      <c r="D20" s="8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2026-06-12T08:12:47Z</dcterms:modified>
</cp:coreProperties>
</file>