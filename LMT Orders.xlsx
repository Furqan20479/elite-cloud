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E2146169-D6EA-4DE3-A48F-4C302D6D0163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N24" i="3" l="1"/>
  <c r="N25" i="3" s="1"/>
  <c r="M25" i="3"/>
  <c r="M24" i="3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8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49" i="2" l="1"/>
  <c r="K49" i="2"/>
  <c r="J49" i="2"/>
  <c r="I49" i="2"/>
  <c r="H49" i="2"/>
  <c r="G49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47" i="2" l="1"/>
  <c r="F47" i="2"/>
  <c r="G47" i="2"/>
  <c r="H47" i="2"/>
  <c r="I47" i="2"/>
  <c r="J47" i="2"/>
  <c r="K47" i="2"/>
  <c r="L47" i="2"/>
  <c r="D47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51" i="2"/>
  <c r="E52" i="2" s="1"/>
  <c r="F51" i="2"/>
  <c r="F52" i="2" s="1"/>
  <c r="G51" i="2"/>
  <c r="H51" i="2"/>
  <c r="I51" i="2"/>
  <c r="J51" i="2"/>
  <c r="K51" i="2"/>
  <c r="L51" i="2"/>
  <c r="D51" i="2"/>
  <c r="M49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52" i="2"/>
  <c r="H52" i="2"/>
  <c r="I52" i="2"/>
  <c r="D52" i="2"/>
  <c r="J52" i="2"/>
  <c r="L52" i="2"/>
  <c r="K52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47" i="2"/>
  <c r="Q47" i="2"/>
  <c r="R47" i="2"/>
  <c r="U47" i="2" s="1"/>
  <c r="S47" i="2"/>
  <c r="T47" i="2"/>
  <c r="V47" i="2"/>
  <c r="Y47" i="2" s="1"/>
  <c r="W47" i="2"/>
  <c r="X47" i="2"/>
  <c r="P49" i="2"/>
  <c r="Q49" i="2"/>
  <c r="R49" i="2"/>
  <c r="U49" i="2" s="1"/>
  <c r="S49" i="2"/>
  <c r="T49" i="2"/>
  <c r="V49" i="2"/>
  <c r="Y49" i="2" s="1"/>
  <c r="W49" i="2"/>
  <c r="X49" i="2"/>
  <c r="P50" i="2"/>
  <c r="Q50" i="2"/>
  <c r="R50" i="2"/>
  <c r="U50" i="2" s="1"/>
  <c r="S50" i="2"/>
  <c r="T50" i="2"/>
  <c r="V50" i="2"/>
  <c r="Y50" i="2" s="1"/>
  <c r="W50" i="2"/>
  <c r="X50" i="2"/>
  <c r="P51" i="2"/>
  <c r="Q51" i="2"/>
  <c r="R51" i="2"/>
  <c r="U51" i="2" s="1"/>
  <c r="S51" i="2"/>
  <c r="T51" i="2"/>
  <c r="V51" i="2"/>
  <c r="Y51" i="2" s="1"/>
  <c r="W51" i="2"/>
  <c r="X51" i="2"/>
  <c r="M13" i="2"/>
  <c r="N13" i="2"/>
  <c r="O13" i="2"/>
  <c r="M14" i="2"/>
  <c r="N14" i="2"/>
  <c r="O14" i="2"/>
  <c r="M15" i="2"/>
  <c r="N15" i="2"/>
  <c r="O15" i="2"/>
  <c r="M47" i="2"/>
  <c r="N47" i="2"/>
  <c r="O47" i="2"/>
  <c r="N49" i="2"/>
  <c r="O49" i="2"/>
  <c r="M50" i="2"/>
  <c r="M51" i="2" s="1"/>
  <c r="N50" i="2"/>
  <c r="O50" i="2"/>
  <c r="O51" i="2" l="1"/>
  <c r="N51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52" i="2" s="1"/>
  <c r="T5" i="2"/>
  <c r="S5" i="2"/>
  <c r="R5" i="2"/>
  <c r="U5" i="2" s="1"/>
  <c r="U52" i="2" s="1"/>
  <c r="Q5" i="2"/>
  <c r="P5" i="2"/>
  <c r="O5" i="2"/>
  <c r="N5" i="2"/>
  <c r="M5" i="2"/>
  <c r="M52" i="2" l="1"/>
  <c r="P52" i="2"/>
  <c r="X52" i="2"/>
  <c r="R52" i="2"/>
  <c r="T52" i="2"/>
  <c r="Q52" i="2"/>
  <c r="Y5" i="2"/>
  <c r="Y52" i="2" s="1"/>
  <c r="O52" i="2"/>
  <c r="S52" i="2"/>
  <c r="W52" i="2"/>
  <c r="N52" i="2"/>
</calcChain>
</file>

<file path=xl/sharedStrings.xml><?xml version="1.0" encoding="utf-8"?>
<sst xmlns="http://schemas.openxmlformats.org/spreadsheetml/2006/main" count="149" uniqueCount="112">
  <si>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</si>
  <si>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</si>
  <si>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</si>
  <si>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</si>
  <si>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</si>
  <si>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</si>
  <si>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</si>
  <si>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</si>
  <si>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</si>
  <si>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</si>
  <si>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</si>
  <si>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</si>
  <si>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</si>
  <si>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</si>
  <si>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</si>
  <si>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</si>
  <si>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</si>
  <si>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</si>
  <si>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</si>
  <si>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</si>
  <si>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</si>
  <si>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</si>
  <si>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</si>
  <si>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</si>
  <si>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</si>
  <si>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</si>
  <si>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</si>
  <si>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</si>
  <si>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</si>
  <si>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</si>
  <si>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</si>
  <si>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</si>
  <si>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</si>
  <si>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</si>
  <si>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</si>
  <si>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</si>
  <si>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</si>
  <si>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</si>
  <si>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</si>
  <si>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</si>
  <si>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</si>
  <si>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</si>
  <si>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</si>
  <si>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</si>
  <si>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</si>
  <si>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</si>
  <si>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</si>
  <si>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</si>
  <si>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</si>
  <si>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</si>
  <si>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</si>
  <si>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</si>
  <si>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</si>
  <si>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</si>
  <si>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</si>
  <si>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</si>
  <si>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</si>
  <si>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</si>
  <si>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</si>
  <si>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</si>
  <si>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</si>
  <si>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</si>
  <si>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</si>
  <si>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</si>
  <si>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</si>
  <si>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</si>
  <si>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</si>
  <si>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</si>
  <si>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</si>
  <si>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</si>
  <si>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</si>
  <si>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</si>
  <si>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</si>
  <si>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</si>
  <si>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</si>
  <si>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</si>
  <si>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</si>
  <si>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</si>
  <si>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</si>
  <si>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</si>
  <si>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</si>
  <si>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</si>
  <si>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</si>
  <si>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</si>
  <si>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</si>
  <si>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</si>
  <si>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</si>
  <si>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</si>
  <si>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</si>
  <si>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</si>
  <si>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 xml:space="preserve">Crown </t>
  </si>
  <si>
    <t>Sohail Traders</t>
  </si>
  <si>
    <t>.</t>
  </si>
  <si>
    <t xml:space="preserve">SB5:C38D Total </t>
  </si>
  <si>
    <t>Risan Askari 11</t>
  </si>
  <si>
    <t>Gourmet Shalamar Link</t>
  </si>
  <si>
    <t>Gourmet Shadbagh</t>
  </si>
  <si>
    <t>Gourmet Bata Pur</t>
  </si>
  <si>
    <t>Gourmet Salamat Pura</t>
  </si>
  <si>
    <t>Gourmet Daroghawala</t>
  </si>
  <si>
    <t>Gourmet Railway Palaza</t>
  </si>
  <si>
    <t>Gourmet Taj Bagh</t>
  </si>
  <si>
    <t>Gourmet Taj Pura</t>
  </si>
  <si>
    <t>Gourmet Baghban Pura</t>
  </si>
  <si>
    <t>Gourmet Sultan Pura</t>
  </si>
  <si>
    <t>Gourmet Shadi Pura</t>
  </si>
  <si>
    <t>Gourmet Manawa GT Road</t>
  </si>
  <si>
    <t>MB Traders</t>
  </si>
  <si>
    <t>Total In PC's</t>
  </si>
  <si>
    <t>Total In CTN's</t>
  </si>
  <si>
    <t>In Hand</t>
  </si>
  <si>
    <t>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</si>
</sst>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1" fontId="0" fillId="0" borderId="1" xfId="0" applyNumberForma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0" fillId="0" borderId="38" xfId="0" applyBorder="1"/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1" fontId="0" fillId="0" borderId="0" xfId="0" applyNumberFormat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3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7" borderId="33" xfId="0" applyFont="1" applyFill="1" applyBorder="1"/>
    <xf numFmtId="0" fontId="5" fillId="7" borderId="1" xfId="0" applyFont="1" applyFill="1" applyBorder="1"/>
    <xf numFmtId="0" fontId="5" fillId="7" borderId="32" xfId="0" applyFont="1" applyFill="1" applyBorder="1" applyAlignment="1">
      <alignment horizontal="center"/>
    </xf>
    <xf numFmtId="0" fontId="5" fillId="7" borderId="32" xfId="0" applyFont="1" applyFill="1" applyBorder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1" borderId="55" xfId="0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1" fillId="11" borderId="1" xfId="0" applyFont="1" applyFill="1" applyBorder="1" applyAlignment="1">
      <alignment horizontal="center" vertic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3"/>
  <sheetViews>
    <sheetView topLeftCell="A7" zoomScale="85" zoomScaleNormal="85" workbookViewId="0">
      <selection activeCell="H22" sqref="H22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74</v>
      </c>
    </row>
    <row r="9" spans="2:6" ht="22.5" customHeight="1" x14ac:dyDescent="0.35">
      <c r="B9" s="78" t="s">
        <v>33</v>
      </c>
      <c r="C9" s="78" t="s">
        <v>35</v>
      </c>
      <c r="D9" s="78" t="s">
        <v>36</v>
      </c>
      <c r="F9" s="104" t="s">
        <v>75</v>
      </c>
    </row>
    <row r="10" spans="2:6" x14ac:dyDescent="0.35">
      <c r="B10" s="2" t="s">
        <v>26</v>
      </c>
      <c r="C10" s="2" t="s">
        <v>37</v>
      </c>
      <c r="D10" s="77">
        <v>3520247902365</v>
      </c>
      <c r="F10">
        <v>10000</v>
      </c>
    </row>
    <row r="11" spans="2:6" x14ac:dyDescent="0.35">
      <c r="B11" s="2" t="s">
        <v>27</v>
      </c>
      <c r="C11" s="2"/>
      <c r="D11" s="2"/>
    </row>
    <row r="12" spans="2:6" x14ac:dyDescent="0.35">
      <c r="B12" s="2" t="s">
        <v>41</v>
      </c>
      <c r="C12" s="2" t="s">
        <v>40</v>
      </c>
      <c r="D12" s="77">
        <v>300426949714</v>
      </c>
    </row>
    <row r="13" spans="2:6" x14ac:dyDescent="0.35">
      <c r="B13" s="2" t="s">
        <v>28</v>
      </c>
      <c r="C13" s="2" t="s">
        <v>43</v>
      </c>
      <c r="D13" s="77">
        <v>3277876126916</v>
      </c>
    </row>
    <row r="14" spans="2:6" x14ac:dyDescent="0.35">
      <c r="B14" s="2" t="s">
        <v>29</v>
      </c>
      <c r="C14" s="2" t="s">
        <v>47</v>
      </c>
      <c r="D14" s="77">
        <v>3520255124113</v>
      </c>
    </row>
    <row r="15" spans="2:6" x14ac:dyDescent="0.35">
      <c r="B15" s="2" t="s">
        <v>30</v>
      </c>
      <c r="C15" s="2" t="s">
        <v>47</v>
      </c>
      <c r="D15" s="77">
        <v>3520255124113</v>
      </c>
    </row>
    <row r="16" spans="2:6" x14ac:dyDescent="0.35">
      <c r="B16" s="2" t="s">
        <v>31</v>
      </c>
      <c r="C16" s="2" t="s">
        <v>45</v>
      </c>
      <c r="D16" s="77">
        <v>3520268948847</v>
      </c>
    </row>
    <row r="17" spans="2:4" x14ac:dyDescent="0.35">
      <c r="B17" s="2" t="s">
        <v>32</v>
      </c>
      <c r="C17" s="2" t="s">
        <v>51</v>
      </c>
      <c r="D17" s="2"/>
    </row>
    <row r="18" spans="2:4" x14ac:dyDescent="0.35">
      <c r="B18" s="2" t="s">
        <v>34</v>
      </c>
      <c r="C18" s="2" t="s">
        <v>46</v>
      </c>
      <c r="D18" s="80" t="s">
        <v>52</v>
      </c>
    </row>
    <row r="19" spans="2:4" ht="15" customHeight="1" x14ac:dyDescent="0.35">
      <c r="B19" s="91" t="s">
        <v>63</v>
      </c>
      <c r="C19" t="s">
        <v>64</v>
      </c>
    </row>
    <row r="20" spans="2:4" x14ac:dyDescent="0.35">
      <c r="B20" s="91" t="s">
        <v>65</v>
      </c>
    </row>
    <row r="21" spans="2:4" x14ac:dyDescent="0.35">
      <c r="B21" s="91" t="s">
        <v>66</v>
      </c>
    </row>
    <row r="22" spans="2:4" x14ac:dyDescent="0.35">
      <c r="B22" s="91" t="s">
        <v>67</v>
      </c>
    </row>
    <row r="23" spans="2:4" x14ac:dyDescent="0.35">
      <c r="B23" s="91" t="s">
        <v>79</v>
      </c>
      <c r="C23" t="s">
        <v>80</v>
      </c>
      <c r="D23" s="120">
        <v>3277876231301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52"/>
  <sheetViews>
    <sheetView tabSelected="1" topLeftCell="A26" zoomScaleNormal="100" workbookViewId="0">
      <selection activeCell="F34" sqref="F34"/>
    </sheetView>
  </sheetViews>
  <sheetFormatPr defaultRowHeight="14.5" x14ac:dyDescent="0.35"/>
  <cols>
    <col min="3" max="3" width="21.54296875" bestFit="1" customWidth="1"/>
  </cols>
  <sheetData>
    <row r="1" spans="1:25" ht="15" thickBot="1" x14ac:dyDescent="0.4">
      <c r="B1" s="165">
        <v>46186</v>
      </c>
      <c r="C1" s="165"/>
      <c r="D1" s="165"/>
      <c r="E1" s="165"/>
      <c r="F1" s="16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2" t="s">
        <v>38</v>
      </c>
      <c r="B2" s="166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4"/>
      <c r="N2" s="155"/>
      <c r="O2" s="156"/>
      <c r="P2" s="157" t="s">
        <v>14</v>
      </c>
      <c r="Q2" s="158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2"/>
      <c r="B3" s="167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9" t="s">
        <v>11</v>
      </c>
      <c r="N3" s="160"/>
      <c r="O3" s="161"/>
      <c r="P3" s="71"/>
      <c r="Q3" s="72"/>
      <c r="R3" s="169" t="s">
        <v>16</v>
      </c>
      <c r="S3" s="170"/>
      <c r="T3" s="170"/>
      <c r="U3" s="171"/>
      <c r="V3" s="172" t="s">
        <v>17</v>
      </c>
      <c r="W3" s="173"/>
      <c r="X3" s="173"/>
      <c r="Y3" s="174"/>
    </row>
    <row r="4" spans="1:25" ht="15" thickBot="1" x14ac:dyDescent="0.4">
      <c r="A4" s="162"/>
      <c r="B4" s="168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9">
        <v>46179</v>
      </c>
      <c r="B5" s="36">
        <v>1</v>
      </c>
      <c r="C5" s="95" t="s">
        <v>72</v>
      </c>
      <c r="D5" s="96">
        <v>1003</v>
      </c>
      <c r="E5" s="97"/>
      <c r="F5" s="98"/>
      <c r="G5" s="99">
        <v>1613</v>
      </c>
      <c r="H5" s="97">
        <v>2442</v>
      </c>
      <c r="I5" s="98">
        <v>1036</v>
      </c>
      <c r="J5" s="99">
        <v>5269</v>
      </c>
      <c r="K5" s="97">
        <v>3838</v>
      </c>
      <c r="L5" s="100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3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9">
        <v>46179</v>
      </c>
      <c r="B6" s="47">
        <v>2</v>
      </c>
      <c r="C6" s="57" t="s">
        <v>42</v>
      </c>
      <c r="D6" s="74">
        <v>800</v>
      </c>
      <c r="E6" s="75"/>
      <c r="F6" s="76"/>
      <c r="G6" s="50">
        <v>800</v>
      </c>
      <c r="H6" s="75">
        <v>800</v>
      </c>
      <c r="I6" s="49">
        <v>800</v>
      </c>
      <c r="J6" s="50">
        <v>800</v>
      </c>
      <c r="K6" s="75">
        <v>800</v>
      </c>
      <c r="L6" s="76">
        <v>800</v>
      </c>
      <c r="M6" s="48">
        <f t="shared" ref="M6:M52" si="0">SUM(D6:L6)/40</f>
        <v>140</v>
      </c>
      <c r="N6" s="39">
        <f>SUMPRODUCT($D$4:$L$4,$D$6:$L$6)</f>
        <v>0</v>
      </c>
      <c r="O6" s="49">
        <f t="shared" ref="O6:O51" si="1">SUMPRODUCT($D$3:$L$3,$D$6:$L$6)/1000</f>
        <v>331.63</v>
      </c>
      <c r="P6" s="73">
        <f t="shared" ref="P6" si="2">SUM(G6:I6)/20</f>
        <v>120</v>
      </c>
      <c r="Q6" s="40">
        <f t="shared" ref="Q6" si="3">SUM(J6:L6)/20</f>
        <v>120</v>
      </c>
      <c r="R6" s="51" t="e">
        <f t="shared" ref="R6:R51" si="4">SUMPRODUCT($D$4:$F$4,$D$6:$F$6)*$R$3</f>
        <v>#VALUE!</v>
      </c>
      <c r="S6" s="52">
        <f t="shared" ref="S6:S51" si="5">SUMPRODUCT($G$4:$I$4,$G$6:$I$6)*$S$3</f>
        <v>0</v>
      </c>
      <c r="T6" s="52">
        <f t="shared" ref="T6:T51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9">
        <v>46179</v>
      </c>
      <c r="B7" s="47">
        <v>3</v>
      </c>
      <c r="C7" s="57" t="s">
        <v>44</v>
      </c>
      <c r="D7" s="74">
        <v>80</v>
      </c>
      <c r="E7" s="75"/>
      <c r="F7" s="76"/>
      <c r="G7" s="50">
        <v>80</v>
      </c>
      <c r="H7" s="75">
        <v>80</v>
      </c>
      <c r="I7" s="49">
        <v>80</v>
      </c>
      <c r="J7" s="50">
        <v>80</v>
      </c>
      <c r="K7" s="75">
        <v>80</v>
      </c>
      <c r="L7" s="76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3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9">
        <v>46181</v>
      </c>
      <c r="B8" s="47">
        <v>4</v>
      </c>
      <c r="C8" s="57" t="s">
        <v>48</v>
      </c>
      <c r="D8" s="74">
        <v>200</v>
      </c>
      <c r="E8" s="75"/>
      <c r="F8" s="76"/>
      <c r="G8" s="50">
        <v>200</v>
      </c>
      <c r="H8" s="75">
        <v>200</v>
      </c>
      <c r="I8" s="49">
        <v>200</v>
      </c>
      <c r="J8" s="50">
        <v>200</v>
      </c>
      <c r="K8" s="75">
        <v>200</v>
      </c>
      <c r="L8" s="76">
        <v>200</v>
      </c>
      <c r="M8" s="48">
        <f t="shared" si="12"/>
        <v>35</v>
      </c>
      <c r="N8" s="39">
        <f t="shared" ref="N8:N51" si="18">SUMPRODUCT($D$4:$L$4,$D$6:$L$6)</f>
        <v>0</v>
      </c>
      <c r="O8" s="49">
        <f t="shared" si="1"/>
        <v>331.63</v>
      </c>
      <c r="P8" s="73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9">
        <v>46181</v>
      </c>
      <c r="B9" s="47">
        <v>5</v>
      </c>
      <c r="C9" s="127" t="s">
        <v>49</v>
      </c>
      <c r="D9" s="128"/>
      <c r="E9" s="129"/>
      <c r="F9" s="130"/>
      <c r="G9" s="131"/>
      <c r="H9" s="129"/>
      <c r="I9" s="56"/>
      <c r="J9" s="131">
        <v>560</v>
      </c>
      <c r="K9" s="129">
        <v>560</v>
      </c>
      <c r="L9" s="130">
        <v>880</v>
      </c>
      <c r="M9" s="132">
        <f t="shared" si="12"/>
        <v>50</v>
      </c>
      <c r="N9" s="39">
        <f t="shared" si="18"/>
        <v>0</v>
      </c>
      <c r="O9" s="49">
        <f t="shared" si="1"/>
        <v>331.63</v>
      </c>
      <c r="P9" s="73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9">
        <v>46182</v>
      </c>
      <c r="B10" s="47">
        <v>6</v>
      </c>
      <c r="C10" s="57" t="s">
        <v>39</v>
      </c>
      <c r="D10" s="74"/>
      <c r="E10" s="75"/>
      <c r="F10" s="76"/>
      <c r="G10" s="50">
        <v>1200</v>
      </c>
      <c r="H10" s="75">
        <v>1200</v>
      </c>
      <c r="I10" s="49">
        <v>1800</v>
      </c>
      <c r="J10" s="50">
        <v>2400</v>
      </c>
      <c r="K10" s="75">
        <v>1800</v>
      </c>
      <c r="L10" s="76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3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9">
        <v>46182</v>
      </c>
      <c r="B11" s="47">
        <v>7</v>
      </c>
      <c r="C11" s="57" t="s">
        <v>29</v>
      </c>
      <c r="D11" s="74"/>
      <c r="E11" s="75"/>
      <c r="F11" s="76"/>
      <c r="G11" s="50"/>
      <c r="H11" s="75">
        <v>40</v>
      </c>
      <c r="I11" s="49">
        <v>40</v>
      </c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9">
        <v>46182</v>
      </c>
      <c r="B12" s="47">
        <v>8</v>
      </c>
      <c r="C12" s="57" t="s">
        <v>50</v>
      </c>
      <c r="D12" s="74"/>
      <c r="E12" s="75"/>
      <c r="F12" s="76"/>
      <c r="G12" s="50">
        <v>400</v>
      </c>
      <c r="H12" s="75">
        <v>200</v>
      </c>
      <c r="I12" s="49">
        <v>400</v>
      </c>
      <c r="J12" s="50">
        <v>400</v>
      </c>
      <c r="K12" s="75">
        <v>200</v>
      </c>
      <c r="L12" s="76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3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9">
        <v>46183</v>
      </c>
      <c r="B13" s="47">
        <v>9</v>
      </c>
      <c r="C13" s="57" t="s">
        <v>63</v>
      </c>
      <c r="D13" s="74"/>
      <c r="E13" s="75"/>
      <c r="F13" s="76"/>
      <c r="G13" s="50">
        <v>40</v>
      </c>
      <c r="H13" s="75">
        <v>40</v>
      </c>
      <c r="I13" s="49">
        <v>40</v>
      </c>
      <c r="J13" s="50">
        <v>40</v>
      </c>
      <c r="K13" s="75">
        <v>40</v>
      </c>
      <c r="L13" s="76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3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51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51" si="20">SUM(V13:X13)</f>
        <v>#VALUE!</v>
      </c>
    </row>
    <row r="14" spans="1:25" x14ac:dyDescent="0.35">
      <c r="A14" s="79">
        <v>46183</v>
      </c>
      <c r="B14" s="47">
        <v>10</v>
      </c>
      <c r="C14" s="57" t="s">
        <v>25</v>
      </c>
      <c r="D14" s="74"/>
      <c r="E14" s="75"/>
      <c r="F14" s="76"/>
      <c r="G14" s="50">
        <v>240</v>
      </c>
      <c r="H14" s="75">
        <v>240</v>
      </c>
      <c r="I14" s="49">
        <v>240</v>
      </c>
      <c r="J14" s="50">
        <v>240</v>
      </c>
      <c r="K14" s="75">
        <v>240</v>
      </c>
      <c r="L14" s="76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3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9">
        <v>46183</v>
      </c>
      <c r="B15" s="47">
        <v>11</v>
      </c>
      <c r="C15" s="57" t="s">
        <v>68</v>
      </c>
      <c r="D15" s="74"/>
      <c r="E15" s="75"/>
      <c r="F15" s="76"/>
      <c r="G15" s="50"/>
      <c r="H15" s="75"/>
      <c r="I15" s="49">
        <v>80</v>
      </c>
      <c r="J15" s="50">
        <v>80</v>
      </c>
      <c r="K15" s="75">
        <v>80</v>
      </c>
      <c r="L15" s="76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3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9">
        <v>46184</v>
      </c>
      <c r="B16" s="47">
        <v>12</v>
      </c>
      <c r="C16" s="57" t="s">
        <v>69</v>
      </c>
      <c r="D16" s="74"/>
      <c r="E16" s="75"/>
      <c r="F16" s="76"/>
      <c r="G16" s="50">
        <v>80</v>
      </c>
      <c r="H16" s="75">
        <v>80</v>
      </c>
      <c r="I16" s="49">
        <v>120</v>
      </c>
      <c r="J16" s="50">
        <v>80</v>
      </c>
      <c r="K16" s="75">
        <v>40</v>
      </c>
      <c r="L16" s="76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3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9">
        <v>46184</v>
      </c>
      <c r="B17" s="47">
        <v>13</v>
      </c>
      <c r="C17" s="57" t="s">
        <v>70</v>
      </c>
      <c r="D17" s="74">
        <v>40</v>
      </c>
      <c r="E17" s="75"/>
      <c r="F17" s="76"/>
      <c r="G17" s="50">
        <v>40</v>
      </c>
      <c r="H17" s="75"/>
      <c r="I17" s="49">
        <v>40</v>
      </c>
      <c r="J17" s="50"/>
      <c r="K17" s="75"/>
      <c r="L17" s="76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3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9">
        <v>46184</v>
      </c>
      <c r="B18" s="47">
        <v>14</v>
      </c>
      <c r="C18" s="57" t="s">
        <v>39</v>
      </c>
      <c r="D18" s="74"/>
      <c r="E18" s="75"/>
      <c r="F18" s="76"/>
      <c r="G18" s="50">
        <v>600</v>
      </c>
      <c r="H18" s="75">
        <v>597</v>
      </c>
      <c r="I18" s="49">
        <v>797</v>
      </c>
      <c r="J18" s="50">
        <v>1597</v>
      </c>
      <c r="K18" s="75">
        <v>1184</v>
      </c>
      <c r="L18" s="76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3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9">
        <v>46184</v>
      </c>
      <c r="B19" s="47">
        <v>15</v>
      </c>
      <c r="C19" s="57" t="s">
        <v>76</v>
      </c>
      <c r="D19" s="74"/>
      <c r="E19" s="75"/>
      <c r="F19" s="76"/>
      <c r="G19" s="50"/>
      <c r="H19" s="75"/>
      <c r="I19" s="49">
        <v>40</v>
      </c>
      <c r="J19" s="50">
        <v>40</v>
      </c>
      <c r="K19" s="75">
        <v>40</v>
      </c>
      <c r="L19" s="76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3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9">
        <v>46184</v>
      </c>
      <c r="B20" s="47">
        <v>16</v>
      </c>
      <c r="C20" s="57" t="s">
        <v>63</v>
      </c>
      <c r="D20" s="74"/>
      <c r="E20" s="75"/>
      <c r="F20" s="76"/>
      <c r="G20" s="50">
        <v>40</v>
      </c>
      <c r="H20" s="75">
        <v>40</v>
      </c>
      <c r="I20" s="49">
        <v>40</v>
      </c>
      <c r="J20" s="50">
        <v>40</v>
      </c>
      <c r="K20" s="75">
        <v>40</v>
      </c>
      <c r="L20" s="76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3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9">
        <v>46185</v>
      </c>
      <c r="B21" s="47">
        <v>17</v>
      </c>
      <c r="C21" s="57" t="s">
        <v>79</v>
      </c>
      <c r="D21" s="74"/>
      <c r="E21" s="75"/>
      <c r="F21" s="76"/>
      <c r="G21" s="50">
        <v>120</v>
      </c>
      <c r="H21" s="75">
        <v>120</v>
      </c>
      <c r="I21" s="49">
        <v>120</v>
      </c>
      <c r="J21" s="50">
        <v>120</v>
      </c>
      <c r="K21" s="75">
        <v>120</v>
      </c>
      <c r="L21" s="76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3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47" si="44">SUM(V21:X21)</f>
        <v>#VALUE!</v>
      </c>
    </row>
    <row r="22" spans="1:25" x14ac:dyDescent="0.35">
      <c r="A22" s="79">
        <v>46185</v>
      </c>
      <c r="B22" s="133">
        <v>18</v>
      </c>
      <c r="C22" s="127" t="s">
        <v>79</v>
      </c>
      <c r="D22" s="134"/>
      <c r="E22" s="135"/>
      <c r="F22" s="136"/>
      <c r="G22" s="131">
        <v>300</v>
      </c>
      <c r="H22" s="129">
        <v>300</v>
      </c>
      <c r="I22" s="56">
        <v>300</v>
      </c>
      <c r="J22" s="131">
        <v>300</v>
      </c>
      <c r="K22" s="129">
        <v>300</v>
      </c>
      <c r="L22" s="130">
        <v>300</v>
      </c>
      <c r="M22" s="132">
        <f t="shared" si="37"/>
        <v>45</v>
      </c>
      <c r="N22" s="39">
        <f t="shared" si="18"/>
        <v>0</v>
      </c>
      <c r="O22" s="49">
        <f t="shared" si="1"/>
        <v>331.63</v>
      </c>
      <c r="P22" s="73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9">
        <v>46189</v>
      </c>
      <c r="B23" s="47">
        <v>19</v>
      </c>
      <c r="C23" s="57" t="s">
        <v>84</v>
      </c>
      <c r="D23" s="74"/>
      <c r="E23" s="75"/>
      <c r="F23" s="76"/>
      <c r="G23" s="137">
        <v>80</v>
      </c>
      <c r="H23" s="138">
        <v>80</v>
      </c>
      <c r="I23" s="139">
        <v>80</v>
      </c>
      <c r="J23" s="137">
        <v>80</v>
      </c>
      <c r="K23" s="138">
        <v>80</v>
      </c>
      <c r="L23" s="140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3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9">
        <v>46189</v>
      </c>
      <c r="B24" s="47">
        <v>20</v>
      </c>
      <c r="C24" s="57" t="s">
        <v>85</v>
      </c>
      <c r="D24" s="74"/>
      <c r="E24" s="75"/>
      <c r="F24" s="76"/>
      <c r="G24" s="137">
        <v>80</v>
      </c>
      <c r="H24" s="138">
        <v>80</v>
      </c>
      <c r="I24" s="139">
        <v>80</v>
      </c>
      <c r="J24" s="137">
        <v>80</v>
      </c>
      <c r="K24" s="138">
        <v>80</v>
      </c>
      <c r="L24" s="140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3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9">
        <v>46189</v>
      </c>
      <c r="B25" s="47">
        <v>21</v>
      </c>
      <c r="C25" s="57" t="s">
        <v>86</v>
      </c>
      <c r="D25" s="74"/>
      <c r="E25" s="75"/>
      <c r="F25" s="76"/>
      <c r="G25" s="137">
        <v>80</v>
      </c>
      <c r="H25" s="138">
        <v>80</v>
      </c>
      <c r="I25" s="139">
        <v>80</v>
      </c>
      <c r="J25" s="137">
        <v>80</v>
      </c>
      <c r="K25" s="138">
        <v>80</v>
      </c>
      <c r="L25" s="140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3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9">
        <v>46189</v>
      </c>
      <c r="B26" s="47">
        <v>22</v>
      </c>
      <c r="C26" s="57" t="s">
        <v>87</v>
      </c>
      <c r="D26" s="74"/>
      <c r="E26" s="75"/>
      <c r="F26" s="76"/>
      <c r="G26" s="137">
        <v>40</v>
      </c>
      <c r="H26" s="138">
        <v>40</v>
      </c>
      <c r="I26" s="139">
        <v>40</v>
      </c>
      <c r="J26" s="137">
        <v>40</v>
      </c>
      <c r="K26" s="138">
        <v>40</v>
      </c>
      <c r="L26" s="140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3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9">
        <v>46189</v>
      </c>
      <c r="B27" s="47">
        <v>23</v>
      </c>
      <c r="C27" s="57" t="s">
        <v>88</v>
      </c>
      <c r="D27" s="74">
        <v>80</v>
      </c>
      <c r="E27" s="75"/>
      <c r="F27" s="76"/>
      <c r="G27" s="137">
        <v>80</v>
      </c>
      <c r="H27" s="138">
        <v>80</v>
      </c>
      <c r="I27" s="139">
        <v>80</v>
      </c>
      <c r="J27" s="137">
        <v>80</v>
      </c>
      <c r="K27" s="138">
        <v>80</v>
      </c>
      <c r="L27" s="140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3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9">
        <v>46189</v>
      </c>
      <c r="B28" s="47">
        <v>24</v>
      </c>
      <c r="C28" s="57" t="s">
        <v>89</v>
      </c>
      <c r="D28" s="74">
        <v>120</v>
      </c>
      <c r="E28" s="75"/>
      <c r="F28" s="76"/>
      <c r="G28" s="137">
        <v>120</v>
      </c>
      <c r="H28" s="138">
        <v>120</v>
      </c>
      <c r="I28" s="139">
        <v>120</v>
      </c>
      <c r="J28" s="137">
        <v>120</v>
      </c>
      <c r="K28" s="138">
        <v>120</v>
      </c>
      <c r="L28" s="140">
        <v>120</v>
      </c>
      <c r="M28" s="48">
        <f t="shared" ref="M28:M46" si="52">SUM(D28:L28)/40</f>
        <v>21</v>
      </c>
      <c r="N28" s="39">
        <f t="shared" si="18"/>
        <v>0</v>
      </c>
      <c r="O28" s="49">
        <f t="shared" si="1"/>
        <v>331.63</v>
      </c>
      <c r="P28" s="73">
        <f t="shared" ref="P28:P46" si="53">SUM(G28:I28)/20</f>
        <v>18</v>
      </c>
      <c r="Q28" s="40">
        <f t="shared" ref="Q28:Q46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46" si="55">SUM(R28:T28)</f>
        <v>#VALUE!</v>
      </c>
      <c r="V28" s="54" t="e">
        <f t="shared" ref="V28:V46" si="56">SUM(D28:F28)*$V$3</f>
        <v>#VALUE!</v>
      </c>
      <c r="W28" s="55">
        <f t="shared" ref="W28:W46" si="57">SUM(G28:I28)*$W$3</f>
        <v>0</v>
      </c>
      <c r="X28" s="55">
        <f t="shared" ref="X28:X46" si="58">SUM(J28:L28)*$X$3</f>
        <v>0</v>
      </c>
      <c r="Y28" s="56" t="e">
        <f t="shared" ref="Y28:Y46" si="59">SUM(V28:X28)</f>
        <v>#VALUE!</v>
      </c>
    </row>
    <row r="29" spans="1:25" x14ac:dyDescent="0.35">
      <c r="A29" s="79">
        <v>46189</v>
      </c>
      <c r="B29" s="47">
        <v>25</v>
      </c>
      <c r="C29" s="57" t="s">
        <v>107</v>
      </c>
      <c r="D29" s="74"/>
      <c r="E29" s="75"/>
      <c r="F29" s="76"/>
      <c r="G29" s="137">
        <v>40</v>
      </c>
      <c r="H29" s="138">
        <v>40</v>
      </c>
      <c r="I29" s="139">
        <v>80</v>
      </c>
      <c r="J29" s="137">
        <v>40</v>
      </c>
      <c r="K29" s="138"/>
      <c r="L29" s="140">
        <v>80</v>
      </c>
      <c r="M29" s="48">
        <f t="shared" ref="M29" si="60">SUM(D29:L29)/40</f>
        <v>7</v>
      </c>
      <c r="N29" s="39">
        <f t="shared" si="18"/>
        <v>0</v>
      </c>
      <c r="O29" s="49">
        <f t="shared" si="1"/>
        <v>331.63</v>
      </c>
      <c r="P29" s="73">
        <f t="shared" ref="P29" si="61">SUM(G29:I29)/20</f>
        <v>8</v>
      </c>
      <c r="Q29" s="40">
        <f t="shared" ref="Q29" si="62">SUM(J29:L29)/20</f>
        <v>6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9">
        <v>46190</v>
      </c>
      <c r="B30" s="47">
        <v>26</v>
      </c>
      <c r="C30" s="57" t="s">
        <v>44</v>
      </c>
      <c r="D30" s="74"/>
      <c r="E30" s="75"/>
      <c r="F30" s="76"/>
      <c r="G30" s="50">
        <v>80</v>
      </c>
      <c r="H30" s="75">
        <v>80</v>
      </c>
      <c r="I30" s="49">
        <v>200</v>
      </c>
      <c r="J30" s="50">
        <v>80</v>
      </c>
      <c r="K30" s="75">
        <v>80</v>
      </c>
      <c r="L30" s="76">
        <v>200</v>
      </c>
      <c r="M30" s="48">
        <f t="shared" si="52"/>
        <v>18</v>
      </c>
      <c r="N30" s="39">
        <f t="shared" si="18"/>
        <v>0</v>
      </c>
      <c r="O30" s="49">
        <f t="shared" si="1"/>
        <v>331.63</v>
      </c>
      <c r="P30" s="73">
        <f t="shared" si="53"/>
        <v>18</v>
      </c>
      <c r="Q30" s="40">
        <f t="shared" si="54"/>
        <v>18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9">
        <v>46190</v>
      </c>
      <c r="B31" s="47">
        <v>27</v>
      </c>
      <c r="C31" s="57" t="s">
        <v>90</v>
      </c>
      <c r="D31" s="74"/>
      <c r="E31" s="75"/>
      <c r="F31" s="76"/>
      <c r="G31" s="50">
        <v>80</v>
      </c>
      <c r="H31" s="75">
        <v>80</v>
      </c>
      <c r="I31" s="49">
        <v>80</v>
      </c>
      <c r="J31" s="50">
        <v>80</v>
      </c>
      <c r="K31" s="75">
        <v>80</v>
      </c>
      <c r="L31" s="76">
        <v>80</v>
      </c>
      <c r="M31" s="48">
        <f t="shared" si="52"/>
        <v>12</v>
      </c>
      <c r="N31" s="39">
        <f t="shared" si="18"/>
        <v>0</v>
      </c>
      <c r="O31" s="49">
        <f t="shared" si="1"/>
        <v>331.63</v>
      </c>
      <c r="P31" s="73">
        <f t="shared" si="53"/>
        <v>12</v>
      </c>
      <c r="Q31" s="40">
        <f t="shared" si="54"/>
        <v>12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9">
        <v>46190</v>
      </c>
      <c r="B32" s="47">
        <v>28</v>
      </c>
      <c r="C32" s="127" t="s">
        <v>94</v>
      </c>
      <c r="D32" s="128"/>
      <c r="E32" s="129"/>
      <c r="F32" s="130"/>
      <c r="G32" s="131">
        <v>40</v>
      </c>
      <c r="H32" s="129">
        <v>40</v>
      </c>
      <c r="I32" s="56">
        <v>80</v>
      </c>
      <c r="J32" s="131">
        <v>80</v>
      </c>
      <c r="K32" s="129">
        <v>120</v>
      </c>
      <c r="L32" s="130">
        <v>40</v>
      </c>
      <c r="M32" s="132">
        <f t="shared" si="52"/>
        <v>10</v>
      </c>
      <c r="N32" s="39">
        <f t="shared" si="18"/>
        <v>0</v>
      </c>
      <c r="O32" s="49">
        <f t="shared" si="1"/>
        <v>331.63</v>
      </c>
      <c r="P32" s="73">
        <f t="shared" si="53"/>
        <v>8</v>
      </c>
      <c r="Q32" s="40">
        <f t="shared" si="54"/>
        <v>12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9">
        <v>46190</v>
      </c>
      <c r="B33" s="47">
        <v>29</v>
      </c>
      <c r="C33" s="57" t="s">
        <v>95</v>
      </c>
      <c r="D33" s="74"/>
      <c r="E33" s="75" t="s">
        <v>92</v>
      </c>
      <c r="F33" s="76"/>
      <c r="G33" s="50">
        <v>40</v>
      </c>
      <c r="H33" s="75">
        <v>40</v>
      </c>
      <c r="I33" s="49">
        <v>40</v>
      </c>
      <c r="J33" s="50">
        <v>40</v>
      </c>
      <c r="K33" s="75">
        <v>40</v>
      </c>
      <c r="L33" s="76">
        <v>40</v>
      </c>
      <c r="M33" s="48">
        <f t="shared" si="52"/>
        <v>6</v>
      </c>
      <c r="N33" s="39">
        <f t="shared" si="18"/>
        <v>0</v>
      </c>
      <c r="O33" s="49">
        <f t="shared" si="1"/>
        <v>331.63</v>
      </c>
      <c r="P33" s="73">
        <f t="shared" si="53"/>
        <v>6</v>
      </c>
      <c r="Q33" s="40">
        <f t="shared" si="54"/>
        <v>6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9">
        <v>46190</v>
      </c>
      <c r="B34" s="47">
        <v>30</v>
      </c>
      <c r="C34" s="57" t="s">
        <v>96</v>
      </c>
      <c r="D34" s="74"/>
      <c r="E34" s="75"/>
      <c r="F34" s="76"/>
      <c r="G34" s="50">
        <v>40</v>
      </c>
      <c r="H34" s="75">
        <v>40</v>
      </c>
      <c r="I34" s="49">
        <v>40</v>
      </c>
      <c r="J34" s="50">
        <v>40</v>
      </c>
      <c r="K34" s="75">
        <v>40</v>
      </c>
      <c r="L34" s="76">
        <v>40</v>
      </c>
      <c r="M34" s="48">
        <f t="shared" ref="M34:M45" si="68">SUM(D34:L34)/40</f>
        <v>6</v>
      </c>
      <c r="N34" s="39">
        <f t="shared" si="18"/>
        <v>0</v>
      </c>
      <c r="O34" s="49">
        <f t="shared" si="1"/>
        <v>331.63</v>
      </c>
      <c r="P34" s="73">
        <f t="shared" ref="P34:P45" si="69">SUM(G34:I34)/20</f>
        <v>6</v>
      </c>
      <c r="Q34" s="40">
        <f t="shared" ref="Q34:Q45" si="70">SUM(J34:L34)/20</f>
        <v>6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5" si="73">SUM(G34:I34)*$W$3</f>
        <v>0</v>
      </c>
      <c r="X34" s="55">
        <f t="shared" ref="X34:X45" si="74">SUM(J34:L34)*$X$3</f>
        <v>0</v>
      </c>
      <c r="Y34" s="56" t="e">
        <f t="shared" ref="Y34:Y45" si="75">SUM(V34:X34)</f>
        <v>#VALUE!</v>
      </c>
    </row>
    <row r="35" spans="1:25" x14ac:dyDescent="0.35">
      <c r="A35" s="79">
        <v>46190</v>
      </c>
      <c r="B35" s="47">
        <v>31</v>
      </c>
      <c r="C35" s="57" t="s">
        <v>97</v>
      </c>
      <c r="D35" s="74"/>
      <c r="E35" s="75"/>
      <c r="F35" s="76"/>
      <c r="G35" s="50">
        <v>40</v>
      </c>
      <c r="H35" s="75">
        <v>40</v>
      </c>
      <c r="I35" s="49">
        <v>40</v>
      </c>
      <c r="J35" s="50">
        <v>40</v>
      </c>
      <c r="K35" s="75">
        <v>40</v>
      </c>
      <c r="L35" s="76">
        <v>40</v>
      </c>
      <c r="M35" s="48">
        <f t="shared" si="68"/>
        <v>6</v>
      </c>
      <c r="N35" s="39">
        <f t="shared" si="18"/>
        <v>0</v>
      </c>
      <c r="O35" s="49">
        <f t="shared" si="1"/>
        <v>331.63</v>
      </c>
      <c r="P35" s="73">
        <f t="shared" si="69"/>
        <v>6</v>
      </c>
      <c r="Q35" s="40">
        <f t="shared" si="70"/>
        <v>6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9">
        <v>46190</v>
      </c>
      <c r="B36" s="47">
        <v>32</v>
      </c>
      <c r="C36" s="57" t="s">
        <v>98</v>
      </c>
      <c r="D36" s="74"/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6</v>
      </c>
      <c r="N36" s="39">
        <f t="shared" si="18"/>
        <v>0</v>
      </c>
      <c r="O36" s="49">
        <f t="shared" si="1"/>
        <v>331.63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9">
        <v>46190</v>
      </c>
      <c r="B37" s="47">
        <v>33</v>
      </c>
      <c r="C37" s="57" t="s">
        <v>99</v>
      </c>
      <c r="D37" s="74"/>
      <c r="E37" s="75"/>
      <c r="F37" s="76"/>
      <c r="G37" s="50">
        <v>80</v>
      </c>
      <c r="H37" s="75">
        <v>80</v>
      </c>
      <c r="I37" s="49">
        <v>80</v>
      </c>
      <c r="J37" s="50">
        <v>80</v>
      </c>
      <c r="K37" s="75">
        <v>80</v>
      </c>
      <c r="L37" s="76">
        <v>80</v>
      </c>
      <c r="M37" s="48">
        <f t="shared" si="68"/>
        <v>12</v>
      </c>
      <c r="N37" s="39">
        <f t="shared" si="18"/>
        <v>0</v>
      </c>
      <c r="O37" s="49">
        <f t="shared" si="1"/>
        <v>331.63</v>
      </c>
      <c r="P37" s="73">
        <f t="shared" si="69"/>
        <v>12</v>
      </c>
      <c r="Q37" s="40">
        <f t="shared" si="70"/>
        <v>12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9">
        <v>46190</v>
      </c>
      <c r="B38" s="47">
        <v>34</v>
      </c>
      <c r="C38" s="57" t="s">
        <v>100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331.63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9">
        <v>46190</v>
      </c>
      <c r="B39" s="47">
        <v>35</v>
      </c>
      <c r="C39" s="57" t="s">
        <v>101</v>
      </c>
      <c r="D39" s="74"/>
      <c r="E39" s="75"/>
      <c r="F39" s="76"/>
      <c r="G39" s="50">
        <v>80</v>
      </c>
      <c r="H39" s="75">
        <v>80</v>
      </c>
      <c r="I39" s="49">
        <v>80</v>
      </c>
      <c r="J39" s="50">
        <v>80</v>
      </c>
      <c r="K39" s="75">
        <v>80</v>
      </c>
      <c r="L39" s="76">
        <v>80</v>
      </c>
      <c r="M39" s="48">
        <f t="shared" si="68"/>
        <v>12</v>
      </c>
      <c r="N39" s="39">
        <f t="shared" si="18"/>
        <v>0</v>
      </c>
      <c r="O39" s="49">
        <f t="shared" si="1"/>
        <v>331.63</v>
      </c>
      <c r="P39" s="73">
        <f t="shared" si="69"/>
        <v>12</v>
      </c>
      <c r="Q39" s="40">
        <f t="shared" si="70"/>
        <v>12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9">
        <v>46190</v>
      </c>
      <c r="B40" s="47">
        <v>36</v>
      </c>
      <c r="C40" s="57" t="s">
        <v>102</v>
      </c>
      <c r="D40" s="74"/>
      <c r="E40" s="75"/>
      <c r="F40" s="76"/>
      <c r="G40" s="50">
        <v>80</v>
      </c>
      <c r="H40" s="75">
        <v>80</v>
      </c>
      <c r="I40" s="49">
        <v>80</v>
      </c>
      <c r="J40" s="50">
        <v>80</v>
      </c>
      <c r="K40" s="75">
        <v>80</v>
      </c>
      <c r="L40" s="76">
        <v>80</v>
      </c>
      <c r="M40" s="48">
        <f t="shared" si="68"/>
        <v>12</v>
      </c>
      <c r="N40" s="39">
        <f t="shared" si="18"/>
        <v>0</v>
      </c>
      <c r="O40" s="49">
        <f t="shared" si="1"/>
        <v>331.63</v>
      </c>
      <c r="P40" s="73">
        <f t="shared" si="69"/>
        <v>12</v>
      </c>
      <c r="Q40" s="40">
        <f t="shared" si="70"/>
        <v>12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9">
        <v>46190</v>
      </c>
      <c r="B41" s="47">
        <v>37</v>
      </c>
      <c r="C41" s="57" t="s">
        <v>103</v>
      </c>
      <c r="D41" s="74"/>
      <c r="E41" s="75"/>
      <c r="F41" s="76"/>
      <c r="G41" s="50">
        <v>40</v>
      </c>
      <c r="H41" s="75">
        <v>40</v>
      </c>
      <c r="I41" s="49">
        <v>40</v>
      </c>
      <c r="J41" s="50">
        <v>40</v>
      </c>
      <c r="K41" s="75">
        <v>40</v>
      </c>
      <c r="L41" s="76">
        <v>40</v>
      </c>
      <c r="M41" s="48">
        <f t="shared" si="68"/>
        <v>6</v>
      </c>
      <c r="N41" s="39">
        <f t="shared" si="18"/>
        <v>0</v>
      </c>
      <c r="O41" s="49">
        <f t="shared" si="1"/>
        <v>331.63</v>
      </c>
      <c r="P41" s="73">
        <f t="shared" si="69"/>
        <v>6</v>
      </c>
      <c r="Q41" s="40">
        <f t="shared" si="70"/>
        <v>6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9">
        <v>46190</v>
      </c>
      <c r="B42" s="47">
        <v>38</v>
      </c>
      <c r="C42" s="57" t="s">
        <v>104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331.63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9">
        <v>46190</v>
      </c>
      <c r="B43" s="47">
        <v>39</v>
      </c>
      <c r="C43" s="57" t="s">
        <v>105</v>
      </c>
      <c r="D43" s="74"/>
      <c r="E43" s="75"/>
      <c r="F43" s="76"/>
      <c r="G43" s="50">
        <v>40</v>
      </c>
      <c r="H43" s="75">
        <v>40</v>
      </c>
      <c r="I43" s="49">
        <v>40</v>
      </c>
      <c r="J43" s="50">
        <v>40</v>
      </c>
      <c r="K43" s="75">
        <v>40</v>
      </c>
      <c r="L43" s="76">
        <v>40</v>
      </c>
      <c r="M43" s="48">
        <f t="shared" si="68"/>
        <v>6</v>
      </c>
      <c r="N43" s="39">
        <f t="shared" si="18"/>
        <v>0</v>
      </c>
      <c r="O43" s="49">
        <f t="shared" si="1"/>
        <v>331.63</v>
      </c>
      <c r="P43" s="73">
        <f t="shared" si="69"/>
        <v>6</v>
      </c>
      <c r="Q43" s="40">
        <f t="shared" si="70"/>
        <v>6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9">
        <v>46190</v>
      </c>
      <c r="B44" s="47">
        <v>40</v>
      </c>
      <c r="C44" s="57" t="s">
        <v>106</v>
      </c>
      <c r="D44" s="74"/>
      <c r="E44" s="75"/>
      <c r="F44" s="76"/>
      <c r="G44" s="50">
        <v>80</v>
      </c>
      <c r="H44" s="75">
        <v>80</v>
      </c>
      <c r="I44" s="49">
        <v>80</v>
      </c>
      <c r="J44" s="50">
        <v>80</v>
      </c>
      <c r="K44" s="75">
        <v>80</v>
      </c>
      <c r="L44" s="76">
        <v>80</v>
      </c>
      <c r="M44" s="48">
        <f t="shared" si="68"/>
        <v>12</v>
      </c>
      <c r="N44" s="39">
        <f t="shared" si="18"/>
        <v>0</v>
      </c>
      <c r="O44" s="49">
        <f t="shared" si="1"/>
        <v>331.63</v>
      </c>
      <c r="P44" s="73">
        <f t="shared" si="69"/>
        <v>12</v>
      </c>
      <c r="Q44" s="40">
        <f t="shared" si="70"/>
        <v>12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9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331.63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9"/>
      <c r="B46" s="47">
        <v>41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52"/>
        <v>0</v>
      </c>
      <c r="N46" s="39">
        <f t="shared" si="18"/>
        <v>0</v>
      </c>
      <c r="O46" s="49">
        <f t="shared" si="1"/>
        <v>331.63</v>
      </c>
      <c r="P46" s="73">
        <f t="shared" si="53"/>
        <v>0</v>
      </c>
      <c r="Q46" s="40">
        <f t="shared" si="54"/>
        <v>0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55"/>
        <v>#VALUE!</v>
      </c>
      <c r="V46" s="54" t="e">
        <f t="shared" si="56"/>
        <v>#VALUE!</v>
      </c>
      <c r="W46" s="55">
        <f t="shared" si="57"/>
        <v>0</v>
      </c>
      <c r="X46" s="55">
        <f t="shared" si="58"/>
        <v>0</v>
      </c>
      <c r="Y46" s="56" t="e">
        <f t="shared" si="59"/>
        <v>#VALUE!</v>
      </c>
    </row>
    <row r="47" spans="1:25" x14ac:dyDescent="0.35">
      <c r="A47" s="79"/>
      <c r="B47" s="175" t="s">
        <v>11</v>
      </c>
      <c r="C47" s="176"/>
      <c r="D47" s="89">
        <f>SUM(D6:D46)</f>
        <v>1320</v>
      </c>
      <c r="E47" s="89">
        <f t="shared" ref="E47:L47" si="76">SUM(E6:E46)</f>
        <v>0</v>
      </c>
      <c r="F47" s="89">
        <f t="shared" si="76"/>
        <v>0</v>
      </c>
      <c r="G47" s="89">
        <f t="shared" si="76"/>
        <v>5500</v>
      </c>
      <c r="H47" s="89">
        <f t="shared" si="76"/>
        <v>5297</v>
      </c>
      <c r="I47" s="89">
        <f t="shared" si="76"/>
        <v>6697</v>
      </c>
      <c r="J47" s="89">
        <f t="shared" si="76"/>
        <v>8417</v>
      </c>
      <c r="K47" s="89">
        <f t="shared" si="76"/>
        <v>7164</v>
      </c>
      <c r="L47" s="89">
        <f t="shared" si="76"/>
        <v>8299</v>
      </c>
      <c r="M47" s="48">
        <f t="shared" ref="M47:M50" si="77">SUM(D47:L47)/40</f>
        <v>1067.3499999999999</v>
      </c>
      <c r="N47" s="39">
        <f t="shared" si="18"/>
        <v>0</v>
      </c>
      <c r="O47" s="49">
        <f t="shared" si="1"/>
        <v>331.63</v>
      </c>
      <c r="P47" s="73">
        <f t="shared" ref="P47:P51" si="78">SUM(G47:I47)/20</f>
        <v>874.7</v>
      </c>
      <c r="Q47" s="40">
        <f t="shared" ref="Q47:Q51" si="79">SUM(J47:L47)/20</f>
        <v>1194</v>
      </c>
      <c r="R47" s="51" t="e">
        <f t="shared" si="4"/>
        <v>#VALUE!</v>
      </c>
      <c r="S47" s="52">
        <f t="shared" si="5"/>
        <v>0</v>
      </c>
      <c r="T47" s="52">
        <f t="shared" si="6"/>
        <v>0</v>
      </c>
      <c r="U47" s="53" t="e">
        <f t="shared" si="19"/>
        <v>#VALUE!</v>
      </c>
      <c r="V47" s="54" t="e">
        <f t="shared" ref="V47:V51" si="80">SUM(D47:F47)*$V$3</f>
        <v>#VALUE!</v>
      </c>
      <c r="W47" s="55">
        <f t="shared" ref="W47:W51" si="81">SUM(G47:I47)*$W$3</f>
        <v>0</v>
      </c>
      <c r="X47" s="55">
        <f t="shared" ref="X47:X51" si="82">SUM(J47:L47)*$X$3</f>
        <v>0</v>
      </c>
      <c r="Y47" s="56" t="e">
        <f t="shared" si="44"/>
        <v>#VALUE!</v>
      </c>
    </row>
    <row r="48" spans="1:25" x14ac:dyDescent="0.35">
      <c r="A48" s="79"/>
      <c r="B48" s="121">
        <v>0</v>
      </c>
      <c r="C48" s="57" t="s">
        <v>91</v>
      </c>
      <c r="D48" s="122">
        <v>1600</v>
      </c>
      <c r="E48" s="123"/>
      <c r="F48" s="124"/>
      <c r="G48" s="123"/>
      <c r="H48" s="123"/>
      <c r="I48" s="124"/>
      <c r="J48" s="123">
        <v>520</v>
      </c>
      <c r="K48" s="123">
        <v>920</v>
      </c>
      <c r="L48" s="124">
        <v>960</v>
      </c>
      <c r="M48" s="125">
        <f>SUM(D48:L48)</f>
        <v>4000</v>
      </c>
      <c r="N48" s="39"/>
      <c r="O48" s="49"/>
      <c r="P48" s="73"/>
      <c r="Q48" s="40"/>
      <c r="R48" s="51"/>
      <c r="S48" s="52"/>
      <c r="T48" s="52"/>
      <c r="U48" s="53"/>
      <c r="V48" s="54"/>
      <c r="W48" s="55"/>
      <c r="X48" s="55"/>
      <c r="Y48" s="56"/>
    </row>
    <row r="49" spans="1:25" x14ac:dyDescent="0.35">
      <c r="A49" s="79"/>
      <c r="B49" s="47">
        <v>1</v>
      </c>
      <c r="C49" s="57" t="s">
        <v>34</v>
      </c>
      <c r="D49" s="74"/>
      <c r="E49" s="75"/>
      <c r="F49" s="76"/>
      <c r="G49" s="50">
        <f>280+1600</f>
        <v>1880</v>
      </c>
      <c r="H49" s="75">
        <f>0+600</f>
        <v>600</v>
      </c>
      <c r="I49" s="49">
        <f>320+1800</f>
        <v>2120</v>
      </c>
      <c r="J49" s="50">
        <f>600+2800</f>
        <v>3400</v>
      </c>
      <c r="K49" s="75">
        <f>600+2400</f>
        <v>3000</v>
      </c>
      <c r="L49" s="76">
        <f>2200+2800</f>
        <v>5000</v>
      </c>
      <c r="M49" s="48">
        <f t="shared" si="77"/>
        <v>400</v>
      </c>
      <c r="N49" s="39">
        <f t="shared" si="18"/>
        <v>0</v>
      </c>
      <c r="O49" s="49">
        <f t="shared" si="1"/>
        <v>331.63</v>
      </c>
      <c r="P49" s="73">
        <f t="shared" si="78"/>
        <v>230</v>
      </c>
      <c r="Q49" s="40">
        <f t="shared" si="79"/>
        <v>570</v>
      </c>
      <c r="R49" s="51" t="e">
        <f t="shared" si="4"/>
        <v>#VALUE!</v>
      </c>
      <c r="S49" s="52">
        <f t="shared" si="5"/>
        <v>0</v>
      </c>
      <c r="T49" s="52">
        <f t="shared" si="6"/>
        <v>0</v>
      </c>
      <c r="U49" s="53" t="e">
        <f t="shared" si="19"/>
        <v>#VALUE!</v>
      </c>
      <c r="V49" s="54" t="e">
        <f t="shared" si="80"/>
        <v>#VALUE!</v>
      </c>
      <c r="W49" s="55">
        <f t="shared" si="81"/>
        <v>0</v>
      </c>
      <c r="X49" s="55">
        <f t="shared" si="82"/>
        <v>0</v>
      </c>
      <c r="Y49" s="56" t="e">
        <f t="shared" si="20"/>
        <v>#VALUE!</v>
      </c>
    </row>
    <row r="50" spans="1:25" x14ac:dyDescent="0.35">
      <c r="B50" s="47">
        <v>2</v>
      </c>
      <c r="C50" s="57" t="s">
        <v>27</v>
      </c>
      <c r="D50" s="74">
        <v>1400</v>
      </c>
      <c r="E50" s="75"/>
      <c r="F50" s="76"/>
      <c r="G50" s="50">
        <v>400</v>
      </c>
      <c r="H50" s="75">
        <v>400</v>
      </c>
      <c r="I50" s="49">
        <v>0</v>
      </c>
      <c r="J50" s="50">
        <v>400</v>
      </c>
      <c r="K50" s="75">
        <v>400</v>
      </c>
      <c r="L50" s="76">
        <v>600</v>
      </c>
      <c r="M50" s="48">
        <f t="shared" si="77"/>
        <v>90</v>
      </c>
      <c r="N50" s="39">
        <f t="shared" si="18"/>
        <v>0</v>
      </c>
      <c r="O50" s="49">
        <f t="shared" si="1"/>
        <v>331.63</v>
      </c>
      <c r="P50" s="73">
        <f t="shared" si="78"/>
        <v>40</v>
      </c>
      <c r="Q50" s="40">
        <f t="shared" si="79"/>
        <v>70</v>
      </c>
      <c r="R50" s="51" t="e">
        <f t="shared" si="4"/>
        <v>#VALUE!</v>
      </c>
      <c r="S50" s="52">
        <f t="shared" si="5"/>
        <v>0</v>
      </c>
      <c r="T50" s="52">
        <f t="shared" si="6"/>
        <v>0</v>
      </c>
      <c r="U50" s="53" t="e">
        <f t="shared" si="19"/>
        <v>#VALUE!</v>
      </c>
      <c r="V50" s="54" t="e">
        <f t="shared" si="80"/>
        <v>#VALUE!</v>
      </c>
      <c r="W50" s="55">
        <f t="shared" si="81"/>
        <v>0</v>
      </c>
      <c r="X50" s="55">
        <f t="shared" si="82"/>
        <v>0</v>
      </c>
      <c r="Y50" s="56" t="e">
        <f t="shared" si="20"/>
        <v>#VALUE!</v>
      </c>
    </row>
    <row r="51" spans="1:25" ht="15" thickBot="1" x14ac:dyDescent="0.4">
      <c r="B51" s="163" t="s">
        <v>93</v>
      </c>
      <c r="C51" s="164"/>
      <c r="D51" s="88">
        <f>SUM(D49:D50)</f>
        <v>1400</v>
      </c>
      <c r="E51" s="88">
        <f t="shared" ref="E51:L51" si="83">SUM(E49:E50)</f>
        <v>0</v>
      </c>
      <c r="F51" s="88">
        <f t="shared" si="83"/>
        <v>0</v>
      </c>
      <c r="G51" s="88">
        <f t="shared" si="83"/>
        <v>2280</v>
      </c>
      <c r="H51" s="88">
        <f t="shared" si="83"/>
        <v>1000</v>
      </c>
      <c r="I51" s="88">
        <f t="shared" si="83"/>
        <v>2120</v>
      </c>
      <c r="J51" s="88">
        <f t="shared" si="83"/>
        <v>3800</v>
      </c>
      <c r="K51" s="88">
        <f t="shared" si="83"/>
        <v>3400</v>
      </c>
      <c r="L51" s="88">
        <f t="shared" si="83"/>
        <v>5600</v>
      </c>
      <c r="M51" s="126">
        <f>SUM(M48:M50)</f>
        <v>4490</v>
      </c>
      <c r="N51" s="59">
        <f t="shared" si="18"/>
        <v>0</v>
      </c>
      <c r="O51" s="58">
        <f t="shared" si="1"/>
        <v>331.63</v>
      </c>
      <c r="P51" s="73">
        <f t="shared" si="78"/>
        <v>270</v>
      </c>
      <c r="Q51" s="40">
        <f t="shared" si="79"/>
        <v>640</v>
      </c>
      <c r="R51" s="51" t="e">
        <f t="shared" si="4"/>
        <v>#VALUE!</v>
      </c>
      <c r="S51" s="52">
        <f t="shared" si="5"/>
        <v>0</v>
      </c>
      <c r="T51" s="52">
        <f t="shared" si="6"/>
        <v>0</v>
      </c>
      <c r="U51" s="53" t="e">
        <f t="shared" si="19"/>
        <v>#VALUE!</v>
      </c>
      <c r="V51" s="54" t="e">
        <f t="shared" si="80"/>
        <v>#VALUE!</v>
      </c>
      <c r="W51" s="55">
        <f t="shared" si="81"/>
        <v>0</v>
      </c>
      <c r="X51" s="55">
        <f t="shared" si="82"/>
        <v>0</v>
      </c>
      <c r="Y51" s="56" t="e">
        <f t="shared" si="20"/>
        <v>#VALUE!</v>
      </c>
    </row>
    <row r="52" spans="1:25" ht="15" thickBot="1" x14ac:dyDescent="0.4">
      <c r="B52" s="152" t="s">
        <v>11</v>
      </c>
      <c r="C52" s="153"/>
      <c r="D52" s="90">
        <f>SUM(D47,D51)</f>
        <v>2720</v>
      </c>
      <c r="E52" s="90">
        <f t="shared" ref="E52:L52" si="84">SUM(E47,E51)</f>
        <v>0</v>
      </c>
      <c r="F52" s="90">
        <f t="shared" si="84"/>
        <v>0</v>
      </c>
      <c r="G52" s="90">
        <f t="shared" si="84"/>
        <v>7780</v>
      </c>
      <c r="H52" s="90">
        <f t="shared" si="84"/>
        <v>6297</v>
      </c>
      <c r="I52" s="90">
        <f t="shared" si="84"/>
        <v>8817</v>
      </c>
      <c r="J52" s="90">
        <f t="shared" si="84"/>
        <v>12217</v>
      </c>
      <c r="K52" s="90">
        <f t="shared" si="84"/>
        <v>10564</v>
      </c>
      <c r="L52" s="90">
        <f t="shared" si="84"/>
        <v>13899</v>
      </c>
      <c r="M52" s="60">
        <f t="shared" si="0"/>
        <v>1557.35</v>
      </c>
      <c r="N52" s="63">
        <f>SUM(N5:N51)</f>
        <v>0</v>
      </c>
      <c r="O52" s="61">
        <f t="shared" ref="O52:Y52" si="85">SUM(O5:O51)</f>
        <v>15254.979999999985</v>
      </c>
      <c r="P52" s="62">
        <f t="shared" si="85"/>
        <v>2543.9499999999998</v>
      </c>
      <c r="Q52" s="64">
        <f t="shared" si="85"/>
        <v>4365.1000000000004</v>
      </c>
      <c r="R52" s="65" t="e">
        <f t="shared" si="85"/>
        <v>#VALUE!</v>
      </c>
      <c r="S52" s="66">
        <f t="shared" si="85"/>
        <v>0</v>
      </c>
      <c r="T52" s="66">
        <f t="shared" si="85"/>
        <v>0</v>
      </c>
      <c r="U52" s="67" t="e">
        <f t="shared" si="85"/>
        <v>#VALUE!</v>
      </c>
      <c r="V52" s="68" t="e">
        <f t="shared" si="85"/>
        <v>#VALUE!</v>
      </c>
      <c r="W52" s="69">
        <f t="shared" si="85"/>
        <v>0</v>
      </c>
      <c r="X52" s="69">
        <f t="shared" si="85"/>
        <v>0</v>
      </c>
      <c r="Y52" s="70" t="e">
        <f t="shared" si="85"/>
        <v>#VALUE!</v>
      </c>
    </row>
  </sheetData>
  <mergeCells count="11">
    <mergeCell ref="B1:F1"/>
    <mergeCell ref="B2:B4"/>
    <mergeCell ref="R3:U3"/>
    <mergeCell ref="V3:Y3"/>
    <mergeCell ref="B47:C47"/>
    <mergeCell ref="B52:C52"/>
    <mergeCell ref="M2:O2"/>
    <mergeCell ref="P2:Q2"/>
    <mergeCell ref="M3:O3"/>
    <mergeCell ref="A2:A4"/>
    <mergeCell ref="B51:C5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zoomScale="85" zoomScaleNormal="85" workbookViewId="0">
      <selection activeCell="H19" sqref="H1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7" t="s">
        <v>57</v>
      </c>
      <c r="D3" s="178"/>
      <c r="E3" s="178"/>
      <c r="F3" s="178"/>
      <c r="G3" s="179"/>
      <c r="H3" s="181" t="s">
        <v>77</v>
      </c>
      <c r="I3" s="182"/>
      <c r="K3" s="183" t="s">
        <v>81</v>
      </c>
      <c r="L3" s="183"/>
      <c r="M3" s="183"/>
      <c r="N3" s="183"/>
      <c r="O3" s="183"/>
    </row>
    <row r="4" spans="3:15" ht="29.5" customHeight="1" x14ac:dyDescent="0.55000000000000004">
      <c r="C4" s="111"/>
      <c r="D4" s="81" t="s">
        <v>53</v>
      </c>
      <c r="E4" s="81" t="s">
        <v>54</v>
      </c>
      <c r="F4" s="81" t="s">
        <v>71</v>
      </c>
      <c r="G4" s="112" t="s">
        <v>56</v>
      </c>
      <c r="H4" s="105" t="s">
        <v>77</v>
      </c>
      <c r="I4" s="106" t="s">
        <v>78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82</v>
      </c>
    </row>
    <row r="5" spans="3:15" ht="32" customHeight="1" x14ac:dyDescent="0.55000000000000004">
      <c r="C5" s="113" t="s">
        <v>58</v>
      </c>
      <c r="D5" s="94">
        <v>435.95</v>
      </c>
      <c r="E5" s="80">
        <v>1067.3499999999999</v>
      </c>
      <c r="F5" s="80">
        <v>550</v>
      </c>
      <c r="G5" s="114">
        <f>SUM(D5:F5)</f>
        <v>2053.3000000000002</v>
      </c>
      <c r="H5" s="107">
        <v>10000</v>
      </c>
      <c r="I5" s="108">
        <f>G5-H5</f>
        <v>-7946.7</v>
      </c>
      <c r="K5" s="1" t="s">
        <v>1</v>
      </c>
      <c r="L5" s="7">
        <v>70</v>
      </c>
      <c r="M5" s="5">
        <v>16359</v>
      </c>
      <c r="N5" s="6">
        <f t="shared" ref="N5:N11" si="0">M5/40</f>
        <v>408.97500000000002</v>
      </c>
      <c r="O5" s="82">
        <v>97</v>
      </c>
    </row>
    <row r="6" spans="3:15" ht="32" customHeight="1" thickBot="1" x14ac:dyDescent="0.6">
      <c r="C6" s="115" t="s">
        <v>59</v>
      </c>
      <c r="D6" s="116">
        <f>D5*40</f>
        <v>17438</v>
      </c>
      <c r="E6" s="117">
        <f>E5*40</f>
        <v>42694</v>
      </c>
      <c r="F6" s="117">
        <f>F5*40</f>
        <v>22000</v>
      </c>
      <c r="G6" s="118">
        <f>SUM(D6:F6)</f>
        <v>82132</v>
      </c>
      <c r="H6" s="109">
        <f>H5*40</f>
        <v>400000</v>
      </c>
      <c r="I6" s="110">
        <f>G6-H6</f>
        <v>-317868</v>
      </c>
      <c r="K6" s="1" t="s">
        <v>2</v>
      </c>
      <c r="L6" s="7">
        <v>70</v>
      </c>
      <c r="M6" s="5">
        <v>17947</v>
      </c>
      <c r="N6" s="6">
        <f t="shared" si="0"/>
        <v>448.67500000000001</v>
      </c>
      <c r="O6" s="82">
        <v>56</v>
      </c>
    </row>
    <row r="7" spans="3:15" ht="32" customHeight="1" x14ac:dyDescent="0.55000000000000004">
      <c r="C7" s="92"/>
      <c r="K7" s="1" t="s">
        <v>3</v>
      </c>
      <c r="L7" s="7">
        <v>70</v>
      </c>
      <c r="M7" s="5">
        <v>6390</v>
      </c>
      <c r="N7" s="6">
        <f t="shared" si="0"/>
        <v>159.75</v>
      </c>
      <c r="O7" s="82">
        <v>20</v>
      </c>
    </row>
    <row r="8" spans="3:15" ht="23.5" x14ac:dyDescent="0.55000000000000004">
      <c r="C8" s="83" t="s">
        <v>61</v>
      </c>
      <c r="K8" s="1" t="s">
        <v>4</v>
      </c>
      <c r="L8" s="7">
        <v>120</v>
      </c>
      <c r="M8" s="5">
        <v>17573</v>
      </c>
      <c r="N8" s="6">
        <f t="shared" si="0"/>
        <v>439.32499999999999</v>
      </c>
      <c r="O8" s="82">
        <v>9</v>
      </c>
    </row>
    <row r="9" spans="3:15" ht="23.5" x14ac:dyDescent="0.55000000000000004">
      <c r="C9" s="83" t="s">
        <v>62</v>
      </c>
      <c r="D9" s="119">
        <f>D8-D5</f>
        <v>-435.95</v>
      </c>
      <c r="E9" s="119">
        <f>E8-E5</f>
        <v>-1067.3499999999999</v>
      </c>
      <c r="K9" s="1" t="s">
        <v>5</v>
      </c>
      <c r="L9" s="7">
        <v>120</v>
      </c>
      <c r="M9" s="5">
        <v>11088</v>
      </c>
      <c r="N9" s="6">
        <f t="shared" si="0"/>
        <v>277.2</v>
      </c>
      <c r="O9" s="82">
        <v>33</v>
      </c>
    </row>
    <row r="10" spans="3:15" ht="23.5" x14ac:dyDescent="0.55000000000000004">
      <c r="K10" s="1" t="s">
        <v>6</v>
      </c>
      <c r="L10" s="7">
        <v>120</v>
      </c>
      <c r="M10" s="5">
        <v>16398</v>
      </c>
      <c r="N10" s="6">
        <f t="shared" si="0"/>
        <v>409.95</v>
      </c>
      <c r="O10" s="82">
        <v>5</v>
      </c>
    </row>
    <row r="11" spans="3:15" ht="23.5" x14ac:dyDescent="0.55000000000000004">
      <c r="C11" s="180" t="s">
        <v>73</v>
      </c>
      <c r="D11" s="180"/>
      <c r="F11" s="180" t="s">
        <v>83</v>
      </c>
      <c r="G11" s="180"/>
      <c r="K11" s="1" t="s">
        <v>7</v>
      </c>
      <c r="L11" s="7">
        <v>60</v>
      </c>
      <c r="M11" s="5">
        <v>58249</v>
      </c>
      <c r="N11" s="6">
        <f t="shared" si="0"/>
        <v>1456.2249999999999</v>
      </c>
      <c r="O11" s="82">
        <v>20</v>
      </c>
    </row>
    <row r="12" spans="3:15" ht="23.5" x14ac:dyDescent="0.55000000000000004">
      <c r="C12" s="101" t="s">
        <v>58</v>
      </c>
      <c r="D12" s="93">
        <v>500.9</v>
      </c>
      <c r="F12" s="101" t="s">
        <v>58</v>
      </c>
      <c r="G12" s="103">
        <f>D12+G5</f>
        <v>2554.2000000000003</v>
      </c>
      <c r="K12" s="1" t="s">
        <v>11</v>
      </c>
      <c r="L12" s="2"/>
      <c r="M12" s="8">
        <f>SUM(M5:M11)</f>
        <v>144004</v>
      </c>
      <c r="N12" s="9">
        <f>SUM(N5:N11)</f>
        <v>3600.1</v>
      </c>
      <c r="O12" s="9">
        <f>SUM(O5:O11)</f>
        <v>240</v>
      </c>
    </row>
    <row r="13" spans="3:15" ht="18.5" x14ac:dyDescent="0.35">
      <c r="C13" s="102" t="s">
        <v>59</v>
      </c>
      <c r="D13" s="103">
        <f>D12*40</f>
        <v>20036</v>
      </c>
      <c r="F13" s="102" t="s">
        <v>59</v>
      </c>
      <c r="G13" s="103">
        <f>G12*40</f>
        <v>102168.00000000001</v>
      </c>
    </row>
    <row r="16" spans="3:15" ht="24" thickBot="1" x14ac:dyDescent="0.6">
      <c r="K16" s="148" t="s">
        <v>111</v>
      </c>
      <c r="L16" s="148" t="s">
        <v>8</v>
      </c>
      <c r="M16" s="148" t="s">
        <v>75</v>
      </c>
      <c r="N16" s="148" t="s">
        <v>110</v>
      </c>
      <c r="O16" s="141"/>
    </row>
    <row r="17" spans="11:15" ht="23.5" x14ac:dyDescent="0.55000000000000004">
      <c r="K17" s="144" t="s">
        <v>1</v>
      </c>
      <c r="L17" s="146">
        <v>70</v>
      </c>
      <c r="M17" s="145">
        <v>9659</v>
      </c>
      <c r="N17" s="145">
        <v>16359</v>
      </c>
      <c r="O17" s="142"/>
    </row>
    <row r="18" spans="11:15" ht="23.5" x14ac:dyDescent="0.55000000000000004">
      <c r="K18" s="1" t="s">
        <v>2</v>
      </c>
      <c r="L18" s="147">
        <v>70</v>
      </c>
      <c r="M18" s="5">
        <v>8160</v>
      </c>
      <c r="N18" s="5">
        <v>17947</v>
      </c>
      <c r="O18" s="142"/>
    </row>
    <row r="19" spans="11:15" ht="23.5" x14ac:dyDescent="0.55000000000000004">
      <c r="K19" s="1" t="s">
        <v>3</v>
      </c>
      <c r="L19" s="147">
        <v>70</v>
      </c>
      <c r="M19" s="5">
        <v>10451</v>
      </c>
      <c r="N19" s="5">
        <v>6390</v>
      </c>
      <c r="O19" s="142"/>
    </row>
    <row r="20" spans="11:15" ht="23.5" x14ac:dyDescent="0.55000000000000004">
      <c r="K20" s="1" t="s">
        <v>4</v>
      </c>
      <c r="L20" s="147">
        <v>120</v>
      </c>
      <c r="M20" s="5">
        <v>15901</v>
      </c>
      <c r="N20" s="5">
        <v>17573</v>
      </c>
      <c r="O20" s="142"/>
    </row>
    <row r="21" spans="11:15" ht="23.5" x14ac:dyDescent="0.55000000000000004">
      <c r="K21" s="1" t="s">
        <v>5</v>
      </c>
      <c r="L21" s="147">
        <v>120</v>
      </c>
      <c r="M21" s="5">
        <v>14283</v>
      </c>
      <c r="N21" s="5">
        <v>11088</v>
      </c>
      <c r="O21" s="142"/>
    </row>
    <row r="22" spans="11:15" ht="23.5" x14ac:dyDescent="0.55000000000000004">
      <c r="K22" s="1" t="s">
        <v>6</v>
      </c>
      <c r="L22" s="147">
        <v>120</v>
      </c>
      <c r="M22" s="5">
        <v>18153</v>
      </c>
      <c r="N22" s="5">
        <v>16398</v>
      </c>
      <c r="O22" s="142"/>
    </row>
    <row r="23" spans="11:15" ht="23.5" x14ac:dyDescent="0.55000000000000004">
      <c r="K23" s="1" t="s">
        <v>7</v>
      </c>
      <c r="L23" s="147">
        <v>60</v>
      </c>
      <c r="M23" s="5">
        <v>5525</v>
      </c>
      <c r="N23" s="5">
        <v>58249</v>
      </c>
      <c r="O23" s="142"/>
    </row>
    <row r="24" spans="11:15" ht="23.5" x14ac:dyDescent="0.55000000000000004">
      <c r="K24" s="149" t="s">
        <v>108</v>
      </c>
      <c r="L24" s="150"/>
      <c r="M24" s="151">
        <f>SUM(M17:M23)</f>
        <v>82132</v>
      </c>
      <c r="N24" s="151">
        <f>SUM(N17:N23)</f>
        <v>144004</v>
      </c>
      <c r="O24" s="143"/>
    </row>
    <row r="25" spans="11:15" ht="23.5" x14ac:dyDescent="0.55000000000000004">
      <c r="K25" s="149" t="s">
        <v>109</v>
      </c>
      <c r="L25" s="150"/>
      <c r="M25" s="151">
        <f>M24/40</f>
        <v>2053.3000000000002</v>
      </c>
      <c r="N25" s="151">
        <f>N24/40</f>
        <v>3600.1</v>
      </c>
      <c r="O25" s="143"/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D20"/>
  <sheetViews>
    <sheetView workbookViewId="0">
      <selection activeCell="F8" sqref="F8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</cols>
  <sheetData>
    <row r="1" spans="1:4" x14ac:dyDescent="0.35">
      <c r="A1" s="2" t="s">
        <v>38</v>
      </c>
      <c r="B1" s="82" t="s">
        <v>60</v>
      </c>
      <c r="C1" s="82" t="s">
        <v>55</v>
      </c>
      <c r="D1" s="82" t="s">
        <v>9</v>
      </c>
    </row>
    <row r="2" spans="1:4" x14ac:dyDescent="0.35">
      <c r="A2" s="2"/>
      <c r="B2" s="2"/>
      <c r="C2" s="2"/>
      <c r="D2" s="2"/>
    </row>
    <row r="3" spans="1:4" x14ac:dyDescent="0.35">
      <c r="A3" s="2"/>
      <c r="B3" s="2"/>
      <c r="C3" s="2"/>
      <c r="D3" s="2"/>
    </row>
    <row r="4" spans="1:4" x14ac:dyDescent="0.35">
      <c r="A4" s="2"/>
      <c r="B4" s="2"/>
      <c r="C4" s="2"/>
      <c r="D4" s="2"/>
    </row>
    <row r="5" spans="1:4" x14ac:dyDescent="0.35">
      <c r="A5" s="2"/>
      <c r="B5" s="2"/>
      <c r="C5" s="2"/>
      <c r="D5" s="2"/>
    </row>
    <row r="6" spans="1:4" x14ac:dyDescent="0.35">
      <c r="A6" s="2"/>
      <c r="B6" s="2"/>
      <c r="C6" s="2"/>
      <c r="D6" s="2"/>
    </row>
    <row r="7" spans="1:4" x14ac:dyDescent="0.35">
      <c r="A7" s="2"/>
      <c r="B7" s="2"/>
      <c r="C7" s="2"/>
      <c r="D7" s="2"/>
    </row>
    <row r="8" spans="1:4" x14ac:dyDescent="0.35">
      <c r="A8" s="2"/>
      <c r="B8" s="2"/>
      <c r="C8" s="2"/>
      <c r="D8" s="2"/>
    </row>
    <row r="9" spans="1:4" x14ac:dyDescent="0.35">
      <c r="A9" s="2"/>
      <c r="B9" s="2"/>
      <c r="C9" s="2"/>
      <c r="D9" s="2"/>
    </row>
    <row r="10" spans="1:4" x14ac:dyDescent="0.35">
      <c r="A10" s="2"/>
      <c r="B10" s="2"/>
      <c r="C10" s="2"/>
      <c r="D10" s="2"/>
    </row>
    <row r="11" spans="1:4" x14ac:dyDescent="0.35">
      <c r="A11" s="2"/>
      <c r="B11" s="2"/>
      <c r="C11" s="2"/>
      <c r="D11" s="2"/>
    </row>
    <row r="12" spans="1:4" x14ac:dyDescent="0.35">
      <c r="A12" s="2"/>
      <c r="B12" s="2"/>
      <c r="C12" s="2"/>
      <c r="D12" s="2"/>
    </row>
    <row r="13" spans="1:4" x14ac:dyDescent="0.35">
      <c r="A13" s="2"/>
      <c r="B13" s="2"/>
      <c r="C13" s="2"/>
      <c r="D13" s="2"/>
    </row>
    <row r="14" spans="1:4" x14ac:dyDescent="0.35">
      <c r="A14" s="2"/>
      <c r="B14" s="2"/>
      <c r="C14" s="2"/>
      <c r="D14" s="2"/>
    </row>
    <row r="15" spans="1:4" x14ac:dyDescent="0.35">
      <c r="A15" s="2"/>
      <c r="B15" s="2"/>
      <c r="C15" s="2"/>
      <c r="D15" s="2"/>
    </row>
    <row r="16" spans="1:4" x14ac:dyDescent="0.35">
      <c r="A16" s="2"/>
      <c r="B16" s="2"/>
      <c r="C16" s="2"/>
      <c r="D16" s="2"/>
    </row>
    <row r="17" spans="1:4" x14ac:dyDescent="0.35">
      <c r="A17" s="2"/>
      <c r="B17" s="2"/>
      <c r="C17" s="2"/>
      <c r="D17" s="2"/>
    </row>
    <row r="18" spans="1:4" x14ac:dyDescent="0.35">
      <c r="A18" s="2"/>
      <c r="B18" s="2"/>
      <c r="C18" s="2"/>
      <c r="D18" s="2"/>
    </row>
    <row r="19" spans="1:4" ht="15" thickBot="1" x14ac:dyDescent="0.4">
      <c r="A19" s="84"/>
      <c r="B19" s="84"/>
      <c r="C19" s="84"/>
      <c r="D19" s="84"/>
    </row>
    <row r="20" spans="1:4" ht="15" thickBot="1" x14ac:dyDescent="0.4">
      <c r="A20" s="85"/>
      <c r="B20" s="86"/>
      <c r="C20" s="86"/>
      <c r="D20" s="8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2026-06-19T09:09:08Z</dcterms:modified>
</cp:coreProperties>
</file>