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"/>
    </mc:Choice>
  </mc:AlternateContent>
  <xr:revisionPtr revIDLastSave="0" documentId="13_ncr:1_{D62519F1-92AB-43F7-9D6F-D5B42E0D065D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3" l="1"/>
  <c r="M11" i="3"/>
  <c r="M10" i="3"/>
  <c r="M9" i="3"/>
  <c r="M8" i="3"/>
  <c r="M7" i="3"/>
  <c r="M6" i="3"/>
  <c r="M5" i="3"/>
  <c r="M12" i="3" s="1"/>
  <c r="F5" i="3"/>
  <c r="E6" i="3"/>
  <c r="D6" i="3"/>
  <c r="F6" i="3" l="1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6" i="2"/>
  <c r="Q16" i="2"/>
  <c r="R16" i="2"/>
  <c r="U16" i="2" s="1"/>
  <c r="S16" i="2"/>
  <c r="T16" i="2"/>
  <c r="V16" i="2"/>
  <c r="Y16" i="2" s="1"/>
  <c r="W16" i="2"/>
  <c r="X16" i="2"/>
  <c r="P17" i="2"/>
  <c r="Q17" i="2"/>
  <c r="R17" i="2"/>
  <c r="U17" i="2" s="1"/>
  <c r="S17" i="2"/>
  <c r="T17" i="2"/>
  <c r="V17" i="2"/>
  <c r="Y17" i="2" s="1"/>
  <c r="W17" i="2"/>
  <c r="X17" i="2"/>
  <c r="P18" i="2"/>
  <c r="Q18" i="2"/>
  <c r="R18" i="2"/>
  <c r="U18" i="2" s="1"/>
  <c r="S18" i="2"/>
  <c r="T18" i="2"/>
  <c r="V18" i="2"/>
  <c r="Y18" i="2" s="1"/>
  <c r="W18" i="2"/>
  <c r="X18" i="2"/>
  <c r="P19" i="2"/>
  <c r="Q19" i="2"/>
  <c r="R19" i="2"/>
  <c r="U19" i="2" s="1"/>
  <c r="S19" i="2"/>
  <c r="T19" i="2"/>
  <c r="V19" i="2"/>
  <c r="Y19" i="2" s="1"/>
  <c r="W19" i="2"/>
  <c r="X19" i="2"/>
  <c r="P20" i="2"/>
  <c r="Q20" i="2"/>
  <c r="R20" i="2"/>
  <c r="U20" i="2" s="1"/>
  <c r="S20" i="2"/>
  <c r="T20" i="2"/>
  <c r="V20" i="2"/>
  <c r="Y20" i="2" s="1"/>
  <c r="W20" i="2"/>
  <c r="X20" i="2"/>
  <c r="M13" i="2"/>
  <c r="N13" i="2"/>
  <c r="O13" i="2"/>
  <c r="M14" i="2"/>
  <c r="N14" i="2"/>
  <c r="O14" i="2"/>
  <c r="M15" i="2"/>
  <c r="N15" i="2"/>
  <c r="O15" i="2"/>
  <c r="M16" i="2"/>
  <c r="N16" i="2"/>
  <c r="O16" i="2"/>
  <c r="M17" i="2"/>
  <c r="N17" i="2"/>
  <c r="O17" i="2"/>
  <c r="M18" i="2"/>
  <c r="N18" i="2"/>
  <c r="O18" i="2"/>
  <c r="M19" i="2"/>
  <c r="N19" i="2"/>
  <c r="O19" i="2"/>
  <c r="L21" i="2" l="1"/>
  <c r="K21" i="2"/>
  <c r="J21" i="2"/>
  <c r="I21" i="2"/>
  <c r="H21" i="2"/>
  <c r="G21" i="2"/>
  <c r="F21" i="2"/>
  <c r="E21" i="2"/>
  <c r="D21" i="2"/>
  <c r="O20" i="2"/>
  <c r="N20" i="2"/>
  <c r="M20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21" i="2" s="1"/>
  <c r="T5" i="2"/>
  <c r="S5" i="2"/>
  <c r="R5" i="2"/>
  <c r="U5" i="2" s="1"/>
  <c r="U21" i="2" s="1"/>
  <c r="Q5" i="2"/>
  <c r="P5" i="2"/>
  <c r="O5" i="2"/>
  <c r="N5" i="2"/>
  <c r="M5" i="2"/>
  <c r="M21" i="2" l="1"/>
  <c r="P21" i="2"/>
  <c r="X21" i="2"/>
  <c r="R21" i="2"/>
  <c r="T21" i="2"/>
  <c r="Q21" i="2"/>
  <c r="Y5" i="2"/>
  <c r="Y21" i="2" s="1"/>
  <c r="O21" i="2"/>
  <c r="S21" i="2"/>
  <c r="W21" i="2"/>
  <c r="N21" i="2"/>
</calcChain>
</file>

<file path=xl/sharedStrings.xml><?xml version="1.0" encoding="utf-8"?>
<sst xmlns="http://schemas.openxmlformats.org/spreadsheetml/2006/main" count="79" uniqueCount="62">
  <si>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</si>
  <si>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</si>
  <si>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</si>
  <si>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</si>
  <si>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</si>
  <si>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</si>
  <si>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</si>
  <si>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</si>
  <si>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</si>
  <si>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</si>
  <si>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</si>
  <si>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</si>
  <si>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</si>
  <si>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</si>
  <si>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</si>
  <si>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</si>
  <si>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</si>
  <si>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</si>
  <si>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</si>
  <si>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</si>
  <si>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</si>
  <si>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</si>
  <si>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</si>
  <si>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</si>
  <si>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</si>
  <si>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>Clinix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</si>
  <si>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</si>
  <si>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</si>
  <si>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</si>
  <si>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</si>
  <si>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</si>
  <si>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</si>
  <si>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</si>
  <si>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</si>
  <si>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</si>
  <si>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</si>
  <si>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</si>
  <si>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</si>
  <si>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</si>
  <si>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 xml:space="preserve">Al-Fatah </t>
  </si>
  <si>
    <t>4269497-3</t>
  </si>
  <si>
    <t>Al-fateh Zubaida Associates</t>
  </si>
  <si>
    <t>Jalal Sons phase 5</t>
  </si>
  <si>
    <t>7278831-0</t>
  </si>
  <si>
    <t>Swera Store</t>
  </si>
  <si>
    <t>1265416-7</t>
  </si>
  <si>
    <t>E378144-0</t>
  </si>
  <si>
    <t>1010737-1</t>
  </si>
  <si>
    <t>Jalal sons main market</t>
  </si>
  <si>
    <t>Asgher Store</t>
  </si>
  <si>
    <t>Ms Traders (Risen)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</si>
  <si>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</si>
  <si>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</si>
  <si>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</si>
  <si>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</si>
  <si>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</si>
  <si>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</si>
  <si>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</si>
  <si>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</si>
  <si>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</si>
  <si>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>Primary Report MTD</t>
  </si>
  <si>
    <t xml:space="preserve">Client Name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</si>
</sst>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0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1" xfId="0" applyFont="1" applyFill="1" applyBorder="1"/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8" xfId="0" applyFont="1" applyBorder="1"/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30" xfId="0" applyFont="1" applyBorder="1"/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6" fillId="0" borderId="36" xfId="0" applyFont="1" applyBorder="1" applyAlignment="1">
      <alignment horizontal="left"/>
    </xf>
    <xf numFmtId="0" fontId="5" fillId="0" borderId="37" xfId="0" applyFont="1" applyBorder="1" applyAlignment="1">
      <alignment horizontal="center"/>
    </xf>
    <xf numFmtId="0" fontId="5" fillId="0" borderId="39" xfId="0" applyFont="1" applyBorder="1" applyAlignment="1">
      <alignment horizontal="center"/>
    </xf>
    <xf numFmtId="1" fontId="5" fillId="0" borderId="40" xfId="0" applyNumberFormat="1" applyFont="1" applyBorder="1" applyAlignment="1">
      <alignment horizontal="center"/>
    </xf>
    <xf numFmtId="0" fontId="5" fillId="0" borderId="38" xfId="0" applyFont="1" applyBorder="1"/>
    <xf numFmtId="0" fontId="6" fillId="0" borderId="22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41" xfId="0" applyNumberFormat="1" applyFont="1" applyBorder="1" applyAlignment="1">
      <alignment horizontal="center"/>
    </xf>
    <xf numFmtId="1" fontId="6" fillId="3" borderId="42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42" xfId="0" applyFont="1" applyFill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0" fontId="5" fillId="0" borderId="26" xfId="0" applyFont="1" applyBorder="1"/>
    <xf numFmtId="0" fontId="5" fillId="0" borderId="24" xfId="0" applyFont="1" applyBorder="1"/>
    <xf numFmtId="0" fontId="5" fillId="0" borderId="27" xfId="0" applyFont="1" applyBorder="1"/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5" fillId="0" borderId="39" xfId="0" applyFont="1" applyBorder="1"/>
    <xf numFmtId="0" fontId="5" fillId="0" borderId="35" xfId="0" applyFont="1" applyBorder="1"/>
    <xf numFmtId="0" fontId="5" fillId="0" borderId="37" xfId="0" applyFont="1" applyBorder="1"/>
    <xf numFmtId="1" fontId="0" fillId="0" borderId="1" xfId="0" applyNumberForma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7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3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6" xfId="0" applyBorder="1" applyAlignment="1">
      <alignment horizontal="center"/>
    </xf>
    <xf numFmtId="0" fontId="9" fillId="6" borderId="47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D19"/>
  <sheetViews>
    <sheetView topLeftCell="A4" zoomScale="85" zoomScaleNormal="85" workbookViewId="0">
      <selection activeCell="B19" sqref="B19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4" ht="21.75" customHeight="1" x14ac:dyDescent="0.35"/>
    <row r="8" spans="2:4" ht="28.5" customHeight="1" x14ac:dyDescent="0.35"/>
    <row r="9" spans="2:4" ht="22.5" customHeight="1" x14ac:dyDescent="0.35">
      <c r="B9" s="92" t="s">
        <v>33</v>
      </c>
      <c r="C9" s="92" t="s">
        <v>35</v>
      </c>
      <c r="D9" s="92" t="s">
        <v>36</v>
      </c>
    </row>
    <row r="10" spans="2:4" x14ac:dyDescent="0.35">
      <c r="B10" s="2" t="s">
        <v>26</v>
      </c>
      <c r="C10" s="2" t="s">
        <v>37</v>
      </c>
      <c r="D10" s="91">
        <v>3520247902365</v>
      </c>
    </row>
    <row r="11" spans="2:4" x14ac:dyDescent="0.35">
      <c r="B11" s="2" t="s">
        <v>27</v>
      </c>
      <c r="C11" s="2"/>
      <c r="D11" s="2"/>
    </row>
    <row r="12" spans="2:4" x14ac:dyDescent="0.35">
      <c r="B12" s="2" t="s">
        <v>41</v>
      </c>
      <c r="C12" s="2" t="s">
        <v>40</v>
      </c>
      <c r="D12" s="91">
        <v>300426949714</v>
      </c>
    </row>
    <row r="13" spans="2:4" x14ac:dyDescent="0.35">
      <c r="B13" s="2" t="s">
        <v>28</v>
      </c>
      <c r="C13" s="2" t="s">
        <v>43</v>
      </c>
      <c r="D13" s="91">
        <v>3277876126916</v>
      </c>
    </row>
    <row r="14" spans="2:4" x14ac:dyDescent="0.35">
      <c r="B14" s="2" t="s">
        <v>29</v>
      </c>
      <c r="C14" s="2" t="s">
        <v>47</v>
      </c>
      <c r="D14" s="91">
        <v>3520255124113</v>
      </c>
    </row>
    <row r="15" spans="2:4" x14ac:dyDescent="0.35">
      <c r="B15" s="2" t="s">
        <v>30</v>
      </c>
      <c r="C15" s="2" t="s">
        <v>47</v>
      </c>
      <c r="D15" s="91">
        <v>3520255124113</v>
      </c>
    </row>
    <row r="16" spans="2:4" x14ac:dyDescent="0.35">
      <c r="B16" s="2" t="s">
        <v>31</v>
      </c>
      <c r="C16" s="2" t="s">
        <v>45</v>
      </c>
      <c r="D16" s="91">
        <v>3520268948847</v>
      </c>
    </row>
    <row r="17" spans="2:4" x14ac:dyDescent="0.35">
      <c r="B17" s="2" t="s">
        <v>32</v>
      </c>
      <c r="C17" s="2" t="s">
        <v>51</v>
      </c>
      <c r="D17" s="2"/>
    </row>
    <row r="18" spans="2:4" x14ac:dyDescent="0.35">
      <c r="B18" s="2" t="s">
        <v>34</v>
      </c>
      <c r="C18" s="2" t="s">
        <v>46</v>
      </c>
      <c r="D18" s="2" t="s">
        <v>52</v>
      </c>
    </row>
    <row r="19" spans="2:4" ht="28.5" customHeight="1" x14ac:dyDescent="0.35"/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21"/>
  <sheetViews>
    <sheetView tabSelected="1" workbookViewId="0">
      <selection activeCell="F16" sqref="F16"/>
    </sheetView>
  </sheetViews>
  <sheetFormatPr defaultRowHeight="14.5" x14ac:dyDescent="0.35"/>
  <cols>
    <col min="3" max="3" width="18.453125" bestFit="1" customWidth="1"/>
  </cols>
  <sheetData>
    <row r="1" spans="1:25" ht="15" thickBot="1" x14ac:dyDescent="0.4">
      <c r="B1" s="103">
        <v>46174</v>
      </c>
      <c r="C1" s="103"/>
      <c r="D1" s="103"/>
      <c r="E1" s="103"/>
      <c r="F1" s="103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2"/>
      <c r="W1" s="11"/>
      <c r="X1" s="11"/>
      <c r="Y1" s="11"/>
    </row>
    <row r="2" spans="1:25" ht="15" thickBot="1" x14ac:dyDescent="0.4">
      <c r="A2" s="123" t="s">
        <v>38</v>
      </c>
      <c r="B2" s="104" t="s">
        <v>12</v>
      </c>
      <c r="C2" s="13" t="s">
        <v>13</v>
      </c>
      <c r="D2" s="14">
        <v>60</v>
      </c>
      <c r="E2" s="15">
        <v>60</v>
      </c>
      <c r="F2" s="16">
        <v>60</v>
      </c>
      <c r="G2" s="17">
        <v>70</v>
      </c>
      <c r="H2" s="18">
        <v>70</v>
      </c>
      <c r="I2" s="16">
        <v>70</v>
      </c>
      <c r="J2" s="17">
        <v>120</v>
      </c>
      <c r="K2" s="18">
        <v>120</v>
      </c>
      <c r="L2" s="16">
        <v>120</v>
      </c>
      <c r="M2" s="115"/>
      <c r="N2" s="116"/>
      <c r="O2" s="117"/>
      <c r="P2" s="118" t="s">
        <v>14</v>
      </c>
      <c r="Q2" s="119"/>
      <c r="R2" s="19">
        <v>0.05</v>
      </c>
      <c r="S2" s="20">
        <v>0.08</v>
      </c>
      <c r="T2" s="20">
        <v>0.08</v>
      </c>
      <c r="U2" s="21"/>
      <c r="V2" s="22">
        <v>3.5000000000000003E-2</v>
      </c>
      <c r="W2" s="23"/>
      <c r="X2" s="23"/>
      <c r="Y2" s="21"/>
    </row>
    <row r="3" spans="1:25" ht="15" thickBot="1" x14ac:dyDescent="0.4">
      <c r="A3" s="123"/>
      <c r="B3" s="105"/>
      <c r="C3" s="24" t="s">
        <v>15</v>
      </c>
      <c r="D3" s="25">
        <v>39.230000000000004</v>
      </c>
      <c r="E3" s="26">
        <v>39.230000000000004</v>
      </c>
      <c r="F3" s="27">
        <v>39.230000000000004</v>
      </c>
      <c r="G3" s="28">
        <v>52.462499999999999</v>
      </c>
      <c r="H3" s="29">
        <v>52.462499999999999</v>
      </c>
      <c r="I3" s="30">
        <v>52.462499999999999</v>
      </c>
      <c r="J3" s="28">
        <v>72.64</v>
      </c>
      <c r="K3" s="29">
        <v>72.64</v>
      </c>
      <c r="L3" s="30">
        <v>72.64</v>
      </c>
      <c r="M3" s="120" t="s">
        <v>11</v>
      </c>
      <c r="N3" s="121"/>
      <c r="O3" s="122"/>
      <c r="P3" s="79"/>
      <c r="Q3" s="80"/>
      <c r="R3" s="107" t="s">
        <v>16</v>
      </c>
      <c r="S3" s="108"/>
      <c r="T3" s="108"/>
      <c r="U3" s="109"/>
      <c r="V3" s="110" t="s">
        <v>17</v>
      </c>
      <c r="W3" s="111"/>
      <c r="X3" s="111"/>
      <c r="Y3" s="112"/>
    </row>
    <row r="4" spans="1:25" ht="15" thickBot="1" x14ac:dyDescent="0.4">
      <c r="A4" s="123"/>
      <c r="B4" s="106"/>
      <c r="C4" s="31" t="s">
        <v>18</v>
      </c>
      <c r="D4" s="32" t="s">
        <v>23</v>
      </c>
      <c r="E4" s="29" t="s">
        <v>19</v>
      </c>
      <c r="F4" s="30" t="s">
        <v>24</v>
      </c>
      <c r="G4" s="28" t="s">
        <v>24</v>
      </c>
      <c r="H4" s="29" t="s">
        <v>19</v>
      </c>
      <c r="I4" s="30" t="s">
        <v>23</v>
      </c>
      <c r="J4" s="28" t="s">
        <v>24</v>
      </c>
      <c r="K4" s="29" t="s">
        <v>19</v>
      </c>
      <c r="L4" s="30" t="s">
        <v>23</v>
      </c>
      <c r="M4" s="32" t="s">
        <v>20</v>
      </c>
      <c r="N4" s="33" t="s">
        <v>21</v>
      </c>
      <c r="O4" s="34" t="s">
        <v>22</v>
      </c>
      <c r="P4" s="28">
        <v>70</v>
      </c>
      <c r="Q4" s="35">
        <v>120</v>
      </c>
      <c r="R4" s="32">
        <v>60</v>
      </c>
      <c r="S4" s="29">
        <v>70</v>
      </c>
      <c r="T4" s="29">
        <v>120</v>
      </c>
      <c r="U4" s="36" t="s">
        <v>11</v>
      </c>
      <c r="V4" s="32">
        <v>60</v>
      </c>
      <c r="W4" s="29">
        <v>70</v>
      </c>
      <c r="X4" s="29">
        <v>120</v>
      </c>
      <c r="Y4" s="36" t="s">
        <v>11</v>
      </c>
    </row>
    <row r="5" spans="1:25" x14ac:dyDescent="0.35">
      <c r="A5" s="93">
        <v>46179</v>
      </c>
      <c r="B5" s="37">
        <v>1</v>
      </c>
      <c r="C5" s="38" t="s">
        <v>25</v>
      </c>
      <c r="D5" s="81"/>
      <c r="E5" s="82"/>
      <c r="F5" s="40"/>
      <c r="G5" s="42">
        <v>240</v>
      </c>
      <c r="H5" s="82">
        <v>240</v>
      </c>
      <c r="I5" s="40">
        <v>240</v>
      </c>
      <c r="J5" s="42">
        <v>240</v>
      </c>
      <c r="K5" s="82">
        <v>240</v>
      </c>
      <c r="L5" s="83">
        <v>600</v>
      </c>
      <c r="M5" s="39">
        <f>SUM(D5:L5)/40</f>
        <v>45</v>
      </c>
      <c r="N5" s="41">
        <f>SUMPRODUCT($D$4:$L$4,$D$6:$L$6)</f>
        <v>0</v>
      </c>
      <c r="O5" s="40">
        <f>SUMPRODUCT($D$3:$L$3,$D$6:$L$6)/1000</f>
        <v>430.99799999999999</v>
      </c>
      <c r="P5" s="84">
        <f>SUM(G5:I5)/20</f>
        <v>36</v>
      </c>
      <c r="Q5" s="43">
        <f>SUM(J5:L5)/20</f>
        <v>54</v>
      </c>
      <c r="R5" s="44" t="e">
        <f>SUMPRODUCT($D$4:$F$4,$D$6:$F$6)*$R$3</f>
        <v>#VALUE!</v>
      </c>
      <c r="S5" s="45">
        <f>SUMPRODUCT($G$4:$I$4,$G$6:$I$6)*$S$3</f>
        <v>0</v>
      </c>
      <c r="T5" s="45">
        <f>SUMPRODUCT($J$4:$L$4,$J$6:$L$6)*$T$3</f>
        <v>0</v>
      </c>
      <c r="U5" s="46" t="e">
        <f>SUM(R5:T5)</f>
        <v>#VALUE!</v>
      </c>
      <c r="V5" s="47" t="e">
        <f>SUM(D5:F5)*$V$3</f>
        <v>#VALUE!</v>
      </c>
      <c r="W5" s="48">
        <f>SUM(G5:I5)*$W$3</f>
        <v>0</v>
      </c>
      <c r="X5" s="48">
        <f>SUM(J5:L5)*$X$3</f>
        <v>0</v>
      </c>
      <c r="Y5" s="49" t="e">
        <f>SUM(V5:X5)</f>
        <v>#VALUE!</v>
      </c>
    </row>
    <row r="6" spans="1:25" x14ac:dyDescent="0.35">
      <c r="A6" s="93">
        <v>46179</v>
      </c>
      <c r="B6" s="50">
        <v>2</v>
      </c>
      <c r="C6" s="51" t="s">
        <v>39</v>
      </c>
      <c r="D6" s="85"/>
      <c r="E6" s="86"/>
      <c r="F6" s="87"/>
      <c r="G6" s="54">
        <v>600</v>
      </c>
      <c r="H6" s="86">
        <v>600</v>
      </c>
      <c r="I6" s="53">
        <v>1200</v>
      </c>
      <c r="J6" s="54">
        <v>1800</v>
      </c>
      <c r="K6" s="86">
        <v>1200</v>
      </c>
      <c r="L6" s="87">
        <v>1200</v>
      </c>
      <c r="M6" s="52">
        <f t="shared" ref="M6:M21" si="0">SUM(D6:L6)/40</f>
        <v>165</v>
      </c>
      <c r="N6" s="41">
        <f>SUMPRODUCT($D$4:$L$4,$D$6:$L$6)</f>
        <v>0</v>
      </c>
      <c r="O6" s="53">
        <f t="shared" ref="O6:O20" si="1">SUMPRODUCT($D$3:$L$3,$D$6:$L$6)/1000</f>
        <v>430.99799999999999</v>
      </c>
      <c r="P6" s="84">
        <f t="shared" ref="P6:P12" si="2">SUM(G6:I6)/20</f>
        <v>120</v>
      </c>
      <c r="Q6" s="43">
        <f t="shared" ref="Q6:Q12" si="3">SUM(J6:L6)/20</f>
        <v>210</v>
      </c>
      <c r="R6" s="55" t="e">
        <f t="shared" ref="R6:R20" si="4">SUMPRODUCT($D$4:$F$4,$D$6:$F$6)*$R$3</f>
        <v>#VALUE!</v>
      </c>
      <c r="S6" s="56">
        <f t="shared" ref="S6:S20" si="5">SUMPRODUCT($G$4:$I$4,$G$6:$I$6)*$S$3</f>
        <v>0</v>
      </c>
      <c r="T6" s="56">
        <f t="shared" ref="T6:T20" si="6">SUMPRODUCT($J$4:$L$4,$J$6:$L$6)*$T$3</f>
        <v>0</v>
      </c>
      <c r="U6" s="57" t="e">
        <f t="shared" ref="U6:U12" si="7">SUM(R6:T6)</f>
        <v>#VALUE!</v>
      </c>
      <c r="V6" s="58" t="e">
        <f t="shared" ref="V6:V12" si="8">SUM(D6:F6)*$V$3</f>
        <v>#VALUE!</v>
      </c>
      <c r="W6" s="59">
        <f t="shared" ref="W6:W12" si="9">SUM(G6:I6)*$W$3</f>
        <v>0</v>
      </c>
      <c r="X6" s="59">
        <f t="shared" ref="X6:X12" si="10">SUM(J6:L6)*$X$3</f>
        <v>0</v>
      </c>
      <c r="Y6" s="60" t="e">
        <f t="shared" ref="Y6:Y12" si="11">SUM(V6:X6)</f>
        <v>#VALUE!</v>
      </c>
    </row>
    <row r="7" spans="1:25" x14ac:dyDescent="0.35">
      <c r="A7" s="93">
        <v>46179</v>
      </c>
      <c r="B7" s="50">
        <v>3</v>
      </c>
      <c r="C7" s="61" t="s">
        <v>27</v>
      </c>
      <c r="D7" s="85">
        <v>1400</v>
      </c>
      <c r="E7" s="86"/>
      <c r="F7" s="87"/>
      <c r="G7" s="54">
        <v>400</v>
      </c>
      <c r="H7" s="86">
        <v>400</v>
      </c>
      <c r="I7" s="53">
        <v>0</v>
      </c>
      <c r="J7" s="54">
        <v>400</v>
      </c>
      <c r="K7" s="86">
        <v>400</v>
      </c>
      <c r="L7" s="87">
        <v>600</v>
      </c>
      <c r="M7" s="52">
        <f t="shared" si="0"/>
        <v>90</v>
      </c>
      <c r="N7" s="41">
        <f>SUMPRODUCT($D$4:$L$4,$D$6:$L$6)</f>
        <v>0</v>
      </c>
      <c r="O7" s="53">
        <f t="shared" si="1"/>
        <v>430.99799999999999</v>
      </c>
      <c r="P7" s="84">
        <f t="shared" si="2"/>
        <v>40</v>
      </c>
      <c r="Q7" s="43">
        <f t="shared" si="3"/>
        <v>70</v>
      </c>
      <c r="R7" s="55" t="e">
        <f t="shared" si="4"/>
        <v>#VALUE!</v>
      </c>
      <c r="S7" s="56">
        <f t="shared" si="5"/>
        <v>0</v>
      </c>
      <c r="T7" s="56">
        <f t="shared" si="6"/>
        <v>0</v>
      </c>
      <c r="U7" s="57" t="e">
        <f t="shared" si="7"/>
        <v>#VALUE!</v>
      </c>
      <c r="V7" s="58" t="e">
        <f t="shared" si="8"/>
        <v>#VALUE!</v>
      </c>
      <c r="W7" s="59">
        <f t="shared" si="9"/>
        <v>0</v>
      </c>
      <c r="X7" s="59">
        <f t="shared" si="10"/>
        <v>0</v>
      </c>
      <c r="Y7" s="60" t="e">
        <f t="shared" si="11"/>
        <v>#VALUE!</v>
      </c>
    </row>
    <row r="8" spans="1:25" x14ac:dyDescent="0.35">
      <c r="A8" s="93">
        <v>46181</v>
      </c>
      <c r="B8" s="50">
        <v>4</v>
      </c>
      <c r="C8" s="61" t="s">
        <v>42</v>
      </c>
      <c r="D8" s="85">
        <v>800</v>
      </c>
      <c r="E8" s="86"/>
      <c r="F8" s="87"/>
      <c r="G8" s="54">
        <v>800</v>
      </c>
      <c r="H8" s="86">
        <v>800</v>
      </c>
      <c r="I8" s="53">
        <v>800</v>
      </c>
      <c r="J8" s="54">
        <v>800</v>
      </c>
      <c r="K8" s="86">
        <v>800</v>
      </c>
      <c r="L8" s="87">
        <v>800</v>
      </c>
      <c r="M8" s="52">
        <f t="shared" si="0"/>
        <v>140</v>
      </c>
      <c r="N8" s="41">
        <f t="shared" ref="N8:N20" si="12">SUMPRODUCT($D$4:$L$4,$D$6:$L$6)</f>
        <v>0</v>
      </c>
      <c r="O8" s="53">
        <f t="shared" si="1"/>
        <v>430.99799999999999</v>
      </c>
      <c r="P8" s="84">
        <f t="shared" si="2"/>
        <v>120</v>
      </c>
      <c r="Q8" s="43">
        <f t="shared" si="3"/>
        <v>120</v>
      </c>
      <c r="R8" s="55" t="e">
        <f t="shared" si="4"/>
        <v>#VALUE!</v>
      </c>
      <c r="S8" s="56">
        <f t="shared" si="5"/>
        <v>0</v>
      </c>
      <c r="T8" s="56">
        <f t="shared" si="6"/>
        <v>0</v>
      </c>
      <c r="U8" s="57" t="e">
        <f t="shared" si="7"/>
        <v>#VALUE!</v>
      </c>
      <c r="V8" s="58" t="e">
        <f t="shared" si="8"/>
        <v>#VALUE!</v>
      </c>
      <c r="W8" s="59">
        <f t="shared" si="9"/>
        <v>0</v>
      </c>
      <c r="X8" s="59">
        <f t="shared" si="10"/>
        <v>0</v>
      </c>
      <c r="Y8" s="60" t="e">
        <f t="shared" si="11"/>
        <v>#VALUE!</v>
      </c>
    </row>
    <row r="9" spans="1:25" x14ac:dyDescent="0.35">
      <c r="A9" s="93">
        <v>46181</v>
      </c>
      <c r="B9" s="50">
        <v>5</v>
      </c>
      <c r="C9" s="61" t="s">
        <v>44</v>
      </c>
      <c r="D9" s="85">
        <v>80</v>
      </c>
      <c r="E9" s="86"/>
      <c r="F9" s="87"/>
      <c r="G9" s="54">
        <v>80</v>
      </c>
      <c r="H9" s="86">
        <v>80</v>
      </c>
      <c r="I9" s="53">
        <v>80</v>
      </c>
      <c r="J9" s="54">
        <v>80</v>
      </c>
      <c r="K9" s="86">
        <v>80</v>
      </c>
      <c r="L9" s="87">
        <v>80</v>
      </c>
      <c r="M9" s="52">
        <f t="shared" si="0"/>
        <v>14</v>
      </c>
      <c r="N9" s="41">
        <f t="shared" si="12"/>
        <v>0</v>
      </c>
      <c r="O9" s="53">
        <f t="shared" si="1"/>
        <v>430.99799999999999</v>
      </c>
      <c r="P9" s="84">
        <f t="shared" si="2"/>
        <v>12</v>
      </c>
      <c r="Q9" s="43">
        <f t="shared" si="3"/>
        <v>12</v>
      </c>
      <c r="R9" s="55" t="e">
        <f t="shared" si="4"/>
        <v>#VALUE!</v>
      </c>
      <c r="S9" s="56">
        <f t="shared" si="5"/>
        <v>0</v>
      </c>
      <c r="T9" s="56">
        <f t="shared" si="6"/>
        <v>0</v>
      </c>
      <c r="U9" s="57" t="e">
        <f t="shared" si="7"/>
        <v>#VALUE!</v>
      </c>
      <c r="V9" s="58" t="e">
        <f t="shared" si="8"/>
        <v>#VALUE!</v>
      </c>
      <c r="W9" s="59">
        <f t="shared" si="9"/>
        <v>0</v>
      </c>
      <c r="X9" s="59">
        <f t="shared" si="10"/>
        <v>0</v>
      </c>
      <c r="Y9" s="60" t="e">
        <f t="shared" si="11"/>
        <v>#VALUE!</v>
      </c>
    </row>
    <row r="10" spans="1:25" x14ac:dyDescent="0.35">
      <c r="A10" s="93">
        <v>46182</v>
      </c>
      <c r="B10" s="50">
        <v>6</v>
      </c>
      <c r="C10" s="61" t="s">
        <v>34</v>
      </c>
      <c r="D10" s="85">
        <v>0</v>
      </c>
      <c r="E10" s="86"/>
      <c r="F10" s="87"/>
      <c r="G10" s="54">
        <v>280</v>
      </c>
      <c r="H10" s="86">
        <v>0</v>
      </c>
      <c r="I10" s="53">
        <v>320</v>
      </c>
      <c r="J10" s="54">
        <v>600</v>
      </c>
      <c r="K10" s="86">
        <v>600</v>
      </c>
      <c r="L10" s="87">
        <v>2200</v>
      </c>
      <c r="M10" s="52">
        <f t="shared" si="0"/>
        <v>100</v>
      </c>
      <c r="N10" s="41">
        <f t="shared" si="12"/>
        <v>0</v>
      </c>
      <c r="O10" s="53">
        <f t="shared" si="1"/>
        <v>430.99799999999999</v>
      </c>
      <c r="P10" s="84">
        <f t="shared" si="2"/>
        <v>30</v>
      </c>
      <c r="Q10" s="43">
        <f t="shared" si="3"/>
        <v>170</v>
      </c>
      <c r="R10" s="55" t="e">
        <f t="shared" si="4"/>
        <v>#VALUE!</v>
      </c>
      <c r="S10" s="56">
        <f t="shared" si="5"/>
        <v>0</v>
      </c>
      <c r="T10" s="56">
        <f t="shared" si="6"/>
        <v>0</v>
      </c>
      <c r="U10" s="57" t="e">
        <f t="shared" si="7"/>
        <v>#VALUE!</v>
      </c>
      <c r="V10" s="58" t="e">
        <f t="shared" si="8"/>
        <v>#VALUE!</v>
      </c>
      <c r="W10" s="59">
        <f t="shared" si="9"/>
        <v>0</v>
      </c>
      <c r="X10" s="59">
        <f t="shared" si="10"/>
        <v>0</v>
      </c>
      <c r="Y10" s="60" t="e">
        <f t="shared" si="11"/>
        <v>#VALUE!</v>
      </c>
    </row>
    <row r="11" spans="1:25" x14ac:dyDescent="0.35">
      <c r="A11" s="93">
        <v>46182</v>
      </c>
      <c r="B11" s="50">
        <v>7</v>
      </c>
      <c r="C11" s="61" t="s">
        <v>48</v>
      </c>
      <c r="D11" s="85">
        <v>200</v>
      </c>
      <c r="E11" s="86"/>
      <c r="F11" s="87"/>
      <c r="G11" s="54">
        <v>200</v>
      </c>
      <c r="H11" s="86">
        <v>200</v>
      </c>
      <c r="I11" s="53">
        <v>200</v>
      </c>
      <c r="J11" s="54">
        <v>200</v>
      </c>
      <c r="K11" s="86">
        <v>200</v>
      </c>
      <c r="L11" s="87">
        <v>200</v>
      </c>
      <c r="M11" s="52">
        <f t="shared" si="0"/>
        <v>35</v>
      </c>
      <c r="N11" s="41">
        <f t="shared" si="12"/>
        <v>0</v>
      </c>
      <c r="O11" s="53">
        <f t="shared" si="1"/>
        <v>430.99799999999999</v>
      </c>
      <c r="P11" s="84">
        <f t="shared" si="2"/>
        <v>30</v>
      </c>
      <c r="Q11" s="43">
        <f t="shared" si="3"/>
        <v>30</v>
      </c>
      <c r="R11" s="55" t="e">
        <f t="shared" si="4"/>
        <v>#VALUE!</v>
      </c>
      <c r="S11" s="56">
        <f t="shared" si="5"/>
        <v>0</v>
      </c>
      <c r="T11" s="56">
        <f t="shared" si="6"/>
        <v>0</v>
      </c>
      <c r="U11" s="57" t="e">
        <f t="shared" si="7"/>
        <v>#VALUE!</v>
      </c>
      <c r="V11" s="58" t="e">
        <f t="shared" si="8"/>
        <v>#VALUE!</v>
      </c>
      <c r="W11" s="59">
        <f t="shared" si="9"/>
        <v>0</v>
      </c>
      <c r="X11" s="59">
        <f t="shared" si="10"/>
        <v>0</v>
      </c>
      <c r="Y11" s="60" t="e">
        <f t="shared" si="11"/>
        <v>#VALUE!</v>
      </c>
    </row>
    <row r="12" spans="1:25" x14ac:dyDescent="0.35">
      <c r="A12" s="93">
        <v>46182</v>
      </c>
      <c r="B12" s="50">
        <v>8</v>
      </c>
      <c r="C12" s="61" t="s">
        <v>49</v>
      </c>
      <c r="D12" s="85"/>
      <c r="E12" s="86"/>
      <c r="F12" s="87"/>
      <c r="G12" s="54"/>
      <c r="H12" s="86"/>
      <c r="I12" s="53"/>
      <c r="J12" s="54">
        <v>560</v>
      </c>
      <c r="K12" s="86">
        <v>560</v>
      </c>
      <c r="L12" s="87">
        <v>880</v>
      </c>
      <c r="M12" s="52">
        <f t="shared" si="0"/>
        <v>50</v>
      </c>
      <c r="N12" s="41">
        <f t="shared" si="12"/>
        <v>0</v>
      </c>
      <c r="O12" s="53">
        <f t="shared" si="1"/>
        <v>430.99799999999999</v>
      </c>
      <c r="P12" s="84">
        <f t="shared" si="2"/>
        <v>0</v>
      </c>
      <c r="Q12" s="43">
        <f t="shared" si="3"/>
        <v>100</v>
      </c>
      <c r="R12" s="55" t="e">
        <f t="shared" si="4"/>
        <v>#VALUE!</v>
      </c>
      <c r="S12" s="56">
        <f t="shared" si="5"/>
        <v>0</v>
      </c>
      <c r="T12" s="56">
        <f t="shared" si="6"/>
        <v>0</v>
      </c>
      <c r="U12" s="57" t="e">
        <f t="shared" si="7"/>
        <v>#VALUE!</v>
      </c>
      <c r="V12" s="58" t="e">
        <f t="shared" si="8"/>
        <v>#VALUE!</v>
      </c>
      <c r="W12" s="59">
        <f t="shared" si="9"/>
        <v>0</v>
      </c>
      <c r="X12" s="59">
        <f t="shared" si="10"/>
        <v>0</v>
      </c>
      <c r="Y12" s="60" t="e">
        <f t="shared" si="11"/>
        <v>#VALUE!</v>
      </c>
    </row>
    <row r="13" spans="1:25" x14ac:dyDescent="0.35">
      <c r="A13" s="93">
        <v>46183</v>
      </c>
      <c r="B13" s="50">
        <v>9</v>
      </c>
      <c r="C13" s="61" t="s">
        <v>39</v>
      </c>
      <c r="D13" s="85"/>
      <c r="E13" s="86"/>
      <c r="F13" s="87"/>
      <c r="G13" s="54">
        <v>1200</v>
      </c>
      <c r="H13" s="86">
        <v>1200</v>
      </c>
      <c r="I13" s="53">
        <v>1800</v>
      </c>
      <c r="J13" s="54">
        <v>2400</v>
      </c>
      <c r="K13" s="86">
        <v>1800</v>
      </c>
      <c r="L13" s="87">
        <v>1800</v>
      </c>
      <c r="M13" s="52">
        <f t="shared" ref="M13:M19" si="13">SUM(D13:L13)/40</f>
        <v>255</v>
      </c>
      <c r="N13" s="41">
        <f t="shared" si="12"/>
        <v>0</v>
      </c>
      <c r="O13" s="53">
        <f t="shared" si="1"/>
        <v>430.99799999999999</v>
      </c>
      <c r="P13" s="84">
        <f t="shared" ref="P13:P20" si="14">SUM(G13:I13)/20</f>
        <v>210</v>
      </c>
      <c r="Q13" s="43">
        <f t="shared" ref="Q13:Q20" si="15">SUM(J13:L13)/20</f>
        <v>300</v>
      </c>
      <c r="R13" s="55" t="e">
        <f t="shared" si="4"/>
        <v>#VALUE!</v>
      </c>
      <c r="S13" s="56">
        <f t="shared" si="5"/>
        <v>0</v>
      </c>
      <c r="T13" s="56">
        <f t="shared" si="6"/>
        <v>0</v>
      </c>
      <c r="U13" s="57" t="e">
        <f t="shared" ref="U13:U20" si="16">SUM(R13:T13)</f>
        <v>#VALUE!</v>
      </c>
      <c r="V13" s="58" t="e">
        <f t="shared" ref="V13:V20" si="17">SUM(D13:F13)*$V$3</f>
        <v>#VALUE!</v>
      </c>
      <c r="W13" s="59">
        <f t="shared" ref="W13:W20" si="18">SUM(G13:I13)*$W$3</f>
        <v>0</v>
      </c>
      <c r="X13" s="59">
        <f t="shared" ref="X13:X20" si="19">SUM(J13:L13)*$X$3</f>
        <v>0</v>
      </c>
      <c r="Y13" s="60" t="e">
        <f t="shared" ref="Y13:Y20" si="20">SUM(V13:X13)</f>
        <v>#VALUE!</v>
      </c>
    </row>
    <row r="14" spans="1:25" x14ac:dyDescent="0.35">
      <c r="A14" s="93">
        <v>46183</v>
      </c>
      <c r="B14" s="50">
        <v>10</v>
      </c>
      <c r="C14" s="61" t="s">
        <v>29</v>
      </c>
      <c r="D14" s="85"/>
      <c r="E14" s="86"/>
      <c r="F14" s="87"/>
      <c r="G14" s="54"/>
      <c r="H14" s="86">
        <v>40</v>
      </c>
      <c r="I14" s="53">
        <v>40</v>
      </c>
      <c r="J14" s="54">
        <v>40</v>
      </c>
      <c r="K14" s="86">
        <v>40</v>
      </c>
      <c r="L14" s="87">
        <v>40</v>
      </c>
      <c r="M14" s="52">
        <f t="shared" si="13"/>
        <v>5</v>
      </c>
      <c r="N14" s="41">
        <f t="shared" si="12"/>
        <v>0</v>
      </c>
      <c r="O14" s="53">
        <f t="shared" si="1"/>
        <v>430.99799999999999</v>
      </c>
      <c r="P14" s="84">
        <f t="shared" si="14"/>
        <v>4</v>
      </c>
      <c r="Q14" s="43">
        <f t="shared" si="15"/>
        <v>6</v>
      </c>
      <c r="R14" s="55" t="e">
        <f t="shared" si="4"/>
        <v>#VALUE!</v>
      </c>
      <c r="S14" s="56">
        <f t="shared" si="5"/>
        <v>0</v>
      </c>
      <c r="T14" s="56">
        <f t="shared" si="6"/>
        <v>0</v>
      </c>
      <c r="U14" s="57" t="e">
        <f t="shared" si="16"/>
        <v>#VALUE!</v>
      </c>
      <c r="V14" s="58" t="e">
        <f t="shared" si="17"/>
        <v>#VALUE!</v>
      </c>
      <c r="W14" s="59">
        <f t="shared" si="18"/>
        <v>0</v>
      </c>
      <c r="X14" s="59">
        <f t="shared" si="19"/>
        <v>0</v>
      </c>
      <c r="Y14" s="60" t="e">
        <f t="shared" si="20"/>
        <v>#VALUE!</v>
      </c>
    </row>
    <row r="15" spans="1:25" x14ac:dyDescent="0.35">
      <c r="A15" s="93">
        <v>46183</v>
      </c>
      <c r="B15" s="50">
        <v>11</v>
      </c>
      <c r="C15" s="61" t="s">
        <v>50</v>
      </c>
      <c r="D15" s="85"/>
      <c r="E15" s="86"/>
      <c r="F15" s="87"/>
      <c r="G15" s="54">
        <v>400</v>
      </c>
      <c r="H15" s="86">
        <v>200</v>
      </c>
      <c r="I15" s="53">
        <v>400</v>
      </c>
      <c r="J15" s="54">
        <v>400</v>
      </c>
      <c r="K15" s="86">
        <v>200</v>
      </c>
      <c r="L15" s="87">
        <v>400</v>
      </c>
      <c r="M15" s="52">
        <f t="shared" si="13"/>
        <v>50</v>
      </c>
      <c r="N15" s="41">
        <f t="shared" si="12"/>
        <v>0</v>
      </c>
      <c r="O15" s="53">
        <f t="shared" si="1"/>
        <v>430.99799999999999</v>
      </c>
      <c r="P15" s="84">
        <f t="shared" si="14"/>
        <v>50</v>
      </c>
      <c r="Q15" s="43">
        <f t="shared" si="15"/>
        <v>50</v>
      </c>
      <c r="R15" s="55" t="e">
        <f t="shared" si="4"/>
        <v>#VALUE!</v>
      </c>
      <c r="S15" s="56">
        <f t="shared" si="5"/>
        <v>0</v>
      </c>
      <c r="T15" s="56">
        <f t="shared" si="6"/>
        <v>0</v>
      </c>
      <c r="U15" s="57" t="e">
        <f t="shared" si="16"/>
        <v>#VALUE!</v>
      </c>
      <c r="V15" s="58" t="e">
        <f t="shared" si="17"/>
        <v>#VALUE!</v>
      </c>
      <c r="W15" s="59">
        <f t="shared" si="18"/>
        <v>0</v>
      </c>
      <c r="X15" s="59">
        <f t="shared" si="19"/>
        <v>0</v>
      </c>
      <c r="Y15" s="60" t="e">
        <f t="shared" si="20"/>
        <v>#VALUE!</v>
      </c>
    </row>
    <row r="16" spans="1:25" x14ac:dyDescent="0.35">
      <c r="A16" s="93"/>
      <c r="B16" s="50">
        <v>12</v>
      </c>
      <c r="C16" s="61"/>
      <c r="D16" s="85"/>
      <c r="E16" s="86"/>
      <c r="F16" s="87"/>
      <c r="G16" s="54"/>
      <c r="H16" s="86"/>
      <c r="I16" s="53"/>
      <c r="J16" s="54"/>
      <c r="K16" s="86"/>
      <c r="L16" s="87"/>
      <c r="M16" s="52">
        <f t="shared" si="13"/>
        <v>0</v>
      </c>
      <c r="N16" s="41">
        <f t="shared" si="12"/>
        <v>0</v>
      </c>
      <c r="O16" s="53">
        <f t="shared" si="1"/>
        <v>430.99799999999999</v>
      </c>
      <c r="P16" s="84">
        <f t="shared" si="14"/>
        <v>0</v>
      </c>
      <c r="Q16" s="43">
        <f t="shared" si="15"/>
        <v>0</v>
      </c>
      <c r="R16" s="55" t="e">
        <f t="shared" si="4"/>
        <v>#VALUE!</v>
      </c>
      <c r="S16" s="56">
        <f t="shared" si="5"/>
        <v>0</v>
      </c>
      <c r="T16" s="56">
        <f t="shared" si="6"/>
        <v>0</v>
      </c>
      <c r="U16" s="57" t="e">
        <f t="shared" si="16"/>
        <v>#VALUE!</v>
      </c>
      <c r="V16" s="58" t="e">
        <f t="shared" si="17"/>
        <v>#VALUE!</v>
      </c>
      <c r="W16" s="59">
        <f t="shared" si="18"/>
        <v>0</v>
      </c>
      <c r="X16" s="59">
        <f t="shared" si="19"/>
        <v>0</v>
      </c>
      <c r="Y16" s="60" t="e">
        <f t="shared" si="20"/>
        <v>#VALUE!</v>
      </c>
    </row>
    <row r="17" spans="1:25" x14ac:dyDescent="0.35">
      <c r="A17" s="93"/>
      <c r="B17" s="50">
        <v>13</v>
      </c>
      <c r="C17" s="61"/>
      <c r="D17" s="85"/>
      <c r="E17" s="86"/>
      <c r="F17" s="87"/>
      <c r="G17" s="54"/>
      <c r="H17" s="86"/>
      <c r="I17" s="53"/>
      <c r="J17" s="54"/>
      <c r="K17" s="86"/>
      <c r="L17" s="87"/>
      <c r="M17" s="52">
        <f t="shared" si="13"/>
        <v>0</v>
      </c>
      <c r="N17" s="41">
        <f t="shared" si="12"/>
        <v>0</v>
      </c>
      <c r="O17" s="53">
        <f t="shared" si="1"/>
        <v>430.99799999999999</v>
      </c>
      <c r="P17" s="84">
        <f t="shared" si="14"/>
        <v>0</v>
      </c>
      <c r="Q17" s="43">
        <f t="shared" si="15"/>
        <v>0</v>
      </c>
      <c r="R17" s="55" t="e">
        <f t="shared" si="4"/>
        <v>#VALUE!</v>
      </c>
      <c r="S17" s="56">
        <f t="shared" si="5"/>
        <v>0</v>
      </c>
      <c r="T17" s="56">
        <f t="shared" si="6"/>
        <v>0</v>
      </c>
      <c r="U17" s="57" t="e">
        <f t="shared" si="16"/>
        <v>#VALUE!</v>
      </c>
      <c r="V17" s="58" t="e">
        <f t="shared" si="17"/>
        <v>#VALUE!</v>
      </c>
      <c r="W17" s="59">
        <f t="shared" si="18"/>
        <v>0</v>
      </c>
      <c r="X17" s="59">
        <f t="shared" si="19"/>
        <v>0</v>
      </c>
      <c r="Y17" s="60" t="e">
        <f t="shared" si="20"/>
        <v>#VALUE!</v>
      </c>
    </row>
    <row r="18" spans="1:25" x14ac:dyDescent="0.35">
      <c r="A18" s="93"/>
      <c r="B18" s="50">
        <v>14</v>
      </c>
      <c r="C18" s="61"/>
      <c r="D18" s="85"/>
      <c r="E18" s="86"/>
      <c r="F18" s="87"/>
      <c r="G18" s="54"/>
      <c r="H18" s="86"/>
      <c r="I18" s="53"/>
      <c r="J18" s="54"/>
      <c r="K18" s="86"/>
      <c r="L18" s="87"/>
      <c r="M18" s="52">
        <f t="shared" si="13"/>
        <v>0</v>
      </c>
      <c r="N18" s="41">
        <f t="shared" si="12"/>
        <v>0</v>
      </c>
      <c r="O18" s="53">
        <f t="shared" si="1"/>
        <v>430.99799999999999</v>
      </c>
      <c r="P18" s="84">
        <f t="shared" si="14"/>
        <v>0</v>
      </c>
      <c r="Q18" s="43">
        <f t="shared" si="15"/>
        <v>0</v>
      </c>
      <c r="R18" s="55" t="e">
        <f t="shared" si="4"/>
        <v>#VALUE!</v>
      </c>
      <c r="S18" s="56">
        <f t="shared" si="5"/>
        <v>0</v>
      </c>
      <c r="T18" s="56">
        <f t="shared" si="6"/>
        <v>0</v>
      </c>
      <c r="U18" s="57" t="e">
        <f t="shared" si="16"/>
        <v>#VALUE!</v>
      </c>
      <c r="V18" s="58" t="e">
        <f t="shared" si="17"/>
        <v>#VALUE!</v>
      </c>
      <c r="W18" s="59">
        <f t="shared" si="18"/>
        <v>0</v>
      </c>
      <c r="X18" s="59">
        <f t="shared" si="19"/>
        <v>0</v>
      </c>
      <c r="Y18" s="60" t="e">
        <f t="shared" si="20"/>
        <v>#VALUE!</v>
      </c>
    </row>
    <row r="19" spans="1:25" x14ac:dyDescent="0.35">
      <c r="B19" s="50">
        <v>15</v>
      </c>
      <c r="C19" s="61"/>
      <c r="D19" s="85"/>
      <c r="E19" s="86"/>
      <c r="F19" s="87"/>
      <c r="G19" s="54"/>
      <c r="H19" s="86"/>
      <c r="I19" s="53"/>
      <c r="J19" s="54"/>
      <c r="K19" s="86"/>
      <c r="L19" s="87"/>
      <c r="M19" s="52">
        <f t="shared" si="13"/>
        <v>0</v>
      </c>
      <c r="N19" s="41">
        <f t="shared" si="12"/>
        <v>0</v>
      </c>
      <c r="O19" s="53">
        <f t="shared" si="1"/>
        <v>430.99799999999999</v>
      </c>
      <c r="P19" s="84">
        <f t="shared" si="14"/>
        <v>0</v>
      </c>
      <c r="Q19" s="43">
        <f t="shared" si="15"/>
        <v>0</v>
      </c>
      <c r="R19" s="55" t="e">
        <f t="shared" si="4"/>
        <v>#VALUE!</v>
      </c>
      <c r="S19" s="56">
        <f t="shared" si="5"/>
        <v>0</v>
      </c>
      <c r="T19" s="56">
        <f t="shared" si="6"/>
        <v>0</v>
      </c>
      <c r="U19" s="57" t="e">
        <f t="shared" si="16"/>
        <v>#VALUE!</v>
      </c>
      <c r="V19" s="58" t="e">
        <f t="shared" si="17"/>
        <v>#VALUE!</v>
      </c>
      <c r="W19" s="59">
        <f t="shared" si="18"/>
        <v>0</v>
      </c>
      <c r="X19" s="59">
        <f t="shared" si="19"/>
        <v>0</v>
      </c>
      <c r="Y19" s="60" t="e">
        <f t="shared" si="20"/>
        <v>#VALUE!</v>
      </c>
    </row>
    <row r="20" spans="1:25" ht="15" thickBot="1" x14ac:dyDescent="0.4">
      <c r="B20" s="50">
        <v>16</v>
      </c>
      <c r="C20" s="62"/>
      <c r="D20" s="88"/>
      <c r="E20" s="89"/>
      <c r="F20" s="90"/>
      <c r="G20" s="66"/>
      <c r="H20" s="89"/>
      <c r="I20" s="53"/>
      <c r="J20" s="66"/>
      <c r="K20" s="89"/>
      <c r="L20" s="90"/>
      <c r="M20" s="64">
        <f t="shared" si="0"/>
        <v>0</v>
      </c>
      <c r="N20" s="65">
        <f t="shared" si="12"/>
        <v>0</v>
      </c>
      <c r="O20" s="63">
        <f t="shared" si="1"/>
        <v>430.99799999999999</v>
      </c>
      <c r="P20" s="84">
        <f t="shared" si="14"/>
        <v>0</v>
      </c>
      <c r="Q20" s="43">
        <f t="shared" si="15"/>
        <v>0</v>
      </c>
      <c r="R20" s="55" t="e">
        <f t="shared" si="4"/>
        <v>#VALUE!</v>
      </c>
      <c r="S20" s="56">
        <f t="shared" si="5"/>
        <v>0</v>
      </c>
      <c r="T20" s="56">
        <f t="shared" si="6"/>
        <v>0</v>
      </c>
      <c r="U20" s="57" t="e">
        <f t="shared" si="16"/>
        <v>#VALUE!</v>
      </c>
      <c r="V20" s="58" t="e">
        <f t="shared" si="17"/>
        <v>#VALUE!</v>
      </c>
      <c r="W20" s="59">
        <f t="shared" si="18"/>
        <v>0</v>
      </c>
      <c r="X20" s="59">
        <f t="shared" si="19"/>
        <v>0</v>
      </c>
      <c r="Y20" s="60" t="e">
        <f t="shared" si="20"/>
        <v>#VALUE!</v>
      </c>
    </row>
    <row r="21" spans="1:25" ht="15" thickBot="1" x14ac:dyDescent="0.4">
      <c r="B21" s="113" t="s">
        <v>11</v>
      </c>
      <c r="C21" s="114"/>
      <c r="D21" s="67">
        <f>SUM(D5:D20)</f>
        <v>2480</v>
      </c>
      <c r="E21" s="68">
        <f t="shared" ref="E21:L21" si="21">SUM(E5:E20)</f>
        <v>0</v>
      </c>
      <c r="F21" s="69">
        <f t="shared" si="21"/>
        <v>0</v>
      </c>
      <c r="G21" s="70">
        <f t="shared" si="21"/>
        <v>4200</v>
      </c>
      <c r="H21" s="68">
        <f t="shared" si="21"/>
        <v>3760</v>
      </c>
      <c r="I21" s="69">
        <f t="shared" si="21"/>
        <v>5080</v>
      </c>
      <c r="J21" s="70">
        <f t="shared" si="21"/>
        <v>7520</v>
      </c>
      <c r="K21" s="68">
        <f t="shared" si="21"/>
        <v>6120</v>
      </c>
      <c r="L21" s="69">
        <f t="shared" si="21"/>
        <v>8800</v>
      </c>
      <c r="M21" s="67">
        <f t="shared" si="0"/>
        <v>949</v>
      </c>
      <c r="N21" s="71">
        <f>SUM(N5:N20)</f>
        <v>0</v>
      </c>
      <c r="O21" s="69">
        <f t="shared" ref="O21:Y21" si="22">SUM(O5:O20)</f>
        <v>6895.9679999999971</v>
      </c>
      <c r="P21" s="70">
        <f t="shared" si="22"/>
        <v>652</v>
      </c>
      <c r="Q21" s="72">
        <f t="shared" si="22"/>
        <v>1122</v>
      </c>
      <c r="R21" s="73" t="e">
        <f t="shared" si="22"/>
        <v>#VALUE!</v>
      </c>
      <c r="S21" s="74">
        <f t="shared" si="22"/>
        <v>0</v>
      </c>
      <c r="T21" s="74">
        <f t="shared" si="22"/>
        <v>0</v>
      </c>
      <c r="U21" s="75" t="e">
        <f t="shared" si="22"/>
        <v>#VALUE!</v>
      </c>
      <c r="V21" s="76" t="e">
        <f t="shared" si="22"/>
        <v>#VALUE!</v>
      </c>
      <c r="W21" s="77">
        <f t="shared" si="22"/>
        <v>0</v>
      </c>
      <c r="X21" s="77">
        <f t="shared" si="22"/>
        <v>0</v>
      </c>
      <c r="Y21" s="78" t="e">
        <f t="shared" si="22"/>
        <v>#VALUE!</v>
      </c>
    </row>
  </sheetData>
  <mergeCells count="9">
    <mergeCell ref="A2:A4"/>
    <mergeCell ref="B1:F1"/>
    <mergeCell ref="B2:B4"/>
    <mergeCell ref="R3:U3"/>
    <mergeCell ref="V3:Y3"/>
    <mergeCell ref="B21:C21"/>
    <mergeCell ref="M2:O2"/>
    <mergeCell ref="P2:Q2"/>
    <mergeCell ref="M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3:M12"/>
  <sheetViews>
    <sheetView workbookViewId="0">
      <selection activeCell="H10" sqref="H10"/>
    </sheetView>
  </sheetViews>
  <sheetFormatPr defaultRowHeight="14.5" x14ac:dyDescent="0.35"/>
  <cols>
    <col min="3" max="3" width="10.36328125" customWidth="1"/>
    <col min="4" max="4" width="10.1796875" customWidth="1"/>
    <col min="5" max="5" width="12.36328125" customWidth="1"/>
    <col min="6" max="6" width="11.26953125" customWidth="1"/>
    <col min="10" max="10" width="38.6328125" bestFit="1" customWidth="1"/>
    <col min="11" max="11" width="6.08984375" bestFit="1" customWidth="1"/>
    <col min="13" max="13" width="7.7265625" bestFit="1" customWidth="1"/>
  </cols>
  <sheetData>
    <row r="3" spans="3:13" ht="30" customHeight="1" thickBot="1" x14ac:dyDescent="0.4">
      <c r="C3" s="124" t="s">
        <v>57</v>
      </c>
      <c r="D3" s="124"/>
      <c r="E3" s="124"/>
      <c r="F3" s="124"/>
      <c r="J3" s="124" t="s">
        <v>60</v>
      </c>
      <c r="K3" s="124"/>
      <c r="L3" s="124"/>
      <c r="M3" s="124"/>
    </row>
    <row r="4" spans="3:13" ht="29.5" customHeight="1" x14ac:dyDescent="0.55000000000000004">
      <c r="C4" s="95"/>
      <c r="D4" s="95" t="s">
        <v>53</v>
      </c>
      <c r="E4" s="95" t="s">
        <v>54</v>
      </c>
      <c r="F4" s="95" t="s">
        <v>56</v>
      </c>
      <c r="J4" s="3" t="s">
        <v>0</v>
      </c>
      <c r="K4" s="4" t="s">
        <v>8</v>
      </c>
      <c r="L4" s="4" t="s">
        <v>9</v>
      </c>
      <c r="M4" s="4" t="s">
        <v>10</v>
      </c>
    </row>
    <row r="5" spans="3:13" ht="32" customHeight="1" x14ac:dyDescent="0.55000000000000004">
      <c r="C5" s="97" t="s">
        <v>58</v>
      </c>
      <c r="D5" s="94">
        <v>227.95</v>
      </c>
      <c r="E5" s="94">
        <v>949</v>
      </c>
      <c r="F5" s="98">
        <f>SUM(D5:E5)</f>
        <v>1176.95</v>
      </c>
      <c r="J5" s="1" t="s">
        <v>1</v>
      </c>
      <c r="K5" s="7">
        <v>70</v>
      </c>
      <c r="L5" s="5">
        <v>7794</v>
      </c>
      <c r="M5" s="6">
        <f t="shared" ref="M5:M11" si="0">L5/40</f>
        <v>194.85</v>
      </c>
    </row>
    <row r="6" spans="3:13" ht="32" customHeight="1" x14ac:dyDescent="0.55000000000000004">
      <c r="C6" s="97" t="s">
        <v>59</v>
      </c>
      <c r="D6" s="94">
        <f>D5*40</f>
        <v>9118</v>
      </c>
      <c r="E6" s="94">
        <f>E5*40</f>
        <v>37960</v>
      </c>
      <c r="F6" s="98">
        <f>SUM(D6:E6)</f>
        <v>47078</v>
      </c>
      <c r="J6" s="1" t="s">
        <v>2</v>
      </c>
      <c r="K6" s="7">
        <v>70</v>
      </c>
      <c r="L6" s="5">
        <v>8638</v>
      </c>
      <c r="M6" s="6">
        <f t="shared" si="0"/>
        <v>215.95</v>
      </c>
    </row>
    <row r="7" spans="3:13" ht="32" customHeight="1" x14ac:dyDescent="0.55000000000000004">
      <c r="J7" s="1" t="s">
        <v>3</v>
      </c>
      <c r="K7" s="7">
        <v>70</v>
      </c>
      <c r="L7" s="5">
        <v>153</v>
      </c>
      <c r="M7" s="6">
        <f t="shared" si="0"/>
        <v>3.8250000000000002</v>
      </c>
    </row>
    <row r="8" spans="3:13" ht="23.5" x14ac:dyDescent="0.55000000000000004">
      <c r="J8" s="1" t="s">
        <v>4</v>
      </c>
      <c r="K8" s="7">
        <v>120</v>
      </c>
      <c r="L8" s="5">
        <v>805</v>
      </c>
      <c r="M8" s="6">
        <f t="shared" si="0"/>
        <v>20.125</v>
      </c>
    </row>
    <row r="9" spans="3:13" ht="23.5" x14ac:dyDescent="0.55000000000000004">
      <c r="J9" s="1" t="s">
        <v>5</v>
      </c>
      <c r="K9" s="7">
        <v>120</v>
      </c>
      <c r="L9" s="5">
        <v>1874</v>
      </c>
      <c r="M9" s="6">
        <f t="shared" si="0"/>
        <v>46.85</v>
      </c>
    </row>
    <row r="10" spans="3:13" ht="23.5" x14ac:dyDescent="0.55000000000000004">
      <c r="J10" s="1" t="s">
        <v>6</v>
      </c>
      <c r="K10" s="7">
        <v>120</v>
      </c>
      <c r="L10" s="5"/>
      <c r="M10" s="5">
        <f t="shared" si="0"/>
        <v>0</v>
      </c>
    </row>
    <row r="11" spans="3:13" ht="23.5" x14ac:dyDescent="0.55000000000000004">
      <c r="J11" s="1" t="s">
        <v>7</v>
      </c>
      <c r="K11" s="7">
        <v>60</v>
      </c>
      <c r="L11" s="5">
        <v>72000</v>
      </c>
      <c r="M11" s="5">
        <f t="shared" si="0"/>
        <v>1800</v>
      </c>
    </row>
    <row r="12" spans="3:13" ht="23.5" x14ac:dyDescent="0.55000000000000004">
      <c r="J12" s="8" t="s">
        <v>11</v>
      </c>
      <c r="K12" s="2"/>
      <c r="L12" s="9">
        <f>SUM(L5:L11)</f>
        <v>91264</v>
      </c>
      <c r="M12" s="10">
        <f>SUM(M5:M11)</f>
        <v>2281.6</v>
      </c>
    </row>
  </sheetData>
  <mergeCells count="2">
    <mergeCell ref="J3:M3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D20"/>
  <sheetViews>
    <sheetView workbookViewId="0">
      <selection activeCell="D2" sqref="D2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</cols>
  <sheetData>
    <row r="1" spans="1:4" x14ac:dyDescent="0.35">
      <c r="A1" s="2" t="s">
        <v>38</v>
      </c>
      <c r="B1" s="96" t="s">
        <v>61</v>
      </c>
      <c r="C1" s="96" t="s">
        <v>55</v>
      </c>
      <c r="D1" s="96" t="s">
        <v>9</v>
      </c>
    </row>
    <row r="2" spans="1:4" x14ac:dyDescent="0.35">
      <c r="A2" s="2"/>
      <c r="B2" s="2"/>
      <c r="C2" s="2"/>
      <c r="D2" s="2"/>
    </row>
    <row r="3" spans="1:4" x14ac:dyDescent="0.35">
      <c r="A3" s="2"/>
      <c r="B3" s="2"/>
      <c r="C3" s="2"/>
      <c r="D3" s="2"/>
    </row>
    <row r="4" spans="1:4" x14ac:dyDescent="0.35">
      <c r="A4" s="2"/>
      <c r="B4" s="2"/>
      <c r="C4" s="2"/>
      <c r="D4" s="2"/>
    </row>
    <row r="5" spans="1:4" x14ac:dyDescent="0.35">
      <c r="A5" s="2"/>
      <c r="B5" s="2"/>
      <c r="C5" s="2"/>
      <c r="D5" s="2"/>
    </row>
    <row r="6" spans="1:4" x14ac:dyDescent="0.35">
      <c r="A6" s="2"/>
      <c r="B6" s="2"/>
      <c r="C6" s="2"/>
      <c r="D6" s="2"/>
    </row>
    <row r="7" spans="1:4" x14ac:dyDescent="0.35">
      <c r="A7" s="2"/>
      <c r="B7" s="2"/>
      <c r="C7" s="2"/>
      <c r="D7" s="2"/>
    </row>
    <row r="8" spans="1:4" x14ac:dyDescent="0.35">
      <c r="A8" s="2"/>
      <c r="B8" s="2"/>
      <c r="C8" s="2"/>
      <c r="D8" s="2"/>
    </row>
    <row r="9" spans="1:4" x14ac:dyDescent="0.35">
      <c r="A9" s="2"/>
      <c r="B9" s="2"/>
      <c r="C9" s="2"/>
      <c r="D9" s="2"/>
    </row>
    <row r="10" spans="1:4" x14ac:dyDescent="0.35">
      <c r="A10" s="2"/>
      <c r="B10" s="2"/>
      <c r="C10" s="2"/>
      <c r="D10" s="2"/>
    </row>
    <row r="11" spans="1:4" x14ac:dyDescent="0.35">
      <c r="A11" s="2"/>
      <c r="B11" s="2"/>
      <c r="C11" s="2"/>
      <c r="D11" s="2"/>
    </row>
    <row r="12" spans="1:4" x14ac:dyDescent="0.35">
      <c r="A12" s="2"/>
      <c r="B12" s="2"/>
      <c r="C12" s="2"/>
      <c r="D12" s="2"/>
    </row>
    <row r="13" spans="1:4" x14ac:dyDescent="0.35">
      <c r="A13" s="2"/>
      <c r="B13" s="2"/>
      <c r="C13" s="2"/>
      <c r="D13" s="2"/>
    </row>
    <row r="14" spans="1:4" x14ac:dyDescent="0.35">
      <c r="A14" s="2"/>
      <c r="B14" s="2"/>
      <c r="C14" s="2"/>
      <c r="D14" s="2"/>
    </row>
    <row r="15" spans="1:4" x14ac:dyDescent="0.35">
      <c r="A15" s="2"/>
      <c r="B15" s="2"/>
      <c r="C15" s="2"/>
      <c r="D15" s="2"/>
    </row>
    <row r="16" spans="1:4" x14ac:dyDescent="0.35">
      <c r="A16" s="2"/>
      <c r="B16" s="2"/>
      <c r="C16" s="2"/>
      <c r="D16" s="2"/>
    </row>
    <row r="17" spans="1:4" x14ac:dyDescent="0.35">
      <c r="A17" s="2"/>
      <c r="B17" s="2"/>
      <c r="C17" s="2"/>
      <c r="D17" s="2"/>
    </row>
    <row r="18" spans="1:4" x14ac:dyDescent="0.35">
      <c r="A18" s="2"/>
      <c r="B18" s="2"/>
      <c r="C18" s="2"/>
      <c r="D18" s="2"/>
    </row>
    <row r="19" spans="1:4" ht="15" thickBot="1" x14ac:dyDescent="0.4">
      <c r="A19" s="99"/>
      <c r="B19" s="99"/>
      <c r="C19" s="99"/>
      <c r="D19" s="99"/>
    </row>
    <row r="20" spans="1:4" ht="15" thickBot="1" x14ac:dyDescent="0.4">
      <c r="A20" s="100"/>
      <c r="B20" s="101"/>
      <c r="C20" s="101"/>
      <c r="D20" s="10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F3CCA-0793-4D04-8BF6-1A26354907F3}">
          <x14:formula1>
            <xm:f>Sheet1!$B$10:$B$18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2026-06-06T05:30:02Z</cp:lastPrinted>
  <dcterms:created xsi:type="dcterms:W3CDTF">2026-05-23T04:02:39Z</dcterms:created>
  <dcterms:modified xsi:type="dcterms:W3CDTF">2026-06-11T07:54:51Z</dcterms:modified>
</cp:coreProperties>
</file>