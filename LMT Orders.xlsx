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4EDA7A9B-0B26-4F19-A5DF-C3A9C7118B7B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I11" i="3" l="1"/>
  <c r="M67" i="2" l="1"/>
  <c r="M61" i="2"/>
  <c r="N61" i="2"/>
  <c r="O61" i="2"/>
  <c r="P61" i="2"/>
  <c r="Q61" i="2"/>
  <c r="R61" i="2"/>
  <c r="U61" i="2" s="1"/>
  <c r="S61" i="2"/>
  <c r="T61" i="2"/>
  <c r="V61" i="2"/>
  <c r="W61" i="2"/>
  <c r="X61" i="2"/>
  <c r="Y61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S65" i="2"/>
  <c r="T65" i="2"/>
  <c r="U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S67" i="2"/>
  <c r="T67" i="2"/>
  <c r="U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S69" i="2"/>
  <c r="T69" i="2"/>
  <c r="U69" i="2"/>
  <c r="V69" i="2"/>
  <c r="Y69" i="2" s="1"/>
  <c r="W69" i="2"/>
  <c r="X69" i="2"/>
  <c r="M70" i="2"/>
  <c r="N70" i="2"/>
  <c r="O70" i="2"/>
  <c r="P70" i="2"/>
  <c r="Q70" i="2"/>
  <c r="R70" i="2"/>
  <c r="S70" i="2"/>
  <c r="T70" i="2"/>
  <c r="U70" i="2"/>
  <c r="V70" i="2"/>
  <c r="Y70" i="2" s="1"/>
  <c r="W70" i="2"/>
  <c r="X70" i="2"/>
  <c r="M71" i="2"/>
  <c r="N71" i="2"/>
  <c r="O71" i="2"/>
  <c r="P71" i="2"/>
  <c r="Q71" i="2"/>
  <c r="R71" i="2"/>
  <c r="S71" i="2"/>
  <c r="T71" i="2"/>
  <c r="U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S74" i="2"/>
  <c r="T74" i="2"/>
  <c r="U74" i="2"/>
  <c r="V74" i="2"/>
  <c r="Y74" i="2" s="1"/>
  <c r="W74" i="2"/>
  <c r="X74" i="2"/>
  <c r="M75" i="2"/>
  <c r="N75" i="2"/>
  <c r="O75" i="2"/>
  <c r="P75" i="2"/>
  <c r="Q75" i="2"/>
  <c r="R75" i="2"/>
  <c r="S75" i="2"/>
  <c r="T75" i="2"/>
  <c r="U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81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82" i="2" l="1"/>
  <c r="K82" i="2"/>
  <c r="J82" i="2"/>
  <c r="I82" i="2"/>
  <c r="H82" i="2"/>
  <c r="G82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80" i="2" l="1"/>
  <c r="F80" i="2"/>
  <c r="G80" i="2"/>
  <c r="H80" i="2"/>
  <c r="I80" i="2"/>
  <c r="J80" i="2"/>
  <c r="K80" i="2"/>
  <c r="L80" i="2"/>
  <c r="D80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84" i="2"/>
  <c r="E85" i="2" s="1"/>
  <c r="F84" i="2"/>
  <c r="F85" i="2" s="1"/>
  <c r="G84" i="2"/>
  <c r="H84" i="2"/>
  <c r="I84" i="2"/>
  <c r="J84" i="2"/>
  <c r="K84" i="2"/>
  <c r="L84" i="2"/>
  <c r="D84" i="2"/>
  <c r="M82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85" i="2"/>
  <c r="H85" i="2"/>
  <c r="I85" i="2"/>
  <c r="D85" i="2"/>
  <c r="J85" i="2"/>
  <c r="L85" i="2"/>
  <c r="K85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80" i="2"/>
  <c r="Q80" i="2"/>
  <c r="R80" i="2"/>
  <c r="U80" i="2" s="1"/>
  <c r="S80" i="2"/>
  <c r="T80" i="2"/>
  <c r="V80" i="2"/>
  <c r="Y80" i="2" s="1"/>
  <c r="W80" i="2"/>
  <c r="X80" i="2"/>
  <c r="P82" i="2"/>
  <c r="Q82" i="2"/>
  <c r="R82" i="2"/>
  <c r="U82" i="2" s="1"/>
  <c r="S82" i="2"/>
  <c r="T82" i="2"/>
  <c r="V82" i="2"/>
  <c r="Y82" i="2" s="1"/>
  <c r="W82" i="2"/>
  <c r="X82" i="2"/>
  <c r="P83" i="2"/>
  <c r="Q83" i="2"/>
  <c r="R83" i="2"/>
  <c r="U83" i="2" s="1"/>
  <c r="S83" i="2"/>
  <c r="T83" i="2"/>
  <c r="V83" i="2"/>
  <c r="Y83" i="2" s="1"/>
  <c r="W83" i="2"/>
  <c r="X83" i="2"/>
  <c r="P84" i="2"/>
  <c r="Q84" i="2"/>
  <c r="R84" i="2"/>
  <c r="U84" i="2" s="1"/>
  <c r="S84" i="2"/>
  <c r="T84" i="2"/>
  <c r="V84" i="2"/>
  <c r="Y84" i="2" s="1"/>
  <c r="W84" i="2"/>
  <c r="X84" i="2"/>
  <c r="M13" i="2"/>
  <c r="N13" i="2"/>
  <c r="O13" i="2"/>
  <c r="M14" i="2"/>
  <c r="N14" i="2"/>
  <c r="O14" i="2"/>
  <c r="M15" i="2"/>
  <c r="N15" i="2"/>
  <c r="O15" i="2"/>
  <c r="M80" i="2"/>
  <c r="N80" i="2"/>
  <c r="O80" i="2"/>
  <c r="N82" i="2"/>
  <c r="O82" i="2"/>
  <c r="M83" i="2"/>
  <c r="M84" i="2" s="1"/>
  <c r="N83" i="2"/>
  <c r="O83" i="2"/>
  <c r="O84" i="2" l="1"/>
  <c r="N84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85" i="2" s="1"/>
  <c r="T5" i="2"/>
  <c r="S5" i="2"/>
  <c r="R5" i="2"/>
  <c r="U5" i="2" s="1"/>
  <c r="U85" i="2" s="1"/>
  <c r="Q5" i="2"/>
  <c r="P5" i="2"/>
  <c r="O5" i="2"/>
  <c r="N5" i="2"/>
  <c r="M5" i="2"/>
  <c r="M85" i="2" l="1"/>
  <c r="P85" i="2"/>
  <c r="X85" i="2"/>
  <c r="R85" i="2"/>
  <c r="T85" i="2"/>
  <c r="Q85" i="2"/>
  <c r="Y5" i="2"/>
  <c r="Y85" i="2" s="1"/>
  <c r="O85" i="2"/>
  <c r="S85" i="2"/>
  <c r="W85" i="2"/>
  <c r="N85" i="2"/>
</calcChain>
</file>

<file path=xl/sharedStrings.xml><?xml version="1.0" encoding="utf-8"?>
<sst xmlns="http://schemas.openxmlformats.org/spreadsheetml/2006/main" count="214" uniqueCount="165">
  <si>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</si>
  <si>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</si>
  <si>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</si>
  <si>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</si>
  <si>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</si>
  <si>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</si>
  <si>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</si>
  <si>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</si>
  <si>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</si>
  <si>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</si>
  <si>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</si>
  <si>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</si>
  <si>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</si>
  <si>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</si>
  <si>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</si>
  <si>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</si>
  <si>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</si>
  <si>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</si>
  <si>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</si>
  <si>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</si>
  <si>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</si>
  <si>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</si>
  <si>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</si>
  <si>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</si>
  <si>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</si>
  <si>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</si>
  <si>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</si>
  <si>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</si>
  <si>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</si>
  <si>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</si>
  <si>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</si>
  <si>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</si>
  <si>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</si>
  <si>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</si>
  <si>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</si>
  <si>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</si>
  <si>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</si>
  <si>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</si>
  <si>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</si>
  <si>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</si>
  <si>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</si>
  <si>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</si>
  <si>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</si>
  <si>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</si>
  <si>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</si>
  <si>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</si>
  <si>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</si>
  <si>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</si>
  <si>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</si>
  <si>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</si>
  <si>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</si>
  <si>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</si>
  <si>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</si>
  <si>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</si>
  <si>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</si>
  <si>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</si>
  <si>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</si>
  <si>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</si>
  <si>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</si>
  <si>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</si>
  <si>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</si>
  <si>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</si>
  <si>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</si>
  <si>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</si>
  <si>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</si>
  <si>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</si>
  <si>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</si>
  <si>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</si>
  <si>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</si>
  <si>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</si>
  <si>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</si>
  <si>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</si>
  <si>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</si>
  <si>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</si>
  <si>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</si>
  <si>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</si>
  <si>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</si>
  <si>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</si>
  <si>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</si>
  <si>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</si>
  <si>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</si>
  <si>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</si>
  <si>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</si>
  <si>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</si>
  <si>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</si>
  <si>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</si>
  <si>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</si>
  <si>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</si>
  <si>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</si>
  <si>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</si>
  <si>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</si>
  <si>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</si>
  <si>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</si>
  <si>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</si>
  <si>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</si>
  <si>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</si>
  <si>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</si>
  <si>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</si>
  <si>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</si>
  <si>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</si>
  <si>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</si>
  <si>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</si>
  <si>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</si>
  <si>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</si>
  <si>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</si>
  <si>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</si>
  <si>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</si>
  <si>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</si>
  <si>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</si>
  <si>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</si>
  <si>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</si>
  <si>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</si>
  <si>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</si>
  <si>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</si>
  <si>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</si>
  <si>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</si>
  <si>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</si>
  <si>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</si>
  <si>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</si>
  <si>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</si>
  <si>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</si>
  <si>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</si>
  <si>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</si>
  <si>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</si>
  <si>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</si>
  <si>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</si>
  <si>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</si>
  <si>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</si>
  <si>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</si>
  <si>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</si>
  <si>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</si>
  <si>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</si>
  <si>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</si>
  <si>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</si>
  <si>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</si>
  <si>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</si>
  <si>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</si>
  <si>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</si>
  <si>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On The Way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</si>
  <si>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</si>
  <si>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</si>
  <si>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</si>
  <si>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</si>
  <si>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</si>
  <si>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</si>
  <si>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</si>
  <si>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</si>
  <si>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</si>
  <si>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</si>
  <si>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</si>
  <si>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</si>
  <si>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</si>
  <si>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</si>
  <si>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</si>
  <si>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</si>
  <si>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</si>
  <si>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</si>
  <si>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</si>
  <si>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</si>
  <si>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</si>
  <si>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</si>
  <si>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</si>
  <si>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</si>
  <si>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</si>
  <si>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Rambo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</si>
</sst>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61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62"/>
      <c r="F10">
        <v>10000</v>
      </c>
    </row>
    <row r="11" spans="2:6" x14ac:dyDescent="0.35">
      <c r="B11" s="79" t="s">
        <v>27</v>
      </c>
      <c r="C11" s="79"/>
      <c r="D11" s="79"/>
      <c r="E11" s="162"/>
    </row>
    <row r="12" spans="2:6" x14ac:dyDescent="0.35">
      <c r="B12" s="79" t="s">
        <v>41</v>
      </c>
      <c r="C12" s="79" t="s">
        <v>40</v>
      </c>
      <c r="D12" s="92">
        <v>300426949714</v>
      </c>
      <c r="E12" s="162"/>
    </row>
    <row r="13" spans="2:6" x14ac:dyDescent="0.35">
      <c r="B13" s="79" t="s">
        <v>28</v>
      </c>
      <c r="C13" s="79" t="s">
        <v>43</v>
      </c>
      <c r="D13" s="92">
        <v>3277876126916</v>
      </c>
      <c r="E13" s="162"/>
    </row>
    <row r="14" spans="2:6" x14ac:dyDescent="0.35">
      <c r="B14" s="79" t="s">
        <v>29</v>
      </c>
      <c r="C14" s="79" t="s">
        <v>47</v>
      </c>
      <c r="D14" s="92">
        <v>3520255124113</v>
      </c>
      <c r="E14" s="162"/>
    </row>
    <row r="15" spans="2:6" x14ac:dyDescent="0.35">
      <c r="B15" s="79" t="s">
        <v>30</v>
      </c>
      <c r="C15" s="79" t="s">
        <v>47</v>
      </c>
      <c r="D15" s="92">
        <v>3520255124113</v>
      </c>
      <c r="E15" s="162"/>
    </row>
    <row r="16" spans="2:6" x14ac:dyDescent="0.35">
      <c r="B16" s="79" t="s">
        <v>31</v>
      </c>
      <c r="C16" s="79" t="s">
        <v>45</v>
      </c>
      <c r="D16" s="92">
        <v>3520268948847</v>
      </c>
      <c r="E16" s="162"/>
    </row>
    <row r="17" spans="2:5" x14ac:dyDescent="0.35">
      <c r="B17" s="79" t="s">
        <v>32</v>
      </c>
      <c r="C17" s="79" t="s">
        <v>51</v>
      </c>
      <c r="D17" s="79"/>
      <c r="E17" s="162"/>
    </row>
    <row r="18" spans="2:5" x14ac:dyDescent="0.35">
      <c r="B18" s="79" t="s">
        <v>34</v>
      </c>
      <c r="C18" s="79" t="s">
        <v>46</v>
      </c>
      <c r="D18" s="79" t="s">
        <v>52</v>
      </c>
      <c r="E18" s="162"/>
    </row>
    <row r="19" spans="2:5" ht="15" customHeight="1" x14ac:dyDescent="0.35">
      <c r="B19" s="163" t="s">
        <v>63</v>
      </c>
      <c r="C19" s="162" t="s">
        <v>64</v>
      </c>
      <c r="D19" s="162"/>
      <c r="E19" s="162"/>
    </row>
    <row r="20" spans="2:5" x14ac:dyDescent="0.35">
      <c r="B20" s="163" t="s">
        <v>65</v>
      </c>
      <c r="C20" s="162"/>
      <c r="D20" s="162"/>
      <c r="E20" s="162"/>
    </row>
    <row r="21" spans="2:5" x14ac:dyDescent="0.35">
      <c r="B21" s="163" t="s">
        <v>66</v>
      </c>
      <c r="C21" s="162"/>
      <c r="D21" s="162"/>
      <c r="E21" s="162"/>
    </row>
    <row r="22" spans="2:5" x14ac:dyDescent="0.35">
      <c r="B22" s="163" t="s">
        <v>67</v>
      </c>
      <c r="C22" s="162"/>
      <c r="D22" s="162"/>
      <c r="E22" s="162"/>
    </row>
    <row r="23" spans="2:5" x14ac:dyDescent="0.35">
      <c r="B23" s="163" t="s">
        <v>79</v>
      </c>
      <c r="C23" s="162" t="s">
        <v>80</v>
      </c>
      <c r="D23" s="164">
        <v>3277876231301</v>
      </c>
      <c r="E23" s="162"/>
    </row>
    <row r="24" spans="2:5" x14ac:dyDescent="0.35">
      <c r="B24" s="163" t="s">
        <v>160</v>
      </c>
      <c r="C24" s="162" t="s">
        <v>161</v>
      </c>
      <c r="D24" s="162"/>
      <c r="E24" s="162" t="s">
        <v>162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85"/>
  <sheetViews>
    <sheetView topLeftCell="A65" zoomScaleNormal="100" workbookViewId="0">
      <selection activeCell="E75" sqref="E7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8">
        <v>46186</v>
      </c>
      <c r="C1" s="178"/>
      <c r="D1" s="178"/>
      <c r="E1" s="178"/>
      <c r="F1" s="17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5" t="s">
        <v>38</v>
      </c>
      <c r="B2" s="179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7"/>
      <c r="N2" s="168"/>
      <c r="O2" s="169"/>
      <c r="P2" s="170" t="s">
        <v>14</v>
      </c>
      <c r="Q2" s="171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5"/>
      <c r="B3" s="180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2" t="s">
        <v>11</v>
      </c>
      <c r="N3" s="173"/>
      <c r="O3" s="174"/>
      <c r="P3" s="71"/>
      <c r="Q3" s="72"/>
      <c r="R3" s="182" t="s">
        <v>16</v>
      </c>
      <c r="S3" s="183"/>
      <c r="T3" s="183"/>
      <c r="U3" s="184"/>
      <c r="V3" s="185" t="s">
        <v>17</v>
      </c>
      <c r="W3" s="186"/>
      <c r="X3" s="186"/>
      <c r="Y3" s="187"/>
    </row>
    <row r="4" spans="1:25" ht="15" thickBot="1" x14ac:dyDescent="0.4">
      <c r="A4" s="175"/>
      <c r="B4" s="181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85" si="0">SUM(D6:L6)/40</f>
        <v>140</v>
      </c>
      <c r="N6" s="39">
        <f>SUMPRODUCT($D$4:$L$4,$D$6:$L$6)</f>
        <v>0</v>
      </c>
      <c r="O6" s="49">
        <f t="shared" ref="O6:O84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84" si="4">SUMPRODUCT($D$4:$F$4,$D$6:$F$6)*$R$3</f>
        <v>#VALUE!</v>
      </c>
      <c r="S6" s="52">
        <f t="shared" ref="S6:S84" si="5">SUMPRODUCT($G$4:$I$4,$G$6:$I$6)*$S$3</f>
        <v>0</v>
      </c>
      <c r="T6" s="52">
        <f t="shared" ref="T6:T84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84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84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84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80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4">
        <v>40</v>
      </c>
      <c r="J57" s="75">
        <v>40</v>
      </c>
      <c r="K57" s="75">
        <v>40</v>
      </c>
      <c r="L57" s="75">
        <v>40</v>
      </c>
      <c r="M57" s="153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4">
        <v>40</v>
      </c>
      <c r="J58" s="75">
        <v>40</v>
      </c>
      <c r="K58" s="75">
        <v>40</v>
      </c>
      <c r="L58" s="75">
        <v>40</v>
      </c>
      <c r="M58" s="153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4">
        <v>40</v>
      </c>
      <c r="J59" s="75">
        <v>40</v>
      </c>
      <c r="K59" s="75">
        <v>40</v>
      </c>
      <c r="L59" s="75">
        <v>40</v>
      </c>
      <c r="M59" s="153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4">
        <v>2800</v>
      </c>
      <c r="J60" s="75">
        <v>1800</v>
      </c>
      <c r="K60" s="75">
        <v>1200</v>
      </c>
      <c r="L60" s="75">
        <v>3600</v>
      </c>
      <c r="M60" s="153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140</v>
      </c>
      <c r="D61" s="146"/>
      <c r="E61" s="146"/>
      <c r="F61" s="146"/>
      <c r="G61" s="146">
        <v>80</v>
      </c>
      <c r="H61" s="146">
        <v>0</v>
      </c>
      <c r="I61" s="155">
        <v>200</v>
      </c>
      <c r="J61" s="146">
        <v>200</v>
      </c>
      <c r="K61" s="146">
        <v>0</v>
      </c>
      <c r="L61" s="146">
        <v>400</v>
      </c>
      <c r="M61" s="153">
        <f t="shared" ref="M61:M79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79" si="82">SUM(G61:I61)/20</f>
        <v>14</v>
      </c>
      <c r="Q61" s="40">
        <f t="shared" ref="Q61:Q79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9" si="84">SUM(R61:T61)</f>
        <v>#VALUE!</v>
      </c>
      <c r="V61" s="54" t="e">
        <f t="shared" ref="V61:V79" si="85">SUM(D61:F61)*$V$3</f>
        <v>#VALUE!</v>
      </c>
      <c r="W61" s="55">
        <f t="shared" ref="W61:W79" si="86">SUM(G61:I61)*$W$3</f>
        <v>0</v>
      </c>
      <c r="X61" s="55">
        <f t="shared" ref="X61:X79" si="87">SUM(J61:L61)*$X$3</f>
        <v>0</v>
      </c>
      <c r="Y61" s="56" t="e">
        <f t="shared" ref="Y61:Y79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141</v>
      </c>
      <c r="D62" s="146"/>
      <c r="E62" s="146"/>
      <c r="F62" s="146"/>
      <c r="G62" s="146">
        <v>80</v>
      </c>
      <c r="H62" s="146">
        <v>80</v>
      </c>
      <c r="I62" s="155">
        <v>200</v>
      </c>
      <c r="J62" s="146">
        <v>120</v>
      </c>
      <c r="K62" s="146">
        <v>120</v>
      </c>
      <c r="L62" s="146">
        <v>200</v>
      </c>
      <c r="M62" s="153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142</v>
      </c>
      <c r="D63" s="146"/>
      <c r="E63" s="146"/>
      <c r="F63" s="146"/>
      <c r="G63" s="146">
        <v>40</v>
      </c>
      <c r="H63" s="146">
        <v>40</v>
      </c>
      <c r="I63" s="155">
        <v>40</v>
      </c>
      <c r="J63" s="146">
        <v>40</v>
      </c>
      <c r="K63" s="146">
        <v>40</v>
      </c>
      <c r="L63" s="146">
        <v>40</v>
      </c>
      <c r="M63" s="153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143</v>
      </c>
      <c r="D64" s="146"/>
      <c r="E64" s="146"/>
      <c r="F64" s="146"/>
      <c r="G64" s="146">
        <v>40</v>
      </c>
      <c r="H64" s="146">
        <v>40</v>
      </c>
      <c r="I64" s="155">
        <v>40</v>
      </c>
      <c r="J64" s="146">
        <v>40</v>
      </c>
      <c r="K64" s="146">
        <v>40</v>
      </c>
      <c r="L64" s="146">
        <v>40</v>
      </c>
      <c r="M64" s="153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144</v>
      </c>
      <c r="D65" s="146"/>
      <c r="E65" s="146"/>
      <c r="F65" s="146"/>
      <c r="G65" s="146">
        <v>40</v>
      </c>
      <c r="H65" s="146">
        <v>40</v>
      </c>
      <c r="I65" s="155">
        <v>40</v>
      </c>
      <c r="J65" s="146">
        <v>40</v>
      </c>
      <c r="K65" s="146">
        <v>40</v>
      </c>
      <c r="L65" s="146">
        <v>40</v>
      </c>
      <c r="M65" s="153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145</v>
      </c>
      <c r="D66" s="146"/>
      <c r="E66" s="146"/>
      <c r="F66" s="146"/>
      <c r="G66" s="146">
        <v>80</v>
      </c>
      <c r="H66" s="146">
        <v>80</v>
      </c>
      <c r="I66" s="155">
        <v>80</v>
      </c>
      <c r="J66" s="146">
        <v>80</v>
      </c>
      <c r="K66" s="146">
        <v>80</v>
      </c>
      <c r="L66" s="146">
        <v>80</v>
      </c>
      <c r="M66" s="153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146</v>
      </c>
      <c r="D67" s="146"/>
      <c r="E67" s="146"/>
      <c r="F67" s="146"/>
      <c r="G67" s="146">
        <v>40</v>
      </c>
      <c r="H67" s="146">
        <v>40</v>
      </c>
      <c r="I67" s="155">
        <v>40</v>
      </c>
      <c r="J67" s="146">
        <v>40</v>
      </c>
      <c r="K67" s="146">
        <v>40</v>
      </c>
      <c r="L67" s="146">
        <v>40</v>
      </c>
      <c r="M67" s="153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147</v>
      </c>
      <c r="D68" s="146"/>
      <c r="E68" s="146"/>
      <c r="F68" s="146"/>
      <c r="G68" s="146">
        <v>40</v>
      </c>
      <c r="H68" s="146">
        <v>40</v>
      </c>
      <c r="I68" s="155">
        <v>40</v>
      </c>
      <c r="J68" s="146">
        <v>40</v>
      </c>
      <c r="K68" s="146">
        <v>40</v>
      </c>
      <c r="L68" s="146">
        <v>40</v>
      </c>
      <c r="M68" s="153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148</v>
      </c>
      <c r="D69" s="146"/>
      <c r="E69" s="146"/>
      <c r="F69" s="146"/>
      <c r="G69" s="146">
        <v>80</v>
      </c>
      <c r="H69" s="146">
        <v>80</v>
      </c>
      <c r="I69" s="155">
        <v>80</v>
      </c>
      <c r="J69" s="146">
        <v>80</v>
      </c>
      <c r="K69" s="146">
        <v>80</v>
      </c>
      <c r="L69" s="146">
        <v>80</v>
      </c>
      <c r="M69" s="153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149</v>
      </c>
      <c r="D70" s="146"/>
      <c r="E70" s="146"/>
      <c r="F70" s="146"/>
      <c r="G70" s="146">
        <v>40</v>
      </c>
      <c r="H70" s="146">
        <v>40</v>
      </c>
      <c r="I70" s="155">
        <v>40</v>
      </c>
      <c r="J70" s="146">
        <v>40</v>
      </c>
      <c r="K70" s="146">
        <v>40</v>
      </c>
      <c r="L70" s="146">
        <v>40</v>
      </c>
      <c r="M70" s="153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9" t="s">
        <v>150</v>
      </c>
      <c r="D71" s="126"/>
      <c r="E71" s="126"/>
      <c r="F71" s="126"/>
      <c r="G71" s="126">
        <v>0</v>
      </c>
      <c r="H71" s="126">
        <v>0</v>
      </c>
      <c r="I71" s="160">
        <v>0</v>
      </c>
      <c r="J71" s="126">
        <v>0</v>
      </c>
      <c r="K71" s="126">
        <v>0</v>
      </c>
      <c r="L71" s="126">
        <v>0</v>
      </c>
      <c r="M71" s="153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151</v>
      </c>
      <c r="D72" s="146"/>
      <c r="E72" s="146"/>
      <c r="F72" s="146"/>
      <c r="G72" s="146">
        <v>40</v>
      </c>
      <c r="H72" s="146">
        <v>40</v>
      </c>
      <c r="I72" s="155">
        <v>40</v>
      </c>
      <c r="J72" s="146">
        <v>40</v>
      </c>
      <c r="K72" s="146">
        <v>40</v>
      </c>
      <c r="L72" s="146">
        <v>40</v>
      </c>
      <c r="M72" s="153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152</v>
      </c>
      <c r="D73" s="146"/>
      <c r="E73" s="146"/>
      <c r="F73" s="146"/>
      <c r="G73" s="146">
        <v>40</v>
      </c>
      <c r="H73" s="146">
        <v>40</v>
      </c>
      <c r="I73" s="155">
        <v>40</v>
      </c>
      <c r="J73" s="146">
        <v>40</v>
      </c>
      <c r="K73" s="146">
        <v>40</v>
      </c>
      <c r="L73" s="146">
        <v>40</v>
      </c>
      <c r="M73" s="153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6" t="s">
        <v>153</v>
      </c>
      <c r="D74" s="146"/>
      <c r="E74" s="146"/>
      <c r="F74" s="147"/>
      <c r="G74" s="146">
        <v>40</v>
      </c>
      <c r="H74" s="146">
        <v>40</v>
      </c>
      <c r="I74" s="155">
        <v>40</v>
      </c>
      <c r="J74" s="146">
        <v>40</v>
      </c>
      <c r="K74" s="146">
        <v>40</v>
      </c>
      <c r="L74" s="146">
        <v>40</v>
      </c>
      <c r="M74" s="153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6" t="s">
        <v>154</v>
      </c>
      <c r="D75" s="146"/>
      <c r="E75" s="147"/>
      <c r="F75" s="147"/>
      <c r="G75" s="146">
        <v>40</v>
      </c>
      <c r="H75" s="146">
        <v>40</v>
      </c>
      <c r="I75" s="155">
        <v>40</v>
      </c>
      <c r="J75" s="146">
        <v>40</v>
      </c>
      <c r="K75" s="146">
        <v>40</v>
      </c>
      <c r="L75" s="146">
        <v>40</v>
      </c>
      <c r="M75" s="153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6" t="s">
        <v>155</v>
      </c>
      <c r="D76" s="146"/>
      <c r="E76" s="147"/>
      <c r="F76" s="147"/>
      <c r="G76" s="146">
        <v>40</v>
      </c>
      <c r="H76" s="146">
        <v>40</v>
      </c>
      <c r="I76" s="155">
        <v>40</v>
      </c>
      <c r="J76" s="146">
        <v>40</v>
      </c>
      <c r="K76" s="146">
        <v>40</v>
      </c>
      <c r="L76" s="146">
        <v>40</v>
      </c>
      <c r="M76" s="153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7" t="s">
        <v>156</v>
      </c>
      <c r="D77" s="126"/>
      <c r="E77" s="128"/>
      <c r="F77" s="128"/>
      <c r="G77" s="128">
        <v>0</v>
      </c>
      <c r="H77" s="128">
        <v>0</v>
      </c>
      <c r="I77" s="158">
        <v>0</v>
      </c>
      <c r="J77" s="128">
        <v>0</v>
      </c>
      <c r="K77" s="128">
        <v>0</v>
      </c>
      <c r="L77" s="128">
        <v>0</v>
      </c>
      <c r="M77" s="153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7" t="s">
        <v>157</v>
      </c>
      <c r="D78" s="126"/>
      <c r="E78" s="128"/>
      <c r="F78" s="128"/>
      <c r="G78" s="128">
        <v>0</v>
      </c>
      <c r="H78" s="128">
        <v>0</v>
      </c>
      <c r="I78" s="158">
        <v>0</v>
      </c>
      <c r="J78" s="128">
        <v>0</v>
      </c>
      <c r="K78" s="128">
        <v>0</v>
      </c>
      <c r="L78" s="128">
        <v>0</v>
      </c>
      <c r="M78" s="153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2"/>
      <c r="D79" s="50"/>
      <c r="E79" s="50"/>
      <c r="F79" s="50"/>
      <c r="G79" s="50"/>
      <c r="H79" s="50"/>
      <c r="I79" s="153"/>
      <c r="J79" s="50"/>
      <c r="K79" s="50"/>
      <c r="L79" s="50"/>
      <c r="M79" s="153">
        <f t="shared" si="81"/>
        <v>0</v>
      </c>
      <c r="N79" s="39">
        <f t="shared" si="18"/>
        <v>0</v>
      </c>
      <c r="O79" s="49">
        <f t="shared" si="1"/>
        <v>331.63</v>
      </c>
      <c r="P79" s="73">
        <f t="shared" si="82"/>
        <v>0</v>
      </c>
      <c r="Q79" s="40">
        <f t="shared" si="83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84"/>
        <v>#VALUE!</v>
      </c>
      <c r="V79" s="54" t="e">
        <f t="shared" si="85"/>
        <v>#VALUE!</v>
      </c>
      <c r="W79" s="55">
        <f t="shared" si="86"/>
        <v>0</v>
      </c>
      <c r="X79" s="55">
        <f t="shared" si="87"/>
        <v>0</v>
      </c>
      <c r="Y79" s="56" t="e">
        <f t="shared" si="88"/>
        <v>#VALUE!</v>
      </c>
    </row>
    <row r="80" spans="1:25" x14ac:dyDescent="0.35">
      <c r="A80" s="78"/>
      <c r="B80" s="188" t="s">
        <v>11</v>
      </c>
      <c r="C80" s="189"/>
      <c r="D80" s="88">
        <f t="shared" ref="D80:L80" si="89">SUM(D6:D60)</f>
        <v>1320</v>
      </c>
      <c r="E80" s="88">
        <f t="shared" si="89"/>
        <v>0</v>
      </c>
      <c r="F80" s="88">
        <f t="shared" si="89"/>
        <v>0</v>
      </c>
      <c r="G80" s="88">
        <f t="shared" si="89"/>
        <v>7140</v>
      </c>
      <c r="H80" s="88">
        <f t="shared" si="89"/>
        <v>7657</v>
      </c>
      <c r="I80" s="88">
        <f t="shared" si="89"/>
        <v>10657</v>
      </c>
      <c r="J80" s="88">
        <f t="shared" si="89"/>
        <v>11297</v>
      </c>
      <c r="K80" s="88">
        <f t="shared" si="89"/>
        <v>9684</v>
      </c>
      <c r="L80" s="88">
        <f t="shared" si="89"/>
        <v>13219</v>
      </c>
      <c r="M80" s="48">
        <f t="shared" ref="M80:M83" si="90">SUM(D80:L80)/40</f>
        <v>1524.35</v>
      </c>
      <c r="N80" s="39">
        <f t="shared" si="18"/>
        <v>0</v>
      </c>
      <c r="O80" s="49">
        <f t="shared" si="1"/>
        <v>331.63</v>
      </c>
      <c r="P80" s="73">
        <f t="shared" ref="P80:P84" si="91">SUM(G80:I80)/20</f>
        <v>1272.7</v>
      </c>
      <c r="Q80" s="40">
        <f t="shared" ref="Q80:Q84" si="92">SUM(J80:L80)/20</f>
        <v>1710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19"/>
        <v>#VALUE!</v>
      </c>
      <c r="V80" s="54" t="e">
        <f t="shared" ref="V80:V84" si="93">SUM(D80:F80)*$V$3</f>
        <v>#VALUE!</v>
      </c>
      <c r="W80" s="55">
        <f t="shared" ref="W80:W84" si="94">SUM(G80:I80)*$W$3</f>
        <v>0</v>
      </c>
      <c r="X80" s="55">
        <f t="shared" ref="X80:X84" si="95">SUM(J80:L80)*$X$3</f>
        <v>0</v>
      </c>
      <c r="Y80" s="56" t="e">
        <f t="shared" si="44"/>
        <v>#VALUE!</v>
      </c>
    </row>
    <row r="81" spans="1:25" x14ac:dyDescent="0.35">
      <c r="A81" s="78"/>
      <c r="B81" s="118">
        <v>0</v>
      </c>
      <c r="C81" s="57" t="s">
        <v>91</v>
      </c>
      <c r="D81" s="119">
        <v>1600</v>
      </c>
      <c r="E81" s="120"/>
      <c r="F81" s="121"/>
      <c r="G81" s="120"/>
      <c r="H81" s="120"/>
      <c r="I81" s="121"/>
      <c r="J81" s="120">
        <v>520</v>
      </c>
      <c r="K81" s="120">
        <v>920</v>
      </c>
      <c r="L81" s="121">
        <v>960</v>
      </c>
      <c r="M81" s="122">
        <f>SUM(D81:L81)</f>
        <v>4000</v>
      </c>
      <c r="N81" s="39"/>
      <c r="O81" s="49"/>
      <c r="P81" s="73"/>
      <c r="Q81" s="40"/>
      <c r="R81" s="51"/>
      <c r="S81" s="52"/>
      <c r="T81" s="52"/>
      <c r="U81" s="53"/>
      <c r="V81" s="54"/>
      <c r="W81" s="55"/>
      <c r="X81" s="55"/>
      <c r="Y81" s="56"/>
    </row>
    <row r="82" spans="1:25" x14ac:dyDescent="0.35">
      <c r="A82" s="78"/>
      <c r="B82" s="47">
        <v>1</v>
      </c>
      <c r="C82" s="57" t="s">
        <v>34</v>
      </c>
      <c r="D82" s="74"/>
      <c r="E82" s="75"/>
      <c r="F82" s="76"/>
      <c r="G82" s="50">
        <f>280+1600</f>
        <v>1880</v>
      </c>
      <c r="H82" s="75">
        <f>0+600</f>
        <v>600</v>
      </c>
      <c r="I82" s="49">
        <f>320+1800</f>
        <v>2120</v>
      </c>
      <c r="J82" s="50">
        <f>600+2800</f>
        <v>3400</v>
      </c>
      <c r="K82" s="75">
        <f>600+2400</f>
        <v>3000</v>
      </c>
      <c r="L82" s="76">
        <f>2200+2800</f>
        <v>5000</v>
      </c>
      <c r="M82" s="48">
        <f t="shared" si="90"/>
        <v>400</v>
      </c>
      <c r="N82" s="39">
        <f t="shared" si="18"/>
        <v>0</v>
      </c>
      <c r="O82" s="49">
        <f t="shared" si="1"/>
        <v>331.63</v>
      </c>
      <c r="P82" s="73">
        <f t="shared" si="91"/>
        <v>230</v>
      </c>
      <c r="Q82" s="40">
        <f t="shared" si="92"/>
        <v>570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19"/>
        <v>#VALUE!</v>
      </c>
      <c r="V82" s="54" t="e">
        <f t="shared" si="93"/>
        <v>#VALUE!</v>
      </c>
      <c r="W82" s="55">
        <f t="shared" si="94"/>
        <v>0</v>
      </c>
      <c r="X82" s="55">
        <f t="shared" si="95"/>
        <v>0</v>
      </c>
      <c r="Y82" s="56" t="e">
        <f t="shared" si="20"/>
        <v>#VALUE!</v>
      </c>
    </row>
    <row r="83" spans="1:25" x14ac:dyDescent="0.35">
      <c r="B83" s="47">
        <v>2</v>
      </c>
      <c r="C83" s="57" t="s">
        <v>27</v>
      </c>
      <c r="D83" s="74">
        <v>1400</v>
      </c>
      <c r="E83" s="75"/>
      <c r="F83" s="76"/>
      <c r="G83" s="50">
        <v>400</v>
      </c>
      <c r="H83" s="75">
        <v>400</v>
      </c>
      <c r="I83" s="49">
        <v>0</v>
      </c>
      <c r="J83" s="50">
        <v>400</v>
      </c>
      <c r="K83" s="75">
        <v>400</v>
      </c>
      <c r="L83" s="76">
        <v>600</v>
      </c>
      <c r="M83" s="48">
        <f t="shared" si="90"/>
        <v>90</v>
      </c>
      <c r="N83" s="39">
        <f t="shared" si="18"/>
        <v>0</v>
      </c>
      <c r="O83" s="49">
        <f t="shared" si="1"/>
        <v>331.63</v>
      </c>
      <c r="P83" s="73">
        <f t="shared" si="91"/>
        <v>40</v>
      </c>
      <c r="Q83" s="40">
        <f t="shared" si="92"/>
        <v>70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19"/>
        <v>#VALUE!</v>
      </c>
      <c r="V83" s="54" t="e">
        <f t="shared" si="93"/>
        <v>#VALUE!</v>
      </c>
      <c r="W83" s="55">
        <f t="shared" si="94"/>
        <v>0</v>
      </c>
      <c r="X83" s="55">
        <f t="shared" si="95"/>
        <v>0</v>
      </c>
      <c r="Y83" s="56" t="e">
        <f t="shared" si="20"/>
        <v>#VALUE!</v>
      </c>
    </row>
    <row r="84" spans="1:25" ht="15" thickBot="1" x14ac:dyDescent="0.4">
      <c r="B84" s="176" t="s">
        <v>93</v>
      </c>
      <c r="C84" s="177"/>
      <c r="D84" s="87">
        <f>SUM(D82:D83)</f>
        <v>1400</v>
      </c>
      <c r="E84" s="87">
        <f t="shared" ref="E84:L84" si="96">SUM(E82:E83)</f>
        <v>0</v>
      </c>
      <c r="F84" s="87">
        <f t="shared" si="96"/>
        <v>0</v>
      </c>
      <c r="G84" s="87">
        <f t="shared" si="96"/>
        <v>2280</v>
      </c>
      <c r="H84" s="87">
        <f t="shared" si="96"/>
        <v>1000</v>
      </c>
      <c r="I84" s="87">
        <f t="shared" si="96"/>
        <v>2120</v>
      </c>
      <c r="J84" s="87">
        <f t="shared" si="96"/>
        <v>3800</v>
      </c>
      <c r="K84" s="87">
        <f t="shared" si="96"/>
        <v>3400</v>
      </c>
      <c r="L84" s="87">
        <f t="shared" si="96"/>
        <v>5600</v>
      </c>
      <c r="M84" s="123">
        <f>SUM(M81:M83)</f>
        <v>4490</v>
      </c>
      <c r="N84" s="59">
        <f t="shared" si="18"/>
        <v>0</v>
      </c>
      <c r="O84" s="58">
        <f t="shared" si="1"/>
        <v>331.63</v>
      </c>
      <c r="P84" s="73">
        <f t="shared" si="91"/>
        <v>270</v>
      </c>
      <c r="Q84" s="40">
        <f t="shared" si="92"/>
        <v>640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19"/>
        <v>#VALUE!</v>
      </c>
      <c r="V84" s="54" t="e">
        <f t="shared" si="93"/>
        <v>#VALUE!</v>
      </c>
      <c r="W84" s="55">
        <f t="shared" si="94"/>
        <v>0</v>
      </c>
      <c r="X84" s="55">
        <f t="shared" si="95"/>
        <v>0</v>
      </c>
      <c r="Y84" s="56" t="e">
        <f t="shared" si="20"/>
        <v>#VALUE!</v>
      </c>
    </row>
    <row r="85" spans="1:25" ht="15" thickBot="1" x14ac:dyDescent="0.4">
      <c r="B85" s="165" t="s">
        <v>11</v>
      </c>
      <c r="C85" s="166"/>
      <c r="D85" s="89">
        <f>SUM(D80,D84)</f>
        <v>2720</v>
      </c>
      <c r="E85" s="89">
        <f t="shared" ref="E85:L85" si="97">SUM(E80,E84)</f>
        <v>0</v>
      </c>
      <c r="F85" s="89">
        <f t="shared" si="97"/>
        <v>0</v>
      </c>
      <c r="G85" s="89">
        <f t="shared" si="97"/>
        <v>9420</v>
      </c>
      <c r="H85" s="89">
        <f t="shared" si="97"/>
        <v>8657</v>
      </c>
      <c r="I85" s="89">
        <f t="shared" si="97"/>
        <v>12777</v>
      </c>
      <c r="J85" s="89">
        <f t="shared" si="97"/>
        <v>15097</v>
      </c>
      <c r="K85" s="89">
        <f t="shared" si="97"/>
        <v>13084</v>
      </c>
      <c r="L85" s="89">
        <f t="shared" si="97"/>
        <v>18819</v>
      </c>
      <c r="M85" s="60">
        <f t="shared" si="0"/>
        <v>2014.35</v>
      </c>
      <c r="N85" s="63">
        <f>SUM(N5:N84)</f>
        <v>0</v>
      </c>
      <c r="O85" s="61">
        <f t="shared" ref="O85:Y85" si="98">SUM(O5:O84)</f>
        <v>26198.770000000011</v>
      </c>
      <c r="P85" s="62">
        <f t="shared" si="98"/>
        <v>3461.95</v>
      </c>
      <c r="Q85" s="64">
        <f t="shared" si="98"/>
        <v>5539.1</v>
      </c>
      <c r="R85" s="65" t="e">
        <f t="shared" si="98"/>
        <v>#VALUE!</v>
      </c>
      <c r="S85" s="66">
        <f t="shared" si="98"/>
        <v>0</v>
      </c>
      <c r="T85" s="66">
        <f t="shared" si="98"/>
        <v>0</v>
      </c>
      <c r="U85" s="67" t="e">
        <f t="shared" si="98"/>
        <v>#VALUE!</v>
      </c>
      <c r="V85" s="68" t="e">
        <f t="shared" si="98"/>
        <v>#VALUE!</v>
      </c>
      <c r="W85" s="69">
        <f t="shared" si="98"/>
        <v>0</v>
      </c>
      <c r="X85" s="69">
        <f t="shared" si="98"/>
        <v>0</v>
      </c>
      <c r="Y85" s="70" t="e">
        <f t="shared" si="98"/>
        <v>#VALUE!</v>
      </c>
    </row>
  </sheetData>
  <mergeCells count="11">
    <mergeCell ref="B1:F1"/>
    <mergeCell ref="B2:B4"/>
    <mergeCell ref="R3:U3"/>
    <mergeCell ref="V3:Y3"/>
    <mergeCell ref="B80:C80"/>
    <mergeCell ref="B85:C85"/>
    <mergeCell ref="M2:O2"/>
    <mergeCell ref="P2:Q2"/>
    <mergeCell ref="M3:O3"/>
    <mergeCell ref="A2:A4"/>
    <mergeCell ref="B84:C84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opLeftCell="B1" zoomScale="85" zoomScaleNormal="85" workbookViewId="0">
      <selection activeCell="I10" sqref="I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90" t="s">
        <v>57</v>
      </c>
      <c r="D3" s="191"/>
      <c r="E3" s="191"/>
      <c r="F3" s="191"/>
      <c r="G3" s="192"/>
      <c r="H3" s="194" t="s">
        <v>77</v>
      </c>
      <c r="I3" s="195"/>
      <c r="K3" s="196" t="s">
        <v>81</v>
      </c>
      <c r="L3" s="196"/>
      <c r="M3" s="196"/>
      <c r="N3" s="196"/>
      <c r="O3" s="196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548</v>
      </c>
      <c r="E5" s="79">
        <v>1656</v>
      </c>
      <c r="F5" s="79">
        <v>590</v>
      </c>
      <c r="G5" s="112">
        <f>SUM(D5:F5)</f>
        <v>2794</v>
      </c>
      <c r="H5" s="105">
        <v>10000</v>
      </c>
      <c r="I5" s="106">
        <f>G5-H5</f>
        <v>-7206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21920</v>
      </c>
      <c r="E6" s="115">
        <f>E5*40</f>
        <v>66240</v>
      </c>
      <c r="F6" s="115">
        <f>F5*40</f>
        <v>23600</v>
      </c>
      <c r="G6" s="116">
        <f>SUM(D6:F6)</f>
        <v>111760</v>
      </c>
      <c r="H6" s="107">
        <f>H5*40</f>
        <v>400000</v>
      </c>
      <c r="I6" s="108">
        <f>G6-H6</f>
        <v>-288240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-548</v>
      </c>
      <c r="E9" s="117">
        <f>E8-E5</f>
        <v>-1656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93" t="s">
        <v>73</v>
      </c>
      <c r="D11" s="193"/>
      <c r="F11" s="193" t="s">
        <v>83</v>
      </c>
      <c r="G11" s="193"/>
      <c r="H11" t="s">
        <v>158</v>
      </c>
      <c r="I11">
        <f>D5/20</f>
        <v>27.4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3294.9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131796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8">
        <v>13270</v>
      </c>
      <c r="O17" s="149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9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9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9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9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9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9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0"/>
  <sheetViews>
    <sheetView tabSelected="1" workbookViewId="0">
      <selection activeCell="G13" sqref="G13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15.726562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50" t="s">
        <v>131</v>
      </c>
      <c r="J1" s="150" t="s">
        <v>132</v>
      </c>
      <c r="K1" s="150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81" t="s">
        <v>138</v>
      </c>
      <c r="L2" t="s">
        <v>159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81" t="s">
        <v>138</v>
      </c>
      <c r="L3" t="s">
        <v>159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81" t="s">
        <v>138</v>
      </c>
      <c r="L4" t="s">
        <v>159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81" t="s">
        <v>138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81" t="s">
        <v>138</v>
      </c>
    </row>
    <row r="7" spans="1:12" x14ac:dyDescent="0.35">
      <c r="A7" s="2"/>
      <c r="B7" s="2"/>
      <c r="C7" s="2"/>
      <c r="D7" s="2"/>
      <c r="I7" s="81" t="s">
        <v>133</v>
      </c>
      <c r="J7" s="81">
        <v>72</v>
      </c>
      <c r="K7" s="81" t="s">
        <v>139</v>
      </c>
    </row>
    <row r="8" spans="1:12" x14ac:dyDescent="0.35">
      <c r="A8" s="2"/>
      <c r="B8" s="2"/>
      <c r="C8" s="2"/>
      <c r="D8" s="2"/>
      <c r="I8" s="81" t="s">
        <v>163</v>
      </c>
      <c r="J8" s="81">
        <v>15</v>
      </c>
      <c r="K8" s="81" t="s">
        <v>139</v>
      </c>
    </row>
    <row r="9" spans="1:12" x14ac:dyDescent="0.35">
      <c r="A9" s="2"/>
      <c r="B9" s="2"/>
      <c r="C9" s="2"/>
      <c r="D9" s="2"/>
      <c r="I9" s="81" t="s">
        <v>164</v>
      </c>
      <c r="J9" s="81">
        <v>14</v>
      </c>
      <c r="K9" s="81" t="s">
        <v>139</v>
      </c>
    </row>
    <row r="10" spans="1:12" x14ac:dyDescent="0.35">
      <c r="A10" s="2"/>
      <c r="B10" s="2"/>
      <c r="C10" s="2"/>
      <c r="D10" s="2"/>
      <c r="I10" s="81" t="s">
        <v>133</v>
      </c>
      <c r="J10" s="81">
        <v>24</v>
      </c>
      <c r="K10" s="81" t="s">
        <v>139</v>
      </c>
    </row>
    <row r="11" spans="1:12" x14ac:dyDescent="0.35">
      <c r="A11" s="2"/>
      <c r="B11" s="2"/>
      <c r="C11" s="2"/>
      <c r="D11" s="2"/>
      <c r="I11" s="81"/>
      <c r="J11" s="81"/>
      <c r="K11" s="81"/>
    </row>
    <row r="12" spans="1:12" x14ac:dyDescent="0.35">
      <c r="A12" s="2"/>
      <c r="B12" s="2"/>
      <c r="C12" s="2"/>
      <c r="D12" s="2"/>
      <c r="I12" s="81"/>
      <c r="J12" s="81"/>
      <c r="K12" s="81"/>
    </row>
    <row r="13" spans="1:12" x14ac:dyDescent="0.35">
      <c r="A13" s="2"/>
      <c r="B13" s="2"/>
      <c r="C13" s="2"/>
      <c r="D13" s="2"/>
      <c r="I13" s="81"/>
      <c r="J13" s="81"/>
      <c r="K13" s="81"/>
    </row>
    <row r="14" spans="1:12" x14ac:dyDescent="0.35">
      <c r="A14" s="2"/>
      <c r="B14" s="2"/>
      <c r="C14" s="2"/>
      <c r="D14" s="2"/>
      <c r="I14" s="81"/>
      <c r="J14" s="81"/>
      <c r="K14" s="81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2026-06-23T04:50:56Z</dcterms:modified>
</cp:coreProperties>
</file>