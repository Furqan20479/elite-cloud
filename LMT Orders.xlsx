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3B2235F7-9044-41AD-90F6-56053F7D3551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78" i="2" l="1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95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96" i="2" l="1"/>
  <c r="K96" i="2"/>
  <c r="J96" i="2"/>
  <c r="I96" i="2"/>
  <c r="H96" i="2"/>
  <c r="G96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94" i="2" l="1"/>
  <c r="F94" i="2"/>
  <c r="G94" i="2"/>
  <c r="H94" i="2"/>
  <c r="I94" i="2"/>
  <c r="J94" i="2"/>
  <c r="K94" i="2"/>
  <c r="L94" i="2"/>
  <c r="D94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98" i="2"/>
  <c r="E99" i="2" s="1"/>
  <c r="F98" i="2"/>
  <c r="F99" i="2" s="1"/>
  <c r="G98" i="2"/>
  <c r="H98" i="2"/>
  <c r="I98" i="2"/>
  <c r="J98" i="2"/>
  <c r="K98" i="2"/>
  <c r="L98" i="2"/>
  <c r="D98" i="2"/>
  <c r="M96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99" i="2"/>
  <c r="H99" i="2"/>
  <c r="I99" i="2"/>
  <c r="D99" i="2"/>
  <c r="J99" i="2"/>
  <c r="L99" i="2"/>
  <c r="K99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94" i="2"/>
  <c r="Q94" i="2"/>
  <c r="R94" i="2"/>
  <c r="U94" i="2" s="1"/>
  <c r="S94" i="2"/>
  <c r="T94" i="2"/>
  <c r="V94" i="2"/>
  <c r="Y94" i="2" s="1"/>
  <c r="W94" i="2"/>
  <c r="X94" i="2"/>
  <c r="P96" i="2"/>
  <c r="Q96" i="2"/>
  <c r="R96" i="2"/>
  <c r="U96" i="2" s="1"/>
  <c r="S96" i="2"/>
  <c r="T96" i="2"/>
  <c r="V96" i="2"/>
  <c r="Y96" i="2" s="1"/>
  <c r="W96" i="2"/>
  <c r="X96" i="2"/>
  <c r="P97" i="2"/>
  <c r="Q97" i="2"/>
  <c r="R97" i="2"/>
  <c r="U97" i="2" s="1"/>
  <c r="S97" i="2"/>
  <c r="T97" i="2"/>
  <c r="V97" i="2"/>
  <c r="Y97" i="2" s="1"/>
  <c r="W97" i="2"/>
  <c r="X97" i="2"/>
  <c r="P98" i="2"/>
  <c r="Q98" i="2"/>
  <c r="R98" i="2"/>
  <c r="U98" i="2" s="1"/>
  <c r="S98" i="2"/>
  <c r="T98" i="2"/>
  <c r="V98" i="2"/>
  <c r="Y98" i="2" s="1"/>
  <c r="W98" i="2"/>
  <c r="X98" i="2"/>
  <c r="M13" i="2"/>
  <c r="N13" i="2"/>
  <c r="O13" i="2"/>
  <c r="M14" i="2"/>
  <c r="N14" i="2"/>
  <c r="O14" i="2"/>
  <c r="M15" i="2"/>
  <c r="N15" i="2"/>
  <c r="O15" i="2"/>
  <c r="M94" i="2"/>
  <c r="N94" i="2"/>
  <c r="O94" i="2"/>
  <c r="N96" i="2"/>
  <c r="O96" i="2"/>
  <c r="M97" i="2"/>
  <c r="M98" i="2" s="1"/>
  <c r="N97" i="2"/>
  <c r="O97" i="2"/>
  <c r="O98" i="2" l="1"/>
  <c r="N98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99" i="2" s="1"/>
  <c r="T5" i="2"/>
  <c r="S5" i="2"/>
  <c r="R5" i="2"/>
  <c r="U5" i="2" s="1"/>
  <c r="U99" i="2" s="1"/>
  <c r="Q5" i="2"/>
  <c r="P5" i="2"/>
  <c r="O5" i="2"/>
  <c r="N5" i="2"/>
  <c r="M5" i="2"/>
  <c r="M99" i="2" l="1"/>
  <c r="P99" i="2"/>
  <c r="X99" i="2"/>
  <c r="R99" i="2"/>
  <c r="T99" i="2"/>
  <c r="Q99" i="2"/>
  <c r="Y5" i="2"/>
  <c r="Y99" i="2" s="1"/>
  <c r="O99" i="2"/>
  <c r="S99" i="2"/>
  <c r="W99" i="2"/>
  <c r="N99" i="2"/>
</calcChain>
</file>

<file path=xl/sharedStrings.xml><?xml version="1.0" encoding="utf-8"?>
<sst xmlns="http://schemas.openxmlformats.org/spreadsheetml/2006/main" count="241" uniqueCount="180">
  <si>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</si>
  <si>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</si>
  <si>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</si>
  <si>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</si>
  <si>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</si>
  <si>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</si>
  <si>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</si>
  <si>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</si>
  <si>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</si>
  <si>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</si>
  <si>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</si>
  <si>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</si>
  <si>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</si>
  <si>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</si>
  <si>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</si>
  <si>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</si>
  <si>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</si>
  <si>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</si>
  <si>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</si>
  <si>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</si>
  <si>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</si>
  <si>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</si>
  <si>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</si>
  <si>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</si>
  <si>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</si>
  <si>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</si>
  <si>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</si>
  <si>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</si>
  <si>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</si>
  <si>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</si>
  <si>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</si>
  <si>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</si>
  <si>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</si>
  <si>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</si>
  <si>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</si>
  <si>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</si>
  <si>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</si>
  <si>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</si>
  <si>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</si>
  <si>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</si>
  <si>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</si>
  <si>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</si>
  <si>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</si>
  <si>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</si>
  <si>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</si>
  <si>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</si>
  <si>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</si>
  <si>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</si>
  <si>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</si>
  <si>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</si>
  <si>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</si>
  <si>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</si>
  <si>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</si>
  <si>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</si>
  <si>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</si>
  <si>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</si>
  <si>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</si>
  <si>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</si>
  <si>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</si>
  <si>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</si>
  <si>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</si>
  <si>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</si>
  <si>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</si>
  <si>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</si>
  <si>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</si>
  <si>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</si>
  <si>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</si>
  <si>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</si>
  <si>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</si>
  <si>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</si>
  <si>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</si>
  <si>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</si>
  <si>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</si>
  <si>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</si>
  <si>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</si>
  <si>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</si>
  <si>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</si>
  <si>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</si>
  <si>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</si>
  <si>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</si>
  <si>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</si>
  <si>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</si>
  <si>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</si>
  <si>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</si>
  <si>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</si>
  <si>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</si>
  <si>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</si>
  <si>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</si>
  <si>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</si>
  <si>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</si>
  <si>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</si>
  <si>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</si>
  <si>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</si>
  <si>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</si>
  <si>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</si>
  <si>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</si>
  <si>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</si>
  <si>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</si>
  <si>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</si>
  <si>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</si>
  <si>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</si>
  <si>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</si>
  <si>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</si>
  <si>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</si>
  <si>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</si>
  <si>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</si>
  <si>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</si>
  <si>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</si>
  <si>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</si>
  <si>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</si>
  <si>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</si>
  <si>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</si>
  <si>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</si>
  <si>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</si>
  <si>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</si>
  <si>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</si>
  <si>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</si>
  <si>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</si>
  <si>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</si>
  <si>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</si>
  <si>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</si>
  <si>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</si>
  <si>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</si>
  <si>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</si>
  <si>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</si>
  <si>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</si>
  <si>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</si>
  <si>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</si>
  <si>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</si>
  <si>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</si>
  <si>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</si>
  <si>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</si>
  <si>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</si>
  <si>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</si>
  <si>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</si>
  <si>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</si>
  <si>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</si>
  <si>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</si>
  <si>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On The Way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</si>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</sst>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160</v>
      </c>
      <c r="C24" s="155" t="s">
        <v>161</v>
      </c>
      <c r="D24" s="155"/>
      <c r="E24" s="155" t="s">
        <v>162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"/>
  <sheetViews>
    <sheetView topLeftCell="A73" zoomScaleNormal="100" workbookViewId="0">
      <selection activeCell="C84" sqref="C8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3">
        <v>46186</v>
      </c>
      <c r="C1" s="173"/>
      <c r="D1" s="173"/>
      <c r="E1" s="173"/>
      <c r="F1" s="17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0" t="s">
        <v>38</v>
      </c>
      <c r="B2" s="17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2"/>
      <c r="N2" s="163"/>
      <c r="O2" s="164"/>
      <c r="P2" s="165" t="s">
        <v>14</v>
      </c>
      <c r="Q2" s="166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0"/>
      <c r="B3" s="17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7" t="s">
        <v>11</v>
      </c>
      <c r="N3" s="168"/>
      <c r="O3" s="169"/>
      <c r="P3" s="71"/>
      <c r="Q3" s="72"/>
      <c r="R3" s="177" t="s">
        <v>16</v>
      </c>
      <c r="S3" s="178"/>
      <c r="T3" s="178"/>
      <c r="U3" s="179"/>
      <c r="V3" s="180" t="s">
        <v>17</v>
      </c>
      <c r="W3" s="181"/>
      <c r="X3" s="181"/>
      <c r="Y3" s="182"/>
    </row>
    <row r="4" spans="1:25" ht="15" thickBot="1" x14ac:dyDescent="0.4">
      <c r="A4" s="170"/>
      <c r="B4" s="17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99" si="0">SUM(D6:L6)/40</f>
        <v>140</v>
      </c>
      <c r="N6" s="39">
        <f>SUMPRODUCT($D$4:$L$4,$D$6:$L$6)</f>
        <v>0</v>
      </c>
      <c r="O6" s="49">
        <f t="shared" ref="O6:O98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98" si="4">SUMPRODUCT($D$4:$F$4,$D$6:$F$6)*$R$3</f>
        <v>#VALUE!</v>
      </c>
      <c r="S6" s="52">
        <f t="shared" ref="S6:S98" si="5">SUMPRODUCT($G$4:$I$4,$G$6:$I$6)*$S$3</f>
        <v>0</v>
      </c>
      <c r="T6" s="52">
        <f t="shared" ref="T6:T98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98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98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98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94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140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93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93" si="82">SUM(G61:I61)/20</f>
        <v>14</v>
      </c>
      <c r="Q61" s="40">
        <f t="shared" ref="Q61:Q93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93" si="84">SUM(R61:T61)</f>
        <v>#VALUE!</v>
      </c>
      <c r="V61" s="54" t="e">
        <f t="shared" ref="V61:V93" si="85">SUM(D61:F61)*$V$3</f>
        <v>#VALUE!</v>
      </c>
      <c r="W61" s="55">
        <f t="shared" ref="W61:W93" si="86">SUM(G61:I61)*$W$3</f>
        <v>0</v>
      </c>
      <c r="X61" s="55">
        <f t="shared" ref="X61:X93" si="87">SUM(J61:L61)*$X$3</f>
        <v>0</v>
      </c>
      <c r="Y61" s="56" t="e">
        <f t="shared" ref="Y61:Y93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141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142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143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144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145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146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147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148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149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150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151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152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153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154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155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156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157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164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165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0" t="s">
        <v>170</v>
      </c>
      <c r="D81" s="146"/>
      <c r="E81" s="146"/>
      <c r="F81" s="146"/>
      <c r="G81" s="146">
        <v>40</v>
      </c>
      <c r="H81" s="146">
        <v>40</v>
      </c>
      <c r="I81" s="159"/>
      <c r="J81" s="146">
        <v>40</v>
      </c>
      <c r="K81" s="146">
        <v>40</v>
      </c>
      <c r="L81" s="146">
        <v>40</v>
      </c>
      <c r="M81" s="159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0" t="s">
        <v>171</v>
      </c>
      <c r="D82" s="146"/>
      <c r="E82" s="146"/>
      <c r="F82" s="146"/>
      <c r="G82" s="146">
        <v>80</v>
      </c>
      <c r="H82" s="146">
        <v>80</v>
      </c>
      <c r="I82" s="159"/>
      <c r="J82" s="146">
        <v>80</v>
      </c>
      <c r="K82" s="146">
        <v>80</v>
      </c>
      <c r="L82" s="146">
        <v>80</v>
      </c>
      <c r="M82" s="159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0" t="s">
        <v>172</v>
      </c>
      <c r="D83" s="146"/>
      <c r="E83" s="146"/>
      <c r="F83" s="146"/>
      <c r="G83" s="146">
        <v>40</v>
      </c>
      <c r="H83" s="146">
        <v>40</v>
      </c>
      <c r="I83" s="159"/>
      <c r="J83" s="146">
        <v>40</v>
      </c>
      <c r="K83" s="146">
        <v>40</v>
      </c>
      <c r="L83" s="146">
        <v>40</v>
      </c>
      <c r="M83" s="159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/>
      <c r="C84" s="150" t="s">
        <v>173</v>
      </c>
      <c r="D84" s="146"/>
      <c r="E84" s="146"/>
      <c r="F84" s="146"/>
      <c r="G84" s="146">
        <v>80</v>
      </c>
      <c r="H84" s="146">
        <v>80</v>
      </c>
      <c r="I84" s="159"/>
      <c r="J84" s="146">
        <v>80</v>
      </c>
      <c r="K84" s="146">
        <v>80</v>
      </c>
      <c r="L84" s="146">
        <v>80</v>
      </c>
      <c r="M84" s="159">
        <f t="shared" si="81"/>
        <v>10</v>
      </c>
      <c r="N84" s="39"/>
      <c r="O84" s="49"/>
      <c r="P84" s="73"/>
      <c r="Q84" s="40"/>
      <c r="R84" s="51"/>
      <c r="S84" s="52"/>
      <c r="T84" s="52"/>
      <c r="U84" s="53"/>
      <c r="V84" s="54"/>
      <c r="W84" s="55"/>
      <c r="X84" s="55"/>
      <c r="Y84" s="56"/>
    </row>
    <row r="85" spans="1:25" x14ac:dyDescent="0.35">
      <c r="A85" s="78"/>
      <c r="B85" s="47"/>
      <c r="C85" s="150" t="s">
        <v>174</v>
      </c>
      <c r="D85" s="146"/>
      <c r="E85" s="146"/>
      <c r="F85" s="146"/>
      <c r="G85" s="146">
        <v>40</v>
      </c>
      <c r="H85" s="146">
        <v>40</v>
      </c>
      <c r="I85" s="159"/>
      <c r="J85" s="146">
        <v>40</v>
      </c>
      <c r="K85" s="146">
        <v>40</v>
      </c>
      <c r="L85" s="146">
        <v>40</v>
      </c>
      <c r="M85" s="159">
        <f t="shared" si="81"/>
        <v>5</v>
      </c>
      <c r="N85" s="39"/>
      <c r="O85" s="49"/>
      <c r="P85" s="73"/>
      <c r="Q85" s="40"/>
      <c r="R85" s="51"/>
      <c r="S85" s="52"/>
      <c r="T85" s="52"/>
      <c r="U85" s="53"/>
      <c r="V85" s="54"/>
      <c r="W85" s="55"/>
      <c r="X85" s="55"/>
      <c r="Y85" s="56"/>
    </row>
    <row r="86" spans="1:25" x14ac:dyDescent="0.35">
      <c r="A86" s="78"/>
      <c r="B86" s="47"/>
      <c r="C86" s="150" t="s">
        <v>175</v>
      </c>
      <c r="D86" s="146"/>
      <c r="E86" s="146"/>
      <c r="F86" s="146"/>
      <c r="G86" s="146">
        <v>40</v>
      </c>
      <c r="H86" s="146">
        <v>40</v>
      </c>
      <c r="I86" s="159"/>
      <c r="J86" s="146">
        <v>40</v>
      </c>
      <c r="K86" s="146">
        <v>40</v>
      </c>
      <c r="L86" s="146">
        <v>40</v>
      </c>
      <c r="M86" s="159">
        <f t="shared" si="81"/>
        <v>5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/>
      <c r="C87" s="150" t="s">
        <v>176</v>
      </c>
      <c r="D87" s="146"/>
      <c r="E87" s="146"/>
      <c r="F87" s="146"/>
      <c r="G87" s="146">
        <v>40</v>
      </c>
      <c r="H87" s="146">
        <v>40</v>
      </c>
      <c r="I87" s="159"/>
      <c r="J87" s="146">
        <v>40</v>
      </c>
      <c r="K87" s="146">
        <v>40</v>
      </c>
      <c r="L87" s="146">
        <v>40</v>
      </c>
      <c r="M87" s="159">
        <f t="shared" si="81"/>
        <v>5</v>
      </c>
      <c r="N87" s="39"/>
      <c r="O87" s="49"/>
      <c r="P87" s="73"/>
      <c r="Q87" s="40"/>
      <c r="R87" s="51"/>
      <c r="S87" s="52"/>
      <c r="T87" s="52"/>
      <c r="U87" s="53"/>
      <c r="V87" s="54"/>
      <c r="W87" s="55"/>
      <c r="X87" s="55"/>
      <c r="Y87" s="56"/>
    </row>
    <row r="88" spans="1:25" x14ac:dyDescent="0.35">
      <c r="A88" s="78"/>
      <c r="B88" s="47"/>
      <c r="C88" s="150" t="s">
        <v>177</v>
      </c>
      <c r="D88" s="146"/>
      <c r="E88" s="146"/>
      <c r="F88" s="146"/>
      <c r="G88" s="146">
        <v>40</v>
      </c>
      <c r="H88" s="146">
        <v>40</v>
      </c>
      <c r="I88" s="159"/>
      <c r="J88" s="146">
        <v>40</v>
      </c>
      <c r="K88" s="146">
        <v>40</v>
      </c>
      <c r="L88" s="146">
        <v>40</v>
      </c>
      <c r="M88" s="159">
        <f t="shared" si="81"/>
        <v>5</v>
      </c>
      <c r="N88" s="39"/>
      <c r="O88" s="49"/>
      <c r="P88" s="73"/>
      <c r="Q88" s="40"/>
      <c r="R88" s="51"/>
      <c r="S88" s="52"/>
      <c r="T88" s="52"/>
      <c r="U88" s="53"/>
      <c r="V88" s="54"/>
      <c r="W88" s="55"/>
      <c r="X88" s="55"/>
      <c r="Y88" s="56"/>
    </row>
    <row r="89" spans="1:25" x14ac:dyDescent="0.35">
      <c r="A89" s="78"/>
      <c r="B89" s="47"/>
      <c r="C89" s="150" t="s">
        <v>178</v>
      </c>
      <c r="D89" s="146"/>
      <c r="E89" s="146"/>
      <c r="F89" s="146"/>
      <c r="G89" s="146">
        <v>40</v>
      </c>
      <c r="H89" s="146">
        <v>40</v>
      </c>
      <c r="I89" s="159"/>
      <c r="J89" s="146">
        <v>40</v>
      </c>
      <c r="K89" s="146">
        <v>40</v>
      </c>
      <c r="L89" s="146">
        <v>40</v>
      </c>
      <c r="M89" s="159">
        <f t="shared" si="81"/>
        <v>5</v>
      </c>
      <c r="N89" s="39"/>
      <c r="O89" s="49"/>
      <c r="P89" s="73"/>
      <c r="Q89" s="40"/>
      <c r="R89" s="51"/>
      <c r="S89" s="52"/>
      <c r="T89" s="52"/>
      <c r="U89" s="53"/>
      <c r="V89" s="54"/>
      <c r="W89" s="55"/>
      <c r="X89" s="55"/>
      <c r="Y89" s="56"/>
    </row>
    <row r="90" spans="1:25" x14ac:dyDescent="0.35">
      <c r="A90" s="78"/>
      <c r="B90" s="47"/>
      <c r="C90" s="150" t="s">
        <v>179</v>
      </c>
      <c r="D90" s="146"/>
      <c r="E90" s="146"/>
      <c r="F90" s="146"/>
      <c r="G90" s="146">
        <v>40</v>
      </c>
      <c r="H90" s="146">
        <v>40</v>
      </c>
      <c r="I90" s="159"/>
      <c r="J90" s="146">
        <v>40</v>
      </c>
      <c r="K90" s="146">
        <v>40</v>
      </c>
      <c r="L90" s="146">
        <v>40</v>
      </c>
      <c r="M90" s="159">
        <f t="shared" si="81"/>
        <v>5</v>
      </c>
      <c r="N90" s="39"/>
      <c r="O90" s="49"/>
      <c r="P90" s="73"/>
      <c r="Q90" s="40"/>
      <c r="R90" s="51"/>
      <c r="S90" s="52"/>
      <c r="T90" s="52"/>
      <c r="U90" s="53"/>
      <c r="V90" s="54"/>
      <c r="W90" s="55"/>
      <c r="X90" s="55"/>
      <c r="Y90" s="56"/>
    </row>
    <row r="91" spans="1:25" x14ac:dyDescent="0.35">
      <c r="A91" s="78"/>
      <c r="B91" s="47"/>
      <c r="C91" s="150" t="s">
        <v>169</v>
      </c>
      <c r="D91" s="146"/>
      <c r="E91" s="146"/>
      <c r="F91" s="146"/>
      <c r="G91" s="146">
        <v>84</v>
      </c>
      <c r="H91" s="146">
        <v>84</v>
      </c>
      <c r="I91" s="159"/>
      <c r="J91" s="146">
        <v>168</v>
      </c>
      <c r="K91" s="146">
        <v>126</v>
      </c>
      <c r="L91" s="146">
        <v>252</v>
      </c>
      <c r="M91" s="159">
        <f t="shared" si="81"/>
        <v>17.850000000000001</v>
      </c>
      <c r="N91" s="39"/>
      <c r="O91" s="49"/>
      <c r="P91" s="73"/>
      <c r="Q91" s="40"/>
      <c r="R91" s="51"/>
      <c r="S91" s="52"/>
      <c r="T91" s="52"/>
      <c r="U91" s="53"/>
      <c r="V91" s="54"/>
      <c r="W91" s="55"/>
      <c r="X91" s="55"/>
      <c r="Y91" s="56"/>
    </row>
    <row r="92" spans="1:25" x14ac:dyDescent="0.35">
      <c r="A92" s="78"/>
      <c r="B92" s="47"/>
      <c r="C92" s="151"/>
      <c r="D92" s="50"/>
      <c r="E92" s="50"/>
      <c r="F92" s="50"/>
      <c r="G92" s="50"/>
      <c r="H92" s="50"/>
      <c r="I92" s="152"/>
      <c r="J92" s="50"/>
      <c r="K92" s="50"/>
      <c r="L92" s="50"/>
      <c r="M92" s="152">
        <f t="shared" si="81"/>
        <v>0</v>
      </c>
      <c r="N92" s="39"/>
      <c r="O92" s="49"/>
      <c r="P92" s="73"/>
      <c r="Q92" s="40"/>
      <c r="R92" s="51"/>
      <c r="S92" s="52"/>
      <c r="T92" s="52"/>
      <c r="U92" s="53"/>
      <c r="V92" s="54"/>
      <c r="W92" s="55"/>
      <c r="X92" s="55"/>
      <c r="Y92" s="56"/>
    </row>
    <row r="93" spans="1:25" x14ac:dyDescent="0.35">
      <c r="A93" s="78"/>
      <c r="B93" s="47">
        <v>80</v>
      </c>
      <c r="C93" s="151"/>
      <c r="D93" s="50"/>
      <c r="E93" s="50"/>
      <c r="F93" s="50"/>
      <c r="G93" s="50"/>
      <c r="H93" s="50"/>
      <c r="I93" s="152"/>
      <c r="J93" s="50"/>
      <c r="K93" s="50"/>
      <c r="L93" s="50"/>
      <c r="M93" s="152">
        <f t="shared" si="81"/>
        <v>0</v>
      </c>
      <c r="N93" s="39">
        <f t="shared" si="18"/>
        <v>0</v>
      </c>
      <c r="O93" s="49">
        <f t="shared" si="1"/>
        <v>331.63</v>
      </c>
      <c r="P93" s="73">
        <f t="shared" si="82"/>
        <v>0</v>
      </c>
      <c r="Q93" s="40">
        <f t="shared" si="83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84"/>
        <v>#VALUE!</v>
      </c>
      <c r="V93" s="54" t="e">
        <f t="shared" si="85"/>
        <v>#VALUE!</v>
      </c>
      <c r="W93" s="55">
        <f t="shared" si="86"/>
        <v>0</v>
      </c>
      <c r="X93" s="55">
        <f t="shared" si="87"/>
        <v>0</v>
      </c>
      <c r="Y93" s="56" t="e">
        <f t="shared" si="88"/>
        <v>#VALUE!</v>
      </c>
    </row>
    <row r="94" spans="1:25" x14ac:dyDescent="0.35">
      <c r="A94" s="78"/>
      <c r="B94" s="183" t="s">
        <v>11</v>
      </c>
      <c r="C94" s="184"/>
      <c r="D94" s="88">
        <f t="shared" ref="D94:L94" si="96">SUM(D6:D60)</f>
        <v>1320</v>
      </c>
      <c r="E94" s="88">
        <f t="shared" si="96"/>
        <v>0</v>
      </c>
      <c r="F94" s="88">
        <f t="shared" si="96"/>
        <v>0</v>
      </c>
      <c r="G94" s="88">
        <f t="shared" si="96"/>
        <v>7140</v>
      </c>
      <c r="H94" s="88">
        <f t="shared" si="96"/>
        <v>7657</v>
      </c>
      <c r="I94" s="88">
        <f t="shared" si="96"/>
        <v>10657</v>
      </c>
      <c r="J94" s="88">
        <f t="shared" si="96"/>
        <v>11297</v>
      </c>
      <c r="K94" s="88">
        <f t="shared" si="96"/>
        <v>9684</v>
      </c>
      <c r="L94" s="88">
        <f t="shared" si="96"/>
        <v>13219</v>
      </c>
      <c r="M94" s="48">
        <f t="shared" ref="M94:M97" si="97">SUM(D94:L94)/40</f>
        <v>1524.35</v>
      </c>
      <c r="N94" s="39">
        <f t="shared" si="18"/>
        <v>0</v>
      </c>
      <c r="O94" s="49">
        <f t="shared" si="1"/>
        <v>331.63</v>
      </c>
      <c r="P94" s="73">
        <f t="shared" ref="P94:P98" si="98">SUM(G94:I94)/20</f>
        <v>1272.7</v>
      </c>
      <c r="Q94" s="40">
        <f t="shared" ref="Q94:Q98" si="99">SUM(J94:L94)/20</f>
        <v>1710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9"/>
        <v>#VALUE!</v>
      </c>
      <c r="V94" s="54" t="e">
        <f t="shared" ref="V94:V98" si="100">SUM(D94:F94)*$V$3</f>
        <v>#VALUE!</v>
      </c>
      <c r="W94" s="55">
        <f t="shared" ref="W94:W98" si="101">SUM(G94:I94)*$W$3</f>
        <v>0</v>
      </c>
      <c r="X94" s="55">
        <f t="shared" ref="X94:X98" si="102">SUM(J94:L94)*$X$3</f>
        <v>0</v>
      </c>
      <c r="Y94" s="56" t="e">
        <f t="shared" si="44"/>
        <v>#VALUE!</v>
      </c>
    </row>
    <row r="95" spans="1:25" x14ac:dyDescent="0.35">
      <c r="A95" s="78"/>
      <c r="B95" s="118">
        <v>0</v>
      </c>
      <c r="C95" s="57" t="s">
        <v>91</v>
      </c>
      <c r="D95" s="119">
        <v>1600</v>
      </c>
      <c r="E95" s="120"/>
      <c r="F95" s="121"/>
      <c r="G95" s="120"/>
      <c r="H95" s="120"/>
      <c r="I95" s="121"/>
      <c r="J95" s="120">
        <v>520</v>
      </c>
      <c r="K95" s="120">
        <v>920</v>
      </c>
      <c r="L95" s="121">
        <v>960</v>
      </c>
      <c r="M95" s="122">
        <f>SUM(D95:L95)</f>
        <v>4000</v>
      </c>
      <c r="N95" s="39"/>
      <c r="O95" s="49"/>
      <c r="P95" s="73"/>
      <c r="Q95" s="40"/>
      <c r="R95" s="51"/>
      <c r="S95" s="52"/>
      <c r="T95" s="52"/>
      <c r="U95" s="53"/>
      <c r="V95" s="54"/>
      <c r="W95" s="55"/>
      <c r="X95" s="55"/>
      <c r="Y95" s="56"/>
    </row>
    <row r="96" spans="1:25" x14ac:dyDescent="0.35">
      <c r="A96" s="78"/>
      <c r="B96" s="47">
        <v>1</v>
      </c>
      <c r="C96" s="57" t="s">
        <v>34</v>
      </c>
      <c r="D96" s="74"/>
      <c r="E96" s="75"/>
      <c r="F96" s="76"/>
      <c r="G96" s="50">
        <f>280+1600</f>
        <v>1880</v>
      </c>
      <c r="H96" s="75">
        <f>0+600</f>
        <v>600</v>
      </c>
      <c r="I96" s="49">
        <f>320+1800</f>
        <v>2120</v>
      </c>
      <c r="J96" s="50">
        <f>600+2800</f>
        <v>3400</v>
      </c>
      <c r="K96" s="75">
        <f>600+2400</f>
        <v>3000</v>
      </c>
      <c r="L96" s="76">
        <f>2200+2800</f>
        <v>5000</v>
      </c>
      <c r="M96" s="48">
        <f t="shared" si="97"/>
        <v>400</v>
      </c>
      <c r="N96" s="39">
        <f t="shared" si="18"/>
        <v>0</v>
      </c>
      <c r="O96" s="49">
        <f t="shared" si="1"/>
        <v>331.63</v>
      </c>
      <c r="P96" s="73">
        <f t="shared" si="98"/>
        <v>230</v>
      </c>
      <c r="Q96" s="40">
        <f t="shared" si="99"/>
        <v>570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20"/>
        <v>#VALUE!</v>
      </c>
    </row>
    <row r="97" spans="2:25" x14ac:dyDescent="0.35">
      <c r="B97" s="47">
        <v>2</v>
      </c>
      <c r="C97" s="57" t="s">
        <v>27</v>
      </c>
      <c r="D97" s="74">
        <v>1400</v>
      </c>
      <c r="E97" s="75"/>
      <c r="F97" s="76"/>
      <c r="G97" s="50">
        <v>400</v>
      </c>
      <c r="H97" s="75">
        <v>400</v>
      </c>
      <c r="I97" s="49">
        <v>0</v>
      </c>
      <c r="J97" s="50">
        <v>400</v>
      </c>
      <c r="K97" s="75">
        <v>400</v>
      </c>
      <c r="L97" s="76">
        <v>600</v>
      </c>
      <c r="M97" s="48">
        <f t="shared" si="97"/>
        <v>90</v>
      </c>
      <c r="N97" s="39">
        <f t="shared" si="18"/>
        <v>0</v>
      </c>
      <c r="O97" s="49">
        <f t="shared" si="1"/>
        <v>331.63</v>
      </c>
      <c r="P97" s="73">
        <f t="shared" si="98"/>
        <v>40</v>
      </c>
      <c r="Q97" s="40">
        <f t="shared" si="99"/>
        <v>70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20"/>
        <v>#VALUE!</v>
      </c>
    </row>
    <row r="98" spans="2:25" ht="15" thickBot="1" x14ac:dyDescent="0.4">
      <c r="B98" s="171" t="s">
        <v>93</v>
      </c>
      <c r="C98" s="172"/>
      <c r="D98" s="87">
        <f>SUM(D96:D97)</f>
        <v>1400</v>
      </c>
      <c r="E98" s="87">
        <f t="shared" ref="E98:L98" si="103">SUM(E96:E97)</f>
        <v>0</v>
      </c>
      <c r="F98" s="87">
        <f t="shared" si="103"/>
        <v>0</v>
      </c>
      <c r="G98" s="87">
        <f t="shared" si="103"/>
        <v>2280</v>
      </c>
      <c r="H98" s="87">
        <f t="shared" si="103"/>
        <v>1000</v>
      </c>
      <c r="I98" s="87">
        <f t="shared" si="103"/>
        <v>2120</v>
      </c>
      <c r="J98" s="87">
        <f t="shared" si="103"/>
        <v>3800</v>
      </c>
      <c r="K98" s="87">
        <f t="shared" si="103"/>
        <v>3400</v>
      </c>
      <c r="L98" s="87">
        <f t="shared" si="103"/>
        <v>5600</v>
      </c>
      <c r="M98" s="123">
        <f>SUM(M95:M97)</f>
        <v>4490</v>
      </c>
      <c r="N98" s="59">
        <f t="shared" si="18"/>
        <v>0</v>
      </c>
      <c r="O98" s="58">
        <f t="shared" si="1"/>
        <v>331.63</v>
      </c>
      <c r="P98" s="73">
        <f t="shared" si="98"/>
        <v>270</v>
      </c>
      <c r="Q98" s="40">
        <f t="shared" si="99"/>
        <v>640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20"/>
        <v>#VALUE!</v>
      </c>
    </row>
    <row r="99" spans="2:25" ht="15" thickBot="1" x14ac:dyDescent="0.4">
      <c r="B99" s="160" t="s">
        <v>11</v>
      </c>
      <c r="C99" s="161"/>
      <c r="D99" s="89">
        <f>SUM(D94,D98)</f>
        <v>2720</v>
      </c>
      <c r="E99" s="89">
        <f t="shared" ref="E99:L99" si="104">SUM(E94,E98)</f>
        <v>0</v>
      </c>
      <c r="F99" s="89">
        <f t="shared" si="104"/>
        <v>0</v>
      </c>
      <c r="G99" s="89">
        <f t="shared" si="104"/>
        <v>9420</v>
      </c>
      <c r="H99" s="89">
        <f t="shared" si="104"/>
        <v>8657</v>
      </c>
      <c r="I99" s="89">
        <f t="shared" si="104"/>
        <v>12777</v>
      </c>
      <c r="J99" s="89">
        <f t="shared" si="104"/>
        <v>15097</v>
      </c>
      <c r="K99" s="89">
        <f t="shared" si="104"/>
        <v>13084</v>
      </c>
      <c r="L99" s="89">
        <f t="shared" si="104"/>
        <v>18819</v>
      </c>
      <c r="M99" s="60">
        <f t="shared" si="0"/>
        <v>2014.35</v>
      </c>
      <c r="N99" s="63">
        <f>SUM(N5:N98)</f>
        <v>0</v>
      </c>
      <c r="O99" s="61">
        <f t="shared" ref="O99:Y99" si="105">SUM(O5:O98)</f>
        <v>27856.920000000016</v>
      </c>
      <c r="P99" s="62">
        <f t="shared" si="105"/>
        <v>3538.7</v>
      </c>
      <c r="Q99" s="64">
        <f t="shared" si="105"/>
        <v>5635.95</v>
      </c>
      <c r="R99" s="65" t="e">
        <f t="shared" si="105"/>
        <v>#VALUE!</v>
      </c>
      <c r="S99" s="66">
        <f t="shared" si="105"/>
        <v>0</v>
      </c>
      <c r="T99" s="66">
        <f t="shared" si="105"/>
        <v>0</v>
      </c>
      <c r="U99" s="67" t="e">
        <f t="shared" si="105"/>
        <v>#VALUE!</v>
      </c>
      <c r="V99" s="68" t="e">
        <f t="shared" si="105"/>
        <v>#VALUE!</v>
      </c>
      <c r="W99" s="69">
        <f t="shared" si="105"/>
        <v>0</v>
      </c>
      <c r="X99" s="69">
        <f t="shared" si="105"/>
        <v>0</v>
      </c>
      <c r="Y99" s="70" t="e">
        <f t="shared" si="105"/>
        <v>#VALUE!</v>
      </c>
    </row>
  </sheetData>
  <mergeCells count="11">
    <mergeCell ref="B1:F1"/>
    <mergeCell ref="B2:B4"/>
    <mergeCell ref="R3:U3"/>
    <mergeCell ref="V3:Y3"/>
    <mergeCell ref="B94:C94"/>
    <mergeCell ref="B99:C99"/>
    <mergeCell ref="M2:O2"/>
    <mergeCell ref="P2:Q2"/>
    <mergeCell ref="M3:O3"/>
    <mergeCell ref="A2:A4"/>
    <mergeCell ref="B98:C98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abSelected="1" topLeftCell="B1" zoomScale="85" zoomScaleNormal="85" workbookViewId="0">
      <selection activeCell="H7" sqref="H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85" t="s">
        <v>57</v>
      </c>
      <c r="D3" s="186"/>
      <c r="E3" s="186"/>
      <c r="F3" s="186"/>
      <c r="G3" s="187"/>
      <c r="H3" s="189" t="s">
        <v>77</v>
      </c>
      <c r="I3" s="190"/>
      <c r="K3" s="191" t="s">
        <v>81</v>
      </c>
      <c r="L3" s="191"/>
      <c r="M3" s="191"/>
      <c r="N3" s="191"/>
      <c r="O3" s="191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701</v>
      </c>
      <c r="E5" s="79">
        <v>1802</v>
      </c>
      <c r="F5" s="79">
        <v>590</v>
      </c>
      <c r="G5" s="112">
        <f>SUM(D5:F5)</f>
        <v>3093</v>
      </c>
      <c r="H5" s="105">
        <v>10000</v>
      </c>
      <c r="I5" s="106">
        <f>G5-H5</f>
        <v>-6907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28040</v>
      </c>
      <c r="E6" s="115">
        <f>E5*40</f>
        <v>72080</v>
      </c>
      <c r="F6" s="115">
        <f>F5*40</f>
        <v>23600</v>
      </c>
      <c r="G6" s="116">
        <f>SUM(D6:F6)</f>
        <v>123720</v>
      </c>
      <c r="H6" s="107">
        <f>H5*40</f>
        <v>400000</v>
      </c>
      <c r="I6" s="108">
        <f>G6-H6</f>
        <v>-276280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-701</v>
      </c>
      <c r="E9" s="117">
        <f>E8-E5</f>
        <v>-1802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88" t="s">
        <v>73</v>
      </c>
      <c r="D11" s="188"/>
      <c r="F11" s="188" t="s">
        <v>83</v>
      </c>
      <c r="G11" s="188"/>
      <c r="H11" t="s">
        <v>158</v>
      </c>
      <c r="I11">
        <f>D5/20</f>
        <v>35.049999999999997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3593.9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143756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0"/>
  <sheetViews>
    <sheetView workbookViewId="0">
      <selection activeCell="F12" sqref="F1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81" t="s">
        <v>138</v>
      </c>
      <c r="L2" t="s">
        <v>159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81" t="s">
        <v>138</v>
      </c>
      <c r="L3" t="s">
        <v>159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81" t="s">
        <v>138</v>
      </c>
      <c r="L4" t="s">
        <v>159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81" t="s">
        <v>138</v>
      </c>
      <c r="L5" t="s">
        <v>159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81" t="s">
        <v>138</v>
      </c>
      <c r="L6" t="s">
        <v>159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81" t="s">
        <v>139</v>
      </c>
      <c r="L7" t="s">
        <v>159</v>
      </c>
    </row>
    <row r="8" spans="1:12" x14ac:dyDescent="0.35">
      <c r="A8" s="2"/>
      <c r="B8" s="2"/>
      <c r="C8" s="2"/>
      <c r="D8" s="2"/>
      <c r="I8" s="81" t="s">
        <v>163</v>
      </c>
      <c r="J8" s="81">
        <v>13</v>
      </c>
      <c r="K8" s="81" t="s">
        <v>139</v>
      </c>
    </row>
    <row r="9" spans="1:12" x14ac:dyDescent="0.35">
      <c r="A9" s="2"/>
      <c r="B9" s="2"/>
      <c r="C9" s="2"/>
      <c r="D9" s="2"/>
      <c r="I9" s="81" t="s">
        <v>169</v>
      </c>
      <c r="J9" s="81">
        <v>18</v>
      </c>
      <c r="K9" s="81" t="s">
        <v>139</v>
      </c>
      <c r="L9" t="s">
        <v>159</v>
      </c>
    </row>
    <row r="10" spans="1:12" x14ac:dyDescent="0.35">
      <c r="A10" s="2"/>
      <c r="B10" s="2"/>
      <c r="C10" s="2"/>
      <c r="D10" s="2"/>
      <c r="I10" s="81" t="s">
        <v>133</v>
      </c>
      <c r="J10" s="81">
        <v>22</v>
      </c>
      <c r="K10" s="81" t="s">
        <v>139</v>
      </c>
    </row>
    <row r="11" spans="1:12" x14ac:dyDescent="0.35">
      <c r="A11" s="2"/>
      <c r="B11" s="2"/>
      <c r="C11" s="2"/>
      <c r="D11" s="2"/>
      <c r="I11" s="81" t="s">
        <v>166</v>
      </c>
      <c r="J11" s="81">
        <v>3</v>
      </c>
      <c r="K11" s="81" t="s">
        <v>139</v>
      </c>
    </row>
    <row r="12" spans="1:12" x14ac:dyDescent="0.35">
      <c r="A12" s="2"/>
      <c r="B12" s="2"/>
      <c r="C12" s="2"/>
      <c r="D12" s="2"/>
      <c r="I12" s="81" t="s">
        <v>167</v>
      </c>
      <c r="J12" s="81">
        <v>11</v>
      </c>
      <c r="K12" s="81" t="s">
        <v>139</v>
      </c>
    </row>
    <row r="13" spans="1:12" x14ac:dyDescent="0.35">
      <c r="A13" s="2"/>
      <c r="B13" s="2"/>
      <c r="C13" s="2"/>
      <c r="D13" s="2"/>
      <c r="I13" s="81" t="s">
        <v>133</v>
      </c>
      <c r="J13" s="81">
        <v>80</v>
      </c>
      <c r="K13" s="81" t="s">
        <v>139</v>
      </c>
    </row>
    <row r="14" spans="1:12" x14ac:dyDescent="0.35">
      <c r="A14" s="2"/>
      <c r="B14" s="2"/>
      <c r="C14" s="2"/>
      <c r="D14" s="2"/>
      <c r="I14" s="81" t="s">
        <v>168</v>
      </c>
      <c r="J14" s="81"/>
      <c r="K14" s="81" t="s">
        <v>139</v>
      </c>
    </row>
    <row r="15" spans="1:12" x14ac:dyDescent="0.35">
      <c r="A15" s="2"/>
      <c r="B15" s="2"/>
      <c r="C15" s="2"/>
      <c r="D15" s="2"/>
      <c r="I15" s="81" t="s">
        <v>169</v>
      </c>
      <c r="J15" s="81">
        <v>12</v>
      </c>
      <c r="K15" s="81" t="s">
        <v>139</v>
      </c>
    </row>
    <row r="16" spans="1:12" x14ac:dyDescent="0.35">
      <c r="A16" s="2"/>
      <c r="B16" s="2"/>
      <c r="C16" s="2"/>
      <c r="D16" s="2"/>
      <c r="I16" s="81"/>
      <c r="J16" s="81"/>
      <c r="K16" s="81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2026-06-25T05:51:47Z</dcterms:modified>
</cp:coreProperties>
</file>