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7373A0C1-CA51-4D68-BC3A-453D2E96F8A6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M80" i="2" l="1"/>
  <c r="N79" i="2"/>
  <c r="O79" i="2"/>
  <c r="P79" i="2"/>
  <c r="Q79" i="2"/>
  <c r="R79" i="2"/>
  <c r="S79" i="2"/>
  <c r="T79" i="2"/>
  <c r="U79" i="2"/>
  <c r="V79" i="2"/>
  <c r="W79" i="2"/>
  <c r="X79" i="2"/>
  <c r="Y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79" i="2"/>
  <c r="I11" i="3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86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L87" i="2" l="1"/>
  <c r="K87" i="2"/>
  <c r="J87" i="2"/>
  <c r="I87" i="2"/>
  <c r="H87" i="2"/>
  <c r="G87" i="2"/>
  <c r="D13" i="3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85" i="2" l="1"/>
  <c r="F85" i="2"/>
  <c r="G85" i="2"/>
  <c r="H85" i="2"/>
  <c r="I85" i="2"/>
  <c r="J85" i="2"/>
  <c r="K85" i="2"/>
  <c r="L85" i="2"/>
  <c r="D85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89" i="2"/>
  <c r="E90" i="2" s="1"/>
  <c r="F89" i="2"/>
  <c r="F90" i="2" s="1"/>
  <c r="G89" i="2"/>
  <c r="H89" i="2"/>
  <c r="I89" i="2"/>
  <c r="J89" i="2"/>
  <c r="K89" i="2"/>
  <c r="L89" i="2"/>
  <c r="D89" i="2"/>
  <c r="M87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90" i="2"/>
  <c r="H90" i="2"/>
  <c r="I90" i="2"/>
  <c r="D90" i="2"/>
  <c r="J90" i="2"/>
  <c r="L90" i="2"/>
  <c r="K90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85" i="2"/>
  <c r="Q85" i="2"/>
  <c r="R85" i="2"/>
  <c r="U85" i="2" s="1"/>
  <c r="S85" i="2"/>
  <c r="T85" i="2"/>
  <c r="V85" i="2"/>
  <c r="Y85" i="2" s="1"/>
  <c r="W85" i="2"/>
  <c r="X85" i="2"/>
  <c r="P87" i="2"/>
  <c r="Q87" i="2"/>
  <c r="R87" i="2"/>
  <c r="U87" i="2" s="1"/>
  <c r="S87" i="2"/>
  <c r="T87" i="2"/>
  <c r="V87" i="2"/>
  <c r="Y87" i="2" s="1"/>
  <c r="W87" i="2"/>
  <c r="X87" i="2"/>
  <c r="P88" i="2"/>
  <c r="Q88" i="2"/>
  <c r="R88" i="2"/>
  <c r="U88" i="2" s="1"/>
  <c r="S88" i="2"/>
  <c r="T88" i="2"/>
  <c r="V88" i="2"/>
  <c r="Y88" i="2" s="1"/>
  <c r="W88" i="2"/>
  <c r="X88" i="2"/>
  <c r="P89" i="2"/>
  <c r="Q89" i="2"/>
  <c r="R89" i="2"/>
  <c r="U89" i="2" s="1"/>
  <c r="S89" i="2"/>
  <c r="T89" i="2"/>
  <c r="V89" i="2"/>
  <c r="Y89" i="2" s="1"/>
  <c r="W89" i="2"/>
  <c r="X89" i="2"/>
  <c r="M13" i="2"/>
  <c r="N13" i="2"/>
  <c r="O13" i="2"/>
  <c r="M14" i="2"/>
  <c r="N14" i="2"/>
  <c r="O14" i="2"/>
  <c r="M15" i="2"/>
  <c r="N15" i="2"/>
  <c r="O15" i="2"/>
  <c r="M85" i="2"/>
  <c r="N85" i="2"/>
  <c r="O85" i="2"/>
  <c r="N87" i="2"/>
  <c r="O87" i="2"/>
  <c r="M88" i="2"/>
  <c r="M89" i="2" s="1"/>
  <c r="N88" i="2"/>
  <c r="O88" i="2"/>
  <c r="O89" i="2" l="1"/>
  <c r="N89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90" i="2" s="1"/>
  <c r="T5" i="2"/>
  <c r="S5" i="2"/>
  <c r="R5" i="2"/>
  <c r="U5" i="2" s="1"/>
  <c r="U90" i="2" s="1"/>
  <c r="Q5" i="2"/>
  <c r="P5" i="2"/>
  <c r="O5" i="2"/>
  <c r="N5" i="2"/>
  <c r="M5" i="2"/>
  <c r="M90" i="2" l="1"/>
  <c r="P90" i="2"/>
  <c r="X90" i="2"/>
  <c r="R90" i="2"/>
  <c r="T90" i="2"/>
  <c r="Q90" i="2"/>
  <c r="Y5" i="2"/>
  <c r="Y90" i="2" s="1"/>
  <c r="O90" i="2"/>
  <c r="S90" i="2"/>
  <c r="W90" i="2"/>
  <c r="N90" i="2"/>
</calcChain>
</file>

<file path=xl/sharedStrings.xml><?xml version="1.0" encoding="utf-8"?>
<sst xmlns="http://schemas.openxmlformats.org/spreadsheetml/2006/main" count="218" uniqueCount="167">
  <si>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</si>
  <si>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</si>
  <si>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</si>
  <si>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</si>
  <si>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</si>
  <si>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</si>
  <si>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</si>
  <si>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</si>
  <si>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</si>
  <si>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</si>
  <si>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</si>
  <si>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</si>
  <si>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</si>
  <si>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</si>
  <si>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</si>
  <si>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</si>
  <si>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</si>
  <si>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</si>
  <si>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</si>
  <si>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</si>
  <si>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</si>
  <si>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</si>
  <si>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</si>
  <si>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</si>
  <si>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</si>
  <si>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</si>
  <si>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</si>
  <si>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</si>
  <si>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</si>
  <si>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</si>
  <si>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</si>
  <si>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</si>
  <si>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</si>
  <si>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</si>
  <si>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</si>
  <si>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</si>
  <si>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</si>
  <si>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</si>
  <si>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</si>
  <si>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</si>
  <si>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</si>
  <si>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</si>
  <si>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</si>
  <si>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</si>
  <si>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</si>
  <si>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</si>
  <si>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</si>
  <si>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</si>
  <si>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</si>
  <si>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</si>
  <si>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</si>
  <si>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</si>
  <si>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</si>
  <si>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</si>
  <si>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</si>
  <si>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</si>
  <si>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</si>
  <si>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</si>
  <si>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</si>
  <si>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</si>
  <si>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</si>
  <si>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</si>
  <si>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</si>
  <si>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</si>
  <si>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</si>
  <si>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</si>
  <si>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</si>
  <si>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</si>
  <si>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</si>
  <si>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</si>
  <si>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</si>
  <si>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</si>
  <si>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</si>
  <si>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</si>
  <si>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</si>
  <si>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</si>
  <si>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</si>
  <si>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</si>
  <si>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</si>
  <si>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</si>
  <si>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</si>
  <si>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</si>
  <si>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</si>
  <si>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</si>
  <si>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</si>
  <si>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</si>
  <si>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</si>
  <si>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</si>
  <si>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</si>
  <si>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</si>
  <si>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 xml:space="preserve">Crown </t>
  </si>
  <si>
    <t>Sohail Traders</t>
  </si>
  <si>
    <t>.</t>
  </si>
  <si>
    <t xml:space="preserve">SB5:C38D Total </t>
  </si>
  <si>
    <t>Risan Askari 11</t>
  </si>
  <si>
    <t>Gourmet Shalamar Link</t>
  </si>
  <si>
    <t>Gourmet Shadbagh</t>
  </si>
  <si>
    <t>Gourmet Bata Pur</t>
  </si>
  <si>
    <t>Gourmet Salamat Pura</t>
  </si>
  <si>
    <t>Gourmet Daroghawala</t>
  </si>
  <si>
    <t>Gourmet Railway Palaza</t>
  </si>
  <si>
    <t>Gourmet Taj Bagh</t>
  </si>
  <si>
    <t>Gourmet Taj Pura</t>
  </si>
  <si>
    <t>Gourmet Baghban Pura</t>
  </si>
  <si>
    <t>Gourmet Sultan Pura</t>
  </si>
  <si>
    <t>Gourmet Shadi Pura</t>
  </si>
  <si>
    <t>Gourmet Manawa GT Road</t>
  </si>
  <si>
    <t>MB Traders</t>
  </si>
  <si>
    <t>Total In PC's</t>
  </si>
  <si>
    <t>Total In CTN's</t>
  </si>
  <si>
    <t>In Hand</t>
  </si>
  <si>
    <t>Products</t>
  </si>
  <si>
    <t>Rambo 5 Orders</t>
  </si>
  <si>
    <t>DIFF</t>
  </si>
  <si>
    <t>Gourmet Food Shama Cenema</t>
  </si>
  <si>
    <t>Gourmet Food Temple Road</t>
  </si>
  <si>
    <t>Gourmet Food Shadman</t>
  </si>
  <si>
    <t>Gourmet Food Nisbat Road</t>
  </si>
  <si>
    <t>Gourmet Food Sultanpura</t>
  </si>
  <si>
    <t xml:space="preserve"> Gourmet Food Nilam Cinema</t>
  </si>
  <si>
    <t xml:space="preserve"> Gourmet Food Lal pull</t>
  </si>
  <si>
    <t xml:space="preserve"> Gourmet Food Jhora Pull</t>
  </si>
  <si>
    <t xml:space="preserve"> Gourmet Food Zarar Shaheed Road</t>
  </si>
  <si>
    <t xml:space="preserve"> Gourmet Food Sadar Kachari</t>
  </si>
  <si>
    <t xml:space="preserve"> Gourmet Food Dharampura</t>
  </si>
  <si>
    <t xml:space="preserve"> Gourmet Food Shadbagh</t>
  </si>
  <si>
    <t xml:space="preserve"> Gourmet Food About Road</t>
  </si>
  <si>
    <t xml:space="preserve"> Gourmet Food Ghalib Market</t>
  </si>
  <si>
    <t>Al -fatah</t>
  </si>
  <si>
    <t>20-06-26</t>
  </si>
  <si>
    <t>Status</t>
  </si>
  <si>
    <t>Name</t>
  </si>
  <si>
    <t>Qty</t>
  </si>
  <si>
    <t>Gourmet Food</t>
  </si>
  <si>
    <t>Aslam Super mart</t>
  </si>
  <si>
    <t>4 Seasons</t>
  </si>
  <si>
    <t>Raheem wapda</t>
  </si>
  <si>
    <t>Raheem iqbal</t>
  </si>
  <si>
    <t>On The Way</t>
  </si>
  <si>
    <t>Pending</t>
  </si>
  <si>
    <t>Al Raheem Iqbal Town</t>
  </si>
  <si>
    <t>Al Raheem Wapda Town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</si>
  <si>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</si>
  <si>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</si>
  <si>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</si>
  <si>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</si>
  <si>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</si>
  <si>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</si>
  <si>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</si>
  <si>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</si>
  <si>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Rehber DHA</t>
  </si>
  <si>
    <t>Riwand Road</t>
  </si>
  <si>
    <t>Umer Chowk</t>
  </si>
  <si>
    <t>Velencia Town</t>
  </si>
  <si>
    <t>Wapda Town</t>
  </si>
  <si>
    <t>Chung</t>
  </si>
  <si>
    <t>Behria Town</t>
  </si>
  <si>
    <t>TownShip Lahore</t>
  </si>
  <si>
    <t>PerSntage</t>
  </si>
  <si>
    <t>ok</t>
  </si>
  <si>
    <t>4 Season</t>
  </si>
  <si>
    <t>8074586-2</t>
  </si>
  <si>
    <t>Allowed</t>
  </si>
  <si>
    <t>Sana C &amp; C</t>
  </si>
  <si>
    <t>Rambo BT</t>
  </si>
  <si>
    <t>Aslam Super Mart</t>
  </si>
  <si>
    <t>4 Reason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</si>
</sst>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2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5" fillId="3" borderId="3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5" fillId="9" borderId="31" xfId="0" applyFont="1" applyFill="1" applyBorder="1"/>
    <xf numFmtId="0" fontId="5" fillId="9" borderId="1" xfId="0" applyFont="1" applyFill="1" applyBorder="1"/>
    <xf numFmtId="0" fontId="5" fillId="9" borderId="32" xfId="0" applyFont="1" applyFill="1" applyBorder="1"/>
    <xf numFmtId="0" fontId="5" fillId="7" borderId="33" xfId="0" applyFont="1" applyFill="1" applyBorder="1"/>
    <xf numFmtId="0" fontId="5" fillId="7" borderId="1" xfId="0" applyFont="1" applyFill="1" applyBorder="1"/>
    <xf numFmtId="0" fontId="5" fillId="7" borderId="32" xfId="0" applyFont="1" applyFill="1" applyBorder="1" applyAlignment="1">
      <alignment horizontal="center"/>
    </xf>
    <xf numFmtId="0" fontId="5" fillId="7" borderId="32" xfId="0" applyFont="1" applyFill="1" applyBorder="1"/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1" borderId="55" xfId="0" applyFont="1" applyFill="1" applyBorder="1" applyAlignment="1">
      <alignment horizontal="center"/>
    </xf>
    <xf numFmtId="0" fontId="1" fillId="11" borderId="1" xfId="0" applyFont="1" applyFill="1" applyBorder="1"/>
    <xf numFmtId="0" fontId="0" fillId="11" borderId="1" xfId="0" applyFill="1" applyBorder="1"/>
    <xf numFmtId="0" fontId="1" fillId="11" borderId="1" xfId="0" applyFont="1" applyFill="1" applyBorder="1" applyAlignment="1">
      <alignment horizontal="center" vertical="center"/>
    </xf>
    <xf numFmtId="0" fontId="5" fillId="5" borderId="33" xfId="0" applyFont="1" applyFill="1" applyBorder="1"/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5" fillId="5" borderId="33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74</v>
      </c>
    </row>
    <row r="9" spans="2:6" ht="22.5" customHeight="1" x14ac:dyDescent="0.35">
      <c r="B9" s="77" t="s">
        <v>33</v>
      </c>
      <c r="C9" s="77" t="s">
        <v>35</v>
      </c>
      <c r="D9" s="77" t="s">
        <v>36</v>
      </c>
      <c r="E9" s="154" t="s">
        <v>14</v>
      </c>
      <c r="F9" s="102" t="s">
        <v>75</v>
      </c>
    </row>
    <row r="10" spans="2:6" x14ac:dyDescent="0.35">
      <c r="B10" s="79" t="s">
        <v>26</v>
      </c>
      <c r="C10" s="79" t="s">
        <v>37</v>
      </c>
      <c r="D10" s="92">
        <v>3520247902365</v>
      </c>
      <c r="E10" s="155"/>
      <c r="F10">
        <v>10000</v>
      </c>
    </row>
    <row r="11" spans="2:6" x14ac:dyDescent="0.35">
      <c r="B11" s="79" t="s">
        <v>27</v>
      </c>
      <c r="C11" s="79"/>
      <c r="D11" s="79"/>
      <c r="E11" s="155"/>
    </row>
    <row r="12" spans="2:6" x14ac:dyDescent="0.35">
      <c r="B12" s="79" t="s">
        <v>41</v>
      </c>
      <c r="C12" s="79" t="s">
        <v>40</v>
      </c>
      <c r="D12" s="92">
        <v>300426949714</v>
      </c>
      <c r="E12" s="155"/>
    </row>
    <row r="13" spans="2:6" x14ac:dyDescent="0.35">
      <c r="B13" s="79" t="s">
        <v>28</v>
      </c>
      <c r="C13" s="79" t="s">
        <v>43</v>
      </c>
      <c r="D13" s="92">
        <v>3277876126916</v>
      </c>
      <c r="E13" s="155"/>
    </row>
    <row r="14" spans="2:6" x14ac:dyDescent="0.35">
      <c r="B14" s="79" t="s">
        <v>29</v>
      </c>
      <c r="C14" s="79" t="s">
        <v>47</v>
      </c>
      <c r="D14" s="92">
        <v>3520255124113</v>
      </c>
      <c r="E14" s="155"/>
    </row>
    <row r="15" spans="2:6" x14ac:dyDescent="0.35">
      <c r="B15" s="79" t="s">
        <v>30</v>
      </c>
      <c r="C15" s="79" t="s">
        <v>47</v>
      </c>
      <c r="D15" s="92">
        <v>3520255124113</v>
      </c>
      <c r="E15" s="155"/>
    </row>
    <row r="16" spans="2:6" x14ac:dyDescent="0.35">
      <c r="B16" s="79" t="s">
        <v>31</v>
      </c>
      <c r="C16" s="79" t="s">
        <v>45</v>
      </c>
      <c r="D16" s="92">
        <v>3520268948847</v>
      </c>
      <c r="E16" s="155"/>
    </row>
    <row r="17" spans="2:5" x14ac:dyDescent="0.35">
      <c r="B17" s="79" t="s">
        <v>32</v>
      </c>
      <c r="C17" s="79" t="s">
        <v>51</v>
      </c>
      <c r="D17" s="79"/>
      <c r="E17" s="155"/>
    </row>
    <row r="18" spans="2:5" x14ac:dyDescent="0.35">
      <c r="B18" s="79" t="s">
        <v>34</v>
      </c>
      <c r="C18" s="79" t="s">
        <v>46</v>
      </c>
      <c r="D18" s="79" t="s">
        <v>52</v>
      </c>
      <c r="E18" s="155"/>
    </row>
    <row r="19" spans="2:5" ht="15" customHeight="1" x14ac:dyDescent="0.35">
      <c r="B19" s="156" t="s">
        <v>63</v>
      </c>
      <c r="C19" s="155" t="s">
        <v>64</v>
      </c>
      <c r="D19" s="155"/>
      <c r="E19" s="155"/>
    </row>
    <row r="20" spans="2:5" x14ac:dyDescent="0.35">
      <c r="B20" s="156" t="s">
        <v>65</v>
      </c>
      <c r="C20" s="155"/>
      <c r="D20" s="155"/>
      <c r="E20" s="155"/>
    </row>
    <row r="21" spans="2:5" x14ac:dyDescent="0.35">
      <c r="B21" s="156" t="s">
        <v>66</v>
      </c>
      <c r="C21" s="155"/>
      <c r="D21" s="155"/>
      <c r="E21" s="155"/>
    </row>
    <row r="22" spans="2:5" x14ac:dyDescent="0.35">
      <c r="B22" s="156" t="s">
        <v>67</v>
      </c>
      <c r="C22" s="155"/>
      <c r="D22" s="155"/>
      <c r="E22" s="155"/>
    </row>
    <row r="23" spans="2:5" x14ac:dyDescent="0.35">
      <c r="B23" s="156" t="s">
        <v>79</v>
      </c>
      <c r="C23" s="155" t="s">
        <v>80</v>
      </c>
      <c r="D23" s="157">
        <v>3277876231301</v>
      </c>
      <c r="E23" s="155"/>
    </row>
    <row r="24" spans="2:5" x14ac:dyDescent="0.35">
      <c r="B24" s="156" t="s">
        <v>160</v>
      </c>
      <c r="C24" s="155" t="s">
        <v>161</v>
      </c>
      <c r="D24" s="155"/>
      <c r="E24" s="155" t="s">
        <v>162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90"/>
  <sheetViews>
    <sheetView topLeftCell="A67" zoomScaleNormal="100" workbookViewId="0">
      <selection activeCell="E82" sqref="E82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0">
        <v>46186</v>
      </c>
      <c r="C1" s="160"/>
      <c r="D1" s="160"/>
      <c r="E1" s="160"/>
      <c r="F1" s="16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82" t="s">
        <v>38</v>
      </c>
      <c r="B2" s="161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4"/>
      <c r="N2" s="175"/>
      <c r="O2" s="176"/>
      <c r="P2" s="177" t="s">
        <v>14</v>
      </c>
      <c r="Q2" s="178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82"/>
      <c r="B3" s="162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9" t="s">
        <v>11</v>
      </c>
      <c r="N3" s="180"/>
      <c r="O3" s="181"/>
      <c r="P3" s="71"/>
      <c r="Q3" s="72"/>
      <c r="R3" s="164" t="s">
        <v>16</v>
      </c>
      <c r="S3" s="165"/>
      <c r="T3" s="165"/>
      <c r="U3" s="166"/>
      <c r="V3" s="167" t="s">
        <v>17</v>
      </c>
      <c r="W3" s="168"/>
      <c r="X3" s="168"/>
      <c r="Y3" s="169"/>
    </row>
    <row r="4" spans="1:25" ht="15" thickBot="1" x14ac:dyDescent="0.4">
      <c r="A4" s="182"/>
      <c r="B4" s="163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46179</v>
      </c>
      <c r="B5" s="36">
        <v>1</v>
      </c>
      <c r="C5" s="93" t="s">
        <v>72</v>
      </c>
      <c r="D5" s="94">
        <v>1003</v>
      </c>
      <c r="E5" s="95"/>
      <c r="F5" s="96"/>
      <c r="G5" s="97">
        <v>1613</v>
      </c>
      <c r="H5" s="95">
        <v>2442</v>
      </c>
      <c r="I5" s="96">
        <v>1036</v>
      </c>
      <c r="J5" s="97">
        <v>5269</v>
      </c>
      <c r="K5" s="95">
        <v>3838</v>
      </c>
      <c r="L5" s="98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3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46179</v>
      </c>
      <c r="B6" s="47">
        <v>2</v>
      </c>
      <c r="C6" s="57" t="s">
        <v>42</v>
      </c>
      <c r="D6" s="74">
        <v>800</v>
      </c>
      <c r="E6" s="75"/>
      <c r="F6" s="76"/>
      <c r="G6" s="50">
        <v>800</v>
      </c>
      <c r="H6" s="75">
        <v>800</v>
      </c>
      <c r="I6" s="49">
        <v>800</v>
      </c>
      <c r="J6" s="50">
        <v>800</v>
      </c>
      <c r="K6" s="75">
        <v>800</v>
      </c>
      <c r="L6" s="76">
        <v>800</v>
      </c>
      <c r="M6" s="48">
        <f t="shared" ref="M6:M90" si="0">SUM(D6:L6)/40</f>
        <v>140</v>
      </c>
      <c r="N6" s="39">
        <f>SUMPRODUCT($D$4:$L$4,$D$6:$L$6)</f>
        <v>0</v>
      </c>
      <c r="O6" s="49">
        <f t="shared" ref="O6:O89" si="1">SUMPRODUCT($D$3:$L$3,$D$6:$L$6)/1000</f>
        <v>331.63</v>
      </c>
      <c r="P6" s="73">
        <f t="shared" ref="P6" si="2">SUM(G6:I6)/20</f>
        <v>120</v>
      </c>
      <c r="Q6" s="40">
        <f t="shared" ref="Q6" si="3">SUM(J6:L6)/20</f>
        <v>120</v>
      </c>
      <c r="R6" s="51" t="e">
        <f t="shared" ref="R6:R89" si="4">SUMPRODUCT($D$4:$F$4,$D$6:$F$6)*$R$3</f>
        <v>#VALUE!</v>
      </c>
      <c r="S6" s="52">
        <f t="shared" ref="S6:S89" si="5">SUMPRODUCT($G$4:$I$4,$G$6:$I$6)*$S$3</f>
        <v>0</v>
      </c>
      <c r="T6" s="52">
        <f t="shared" ref="T6:T89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46179</v>
      </c>
      <c r="B7" s="47">
        <v>3</v>
      </c>
      <c r="C7" s="57" t="s">
        <v>44</v>
      </c>
      <c r="D7" s="74">
        <v>80</v>
      </c>
      <c r="E7" s="75"/>
      <c r="F7" s="76"/>
      <c r="G7" s="50">
        <v>80</v>
      </c>
      <c r="H7" s="75">
        <v>80</v>
      </c>
      <c r="I7" s="49">
        <v>80</v>
      </c>
      <c r="J7" s="50">
        <v>80</v>
      </c>
      <c r="K7" s="75">
        <v>80</v>
      </c>
      <c r="L7" s="76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3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46181</v>
      </c>
      <c r="B8" s="47">
        <v>4</v>
      </c>
      <c r="C8" s="57" t="s">
        <v>48</v>
      </c>
      <c r="D8" s="74">
        <v>200</v>
      </c>
      <c r="E8" s="75"/>
      <c r="F8" s="76"/>
      <c r="G8" s="50">
        <v>200</v>
      </c>
      <c r="H8" s="75">
        <v>200</v>
      </c>
      <c r="I8" s="49">
        <v>200</v>
      </c>
      <c r="J8" s="50">
        <v>200</v>
      </c>
      <c r="K8" s="75">
        <v>200</v>
      </c>
      <c r="L8" s="76">
        <v>200</v>
      </c>
      <c r="M8" s="48">
        <f t="shared" si="12"/>
        <v>35</v>
      </c>
      <c r="N8" s="39">
        <f t="shared" ref="N8:N89" si="18">SUMPRODUCT($D$4:$L$4,$D$6:$L$6)</f>
        <v>0</v>
      </c>
      <c r="O8" s="49">
        <f t="shared" si="1"/>
        <v>331.63</v>
      </c>
      <c r="P8" s="73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46181</v>
      </c>
      <c r="B9" s="47">
        <v>5</v>
      </c>
      <c r="C9" s="124" t="s">
        <v>49</v>
      </c>
      <c r="D9" s="125"/>
      <c r="E9" s="126"/>
      <c r="F9" s="127"/>
      <c r="G9" s="128"/>
      <c r="H9" s="126"/>
      <c r="I9" s="56"/>
      <c r="J9" s="128">
        <v>560</v>
      </c>
      <c r="K9" s="126">
        <v>560</v>
      </c>
      <c r="L9" s="127">
        <v>880</v>
      </c>
      <c r="M9" s="129">
        <f t="shared" si="12"/>
        <v>50</v>
      </c>
      <c r="N9" s="39">
        <f t="shared" si="18"/>
        <v>0</v>
      </c>
      <c r="O9" s="49">
        <f t="shared" si="1"/>
        <v>331.63</v>
      </c>
      <c r="P9" s="73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46182</v>
      </c>
      <c r="B10" s="47">
        <v>6</v>
      </c>
      <c r="C10" s="57" t="s">
        <v>39</v>
      </c>
      <c r="D10" s="74"/>
      <c r="E10" s="75"/>
      <c r="F10" s="76"/>
      <c r="G10" s="50">
        <v>1200</v>
      </c>
      <c r="H10" s="75">
        <v>1200</v>
      </c>
      <c r="I10" s="49">
        <v>1800</v>
      </c>
      <c r="J10" s="50">
        <v>2400</v>
      </c>
      <c r="K10" s="75">
        <v>1800</v>
      </c>
      <c r="L10" s="76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3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46182</v>
      </c>
      <c r="B11" s="47">
        <v>7</v>
      </c>
      <c r="C11" s="57" t="s">
        <v>29</v>
      </c>
      <c r="D11" s="74"/>
      <c r="E11" s="75"/>
      <c r="F11" s="76"/>
      <c r="G11" s="50"/>
      <c r="H11" s="75">
        <v>40</v>
      </c>
      <c r="I11" s="49">
        <v>40</v>
      </c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46182</v>
      </c>
      <c r="B12" s="47">
        <v>8</v>
      </c>
      <c r="C12" s="57" t="s">
        <v>50</v>
      </c>
      <c r="D12" s="74"/>
      <c r="E12" s="75"/>
      <c r="F12" s="76"/>
      <c r="G12" s="50">
        <v>400</v>
      </c>
      <c r="H12" s="75">
        <v>200</v>
      </c>
      <c r="I12" s="49">
        <v>400</v>
      </c>
      <c r="J12" s="50">
        <v>400</v>
      </c>
      <c r="K12" s="75">
        <v>200</v>
      </c>
      <c r="L12" s="76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3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46183</v>
      </c>
      <c r="B13" s="47">
        <v>9</v>
      </c>
      <c r="C13" s="57" t="s">
        <v>63</v>
      </c>
      <c r="D13" s="74"/>
      <c r="E13" s="75"/>
      <c r="F13" s="76"/>
      <c r="G13" s="50">
        <v>40</v>
      </c>
      <c r="H13" s="75">
        <v>40</v>
      </c>
      <c r="I13" s="49">
        <v>40</v>
      </c>
      <c r="J13" s="50">
        <v>40</v>
      </c>
      <c r="K13" s="75">
        <v>40</v>
      </c>
      <c r="L13" s="76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3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89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89" si="20">SUM(V13:X13)</f>
        <v>#VALUE!</v>
      </c>
    </row>
    <row r="14" spans="1:25" x14ac:dyDescent="0.35">
      <c r="A14" s="78">
        <v>46183</v>
      </c>
      <c r="B14" s="47">
        <v>10</v>
      </c>
      <c r="C14" s="57" t="s">
        <v>25</v>
      </c>
      <c r="D14" s="74"/>
      <c r="E14" s="75"/>
      <c r="F14" s="76"/>
      <c r="G14" s="50">
        <v>240</v>
      </c>
      <c r="H14" s="75">
        <v>240</v>
      </c>
      <c r="I14" s="49">
        <v>240</v>
      </c>
      <c r="J14" s="50">
        <v>240</v>
      </c>
      <c r="K14" s="75">
        <v>240</v>
      </c>
      <c r="L14" s="76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3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46183</v>
      </c>
      <c r="B15" s="47">
        <v>11</v>
      </c>
      <c r="C15" s="57" t="s">
        <v>68</v>
      </c>
      <c r="D15" s="74"/>
      <c r="E15" s="75"/>
      <c r="F15" s="76"/>
      <c r="G15" s="50"/>
      <c r="H15" s="75"/>
      <c r="I15" s="49">
        <v>80</v>
      </c>
      <c r="J15" s="50">
        <v>80</v>
      </c>
      <c r="K15" s="75">
        <v>80</v>
      </c>
      <c r="L15" s="76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3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46184</v>
      </c>
      <c r="B16" s="47">
        <v>12</v>
      </c>
      <c r="C16" s="57" t="s">
        <v>69</v>
      </c>
      <c r="D16" s="74"/>
      <c r="E16" s="75"/>
      <c r="F16" s="76"/>
      <c r="G16" s="50">
        <v>80</v>
      </c>
      <c r="H16" s="75">
        <v>80</v>
      </c>
      <c r="I16" s="49">
        <v>120</v>
      </c>
      <c r="J16" s="50">
        <v>80</v>
      </c>
      <c r="K16" s="75">
        <v>40</v>
      </c>
      <c r="L16" s="76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3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46184</v>
      </c>
      <c r="B17" s="47">
        <v>13</v>
      </c>
      <c r="C17" s="57" t="s">
        <v>70</v>
      </c>
      <c r="D17" s="74">
        <v>40</v>
      </c>
      <c r="E17" s="75"/>
      <c r="F17" s="76"/>
      <c r="G17" s="50">
        <v>40</v>
      </c>
      <c r="H17" s="75"/>
      <c r="I17" s="49">
        <v>40</v>
      </c>
      <c r="J17" s="50"/>
      <c r="K17" s="75"/>
      <c r="L17" s="76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3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46184</v>
      </c>
      <c r="B18" s="47">
        <v>14</v>
      </c>
      <c r="C18" s="57" t="s">
        <v>39</v>
      </c>
      <c r="D18" s="74"/>
      <c r="E18" s="75"/>
      <c r="F18" s="76"/>
      <c r="G18" s="50">
        <v>600</v>
      </c>
      <c r="H18" s="75">
        <v>597</v>
      </c>
      <c r="I18" s="49">
        <v>797</v>
      </c>
      <c r="J18" s="50">
        <v>1597</v>
      </c>
      <c r="K18" s="75">
        <v>1184</v>
      </c>
      <c r="L18" s="76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3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46184</v>
      </c>
      <c r="B19" s="47">
        <v>15</v>
      </c>
      <c r="C19" s="57" t="s">
        <v>76</v>
      </c>
      <c r="D19" s="74"/>
      <c r="E19" s="75"/>
      <c r="F19" s="76"/>
      <c r="G19" s="50"/>
      <c r="H19" s="75"/>
      <c r="I19" s="49">
        <v>40</v>
      </c>
      <c r="J19" s="50">
        <v>40</v>
      </c>
      <c r="K19" s="75">
        <v>40</v>
      </c>
      <c r="L19" s="76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3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46184</v>
      </c>
      <c r="B20" s="47">
        <v>16</v>
      </c>
      <c r="C20" s="57" t="s">
        <v>63</v>
      </c>
      <c r="D20" s="74"/>
      <c r="E20" s="75"/>
      <c r="F20" s="76"/>
      <c r="G20" s="50">
        <v>40</v>
      </c>
      <c r="H20" s="75">
        <v>40</v>
      </c>
      <c r="I20" s="49">
        <v>40</v>
      </c>
      <c r="J20" s="50">
        <v>40</v>
      </c>
      <c r="K20" s="75">
        <v>40</v>
      </c>
      <c r="L20" s="76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3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46185</v>
      </c>
      <c r="B21" s="47">
        <v>17</v>
      </c>
      <c r="C21" s="57" t="s">
        <v>79</v>
      </c>
      <c r="D21" s="74"/>
      <c r="E21" s="75"/>
      <c r="F21" s="76"/>
      <c r="G21" s="50">
        <v>120</v>
      </c>
      <c r="H21" s="75">
        <v>120</v>
      </c>
      <c r="I21" s="49">
        <v>120</v>
      </c>
      <c r="J21" s="50">
        <v>120</v>
      </c>
      <c r="K21" s="75">
        <v>120</v>
      </c>
      <c r="L21" s="76">
        <v>120</v>
      </c>
      <c r="M21" s="48">
        <f t="shared" ref="M21:M23" si="37">SUM(D21:L21)/40</f>
        <v>18</v>
      </c>
      <c r="N21" s="39">
        <f t="shared" si="18"/>
        <v>0</v>
      </c>
      <c r="O21" s="49">
        <f t="shared" si="1"/>
        <v>331.63</v>
      </c>
      <c r="P21" s="73">
        <f t="shared" ref="P21:P23" si="38">SUM(G21:I21)/20</f>
        <v>18</v>
      </c>
      <c r="Q21" s="40">
        <f t="shared" ref="Q21:Q23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85" si="44">SUM(V21:X21)</f>
        <v>#VALUE!</v>
      </c>
    </row>
    <row r="22" spans="1:25" x14ac:dyDescent="0.35">
      <c r="A22" s="78">
        <v>46185</v>
      </c>
      <c r="B22" s="130">
        <v>18</v>
      </c>
      <c r="C22" s="124" t="s">
        <v>79</v>
      </c>
      <c r="D22" s="131"/>
      <c r="E22" s="132"/>
      <c r="F22" s="133"/>
      <c r="G22" s="128">
        <v>300</v>
      </c>
      <c r="H22" s="126">
        <v>300</v>
      </c>
      <c r="I22" s="56">
        <v>300</v>
      </c>
      <c r="J22" s="128">
        <v>300</v>
      </c>
      <c r="K22" s="126">
        <v>300</v>
      </c>
      <c r="L22" s="127">
        <v>300</v>
      </c>
      <c r="M22" s="129">
        <f t="shared" si="37"/>
        <v>45</v>
      </c>
      <c r="N22" s="39">
        <f t="shared" si="18"/>
        <v>0</v>
      </c>
      <c r="O22" s="49">
        <f t="shared" si="1"/>
        <v>331.63</v>
      </c>
      <c r="P22" s="73">
        <f t="shared" si="38"/>
        <v>45</v>
      </c>
      <c r="Q22" s="40">
        <f t="shared" si="39"/>
        <v>45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46189</v>
      </c>
      <c r="B23" s="47">
        <v>19</v>
      </c>
      <c r="C23" s="57" t="s">
        <v>84</v>
      </c>
      <c r="D23" s="74"/>
      <c r="E23" s="75"/>
      <c r="F23" s="76"/>
      <c r="G23" s="134">
        <v>80</v>
      </c>
      <c r="H23" s="135">
        <v>80</v>
      </c>
      <c r="I23" s="136">
        <v>80</v>
      </c>
      <c r="J23" s="134">
        <v>80</v>
      </c>
      <c r="K23" s="135">
        <v>80</v>
      </c>
      <c r="L23" s="137">
        <v>80</v>
      </c>
      <c r="M23" s="48">
        <f t="shared" si="37"/>
        <v>12</v>
      </c>
      <c r="N23" s="39">
        <f t="shared" si="18"/>
        <v>0</v>
      </c>
      <c r="O23" s="49">
        <f t="shared" si="1"/>
        <v>331.63</v>
      </c>
      <c r="P23" s="73">
        <f t="shared" si="38"/>
        <v>12</v>
      </c>
      <c r="Q23" s="40">
        <f t="shared" si="39"/>
        <v>12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46189</v>
      </c>
      <c r="B24" s="47">
        <v>20</v>
      </c>
      <c r="C24" s="57" t="s">
        <v>85</v>
      </c>
      <c r="D24" s="74"/>
      <c r="E24" s="75"/>
      <c r="F24" s="76"/>
      <c r="G24" s="134">
        <v>80</v>
      </c>
      <c r="H24" s="135">
        <v>80</v>
      </c>
      <c r="I24" s="136">
        <v>80</v>
      </c>
      <c r="J24" s="134">
        <v>80</v>
      </c>
      <c r="K24" s="135">
        <v>80</v>
      </c>
      <c r="L24" s="137">
        <v>80</v>
      </c>
      <c r="M24" s="48">
        <f t="shared" ref="M24:M27" si="47">SUM(D24:L24)/40</f>
        <v>12</v>
      </c>
      <c r="N24" s="39">
        <f t="shared" si="18"/>
        <v>0</v>
      </c>
      <c r="O24" s="49">
        <f t="shared" si="1"/>
        <v>331.63</v>
      </c>
      <c r="P24" s="73">
        <f t="shared" ref="P24:P27" si="48">SUM(G24:I24)/20</f>
        <v>12</v>
      </c>
      <c r="Q24" s="40">
        <f t="shared" ref="Q24:Q27" si="49">SUM(J24:L24)/20</f>
        <v>12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46189</v>
      </c>
      <c r="B25" s="47">
        <v>21</v>
      </c>
      <c r="C25" s="57" t="s">
        <v>86</v>
      </c>
      <c r="D25" s="74"/>
      <c r="E25" s="75"/>
      <c r="F25" s="76"/>
      <c r="G25" s="134">
        <v>80</v>
      </c>
      <c r="H25" s="135">
        <v>80</v>
      </c>
      <c r="I25" s="136">
        <v>80</v>
      </c>
      <c r="J25" s="134">
        <v>80</v>
      </c>
      <c r="K25" s="135">
        <v>80</v>
      </c>
      <c r="L25" s="137">
        <v>80</v>
      </c>
      <c r="M25" s="48">
        <f t="shared" si="47"/>
        <v>12</v>
      </c>
      <c r="N25" s="39">
        <f t="shared" si="18"/>
        <v>0</v>
      </c>
      <c r="O25" s="49">
        <f t="shared" si="1"/>
        <v>331.63</v>
      </c>
      <c r="P25" s="73">
        <f t="shared" si="48"/>
        <v>12</v>
      </c>
      <c r="Q25" s="40">
        <f t="shared" si="49"/>
        <v>12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46189</v>
      </c>
      <c r="B26" s="47">
        <v>22</v>
      </c>
      <c r="C26" s="57" t="s">
        <v>87</v>
      </c>
      <c r="D26" s="74"/>
      <c r="E26" s="75"/>
      <c r="F26" s="76"/>
      <c r="G26" s="134">
        <v>40</v>
      </c>
      <c r="H26" s="135">
        <v>40</v>
      </c>
      <c r="I26" s="136">
        <v>40</v>
      </c>
      <c r="J26" s="134">
        <v>40</v>
      </c>
      <c r="K26" s="135">
        <v>40</v>
      </c>
      <c r="L26" s="137">
        <v>40</v>
      </c>
      <c r="M26" s="48">
        <f t="shared" si="47"/>
        <v>6</v>
      </c>
      <c r="N26" s="39">
        <f t="shared" si="18"/>
        <v>0</v>
      </c>
      <c r="O26" s="49">
        <f t="shared" si="1"/>
        <v>331.63</v>
      </c>
      <c r="P26" s="73">
        <f t="shared" si="48"/>
        <v>6</v>
      </c>
      <c r="Q26" s="40">
        <f t="shared" si="49"/>
        <v>6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46189</v>
      </c>
      <c r="B27" s="47">
        <v>23</v>
      </c>
      <c r="C27" s="57" t="s">
        <v>88</v>
      </c>
      <c r="D27" s="74">
        <v>80</v>
      </c>
      <c r="E27" s="75"/>
      <c r="F27" s="76"/>
      <c r="G27" s="134">
        <v>80</v>
      </c>
      <c r="H27" s="135">
        <v>80</v>
      </c>
      <c r="I27" s="136">
        <v>80</v>
      </c>
      <c r="J27" s="134">
        <v>80</v>
      </c>
      <c r="K27" s="135">
        <v>80</v>
      </c>
      <c r="L27" s="137">
        <v>80</v>
      </c>
      <c r="M27" s="48">
        <f t="shared" si="47"/>
        <v>14</v>
      </c>
      <c r="N27" s="39">
        <f t="shared" si="18"/>
        <v>0</v>
      </c>
      <c r="O27" s="49">
        <f t="shared" si="1"/>
        <v>331.63</v>
      </c>
      <c r="P27" s="73">
        <f t="shared" si="48"/>
        <v>12</v>
      </c>
      <c r="Q27" s="40">
        <f t="shared" si="49"/>
        <v>12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46189</v>
      </c>
      <c r="B28" s="47">
        <v>24</v>
      </c>
      <c r="C28" s="57" t="s">
        <v>89</v>
      </c>
      <c r="D28" s="74">
        <v>120</v>
      </c>
      <c r="E28" s="75"/>
      <c r="F28" s="76"/>
      <c r="G28" s="134">
        <v>120</v>
      </c>
      <c r="H28" s="135">
        <v>120</v>
      </c>
      <c r="I28" s="136">
        <v>120</v>
      </c>
      <c r="J28" s="134">
        <v>120</v>
      </c>
      <c r="K28" s="135">
        <v>120</v>
      </c>
      <c r="L28" s="137">
        <v>120</v>
      </c>
      <c r="M28" s="48">
        <f t="shared" ref="M28:M60" si="52">SUM(D28:L28)/40</f>
        <v>21</v>
      </c>
      <c r="N28" s="39">
        <f t="shared" si="18"/>
        <v>0</v>
      </c>
      <c r="O28" s="49">
        <f t="shared" si="1"/>
        <v>331.63</v>
      </c>
      <c r="P28" s="73">
        <f t="shared" ref="P28:P60" si="53">SUM(G28:I28)/20</f>
        <v>18</v>
      </c>
      <c r="Q28" s="40">
        <f t="shared" ref="Q28:Q60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46189</v>
      </c>
      <c r="B29" s="47">
        <v>25</v>
      </c>
      <c r="C29" s="57" t="s">
        <v>107</v>
      </c>
      <c r="D29" s="74"/>
      <c r="E29" s="75"/>
      <c r="F29" s="76"/>
      <c r="G29" s="134">
        <v>40</v>
      </c>
      <c r="H29" s="135">
        <v>40</v>
      </c>
      <c r="I29" s="136">
        <v>80</v>
      </c>
      <c r="J29" s="134">
        <v>40</v>
      </c>
      <c r="K29" s="135"/>
      <c r="L29" s="137">
        <v>80</v>
      </c>
      <c r="M29" s="48">
        <f t="shared" ref="M29" si="60">SUM(D29:L29)/40</f>
        <v>7</v>
      </c>
      <c r="N29" s="39">
        <f t="shared" si="18"/>
        <v>0</v>
      </c>
      <c r="O29" s="49">
        <f t="shared" si="1"/>
        <v>331.63</v>
      </c>
      <c r="P29" s="73">
        <f t="shared" ref="P29" si="61">SUM(G29:I29)/20</f>
        <v>8</v>
      </c>
      <c r="Q29" s="40">
        <f t="shared" ref="Q29" si="62">SUM(J29:L29)/20</f>
        <v>6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46190</v>
      </c>
      <c r="B30" s="47">
        <v>26</v>
      </c>
      <c r="C30" s="57" t="s">
        <v>44</v>
      </c>
      <c r="D30" s="74"/>
      <c r="E30" s="75"/>
      <c r="F30" s="76"/>
      <c r="G30" s="50">
        <v>80</v>
      </c>
      <c r="H30" s="75">
        <v>80</v>
      </c>
      <c r="I30" s="49">
        <v>200</v>
      </c>
      <c r="J30" s="50">
        <v>80</v>
      </c>
      <c r="K30" s="75">
        <v>80</v>
      </c>
      <c r="L30" s="76">
        <v>200</v>
      </c>
      <c r="M30" s="48">
        <f t="shared" si="52"/>
        <v>18</v>
      </c>
      <c r="N30" s="39">
        <f t="shared" si="18"/>
        <v>0</v>
      </c>
      <c r="O30" s="49">
        <f t="shared" si="1"/>
        <v>331.63</v>
      </c>
      <c r="P30" s="73">
        <f t="shared" si="53"/>
        <v>18</v>
      </c>
      <c r="Q30" s="40">
        <f t="shared" si="54"/>
        <v>18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46190</v>
      </c>
      <c r="B31" s="47">
        <v>27</v>
      </c>
      <c r="C31" s="57" t="s">
        <v>90</v>
      </c>
      <c r="D31" s="74"/>
      <c r="E31" s="75"/>
      <c r="F31" s="76"/>
      <c r="G31" s="50">
        <v>80</v>
      </c>
      <c r="H31" s="75">
        <v>80</v>
      </c>
      <c r="I31" s="49">
        <v>80</v>
      </c>
      <c r="J31" s="50">
        <v>80</v>
      </c>
      <c r="K31" s="75">
        <v>80</v>
      </c>
      <c r="L31" s="76">
        <v>80</v>
      </c>
      <c r="M31" s="48">
        <f t="shared" si="52"/>
        <v>12</v>
      </c>
      <c r="N31" s="39">
        <f t="shared" si="18"/>
        <v>0</v>
      </c>
      <c r="O31" s="49">
        <f t="shared" si="1"/>
        <v>331.63</v>
      </c>
      <c r="P31" s="73">
        <f t="shared" si="53"/>
        <v>12</v>
      </c>
      <c r="Q31" s="40">
        <f t="shared" si="54"/>
        <v>12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46190</v>
      </c>
      <c r="B32" s="47">
        <v>28</v>
      </c>
      <c r="C32" s="124" t="s">
        <v>94</v>
      </c>
      <c r="D32" s="125"/>
      <c r="E32" s="126"/>
      <c r="F32" s="127"/>
      <c r="G32" s="128">
        <v>40</v>
      </c>
      <c r="H32" s="126">
        <v>40</v>
      </c>
      <c r="I32" s="56">
        <v>80</v>
      </c>
      <c r="J32" s="128">
        <v>80</v>
      </c>
      <c r="K32" s="126">
        <v>120</v>
      </c>
      <c r="L32" s="127">
        <v>40</v>
      </c>
      <c r="M32" s="129">
        <f t="shared" si="52"/>
        <v>10</v>
      </c>
      <c r="N32" s="39">
        <f t="shared" si="18"/>
        <v>0</v>
      </c>
      <c r="O32" s="49">
        <f t="shared" si="1"/>
        <v>331.63</v>
      </c>
      <c r="P32" s="73">
        <f t="shared" si="53"/>
        <v>8</v>
      </c>
      <c r="Q32" s="40">
        <f t="shared" si="54"/>
        <v>12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46190</v>
      </c>
      <c r="B33" s="47">
        <v>29</v>
      </c>
      <c r="C33" s="57" t="s">
        <v>95</v>
      </c>
      <c r="D33" s="74"/>
      <c r="E33" s="75" t="s">
        <v>92</v>
      </c>
      <c r="F33" s="76"/>
      <c r="G33" s="50">
        <v>40</v>
      </c>
      <c r="H33" s="75">
        <v>40</v>
      </c>
      <c r="I33" s="49">
        <v>40</v>
      </c>
      <c r="J33" s="50">
        <v>40</v>
      </c>
      <c r="K33" s="75">
        <v>40</v>
      </c>
      <c r="L33" s="76">
        <v>40</v>
      </c>
      <c r="M33" s="48">
        <f t="shared" si="52"/>
        <v>6</v>
      </c>
      <c r="N33" s="39">
        <f t="shared" si="18"/>
        <v>0</v>
      </c>
      <c r="O33" s="49">
        <f t="shared" si="1"/>
        <v>331.63</v>
      </c>
      <c r="P33" s="73">
        <f t="shared" si="53"/>
        <v>6</v>
      </c>
      <c r="Q33" s="40">
        <f t="shared" si="54"/>
        <v>6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46190</v>
      </c>
      <c r="B34" s="47">
        <v>30</v>
      </c>
      <c r="C34" s="57" t="s">
        <v>96</v>
      </c>
      <c r="D34" s="74"/>
      <c r="E34" s="75"/>
      <c r="F34" s="76"/>
      <c r="G34" s="50">
        <v>40</v>
      </c>
      <c r="H34" s="75">
        <v>40</v>
      </c>
      <c r="I34" s="49">
        <v>40</v>
      </c>
      <c r="J34" s="50">
        <v>40</v>
      </c>
      <c r="K34" s="75">
        <v>40</v>
      </c>
      <c r="L34" s="76">
        <v>40</v>
      </c>
      <c r="M34" s="48">
        <f t="shared" ref="M34:M46" si="68">SUM(D34:L34)/40</f>
        <v>6</v>
      </c>
      <c r="N34" s="39">
        <f t="shared" si="18"/>
        <v>0</v>
      </c>
      <c r="O34" s="49">
        <f t="shared" si="1"/>
        <v>331.63</v>
      </c>
      <c r="P34" s="73">
        <f t="shared" ref="P34:P46" si="69">SUM(G34:I34)/20</f>
        <v>6</v>
      </c>
      <c r="Q34" s="40">
        <f t="shared" ref="Q34:Q46" si="70">SUM(J34:L34)/20</f>
        <v>6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46190</v>
      </c>
      <c r="B35" s="47">
        <v>31</v>
      </c>
      <c r="C35" s="57" t="s">
        <v>97</v>
      </c>
      <c r="D35" s="74"/>
      <c r="E35" s="75"/>
      <c r="F35" s="76"/>
      <c r="G35" s="50">
        <v>40</v>
      </c>
      <c r="H35" s="75">
        <v>40</v>
      </c>
      <c r="I35" s="49">
        <v>40</v>
      </c>
      <c r="J35" s="50">
        <v>40</v>
      </c>
      <c r="K35" s="75">
        <v>40</v>
      </c>
      <c r="L35" s="76">
        <v>40</v>
      </c>
      <c r="M35" s="48">
        <f t="shared" si="68"/>
        <v>6</v>
      </c>
      <c r="N35" s="39">
        <f t="shared" si="18"/>
        <v>0</v>
      </c>
      <c r="O35" s="49">
        <f t="shared" si="1"/>
        <v>331.63</v>
      </c>
      <c r="P35" s="73">
        <f t="shared" si="69"/>
        <v>6</v>
      </c>
      <c r="Q35" s="40">
        <f t="shared" si="70"/>
        <v>6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46190</v>
      </c>
      <c r="B36" s="47">
        <v>32</v>
      </c>
      <c r="C36" s="57" t="s">
        <v>98</v>
      </c>
      <c r="D36" s="74"/>
      <c r="E36" s="75"/>
      <c r="F36" s="76"/>
      <c r="G36" s="50">
        <v>40</v>
      </c>
      <c r="H36" s="75">
        <v>40</v>
      </c>
      <c r="I36" s="49">
        <v>40</v>
      </c>
      <c r="J36" s="50">
        <v>40</v>
      </c>
      <c r="K36" s="75">
        <v>40</v>
      </c>
      <c r="L36" s="76">
        <v>40</v>
      </c>
      <c r="M36" s="48">
        <f t="shared" si="68"/>
        <v>6</v>
      </c>
      <c r="N36" s="39">
        <f t="shared" si="18"/>
        <v>0</v>
      </c>
      <c r="O36" s="49">
        <f t="shared" si="1"/>
        <v>331.63</v>
      </c>
      <c r="P36" s="73">
        <f t="shared" si="69"/>
        <v>6</v>
      </c>
      <c r="Q36" s="40">
        <f t="shared" si="70"/>
        <v>6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46190</v>
      </c>
      <c r="B37" s="47">
        <v>33</v>
      </c>
      <c r="C37" s="57" t="s">
        <v>99</v>
      </c>
      <c r="D37" s="74"/>
      <c r="E37" s="75"/>
      <c r="F37" s="76"/>
      <c r="G37" s="50">
        <v>80</v>
      </c>
      <c r="H37" s="75">
        <v>80</v>
      </c>
      <c r="I37" s="49">
        <v>80</v>
      </c>
      <c r="J37" s="50">
        <v>80</v>
      </c>
      <c r="K37" s="75">
        <v>80</v>
      </c>
      <c r="L37" s="76">
        <v>80</v>
      </c>
      <c r="M37" s="48">
        <f t="shared" si="68"/>
        <v>12</v>
      </c>
      <c r="N37" s="39">
        <f t="shared" si="18"/>
        <v>0</v>
      </c>
      <c r="O37" s="49">
        <f t="shared" si="1"/>
        <v>331.63</v>
      </c>
      <c r="P37" s="73">
        <f t="shared" si="69"/>
        <v>12</v>
      </c>
      <c r="Q37" s="40">
        <f t="shared" si="70"/>
        <v>12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46190</v>
      </c>
      <c r="B38" s="47">
        <v>34</v>
      </c>
      <c r="C38" s="57" t="s">
        <v>100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331.63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46190</v>
      </c>
      <c r="B39" s="47">
        <v>35</v>
      </c>
      <c r="C39" s="57" t="s">
        <v>101</v>
      </c>
      <c r="D39" s="74"/>
      <c r="E39" s="75"/>
      <c r="F39" s="76"/>
      <c r="G39" s="50">
        <v>80</v>
      </c>
      <c r="H39" s="75">
        <v>80</v>
      </c>
      <c r="I39" s="49">
        <v>80</v>
      </c>
      <c r="J39" s="50">
        <v>80</v>
      </c>
      <c r="K39" s="75">
        <v>80</v>
      </c>
      <c r="L39" s="76">
        <v>80</v>
      </c>
      <c r="M39" s="48">
        <f t="shared" si="68"/>
        <v>12</v>
      </c>
      <c r="N39" s="39">
        <f t="shared" si="18"/>
        <v>0</v>
      </c>
      <c r="O39" s="49">
        <f t="shared" si="1"/>
        <v>331.63</v>
      </c>
      <c r="P39" s="73">
        <f t="shared" si="69"/>
        <v>12</v>
      </c>
      <c r="Q39" s="40">
        <f t="shared" si="70"/>
        <v>12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46190</v>
      </c>
      <c r="B40" s="47">
        <v>36</v>
      </c>
      <c r="C40" s="57" t="s">
        <v>102</v>
      </c>
      <c r="D40" s="74"/>
      <c r="E40" s="75"/>
      <c r="F40" s="76"/>
      <c r="G40" s="50">
        <v>80</v>
      </c>
      <c r="H40" s="75">
        <v>80</v>
      </c>
      <c r="I40" s="49">
        <v>80</v>
      </c>
      <c r="J40" s="50">
        <v>80</v>
      </c>
      <c r="K40" s="75">
        <v>80</v>
      </c>
      <c r="L40" s="76">
        <v>80</v>
      </c>
      <c r="M40" s="48">
        <f t="shared" si="68"/>
        <v>12</v>
      </c>
      <c r="N40" s="39">
        <f t="shared" si="18"/>
        <v>0</v>
      </c>
      <c r="O40" s="49">
        <f t="shared" si="1"/>
        <v>331.63</v>
      </c>
      <c r="P40" s="73">
        <f t="shared" si="69"/>
        <v>12</v>
      </c>
      <c r="Q40" s="40">
        <f t="shared" si="70"/>
        <v>12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46190</v>
      </c>
      <c r="B41" s="47">
        <v>37</v>
      </c>
      <c r="C41" s="57" t="s">
        <v>103</v>
      </c>
      <c r="D41" s="74"/>
      <c r="E41" s="75"/>
      <c r="F41" s="76"/>
      <c r="G41" s="50">
        <v>40</v>
      </c>
      <c r="H41" s="75">
        <v>40</v>
      </c>
      <c r="I41" s="49">
        <v>40</v>
      </c>
      <c r="J41" s="50">
        <v>40</v>
      </c>
      <c r="K41" s="75">
        <v>40</v>
      </c>
      <c r="L41" s="76">
        <v>40</v>
      </c>
      <c r="M41" s="48">
        <f t="shared" si="68"/>
        <v>6</v>
      </c>
      <c r="N41" s="39">
        <f t="shared" si="18"/>
        <v>0</v>
      </c>
      <c r="O41" s="49">
        <f t="shared" si="1"/>
        <v>331.63</v>
      </c>
      <c r="P41" s="73">
        <f t="shared" si="69"/>
        <v>6</v>
      </c>
      <c r="Q41" s="40">
        <f t="shared" si="70"/>
        <v>6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46190</v>
      </c>
      <c r="B42" s="47">
        <v>38</v>
      </c>
      <c r="C42" s="57" t="s">
        <v>104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331.63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46190</v>
      </c>
      <c r="B43" s="47">
        <v>39</v>
      </c>
      <c r="C43" s="57" t="s">
        <v>105</v>
      </c>
      <c r="D43" s="74"/>
      <c r="E43" s="75"/>
      <c r="F43" s="76"/>
      <c r="G43" s="50">
        <v>40</v>
      </c>
      <c r="H43" s="75">
        <v>40</v>
      </c>
      <c r="I43" s="49">
        <v>40</v>
      </c>
      <c r="J43" s="50">
        <v>40</v>
      </c>
      <c r="K43" s="75">
        <v>40</v>
      </c>
      <c r="L43" s="76">
        <v>40</v>
      </c>
      <c r="M43" s="48">
        <f t="shared" si="68"/>
        <v>6</v>
      </c>
      <c r="N43" s="39">
        <f t="shared" si="18"/>
        <v>0</v>
      </c>
      <c r="O43" s="49">
        <f t="shared" si="1"/>
        <v>331.63</v>
      </c>
      <c r="P43" s="73">
        <f t="shared" si="69"/>
        <v>6</v>
      </c>
      <c r="Q43" s="40">
        <f t="shared" si="70"/>
        <v>6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46190</v>
      </c>
      <c r="B44" s="47">
        <v>40</v>
      </c>
      <c r="C44" s="57" t="s">
        <v>106</v>
      </c>
      <c r="D44" s="74"/>
      <c r="E44" s="75"/>
      <c r="F44" s="76"/>
      <c r="G44" s="50">
        <v>80</v>
      </c>
      <c r="H44" s="75">
        <v>80</v>
      </c>
      <c r="I44" s="49">
        <v>80</v>
      </c>
      <c r="J44" s="50">
        <v>80</v>
      </c>
      <c r="K44" s="75">
        <v>80</v>
      </c>
      <c r="L44" s="76">
        <v>80</v>
      </c>
      <c r="M44" s="48">
        <f t="shared" si="68"/>
        <v>12</v>
      </c>
      <c r="N44" s="39">
        <f t="shared" si="18"/>
        <v>0</v>
      </c>
      <c r="O44" s="49">
        <f t="shared" si="1"/>
        <v>331.63</v>
      </c>
      <c r="P44" s="73">
        <f t="shared" si="69"/>
        <v>12</v>
      </c>
      <c r="Q44" s="40">
        <f t="shared" si="70"/>
        <v>12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46191</v>
      </c>
      <c r="B45" s="47">
        <v>41</v>
      </c>
      <c r="C45" s="57" t="s">
        <v>112</v>
      </c>
      <c r="D45" s="74"/>
      <c r="E45" s="75"/>
      <c r="F45" s="76"/>
      <c r="G45" s="50">
        <v>280</v>
      </c>
      <c r="H45" s="75">
        <v>600</v>
      </c>
      <c r="I45" s="49">
        <v>600</v>
      </c>
      <c r="J45" s="50">
        <v>520</v>
      </c>
      <c r="K45" s="75">
        <v>760</v>
      </c>
      <c r="L45" s="76">
        <v>760</v>
      </c>
      <c r="M45" s="48">
        <f t="shared" si="68"/>
        <v>88</v>
      </c>
      <c r="N45" s="39">
        <f t="shared" si="18"/>
        <v>0</v>
      </c>
      <c r="O45" s="49">
        <f t="shared" si="1"/>
        <v>331.63</v>
      </c>
      <c r="P45" s="73">
        <f t="shared" si="69"/>
        <v>74</v>
      </c>
      <c r="Q45" s="40">
        <f t="shared" si="70"/>
        <v>102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46191</v>
      </c>
      <c r="B46" s="47">
        <v>42</v>
      </c>
      <c r="C46" s="57" t="s">
        <v>114</v>
      </c>
      <c r="D46" s="74"/>
      <c r="E46" s="75"/>
      <c r="F46" s="76"/>
      <c r="G46" s="50">
        <v>40</v>
      </c>
      <c r="H46" s="75">
        <v>40</v>
      </c>
      <c r="I46" s="49">
        <v>40</v>
      </c>
      <c r="J46" s="50">
        <v>40</v>
      </c>
      <c r="K46" s="75">
        <v>40</v>
      </c>
      <c r="L46" s="76">
        <v>40</v>
      </c>
      <c r="M46" s="48">
        <f t="shared" si="68"/>
        <v>6</v>
      </c>
      <c r="N46" s="39">
        <f t="shared" si="18"/>
        <v>0</v>
      </c>
      <c r="O46" s="49">
        <f t="shared" si="1"/>
        <v>331.63</v>
      </c>
      <c r="P46" s="73">
        <f t="shared" si="69"/>
        <v>6</v>
      </c>
      <c r="Q46" s="40">
        <f t="shared" si="70"/>
        <v>6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46191</v>
      </c>
      <c r="B47" s="47">
        <v>43</v>
      </c>
      <c r="C47" s="57" t="s">
        <v>115</v>
      </c>
      <c r="D47" s="74"/>
      <c r="E47" s="75"/>
      <c r="F47" s="76"/>
      <c r="G47" s="50">
        <v>40</v>
      </c>
      <c r="H47" s="75">
        <v>40</v>
      </c>
      <c r="I47" s="49">
        <v>40</v>
      </c>
      <c r="J47" s="50">
        <v>40</v>
      </c>
      <c r="K47" s="75">
        <v>40</v>
      </c>
      <c r="L47" s="76">
        <v>40</v>
      </c>
      <c r="M47" s="48">
        <f t="shared" ref="M47:M59" si="76">SUM(D47:L47)/40</f>
        <v>6</v>
      </c>
      <c r="N47" s="39">
        <f t="shared" si="18"/>
        <v>0</v>
      </c>
      <c r="O47" s="49">
        <f t="shared" si="1"/>
        <v>331.63</v>
      </c>
      <c r="P47" s="73">
        <f t="shared" ref="P47:P59" si="77">SUM(G47:I47)/20</f>
        <v>6</v>
      </c>
      <c r="Q47" s="40">
        <f t="shared" ref="Q47:Q59" si="78">SUM(J47:L47)/20</f>
        <v>6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46191</v>
      </c>
      <c r="B48" s="47">
        <v>44</v>
      </c>
      <c r="C48" s="57" t="s">
        <v>116</v>
      </c>
      <c r="D48" s="74"/>
      <c r="E48" s="75"/>
      <c r="F48" s="76"/>
      <c r="G48" s="50">
        <v>40</v>
      </c>
      <c r="H48" s="75">
        <v>40</v>
      </c>
      <c r="I48" s="49">
        <v>40</v>
      </c>
      <c r="J48" s="50">
        <v>40</v>
      </c>
      <c r="K48" s="75">
        <v>40</v>
      </c>
      <c r="L48" s="76">
        <v>40</v>
      </c>
      <c r="M48" s="48">
        <f t="shared" si="76"/>
        <v>6</v>
      </c>
      <c r="N48" s="39">
        <f t="shared" si="18"/>
        <v>0</v>
      </c>
      <c r="O48" s="49">
        <f t="shared" si="1"/>
        <v>331.63</v>
      </c>
      <c r="P48" s="73">
        <f t="shared" si="77"/>
        <v>6</v>
      </c>
      <c r="Q48" s="40">
        <f t="shared" si="78"/>
        <v>6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46191</v>
      </c>
      <c r="B49" s="47">
        <v>45</v>
      </c>
      <c r="C49" s="57" t="s">
        <v>117</v>
      </c>
      <c r="D49" s="74"/>
      <c r="E49" s="75"/>
      <c r="F49" s="76"/>
      <c r="G49" s="50">
        <v>40</v>
      </c>
      <c r="H49" s="75">
        <v>40</v>
      </c>
      <c r="I49" s="49">
        <v>40</v>
      </c>
      <c r="J49" s="50">
        <v>40</v>
      </c>
      <c r="K49" s="75">
        <v>40</v>
      </c>
      <c r="L49" s="76">
        <v>40</v>
      </c>
      <c r="M49" s="48">
        <f t="shared" si="76"/>
        <v>6</v>
      </c>
      <c r="N49" s="39">
        <f t="shared" si="18"/>
        <v>0</v>
      </c>
      <c r="O49" s="49">
        <f t="shared" si="1"/>
        <v>331.63</v>
      </c>
      <c r="P49" s="73">
        <f t="shared" si="77"/>
        <v>6</v>
      </c>
      <c r="Q49" s="40">
        <f t="shared" si="78"/>
        <v>6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46191</v>
      </c>
      <c r="B50" s="47">
        <v>46</v>
      </c>
      <c r="C50" s="57" t="s">
        <v>118</v>
      </c>
      <c r="D50" s="74"/>
      <c r="E50" s="75"/>
      <c r="F50" s="76"/>
      <c r="G50" s="50">
        <v>40</v>
      </c>
      <c r="H50" s="75">
        <v>40</v>
      </c>
      <c r="I50" s="49">
        <v>40</v>
      </c>
      <c r="J50" s="50">
        <v>40</v>
      </c>
      <c r="K50" s="75">
        <v>40</v>
      </c>
      <c r="L50" s="76">
        <v>40</v>
      </c>
      <c r="M50" s="48">
        <f t="shared" si="76"/>
        <v>6</v>
      </c>
      <c r="N50" s="39">
        <f t="shared" si="18"/>
        <v>0</v>
      </c>
      <c r="O50" s="49">
        <f t="shared" si="1"/>
        <v>331.63</v>
      </c>
      <c r="P50" s="73">
        <f t="shared" si="77"/>
        <v>6</v>
      </c>
      <c r="Q50" s="40">
        <f t="shared" si="78"/>
        <v>6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46191</v>
      </c>
      <c r="B51" s="47">
        <v>47</v>
      </c>
      <c r="C51" s="57" t="s">
        <v>119</v>
      </c>
      <c r="D51" s="74"/>
      <c r="E51" s="75"/>
      <c r="F51" s="76"/>
      <c r="G51" s="50">
        <v>40</v>
      </c>
      <c r="H51" s="75">
        <v>40</v>
      </c>
      <c r="I51" s="49">
        <v>40</v>
      </c>
      <c r="J51" s="50">
        <v>40</v>
      </c>
      <c r="K51" s="75">
        <v>40</v>
      </c>
      <c r="L51" s="76">
        <v>40</v>
      </c>
      <c r="M51" s="48">
        <f t="shared" si="76"/>
        <v>6</v>
      </c>
      <c r="N51" s="39">
        <f t="shared" si="18"/>
        <v>0</v>
      </c>
      <c r="O51" s="49">
        <f t="shared" si="1"/>
        <v>331.63</v>
      </c>
      <c r="P51" s="73">
        <f t="shared" si="77"/>
        <v>6</v>
      </c>
      <c r="Q51" s="40">
        <f t="shared" si="78"/>
        <v>6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46191</v>
      </c>
      <c r="B52" s="47">
        <v>48</v>
      </c>
      <c r="C52" s="57" t="s">
        <v>120</v>
      </c>
      <c r="D52" s="74"/>
      <c r="E52" s="75"/>
      <c r="F52" s="76"/>
      <c r="G52" s="50">
        <v>40</v>
      </c>
      <c r="H52" s="75">
        <v>40</v>
      </c>
      <c r="I52" s="49">
        <v>40</v>
      </c>
      <c r="J52" s="50">
        <v>40</v>
      </c>
      <c r="K52" s="75">
        <v>40</v>
      </c>
      <c r="L52" s="76">
        <v>40</v>
      </c>
      <c r="M52" s="48">
        <f t="shared" si="76"/>
        <v>6</v>
      </c>
      <c r="N52" s="39">
        <f t="shared" si="18"/>
        <v>0</v>
      </c>
      <c r="O52" s="49">
        <f t="shared" si="1"/>
        <v>331.63</v>
      </c>
      <c r="P52" s="73">
        <f t="shared" si="77"/>
        <v>6</v>
      </c>
      <c r="Q52" s="40">
        <f t="shared" si="78"/>
        <v>6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46191</v>
      </c>
      <c r="B53" s="47">
        <v>49</v>
      </c>
      <c r="C53" s="57" t="s">
        <v>121</v>
      </c>
      <c r="D53" s="74"/>
      <c r="E53" s="75"/>
      <c r="F53" s="76"/>
      <c r="G53" s="50">
        <v>40</v>
      </c>
      <c r="H53" s="75">
        <v>40</v>
      </c>
      <c r="I53" s="49">
        <v>40</v>
      </c>
      <c r="J53" s="50">
        <v>40</v>
      </c>
      <c r="K53" s="75">
        <v>40</v>
      </c>
      <c r="L53" s="76">
        <v>40</v>
      </c>
      <c r="M53" s="48">
        <f t="shared" si="76"/>
        <v>6</v>
      </c>
      <c r="N53" s="39">
        <f t="shared" si="18"/>
        <v>0</v>
      </c>
      <c r="O53" s="49">
        <f t="shared" si="1"/>
        <v>331.63</v>
      </c>
      <c r="P53" s="73">
        <f t="shared" si="77"/>
        <v>6</v>
      </c>
      <c r="Q53" s="40">
        <f t="shared" si="78"/>
        <v>6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46191</v>
      </c>
      <c r="B54" s="47">
        <v>50</v>
      </c>
      <c r="C54" s="57" t="s">
        <v>122</v>
      </c>
      <c r="D54" s="74"/>
      <c r="E54" s="75"/>
      <c r="F54" s="76"/>
      <c r="G54" s="50">
        <v>40</v>
      </c>
      <c r="H54" s="75">
        <v>40</v>
      </c>
      <c r="I54" s="49">
        <v>40</v>
      </c>
      <c r="J54" s="50">
        <v>40</v>
      </c>
      <c r="K54" s="75">
        <v>40</v>
      </c>
      <c r="L54" s="76">
        <v>40</v>
      </c>
      <c r="M54" s="48">
        <f t="shared" si="76"/>
        <v>6</v>
      </c>
      <c r="N54" s="39">
        <f t="shared" si="18"/>
        <v>0</v>
      </c>
      <c r="O54" s="49">
        <f t="shared" si="1"/>
        <v>331.63</v>
      </c>
      <c r="P54" s="73">
        <f t="shared" si="77"/>
        <v>6</v>
      </c>
      <c r="Q54" s="40">
        <f t="shared" si="78"/>
        <v>6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46191</v>
      </c>
      <c r="B55" s="47">
        <v>51</v>
      </c>
      <c r="C55" s="57" t="s">
        <v>123</v>
      </c>
      <c r="D55" s="74"/>
      <c r="E55" s="75"/>
      <c r="F55" s="76"/>
      <c r="G55" s="50">
        <v>40</v>
      </c>
      <c r="H55" s="75">
        <v>40</v>
      </c>
      <c r="I55" s="49">
        <v>40</v>
      </c>
      <c r="J55" s="50">
        <v>40</v>
      </c>
      <c r="K55" s="75">
        <v>40</v>
      </c>
      <c r="L55" s="76">
        <v>40</v>
      </c>
      <c r="M55" s="48">
        <f t="shared" si="76"/>
        <v>6</v>
      </c>
      <c r="N55" s="39">
        <f t="shared" si="18"/>
        <v>0</v>
      </c>
      <c r="O55" s="49">
        <f t="shared" si="1"/>
        <v>331.63</v>
      </c>
      <c r="P55" s="73">
        <f t="shared" si="77"/>
        <v>6</v>
      </c>
      <c r="Q55" s="40">
        <f t="shared" si="78"/>
        <v>6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46191</v>
      </c>
      <c r="B56" s="47">
        <v>52</v>
      </c>
      <c r="C56" s="57" t="s">
        <v>124</v>
      </c>
      <c r="D56" s="74"/>
      <c r="E56" s="75"/>
      <c r="F56" s="76"/>
      <c r="G56" s="50">
        <v>40</v>
      </c>
      <c r="H56" s="75">
        <v>40</v>
      </c>
      <c r="I56" s="49">
        <v>40</v>
      </c>
      <c r="J56" s="50">
        <v>40</v>
      </c>
      <c r="K56" s="75">
        <v>40</v>
      </c>
      <c r="L56" s="76">
        <v>40</v>
      </c>
      <c r="M56" s="48">
        <f t="shared" si="76"/>
        <v>6</v>
      </c>
      <c r="N56" s="39">
        <f t="shared" si="18"/>
        <v>0</v>
      </c>
      <c r="O56" s="49">
        <f t="shared" si="1"/>
        <v>331.63</v>
      </c>
      <c r="P56" s="73">
        <f t="shared" si="77"/>
        <v>6</v>
      </c>
      <c r="Q56" s="40">
        <f t="shared" si="78"/>
        <v>6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46191</v>
      </c>
      <c r="B57" s="47">
        <v>53</v>
      </c>
      <c r="C57" s="57" t="s">
        <v>125</v>
      </c>
      <c r="D57" s="75"/>
      <c r="E57" s="75"/>
      <c r="F57" s="75"/>
      <c r="G57" s="75">
        <v>40</v>
      </c>
      <c r="H57" s="75">
        <v>40</v>
      </c>
      <c r="I57" s="153">
        <v>40</v>
      </c>
      <c r="J57" s="75">
        <v>40</v>
      </c>
      <c r="K57" s="75">
        <v>40</v>
      </c>
      <c r="L57" s="75">
        <v>40</v>
      </c>
      <c r="M57" s="152">
        <f t="shared" si="76"/>
        <v>6</v>
      </c>
      <c r="N57" s="39">
        <f t="shared" si="18"/>
        <v>0</v>
      </c>
      <c r="O57" s="49">
        <f t="shared" si="1"/>
        <v>331.63</v>
      </c>
      <c r="P57" s="73">
        <f t="shared" si="77"/>
        <v>6</v>
      </c>
      <c r="Q57" s="40">
        <f t="shared" si="78"/>
        <v>6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46191</v>
      </c>
      <c r="B58" s="47">
        <v>54</v>
      </c>
      <c r="C58" s="57" t="s">
        <v>126</v>
      </c>
      <c r="D58" s="75"/>
      <c r="E58" s="75"/>
      <c r="F58" s="75"/>
      <c r="G58" s="75">
        <v>40</v>
      </c>
      <c r="H58" s="75">
        <v>40</v>
      </c>
      <c r="I58" s="153">
        <v>40</v>
      </c>
      <c r="J58" s="75">
        <v>40</v>
      </c>
      <c r="K58" s="75">
        <v>40</v>
      </c>
      <c r="L58" s="75">
        <v>40</v>
      </c>
      <c r="M58" s="152">
        <f t="shared" si="76"/>
        <v>6</v>
      </c>
      <c r="N58" s="39">
        <f t="shared" si="18"/>
        <v>0</v>
      </c>
      <c r="O58" s="49">
        <f t="shared" si="1"/>
        <v>331.63</v>
      </c>
      <c r="P58" s="73">
        <f t="shared" si="77"/>
        <v>6</v>
      </c>
      <c r="Q58" s="40">
        <f t="shared" si="78"/>
        <v>6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46191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53">
        <v>40</v>
      </c>
      <c r="J59" s="75">
        <v>40</v>
      </c>
      <c r="K59" s="75">
        <v>40</v>
      </c>
      <c r="L59" s="75">
        <v>40</v>
      </c>
      <c r="M59" s="152">
        <f t="shared" si="76"/>
        <v>6</v>
      </c>
      <c r="N59" s="39">
        <f t="shared" si="18"/>
        <v>0</v>
      </c>
      <c r="O59" s="49">
        <f t="shared" si="1"/>
        <v>331.63</v>
      </c>
      <c r="P59" s="73">
        <f t="shared" si="77"/>
        <v>6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46191</v>
      </c>
      <c r="B60" s="47">
        <v>56</v>
      </c>
      <c r="C60" s="57" t="s">
        <v>128</v>
      </c>
      <c r="D60" s="75"/>
      <c r="E60" s="75"/>
      <c r="F60" s="75"/>
      <c r="G60" s="75">
        <v>800</v>
      </c>
      <c r="H60" s="75">
        <v>1200</v>
      </c>
      <c r="I60" s="153">
        <v>2800</v>
      </c>
      <c r="J60" s="75">
        <v>1800</v>
      </c>
      <c r="K60" s="75">
        <v>1200</v>
      </c>
      <c r="L60" s="75">
        <v>3600</v>
      </c>
      <c r="M60" s="152">
        <f t="shared" si="52"/>
        <v>285</v>
      </c>
      <c r="N60" s="39">
        <f t="shared" si="18"/>
        <v>0</v>
      </c>
      <c r="O60" s="49">
        <f t="shared" si="1"/>
        <v>331.63</v>
      </c>
      <c r="P60" s="73">
        <f t="shared" si="53"/>
        <v>240</v>
      </c>
      <c r="Q60" s="40">
        <f t="shared" si="54"/>
        <v>330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46192</v>
      </c>
      <c r="B61" s="47">
        <v>57</v>
      </c>
      <c r="C61" s="151" t="s">
        <v>140</v>
      </c>
      <c r="D61" s="75"/>
      <c r="E61" s="75"/>
      <c r="F61" s="75"/>
      <c r="G61" s="75">
        <v>80</v>
      </c>
      <c r="H61" s="75">
        <v>0</v>
      </c>
      <c r="I61" s="153">
        <v>200</v>
      </c>
      <c r="J61" s="75">
        <v>200</v>
      </c>
      <c r="K61" s="75">
        <v>0</v>
      </c>
      <c r="L61" s="75">
        <v>400</v>
      </c>
      <c r="M61" s="152">
        <f t="shared" ref="M61:M84" si="81">SUM(D61:L61)/40</f>
        <v>22</v>
      </c>
      <c r="N61" s="39">
        <f t="shared" si="18"/>
        <v>0</v>
      </c>
      <c r="O61" s="49">
        <f t="shared" si="1"/>
        <v>331.63</v>
      </c>
      <c r="P61" s="73">
        <f t="shared" ref="P61:P84" si="82">SUM(G61:I61)/20</f>
        <v>14</v>
      </c>
      <c r="Q61" s="40">
        <f t="shared" ref="Q61:Q84" si="83">SUM(J61:L61)/20</f>
        <v>30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84" si="84">SUM(R61:T61)</f>
        <v>#VALUE!</v>
      </c>
      <c r="V61" s="54" t="e">
        <f t="shared" ref="V61:V84" si="85">SUM(D61:F61)*$V$3</f>
        <v>#VALUE!</v>
      </c>
      <c r="W61" s="55">
        <f t="shared" ref="W61:W84" si="86">SUM(G61:I61)*$W$3</f>
        <v>0</v>
      </c>
      <c r="X61" s="55">
        <f t="shared" ref="X61:X84" si="87">SUM(J61:L61)*$X$3</f>
        <v>0</v>
      </c>
      <c r="Y61" s="56" t="e">
        <f t="shared" ref="Y61:Y84" si="88">SUM(V61:X61)</f>
        <v>#VALUE!</v>
      </c>
    </row>
    <row r="62" spans="1:25" x14ac:dyDescent="0.35">
      <c r="A62" s="78">
        <v>46192</v>
      </c>
      <c r="B62" s="47">
        <v>58</v>
      </c>
      <c r="C62" s="151" t="s">
        <v>141</v>
      </c>
      <c r="D62" s="75"/>
      <c r="E62" s="75"/>
      <c r="F62" s="75"/>
      <c r="G62" s="75">
        <v>80</v>
      </c>
      <c r="H62" s="75">
        <v>80</v>
      </c>
      <c r="I62" s="153">
        <v>200</v>
      </c>
      <c r="J62" s="75">
        <v>120</v>
      </c>
      <c r="K62" s="75">
        <v>120</v>
      </c>
      <c r="L62" s="75">
        <v>200</v>
      </c>
      <c r="M62" s="152">
        <f t="shared" si="81"/>
        <v>20</v>
      </c>
      <c r="N62" s="39">
        <f t="shared" si="18"/>
        <v>0</v>
      </c>
      <c r="O62" s="49">
        <f t="shared" si="1"/>
        <v>331.63</v>
      </c>
      <c r="P62" s="73">
        <f t="shared" si="82"/>
        <v>18</v>
      </c>
      <c r="Q62" s="40">
        <f t="shared" si="83"/>
        <v>22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46192</v>
      </c>
      <c r="B63" s="47">
        <v>59</v>
      </c>
      <c r="C63" s="151" t="s">
        <v>142</v>
      </c>
      <c r="D63" s="75"/>
      <c r="E63" s="75"/>
      <c r="F63" s="75"/>
      <c r="G63" s="75">
        <v>40</v>
      </c>
      <c r="H63" s="75">
        <v>40</v>
      </c>
      <c r="I63" s="153">
        <v>40</v>
      </c>
      <c r="J63" s="75">
        <v>40</v>
      </c>
      <c r="K63" s="75">
        <v>40</v>
      </c>
      <c r="L63" s="75">
        <v>40</v>
      </c>
      <c r="M63" s="152">
        <f t="shared" si="81"/>
        <v>6</v>
      </c>
      <c r="N63" s="39">
        <f t="shared" si="18"/>
        <v>0</v>
      </c>
      <c r="O63" s="49">
        <f t="shared" si="1"/>
        <v>331.63</v>
      </c>
      <c r="P63" s="73">
        <f t="shared" si="82"/>
        <v>6</v>
      </c>
      <c r="Q63" s="40">
        <f t="shared" si="83"/>
        <v>6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46192</v>
      </c>
      <c r="B64" s="47">
        <v>60</v>
      </c>
      <c r="C64" s="151" t="s">
        <v>143</v>
      </c>
      <c r="D64" s="75"/>
      <c r="E64" s="75"/>
      <c r="F64" s="75"/>
      <c r="G64" s="75">
        <v>40</v>
      </c>
      <c r="H64" s="75">
        <v>40</v>
      </c>
      <c r="I64" s="153">
        <v>40</v>
      </c>
      <c r="J64" s="75">
        <v>40</v>
      </c>
      <c r="K64" s="75">
        <v>40</v>
      </c>
      <c r="L64" s="75">
        <v>40</v>
      </c>
      <c r="M64" s="152">
        <f t="shared" si="81"/>
        <v>6</v>
      </c>
      <c r="N64" s="39">
        <f t="shared" si="18"/>
        <v>0</v>
      </c>
      <c r="O64" s="49">
        <f t="shared" si="1"/>
        <v>331.63</v>
      </c>
      <c r="P64" s="73">
        <f t="shared" si="82"/>
        <v>6</v>
      </c>
      <c r="Q64" s="40">
        <f t="shared" si="83"/>
        <v>6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46192</v>
      </c>
      <c r="B65" s="47">
        <v>61</v>
      </c>
      <c r="C65" s="151" t="s">
        <v>144</v>
      </c>
      <c r="D65" s="75"/>
      <c r="E65" s="75"/>
      <c r="F65" s="75"/>
      <c r="G65" s="75">
        <v>40</v>
      </c>
      <c r="H65" s="75">
        <v>40</v>
      </c>
      <c r="I65" s="153">
        <v>40</v>
      </c>
      <c r="J65" s="75">
        <v>40</v>
      </c>
      <c r="K65" s="75">
        <v>40</v>
      </c>
      <c r="L65" s="75">
        <v>40</v>
      </c>
      <c r="M65" s="152">
        <f t="shared" si="81"/>
        <v>6</v>
      </c>
      <c r="N65" s="39">
        <f t="shared" si="18"/>
        <v>0</v>
      </c>
      <c r="O65" s="49">
        <f t="shared" si="1"/>
        <v>331.63</v>
      </c>
      <c r="P65" s="73">
        <f t="shared" si="82"/>
        <v>6</v>
      </c>
      <c r="Q65" s="40">
        <f t="shared" si="83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46192</v>
      </c>
      <c r="B66" s="47">
        <v>62</v>
      </c>
      <c r="C66" s="151" t="s">
        <v>145</v>
      </c>
      <c r="D66" s="75"/>
      <c r="E66" s="75"/>
      <c r="F66" s="75"/>
      <c r="G66" s="75">
        <v>80</v>
      </c>
      <c r="H66" s="75">
        <v>80</v>
      </c>
      <c r="I66" s="153">
        <v>80</v>
      </c>
      <c r="J66" s="75">
        <v>80</v>
      </c>
      <c r="K66" s="75">
        <v>80</v>
      </c>
      <c r="L66" s="75">
        <v>80</v>
      </c>
      <c r="M66" s="152">
        <f t="shared" si="81"/>
        <v>12</v>
      </c>
      <c r="N66" s="39">
        <f t="shared" si="18"/>
        <v>0</v>
      </c>
      <c r="O66" s="49">
        <f t="shared" si="1"/>
        <v>331.63</v>
      </c>
      <c r="P66" s="73">
        <f t="shared" si="82"/>
        <v>12</v>
      </c>
      <c r="Q66" s="40">
        <f t="shared" si="83"/>
        <v>12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46192</v>
      </c>
      <c r="B67" s="47">
        <v>63</v>
      </c>
      <c r="C67" s="151" t="s">
        <v>146</v>
      </c>
      <c r="D67" s="75"/>
      <c r="E67" s="75"/>
      <c r="F67" s="75"/>
      <c r="G67" s="75">
        <v>40</v>
      </c>
      <c r="H67" s="75">
        <v>40</v>
      </c>
      <c r="I67" s="153">
        <v>40</v>
      </c>
      <c r="J67" s="75">
        <v>40</v>
      </c>
      <c r="K67" s="75">
        <v>40</v>
      </c>
      <c r="L67" s="75">
        <v>40</v>
      </c>
      <c r="M67" s="152">
        <f t="shared" si="81"/>
        <v>6</v>
      </c>
      <c r="N67" s="39">
        <f t="shared" si="18"/>
        <v>0</v>
      </c>
      <c r="O67" s="49">
        <f t="shared" si="1"/>
        <v>331.63</v>
      </c>
      <c r="P67" s="73">
        <f t="shared" si="82"/>
        <v>6</v>
      </c>
      <c r="Q67" s="40">
        <f t="shared" si="83"/>
        <v>6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46192</v>
      </c>
      <c r="B68" s="47">
        <v>64</v>
      </c>
      <c r="C68" s="151" t="s">
        <v>147</v>
      </c>
      <c r="D68" s="75"/>
      <c r="E68" s="75"/>
      <c r="F68" s="75"/>
      <c r="G68" s="75">
        <v>40</v>
      </c>
      <c r="H68" s="75">
        <v>40</v>
      </c>
      <c r="I68" s="153">
        <v>40</v>
      </c>
      <c r="J68" s="75">
        <v>40</v>
      </c>
      <c r="K68" s="75">
        <v>40</v>
      </c>
      <c r="L68" s="75">
        <v>40</v>
      </c>
      <c r="M68" s="152">
        <f t="shared" si="81"/>
        <v>6</v>
      </c>
      <c r="N68" s="39">
        <f t="shared" si="18"/>
        <v>0</v>
      </c>
      <c r="O68" s="49">
        <f t="shared" si="1"/>
        <v>331.63</v>
      </c>
      <c r="P68" s="73">
        <f t="shared" si="82"/>
        <v>6</v>
      </c>
      <c r="Q68" s="40">
        <f t="shared" si="83"/>
        <v>6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46192</v>
      </c>
      <c r="B69" s="47">
        <v>65</v>
      </c>
      <c r="C69" s="151" t="s">
        <v>148</v>
      </c>
      <c r="D69" s="75"/>
      <c r="E69" s="75"/>
      <c r="F69" s="75"/>
      <c r="G69" s="75">
        <v>80</v>
      </c>
      <c r="H69" s="75">
        <v>80</v>
      </c>
      <c r="I69" s="153">
        <v>80</v>
      </c>
      <c r="J69" s="75">
        <v>80</v>
      </c>
      <c r="K69" s="75">
        <v>80</v>
      </c>
      <c r="L69" s="75">
        <v>80</v>
      </c>
      <c r="M69" s="152">
        <f t="shared" si="81"/>
        <v>12</v>
      </c>
      <c r="N69" s="39">
        <f t="shared" si="18"/>
        <v>0</v>
      </c>
      <c r="O69" s="49">
        <f t="shared" si="1"/>
        <v>331.63</v>
      </c>
      <c r="P69" s="73">
        <f t="shared" si="82"/>
        <v>12</v>
      </c>
      <c r="Q69" s="40">
        <f t="shared" si="83"/>
        <v>12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46192</v>
      </c>
      <c r="B70" s="47">
        <v>66</v>
      </c>
      <c r="C70" s="151" t="s">
        <v>149</v>
      </c>
      <c r="D70" s="75"/>
      <c r="E70" s="75"/>
      <c r="F70" s="75"/>
      <c r="G70" s="75">
        <v>40</v>
      </c>
      <c r="H70" s="75">
        <v>40</v>
      </c>
      <c r="I70" s="153">
        <v>40</v>
      </c>
      <c r="J70" s="75">
        <v>40</v>
      </c>
      <c r="K70" s="75">
        <v>40</v>
      </c>
      <c r="L70" s="75">
        <v>40</v>
      </c>
      <c r="M70" s="152">
        <f t="shared" si="81"/>
        <v>6</v>
      </c>
      <c r="N70" s="39">
        <f t="shared" si="18"/>
        <v>0</v>
      </c>
      <c r="O70" s="49">
        <f t="shared" si="1"/>
        <v>331.63</v>
      </c>
      <c r="P70" s="73">
        <f t="shared" si="82"/>
        <v>6</v>
      </c>
      <c r="Q70" s="40">
        <f t="shared" si="83"/>
        <v>6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46192</v>
      </c>
      <c r="B71" s="47">
        <v>67</v>
      </c>
      <c r="C71" s="151" t="s">
        <v>150</v>
      </c>
      <c r="D71" s="75"/>
      <c r="E71" s="75"/>
      <c r="F71" s="75"/>
      <c r="G71" s="75">
        <v>0</v>
      </c>
      <c r="H71" s="75">
        <v>0</v>
      </c>
      <c r="I71" s="153">
        <v>0</v>
      </c>
      <c r="J71" s="75">
        <v>0</v>
      </c>
      <c r="K71" s="75">
        <v>0</v>
      </c>
      <c r="L71" s="75">
        <v>0</v>
      </c>
      <c r="M71" s="152">
        <f t="shared" si="81"/>
        <v>0</v>
      </c>
      <c r="N71" s="39">
        <f t="shared" si="18"/>
        <v>0</v>
      </c>
      <c r="O71" s="49">
        <f t="shared" si="1"/>
        <v>331.63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46192</v>
      </c>
      <c r="B72" s="47">
        <v>68</v>
      </c>
      <c r="C72" s="151" t="s">
        <v>151</v>
      </c>
      <c r="D72" s="75"/>
      <c r="E72" s="75"/>
      <c r="F72" s="75"/>
      <c r="G72" s="75">
        <v>40</v>
      </c>
      <c r="H72" s="75">
        <v>40</v>
      </c>
      <c r="I72" s="153">
        <v>40</v>
      </c>
      <c r="J72" s="75">
        <v>40</v>
      </c>
      <c r="K72" s="75">
        <v>40</v>
      </c>
      <c r="L72" s="75">
        <v>40</v>
      </c>
      <c r="M72" s="152">
        <f t="shared" si="81"/>
        <v>6</v>
      </c>
      <c r="N72" s="39">
        <f t="shared" si="18"/>
        <v>0</v>
      </c>
      <c r="O72" s="49">
        <f t="shared" si="1"/>
        <v>331.63</v>
      </c>
      <c r="P72" s="73">
        <f t="shared" si="82"/>
        <v>6</v>
      </c>
      <c r="Q72" s="40">
        <f t="shared" si="83"/>
        <v>6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46192</v>
      </c>
      <c r="B73" s="47">
        <v>69</v>
      </c>
      <c r="C73" s="151" t="s">
        <v>152</v>
      </c>
      <c r="D73" s="75"/>
      <c r="E73" s="75"/>
      <c r="F73" s="75"/>
      <c r="G73" s="75">
        <v>40</v>
      </c>
      <c r="H73" s="75">
        <v>40</v>
      </c>
      <c r="I73" s="153">
        <v>40</v>
      </c>
      <c r="J73" s="75">
        <v>40</v>
      </c>
      <c r="K73" s="75">
        <v>40</v>
      </c>
      <c r="L73" s="75">
        <v>40</v>
      </c>
      <c r="M73" s="152">
        <f t="shared" si="81"/>
        <v>6</v>
      </c>
      <c r="N73" s="39">
        <f t="shared" si="18"/>
        <v>0</v>
      </c>
      <c r="O73" s="49">
        <f t="shared" si="1"/>
        <v>331.63</v>
      </c>
      <c r="P73" s="73">
        <f t="shared" si="82"/>
        <v>6</v>
      </c>
      <c r="Q73" s="40">
        <f t="shared" si="83"/>
        <v>6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46192</v>
      </c>
      <c r="B74" s="47">
        <v>70</v>
      </c>
      <c r="C74" s="158" t="s">
        <v>153</v>
      </c>
      <c r="D74" s="75"/>
      <c r="E74" s="75"/>
      <c r="F74" s="50"/>
      <c r="G74" s="75">
        <v>40</v>
      </c>
      <c r="H74" s="75">
        <v>40</v>
      </c>
      <c r="I74" s="153">
        <v>40</v>
      </c>
      <c r="J74" s="75">
        <v>40</v>
      </c>
      <c r="K74" s="75">
        <v>40</v>
      </c>
      <c r="L74" s="75">
        <v>40</v>
      </c>
      <c r="M74" s="152">
        <f t="shared" si="81"/>
        <v>6</v>
      </c>
      <c r="N74" s="39">
        <f t="shared" si="18"/>
        <v>0</v>
      </c>
      <c r="O74" s="49">
        <f t="shared" si="1"/>
        <v>331.63</v>
      </c>
      <c r="P74" s="73">
        <f t="shared" si="82"/>
        <v>6</v>
      </c>
      <c r="Q74" s="40">
        <f t="shared" si="83"/>
        <v>6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>
        <v>46192</v>
      </c>
      <c r="B75" s="47">
        <v>71</v>
      </c>
      <c r="C75" s="158" t="s">
        <v>154</v>
      </c>
      <c r="D75" s="75"/>
      <c r="E75" s="50"/>
      <c r="F75" s="50"/>
      <c r="G75" s="75">
        <v>40</v>
      </c>
      <c r="H75" s="75">
        <v>40</v>
      </c>
      <c r="I75" s="153">
        <v>40</v>
      </c>
      <c r="J75" s="75">
        <v>40</v>
      </c>
      <c r="K75" s="75">
        <v>40</v>
      </c>
      <c r="L75" s="75">
        <v>40</v>
      </c>
      <c r="M75" s="152">
        <f t="shared" si="81"/>
        <v>6</v>
      </c>
      <c r="N75" s="39">
        <f t="shared" si="18"/>
        <v>0</v>
      </c>
      <c r="O75" s="49">
        <f t="shared" si="1"/>
        <v>331.63</v>
      </c>
      <c r="P75" s="73">
        <f t="shared" si="82"/>
        <v>6</v>
      </c>
      <c r="Q75" s="40">
        <f t="shared" si="83"/>
        <v>6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>
        <v>46192</v>
      </c>
      <c r="B76" s="47">
        <v>72</v>
      </c>
      <c r="C76" s="158" t="s">
        <v>155</v>
      </c>
      <c r="D76" s="75"/>
      <c r="E76" s="50"/>
      <c r="F76" s="50"/>
      <c r="G76" s="75">
        <v>40</v>
      </c>
      <c r="H76" s="75">
        <v>40</v>
      </c>
      <c r="I76" s="153">
        <v>40</v>
      </c>
      <c r="J76" s="75">
        <v>40</v>
      </c>
      <c r="K76" s="75">
        <v>40</v>
      </c>
      <c r="L76" s="75">
        <v>40</v>
      </c>
      <c r="M76" s="152">
        <f t="shared" si="81"/>
        <v>6</v>
      </c>
      <c r="N76" s="39">
        <f t="shared" si="18"/>
        <v>0</v>
      </c>
      <c r="O76" s="49">
        <f t="shared" si="1"/>
        <v>331.63</v>
      </c>
      <c r="P76" s="73">
        <f t="shared" si="82"/>
        <v>6</v>
      </c>
      <c r="Q76" s="40">
        <f t="shared" si="83"/>
        <v>6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>
        <v>46192</v>
      </c>
      <c r="B77" s="47">
        <v>73</v>
      </c>
      <c r="C77" s="158" t="s">
        <v>156</v>
      </c>
      <c r="D77" s="75"/>
      <c r="E77" s="50"/>
      <c r="F77" s="50"/>
      <c r="G77" s="50">
        <v>0</v>
      </c>
      <c r="H77" s="50">
        <v>0</v>
      </c>
      <c r="I77" s="152">
        <v>0</v>
      </c>
      <c r="J77" s="50">
        <v>0</v>
      </c>
      <c r="K77" s="50">
        <v>0</v>
      </c>
      <c r="L77" s="50">
        <v>0</v>
      </c>
      <c r="M77" s="152">
        <f t="shared" si="81"/>
        <v>0</v>
      </c>
      <c r="N77" s="39">
        <f t="shared" si="18"/>
        <v>0</v>
      </c>
      <c r="O77" s="49">
        <f t="shared" si="1"/>
        <v>331.63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>
        <v>46192</v>
      </c>
      <c r="B78" s="47">
        <v>74</v>
      </c>
      <c r="C78" s="158" t="s">
        <v>157</v>
      </c>
      <c r="D78" s="75"/>
      <c r="E78" s="50"/>
      <c r="F78" s="50"/>
      <c r="G78" s="50">
        <v>0</v>
      </c>
      <c r="H78" s="50">
        <v>0</v>
      </c>
      <c r="I78" s="152">
        <v>0</v>
      </c>
      <c r="J78" s="50">
        <v>0</v>
      </c>
      <c r="K78" s="50">
        <v>0</v>
      </c>
      <c r="L78" s="50">
        <v>0</v>
      </c>
      <c r="M78" s="152">
        <f t="shared" si="81"/>
        <v>0</v>
      </c>
      <c r="N78" s="39">
        <f t="shared" si="18"/>
        <v>0</v>
      </c>
      <c r="O78" s="49">
        <f t="shared" si="1"/>
        <v>331.63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50" t="s">
        <v>165</v>
      </c>
      <c r="D79" s="146"/>
      <c r="E79" s="146"/>
      <c r="F79" s="146"/>
      <c r="G79" s="146">
        <v>314</v>
      </c>
      <c r="H79" s="146">
        <v>353</v>
      </c>
      <c r="I79" s="159">
        <v>388</v>
      </c>
      <c r="J79" s="146">
        <v>350</v>
      </c>
      <c r="K79" s="146">
        <v>311</v>
      </c>
      <c r="L79" s="146">
        <v>396</v>
      </c>
      <c r="M79" s="159">
        <f t="shared" si="81"/>
        <v>52.8</v>
      </c>
      <c r="N79" s="39">
        <f t="shared" si="18"/>
        <v>0</v>
      </c>
      <c r="O79" s="49">
        <f t="shared" si="1"/>
        <v>331.63</v>
      </c>
      <c r="P79" s="73">
        <f t="shared" ref="P79:P83" si="89">SUM(G79:I79)/20</f>
        <v>52.75</v>
      </c>
      <c r="Q79" s="40">
        <f t="shared" ref="Q79:Q83" si="90">SUM(J79:L79)/20</f>
        <v>52.85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50" t="s">
        <v>166</v>
      </c>
      <c r="D80" s="146">
        <v>40</v>
      </c>
      <c r="E80" s="146"/>
      <c r="F80" s="146"/>
      <c r="G80" s="146">
        <v>40</v>
      </c>
      <c r="H80" s="146">
        <v>0</v>
      </c>
      <c r="I80" s="159">
        <v>120</v>
      </c>
      <c r="J80" s="146">
        <v>200</v>
      </c>
      <c r="K80" s="146">
        <v>0</v>
      </c>
      <c r="L80" s="146">
        <v>200</v>
      </c>
      <c r="M80" s="159">
        <f t="shared" si="81"/>
        <v>15</v>
      </c>
      <c r="N80" s="39">
        <f t="shared" si="18"/>
        <v>0</v>
      </c>
      <c r="O80" s="49">
        <f t="shared" si="1"/>
        <v>331.63</v>
      </c>
      <c r="P80" s="73">
        <f t="shared" si="89"/>
        <v>8</v>
      </c>
      <c r="Q80" s="40">
        <f t="shared" si="90"/>
        <v>20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51"/>
      <c r="D81" s="50"/>
      <c r="E81" s="50"/>
      <c r="F81" s="50"/>
      <c r="G81" s="50"/>
      <c r="H81" s="50"/>
      <c r="I81" s="152"/>
      <c r="J81" s="50"/>
      <c r="K81" s="50"/>
      <c r="L81" s="50"/>
      <c r="M81" s="152"/>
      <c r="N81" s="39">
        <f t="shared" si="18"/>
        <v>0</v>
      </c>
      <c r="O81" s="49">
        <f t="shared" si="1"/>
        <v>331.63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51"/>
      <c r="D82" s="50"/>
      <c r="E82" s="50"/>
      <c r="F82" s="50"/>
      <c r="G82" s="50"/>
      <c r="H82" s="50"/>
      <c r="I82" s="152"/>
      <c r="J82" s="50"/>
      <c r="K82" s="50"/>
      <c r="L82" s="50"/>
      <c r="M82" s="152"/>
      <c r="N82" s="39">
        <f t="shared" si="18"/>
        <v>0</v>
      </c>
      <c r="O82" s="49">
        <f t="shared" si="1"/>
        <v>331.63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51"/>
      <c r="D83" s="50"/>
      <c r="E83" s="50"/>
      <c r="F83" s="50"/>
      <c r="G83" s="50"/>
      <c r="H83" s="50"/>
      <c r="I83" s="152"/>
      <c r="J83" s="50"/>
      <c r="K83" s="50"/>
      <c r="L83" s="50"/>
      <c r="M83" s="152"/>
      <c r="N83" s="39">
        <f t="shared" si="18"/>
        <v>0</v>
      </c>
      <c r="O83" s="49">
        <f t="shared" si="1"/>
        <v>331.63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51"/>
      <c r="D84" s="50"/>
      <c r="E84" s="50"/>
      <c r="F84" s="50"/>
      <c r="G84" s="50"/>
      <c r="H84" s="50"/>
      <c r="I84" s="152"/>
      <c r="J84" s="50"/>
      <c r="K84" s="50"/>
      <c r="L84" s="50"/>
      <c r="M84" s="152">
        <f t="shared" si="81"/>
        <v>0</v>
      </c>
      <c r="N84" s="39">
        <f t="shared" si="18"/>
        <v>0</v>
      </c>
      <c r="O84" s="49">
        <f t="shared" si="1"/>
        <v>331.63</v>
      </c>
      <c r="P84" s="73">
        <f t="shared" si="82"/>
        <v>0</v>
      </c>
      <c r="Q84" s="40">
        <f t="shared" si="83"/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84"/>
        <v>#VALUE!</v>
      </c>
      <c r="V84" s="54" t="e">
        <f t="shared" si="85"/>
        <v>#VALUE!</v>
      </c>
      <c r="W84" s="55">
        <f t="shared" si="86"/>
        <v>0</v>
      </c>
      <c r="X84" s="55">
        <f t="shared" si="87"/>
        <v>0</v>
      </c>
      <c r="Y84" s="56" t="e">
        <f t="shared" si="88"/>
        <v>#VALUE!</v>
      </c>
    </row>
    <row r="85" spans="1:25" x14ac:dyDescent="0.35">
      <c r="A85" s="78"/>
      <c r="B85" s="170" t="s">
        <v>11</v>
      </c>
      <c r="C85" s="171"/>
      <c r="D85" s="88">
        <f t="shared" ref="D85:L85" si="96">SUM(D6:D60)</f>
        <v>1320</v>
      </c>
      <c r="E85" s="88">
        <f t="shared" si="96"/>
        <v>0</v>
      </c>
      <c r="F85" s="88">
        <f t="shared" si="96"/>
        <v>0</v>
      </c>
      <c r="G85" s="88">
        <f t="shared" si="96"/>
        <v>7140</v>
      </c>
      <c r="H85" s="88">
        <f t="shared" si="96"/>
        <v>7657</v>
      </c>
      <c r="I85" s="88">
        <f t="shared" si="96"/>
        <v>10657</v>
      </c>
      <c r="J85" s="88">
        <f t="shared" si="96"/>
        <v>11297</v>
      </c>
      <c r="K85" s="88">
        <f t="shared" si="96"/>
        <v>9684</v>
      </c>
      <c r="L85" s="88">
        <f t="shared" si="96"/>
        <v>13219</v>
      </c>
      <c r="M85" s="48">
        <f t="shared" ref="M85:M88" si="97">SUM(D85:L85)/40</f>
        <v>1524.35</v>
      </c>
      <c r="N85" s="39">
        <f t="shared" si="18"/>
        <v>0</v>
      </c>
      <c r="O85" s="49">
        <f t="shared" si="1"/>
        <v>331.63</v>
      </c>
      <c r="P85" s="73">
        <f t="shared" ref="P85:P89" si="98">SUM(G85:I85)/20</f>
        <v>1272.7</v>
      </c>
      <c r="Q85" s="40">
        <f t="shared" ref="Q85:Q89" si="99">SUM(J85:L85)/20</f>
        <v>1710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19"/>
        <v>#VALUE!</v>
      </c>
      <c r="V85" s="54" t="e">
        <f t="shared" ref="V85:V89" si="100">SUM(D85:F85)*$V$3</f>
        <v>#VALUE!</v>
      </c>
      <c r="W85" s="55">
        <f t="shared" ref="W85:W89" si="101">SUM(G85:I85)*$W$3</f>
        <v>0</v>
      </c>
      <c r="X85" s="55">
        <f t="shared" ref="X85:X89" si="102">SUM(J85:L85)*$X$3</f>
        <v>0</v>
      </c>
      <c r="Y85" s="56" t="e">
        <f t="shared" si="44"/>
        <v>#VALUE!</v>
      </c>
    </row>
    <row r="86" spans="1:25" x14ac:dyDescent="0.35">
      <c r="A86" s="78"/>
      <c r="B86" s="118">
        <v>0</v>
      </c>
      <c r="C86" s="57" t="s">
        <v>91</v>
      </c>
      <c r="D86" s="119">
        <v>1600</v>
      </c>
      <c r="E86" s="120"/>
      <c r="F86" s="121"/>
      <c r="G86" s="120"/>
      <c r="H86" s="120"/>
      <c r="I86" s="121"/>
      <c r="J86" s="120">
        <v>520</v>
      </c>
      <c r="K86" s="120">
        <v>920</v>
      </c>
      <c r="L86" s="121">
        <v>960</v>
      </c>
      <c r="M86" s="122">
        <f>SUM(D86:L86)</f>
        <v>4000</v>
      </c>
      <c r="N86" s="39"/>
      <c r="O86" s="49"/>
      <c r="P86" s="73"/>
      <c r="Q86" s="40"/>
      <c r="R86" s="51"/>
      <c r="S86" s="52"/>
      <c r="T86" s="52"/>
      <c r="U86" s="53"/>
      <c r="V86" s="54"/>
      <c r="W86" s="55"/>
      <c r="X86" s="55"/>
      <c r="Y86" s="56"/>
    </row>
    <row r="87" spans="1:25" x14ac:dyDescent="0.35">
      <c r="A87" s="78"/>
      <c r="B87" s="47">
        <v>1</v>
      </c>
      <c r="C87" s="57" t="s">
        <v>34</v>
      </c>
      <c r="D87" s="74"/>
      <c r="E87" s="75"/>
      <c r="F87" s="76"/>
      <c r="G87" s="50">
        <f>280+1600</f>
        <v>1880</v>
      </c>
      <c r="H87" s="75">
        <f>0+600</f>
        <v>600</v>
      </c>
      <c r="I87" s="49">
        <f>320+1800</f>
        <v>2120</v>
      </c>
      <c r="J87" s="50">
        <f>600+2800</f>
        <v>3400</v>
      </c>
      <c r="K87" s="75">
        <f>600+2400</f>
        <v>3000</v>
      </c>
      <c r="L87" s="76">
        <f>2200+2800</f>
        <v>5000</v>
      </c>
      <c r="M87" s="48">
        <f t="shared" si="97"/>
        <v>400</v>
      </c>
      <c r="N87" s="39">
        <f t="shared" si="18"/>
        <v>0</v>
      </c>
      <c r="O87" s="49">
        <f t="shared" si="1"/>
        <v>331.63</v>
      </c>
      <c r="P87" s="73">
        <f t="shared" si="98"/>
        <v>230</v>
      </c>
      <c r="Q87" s="40">
        <f t="shared" si="99"/>
        <v>570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1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20"/>
        <v>#VALUE!</v>
      </c>
    </row>
    <row r="88" spans="1:25" x14ac:dyDescent="0.35">
      <c r="B88" s="47">
        <v>2</v>
      </c>
      <c r="C88" s="57" t="s">
        <v>27</v>
      </c>
      <c r="D88" s="74">
        <v>1400</v>
      </c>
      <c r="E88" s="75"/>
      <c r="F88" s="76"/>
      <c r="G88" s="50">
        <v>400</v>
      </c>
      <c r="H88" s="75">
        <v>400</v>
      </c>
      <c r="I88" s="49">
        <v>0</v>
      </c>
      <c r="J88" s="50">
        <v>400</v>
      </c>
      <c r="K88" s="75">
        <v>400</v>
      </c>
      <c r="L88" s="76">
        <v>600</v>
      </c>
      <c r="M88" s="48">
        <f t="shared" si="97"/>
        <v>90</v>
      </c>
      <c r="N88" s="39">
        <f t="shared" si="18"/>
        <v>0</v>
      </c>
      <c r="O88" s="49">
        <f t="shared" si="1"/>
        <v>331.63</v>
      </c>
      <c r="P88" s="73">
        <f t="shared" si="98"/>
        <v>40</v>
      </c>
      <c r="Q88" s="40">
        <f t="shared" si="99"/>
        <v>70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1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20"/>
        <v>#VALUE!</v>
      </c>
    </row>
    <row r="89" spans="1:25" ht="15" thickBot="1" x14ac:dyDescent="0.4">
      <c r="B89" s="183" t="s">
        <v>93</v>
      </c>
      <c r="C89" s="184"/>
      <c r="D89" s="87">
        <f>SUM(D87:D88)</f>
        <v>1400</v>
      </c>
      <c r="E89" s="87">
        <f t="shared" ref="E89:L89" si="103">SUM(E87:E88)</f>
        <v>0</v>
      </c>
      <c r="F89" s="87">
        <f t="shared" si="103"/>
        <v>0</v>
      </c>
      <c r="G89" s="87">
        <f t="shared" si="103"/>
        <v>2280</v>
      </c>
      <c r="H89" s="87">
        <f t="shared" si="103"/>
        <v>1000</v>
      </c>
      <c r="I89" s="87">
        <f t="shared" si="103"/>
        <v>2120</v>
      </c>
      <c r="J89" s="87">
        <f t="shared" si="103"/>
        <v>3800</v>
      </c>
      <c r="K89" s="87">
        <f t="shared" si="103"/>
        <v>3400</v>
      </c>
      <c r="L89" s="87">
        <f t="shared" si="103"/>
        <v>5600</v>
      </c>
      <c r="M89" s="123">
        <f>SUM(M86:M88)</f>
        <v>4490</v>
      </c>
      <c r="N89" s="59">
        <f t="shared" si="18"/>
        <v>0</v>
      </c>
      <c r="O89" s="58">
        <f t="shared" si="1"/>
        <v>331.63</v>
      </c>
      <c r="P89" s="73">
        <f t="shared" si="98"/>
        <v>270</v>
      </c>
      <c r="Q89" s="40">
        <f t="shared" si="99"/>
        <v>640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1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20"/>
        <v>#VALUE!</v>
      </c>
    </row>
    <row r="90" spans="1:25" ht="15" thickBot="1" x14ac:dyDescent="0.4">
      <c r="B90" s="172" t="s">
        <v>11</v>
      </c>
      <c r="C90" s="173"/>
      <c r="D90" s="89">
        <f>SUM(D85,D89)</f>
        <v>2720</v>
      </c>
      <c r="E90" s="89">
        <f t="shared" ref="E90:L90" si="104">SUM(E85,E89)</f>
        <v>0</v>
      </c>
      <c r="F90" s="89">
        <f t="shared" si="104"/>
        <v>0</v>
      </c>
      <c r="G90" s="89">
        <f t="shared" si="104"/>
        <v>9420</v>
      </c>
      <c r="H90" s="89">
        <f t="shared" si="104"/>
        <v>8657</v>
      </c>
      <c r="I90" s="89">
        <f t="shared" si="104"/>
        <v>12777</v>
      </c>
      <c r="J90" s="89">
        <f t="shared" si="104"/>
        <v>15097</v>
      </c>
      <c r="K90" s="89">
        <f t="shared" si="104"/>
        <v>13084</v>
      </c>
      <c r="L90" s="89">
        <f t="shared" si="104"/>
        <v>18819</v>
      </c>
      <c r="M90" s="60">
        <f t="shared" si="0"/>
        <v>2014.35</v>
      </c>
      <c r="N90" s="63">
        <f>SUM(N5:N89)</f>
        <v>0</v>
      </c>
      <c r="O90" s="61">
        <f t="shared" ref="O90:Y90" si="105">SUM(O5:O89)</f>
        <v>27856.920000000016</v>
      </c>
      <c r="P90" s="62">
        <f t="shared" si="105"/>
        <v>3522.7</v>
      </c>
      <c r="Q90" s="64">
        <f t="shared" si="105"/>
        <v>5611.95</v>
      </c>
      <c r="R90" s="65" t="e">
        <f t="shared" si="105"/>
        <v>#VALUE!</v>
      </c>
      <c r="S90" s="66">
        <f t="shared" si="105"/>
        <v>0</v>
      </c>
      <c r="T90" s="66">
        <f t="shared" si="105"/>
        <v>0</v>
      </c>
      <c r="U90" s="67" t="e">
        <f t="shared" si="105"/>
        <v>#VALUE!</v>
      </c>
      <c r="V90" s="68" t="e">
        <f t="shared" si="105"/>
        <v>#VALUE!</v>
      </c>
      <c r="W90" s="69">
        <f t="shared" si="105"/>
        <v>0</v>
      </c>
      <c r="X90" s="69">
        <f t="shared" si="105"/>
        <v>0</v>
      </c>
      <c r="Y90" s="70" t="e">
        <f t="shared" si="105"/>
        <v>#VALUE!</v>
      </c>
    </row>
  </sheetData>
  <mergeCells count="11">
    <mergeCell ref="B90:C90"/>
    <mergeCell ref="M2:O2"/>
    <mergeCell ref="P2:Q2"/>
    <mergeCell ref="M3:O3"/>
    <mergeCell ref="A2:A4"/>
    <mergeCell ref="B89:C89"/>
    <mergeCell ref="B1:F1"/>
    <mergeCell ref="B2:B4"/>
    <mergeCell ref="R3:U3"/>
    <mergeCell ref="V3:Y3"/>
    <mergeCell ref="B85:C85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25"/>
  <sheetViews>
    <sheetView tabSelected="1" topLeftCell="B1" zoomScale="85" zoomScaleNormal="85" workbookViewId="0">
      <selection activeCell="I7" sqref="I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85" t="s">
        <v>57</v>
      </c>
      <c r="D3" s="186"/>
      <c r="E3" s="186"/>
      <c r="F3" s="186"/>
      <c r="G3" s="187"/>
      <c r="H3" s="189" t="s">
        <v>77</v>
      </c>
      <c r="I3" s="190"/>
      <c r="K3" s="191" t="s">
        <v>81</v>
      </c>
      <c r="L3" s="191"/>
      <c r="M3" s="191"/>
      <c r="N3" s="191"/>
      <c r="O3" s="191"/>
    </row>
    <row r="4" spans="3:15" ht="29.5" customHeight="1" x14ac:dyDescent="0.55000000000000004">
      <c r="C4" s="109"/>
      <c r="D4" s="80" t="s">
        <v>53</v>
      </c>
      <c r="E4" s="80" t="s">
        <v>54</v>
      </c>
      <c r="F4" s="80" t="s">
        <v>71</v>
      </c>
      <c r="G4" s="110" t="s">
        <v>56</v>
      </c>
      <c r="H4" s="103" t="s">
        <v>77</v>
      </c>
      <c r="I4" s="104" t="s">
        <v>78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82</v>
      </c>
    </row>
    <row r="5" spans="3:15" ht="32" customHeight="1" x14ac:dyDescent="0.55000000000000004">
      <c r="C5" s="111" t="s">
        <v>58</v>
      </c>
      <c r="D5" s="92">
        <v>598</v>
      </c>
      <c r="E5" s="79">
        <v>1724</v>
      </c>
      <c r="F5" s="79">
        <v>590</v>
      </c>
      <c r="G5" s="112">
        <f>SUM(D5:F5)</f>
        <v>2912</v>
      </c>
      <c r="H5" s="105">
        <v>10000</v>
      </c>
      <c r="I5" s="106">
        <f>G5-H5</f>
        <v>-7088</v>
      </c>
      <c r="K5" s="1" t="s">
        <v>1</v>
      </c>
      <c r="L5" s="7">
        <v>70</v>
      </c>
      <c r="M5" s="5">
        <v>13608</v>
      </c>
      <c r="N5" s="6">
        <f t="shared" ref="N5:N11" si="0">M5/40</f>
        <v>340.2</v>
      </c>
      <c r="O5" s="81">
        <v>100</v>
      </c>
    </row>
    <row r="6" spans="3:15" ht="32" customHeight="1" thickBot="1" x14ac:dyDescent="0.6">
      <c r="C6" s="113" t="s">
        <v>59</v>
      </c>
      <c r="D6" s="114">
        <f>D5*40</f>
        <v>23920</v>
      </c>
      <c r="E6" s="115">
        <f>E5*40</f>
        <v>68960</v>
      </c>
      <c r="F6" s="115">
        <f>F5*40</f>
        <v>23600</v>
      </c>
      <c r="G6" s="116">
        <f>SUM(D6:F6)</f>
        <v>116480</v>
      </c>
      <c r="H6" s="107">
        <f>H5*40</f>
        <v>400000</v>
      </c>
      <c r="I6" s="108">
        <f>G6-H6</f>
        <v>-283520</v>
      </c>
      <c r="K6" s="1" t="s">
        <v>2</v>
      </c>
      <c r="L6" s="7">
        <v>70</v>
      </c>
      <c r="M6" s="5">
        <v>14695</v>
      </c>
      <c r="N6" s="6">
        <f t="shared" si="0"/>
        <v>367.375</v>
      </c>
      <c r="O6" s="81">
        <v>56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1335</v>
      </c>
      <c r="N7" s="6">
        <f t="shared" si="0"/>
        <v>33.375</v>
      </c>
      <c r="O7" s="81">
        <v>21</v>
      </c>
    </row>
    <row r="8" spans="3:15" ht="23.5" x14ac:dyDescent="0.55000000000000004">
      <c r="C8" s="82" t="s">
        <v>61</v>
      </c>
      <c r="K8" s="1" t="s">
        <v>4</v>
      </c>
      <c r="L8" s="7">
        <v>120</v>
      </c>
      <c r="M8" s="5">
        <v>12655</v>
      </c>
      <c r="N8" s="6">
        <f t="shared" si="0"/>
        <v>316.375</v>
      </c>
      <c r="O8" s="81">
        <v>12</v>
      </c>
    </row>
    <row r="9" spans="3:15" ht="23.5" x14ac:dyDescent="0.55000000000000004">
      <c r="C9" s="82" t="s">
        <v>62</v>
      </c>
      <c r="D9" s="117">
        <f>D8-D5</f>
        <v>-598</v>
      </c>
      <c r="E9" s="117">
        <f>E8-E5</f>
        <v>-1724</v>
      </c>
      <c r="K9" s="1" t="s">
        <v>5</v>
      </c>
      <c r="L9" s="7">
        <v>120</v>
      </c>
      <c r="M9" s="5">
        <v>7217</v>
      </c>
      <c r="N9" s="6">
        <f t="shared" si="0"/>
        <v>180.42500000000001</v>
      </c>
      <c r="O9" s="81">
        <v>33</v>
      </c>
    </row>
    <row r="10" spans="3:15" ht="23.5" x14ac:dyDescent="0.55000000000000004">
      <c r="K10" s="1" t="s">
        <v>6</v>
      </c>
      <c r="L10" s="7">
        <v>120</v>
      </c>
      <c r="M10" s="5">
        <v>9472</v>
      </c>
      <c r="N10" s="6">
        <f t="shared" si="0"/>
        <v>236.8</v>
      </c>
      <c r="O10" s="81">
        <v>8</v>
      </c>
    </row>
    <row r="11" spans="3:15" ht="23.5" x14ac:dyDescent="0.55000000000000004">
      <c r="C11" s="188" t="s">
        <v>73</v>
      </c>
      <c r="D11" s="188"/>
      <c r="F11" s="188" t="s">
        <v>83</v>
      </c>
      <c r="G11" s="188"/>
      <c r="H11" t="s">
        <v>158</v>
      </c>
      <c r="I11">
        <f>D5/20</f>
        <v>29.9</v>
      </c>
      <c r="K11" s="1" t="s">
        <v>7</v>
      </c>
      <c r="L11" s="7">
        <v>60</v>
      </c>
      <c r="M11" s="5">
        <v>57979</v>
      </c>
      <c r="N11" s="6">
        <f t="shared" si="0"/>
        <v>1449.4749999999999</v>
      </c>
      <c r="O11" s="81">
        <v>20</v>
      </c>
    </row>
    <row r="12" spans="3:15" ht="23.5" x14ac:dyDescent="0.55000000000000004">
      <c r="C12" s="99" t="s">
        <v>58</v>
      </c>
      <c r="D12" s="91">
        <v>500.9</v>
      </c>
      <c r="F12" s="99" t="s">
        <v>58</v>
      </c>
      <c r="G12" s="101">
        <f>D12+G5</f>
        <v>3412.9</v>
      </c>
      <c r="K12" s="1" t="s">
        <v>11</v>
      </c>
      <c r="L12" s="2"/>
      <c r="M12" s="8">
        <f>SUM(M5:M11)</f>
        <v>116961</v>
      </c>
      <c r="N12" s="9">
        <f>SUM(N5:N11)</f>
        <v>2924.0249999999996</v>
      </c>
      <c r="O12" s="9">
        <f>SUM(O5:O11)</f>
        <v>250</v>
      </c>
    </row>
    <row r="13" spans="3:15" ht="18.5" x14ac:dyDescent="0.35">
      <c r="C13" s="100" t="s">
        <v>59</v>
      </c>
      <c r="D13" s="101">
        <f>D12*40</f>
        <v>20036</v>
      </c>
      <c r="F13" s="100" t="s">
        <v>59</v>
      </c>
      <c r="G13" s="101">
        <f>G12*40</f>
        <v>136516</v>
      </c>
    </row>
    <row r="16" spans="3:15" ht="24" thickBot="1" x14ac:dyDescent="0.6">
      <c r="K16" s="142" t="s">
        <v>111</v>
      </c>
      <c r="L16" s="142" t="s">
        <v>8</v>
      </c>
      <c r="M16" s="142" t="s">
        <v>75</v>
      </c>
      <c r="N16" s="142" t="s">
        <v>110</v>
      </c>
      <c r="O16" s="142" t="s">
        <v>113</v>
      </c>
    </row>
    <row r="17" spans="11:15" ht="23.5" x14ac:dyDescent="0.55000000000000004">
      <c r="K17" s="138" t="s">
        <v>1</v>
      </c>
      <c r="L17" s="140">
        <v>70</v>
      </c>
      <c r="M17" s="139">
        <v>11562</v>
      </c>
      <c r="N17" s="147">
        <v>13270</v>
      </c>
      <c r="O17" s="148">
        <f>N17-M5</f>
        <v>-338</v>
      </c>
    </row>
    <row r="18" spans="11:15" ht="23.5" x14ac:dyDescent="0.55000000000000004">
      <c r="K18" s="1" t="s">
        <v>2</v>
      </c>
      <c r="L18" s="141">
        <v>70</v>
      </c>
      <c r="M18" s="5">
        <v>10770</v>
      </c>
      <c r="N18" s="5">
        <v>14352</v>
      </c>
      <c r="O18" s="148">
        <f>N18-M6</f>
        <v>-343</v>
      </c>
    </row>
    <row r="19" spans="11:15" ht="23.5" x14ac:dyDescent="0.55000000000000004">
      <c r="K19" s="1" t="s">
        <v>3</v>
      </c>
      <c r="L19" s="141">
        <v>70</v>
      </c>
      <c r="M19" s="5">
        <v>14619</v>
      </c>
      <c r="N19" s="5">
        <v>1010</v>
      </c>
      <c r="O19" s="148">
        <f t="shared" ref="O19:O23" si="1">N19-M7</f>
        <v>-325</v>
      </c>
    </row>
    <row r="20" spans="11:15" ht="23.5" x14ac:dyDescent="0.55000000000000004">
      <c r="K20" s="1" t="s">
        <v>4</v>
      </c>
      <c r="L20" s="141">
        <v>120</v>
      </c>
      <c r="M20" s="5">
        <v>19143</v>
      </c>
      <c r="N20" s="5">
        <v>12294</v>
      </c>
      <c r="O20" s="148">
        <f t="shared" si="1"/>
        <v>-361</v>
      </c>
    </row>
    <row r="21" spans="11:15" ht="23.5" x14ac:dyDescent="0.55000000000000004">
      <c r="K21" s="1" t="s">
        <v>5</v>
      </c>
      <c r="L21" s="141">
        <v>120</v>
      </c>
      <c r="M21" s="5">
        <v>17100</v>
      </c>
      <c r="N21" s="5">
        <v>6522</v>
      </c>
      <c r="O21" s="148">
        <f t="shared" si="1"/>
        <v>-695</v>
      </c>
    </row>
    <row r="22" spans="11:15" ht="23.5" x14ac:dyDescent="0.55000000000000004">
      <c r="K22" s="1" t="s">
        <v>6</v>
      </c>
      <c r="L22" s="141">
        <v>120</v>
      </c>
      <c r="M22" s="5">
        <v>23404</v>
      </c>
      <c r="N22" s="5">
        <v>9539</v>
      </c>
      <c r="O22" s="148">
        <f t="shared" si="1"/>
        <v>67</v>
      </c>
    </row>
    <row r="23" spans="11:15" ht="23.5" x14ac:dyDescent="0.55000000000000004">
      <c r="K23" s="1" t="s">
        <v>7</v>
      </c>
      <c r="L23" s="141">
        <v>60</v>
      </c>
      <c r="M23" s="5">
        <v>7379</v>
      </c>
      <c r="N23" s="5">
        <v>57991</v>
      </c>
      <c r="O23" s="148">
        <f t="shared" si="1"/>
        <v>12</v>
      </c>
    </row>
    <row r="24" spans="11:15" ht="24" thickBot="1" x14ac:dyDescent="0.6">
      <c r="K24" s="143" t="s">
        <v>108</v>
      </c>
      <c r="L24" s="144"/>
      <c r="M24" s="145">
        <f>SUM(M17:M23)</f>
        <v>103977</v>
      </c>
      <c r="N24" s="145">
        <f>SUM(N17:N23)</f>
        <v>114978</v>
      </c>
      <c r="O24" s="142">
        <f>SUM(O17:O23)</f>
        <v>-1983</v>
      </c>
    </row>
    <row r="25" spans="11:15" ht="24" thickBot="1" x14ac:dyDescent="0.6">
      <c r="K25" s="143" t="s">
        <v>109</v>
      </c>
      <c r="L25" s="144"/>
      <c r="M25" s="145">
        <f>M24/40</f>
        <v>2599.4250000000002</v>
      </c>
      <c r="N25" s="145">
        <f>N24/40</f>
        <v>2874.45</v>
      </c>
      <c r="O25" s="142">
        <f>O24/40</f>
        <v>-49.575000000000003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0"/>
  <sheetViews>
    <sheetView workbookViewId="0">
      <selection activeCell="G15" sqref="G15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15.726562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38</v>
      </c>
      <c r="B1" s="81" t="s">
        <v>60</v>
      </c>
      <c r="C1" s="81" t="s">
        <v>55</v>
      </c>
      <c r="D1" s="81" t="s">
        <v>9</v>
      </c>
      <c r="I1" s="149" t="s">
        <v>131</v>
      </c>
      <c r="J1" s="149" t="s">
        <v>132</v>
      </c>
      <c r="K1" s="149" t="s">
        <v>130</v>
      </c>
    </row>
    <row r="2" spans="1:12" x14ac:dyDescent="0.35">
      <c r="A2" s="2" t="s">
        <v>129</v>
      </c>
      <c r="B2" s="2"/>
      <c r="C2" s="2"/>
      <c r="D2" s="2"/>
      <c r="I2" s="81" t="s">
        <v>136</v>
      </c>
      <c r="J2" s="81">
        <v>20</v>
      </c>
      <c r="K2" s="81" t="s">
        <v>138</v>
      </c>
      <c r="L2" t="s">
        <v>159</v>
      </c>
    </row>
    <row r="3" spans="1:12" x14ac:dyDescent="0.35">
      <c r="A3" s="2"/>
      <c r="B3" s="2"/>
      <c r="C3" s="2"/>
      <c r="D3" s="2"/>
      <c r="I3" s="81" t="s">
        <v>137</v>
      </c>
      <c r="J3" s="81">
        <v>22</v>
      </c>
      <c r="K3" s="81" t="s">
        <v>138</v>
      </c>
      <c r="L3" t="s">
        <v>159</v>
      </c>
    </row>
    <row r="4" spans="1:12" x14ac:dyDescent="0.35">
      <c r="A4" s="2"/>
      <c r="B4" s="2"/>
      <c r="C4" s="2"/>
      <c r="D4" s="2"/>
      <c r="I4" s="81" t="s">
        <v>133</v>
      </c>
      <c r="J4" s="81">
        <v>114</v>
      </c>
      <c r="K4" s="81" t="s">
        <v>138</v>
      </c>
      <c r="L4" t="s">
        <v>159</v>
      </c>
    </row>
    <row r="5" spans="1:12" x14ac:dyDescent="0.35">
      <c r="A5" s="2"/>
      <c r="B5" s="2"/>
      <c r="C5" s="2"/>
      <c r="D5" s="2"/>
      <c r="I5" s="81" t="s">
        <v>134</v>
      </c>
      <c r="J5" s="81">
        <v>60</v>
      </c>
      <c r="K5" s="81" t="s">
        <v>138</v>
      </c>
      <c r="L5" t="s">
        <v>159</v>
      </c>
    </row>
    <row r="6" spans="1:12" x14ac:dyDescent="0.35">
      <c r="A6" s="2"/>
      <c r="B6" s="2"/>
      <c r="C6" s="2"/>
      <c r="D6" s="2"/>
      <c r="I6" s="81" t="s">
        <v>135</v>
      </c>
      <c r="J6" s="81">
        <v>15</v>
      </c>
      <c r="K6" s="81" t="s">
        <v>138</v>
      </c>
      <c r="L6" t="s">
        <v>159</v>
      </c>
    </row>
    <row r="7" spans="1:12" x14ac:dyDescent="0.35">
      <c r="A7" s="2"/>
      <c r="B7" s="2"/>
      <c r="C7" s="2"/>
      <c r="D7" s="2"/>
      <c r="I7" s="81" t="s">
        <v>133</v>
      </c>
      <c r="J7" s="81">
        <v>72</v>
      </c>
      <c r="K7" s="81" t="s">
        <v>139</v>
      </c>
    </row>
    <row r="8" spans="1:12" x14ac:dyDescent="0.35">
      <c r="A8" s="2"/>
      <c r="B8" s="2"/>
      <c r="C8" s="2"/>
      <c r="D8" s="2"/>
      <c r="I8" s="81" t="s">
        <v>163</v>
      </c>
      <c r="J8" s="81">
        <v>15</v>
      </c>
      <c r="K8" s="81" t="s">
        <v>139</v>
      </c>
    </row>
    <row r="9" spans="1:12" x14ac:dyDescent="0.35">
      <c r="A9" s="2"/>
      <c r="B9" s="2"/>
      <c r="C9" s="2"/>
      <c r="D9" s="2"/>
      <c r="I9" s="81" t="s">
        <v>164</v>
      </c>
      <c r="J9" s="81">
        <v>14</v>
      </c>
      <c r="K9" s="81" t="s">
        <v>139</v>
      </c>
    </row>
    <row r="10" spans="1:12" x14ac:dyDescent="0.35">
      <c r="A10" s="2"/>
      <c r="B10" s="2"/>
      <c r="C10" s="2"/>
      <c r="D10" s="2"/>
      <c r="I10" s="81" t="s">
        <v>133</v>
      </c>
      <c r="J10" s="81">
        <v>24</v>
      </c>
      <c r="K10" s="81" t="s">
        <v>139</v>
      </c>
    </row>
    <row r="11" spans="1:12" x14ac:dyDescent="0.35">
      <c r="A11" s="2"/>
      <c r="B11" s="2"/>
      <c r="C11" s="2"/>
      <c r="D11" s="2"/>
      <c r="I11" s="81"/>
      <c r="J11" s="81"/>
      <c r="K11" s="81"/>
    </row>
    <row r="12" spans="1:12" x14ac:dyDescent="0.35">
      <c r="A12" s="2"/>
      <c r="B12" s="2"/>
      <c r="C12" s="2"/>
      <c r="D12" s="2"/>
      <c r="I12" s="81"/>
      <c r="J12" s="81"/>
      <c r="K12" s="81"/>
    </row>
    <row r="13" spans="1:12" x14ac:dyDescent="0.35">
      <c r="A13" s="2"/>
      <c r="B13" s="2"/>
      <c r="C13" s="2"/>
      <c r="D13" s="2"/>
      <c r="I13" s="81"/>
      <c r="J13" s="81"/>
      <c r="K13" s="81"/>
    </row>
    <row r="14" spans="1:12" x14ac:dyDescent="0.35">
      <c r="A14" s="2"/>
      <c r="B14" s="2"/>
      <c r="C14" s="2"/>
      <c r="D14" s="2"/>
      <c r="I14" s="81"/>
      <c r="J14" s="81"/>
      <c r="K14" s="81"/>
    </row>
    <row r="15" spans="1:12" x14ac:dyDescent="0.35">
      <c r="A15" s="2"/>
      <c r="B15" s="2"/>
      <c r="C15" s="2"/>
      <c r="D15" s="2"/>
      <c r="I15" s="81"/>
      <c r="J15" s="81"/>
      <c r="K15" s="81"/>
    </row>
    <row r="16" spans="1:12" x14ac:dyDescent="0.35">
      <c r="A16" s="2"/>
      <c r="B16" s="2"/>
      <c r="C16" s="2"/>
      <c r="D16" s="2"/>
      <c r="I16" s="81"/>
      <c r="J16" s="81"/>
      <c r="K16" s="81"/>
    </row>
    <row r="17" spans="1:11" x14ac:dyDescent="0.35">
      <c r="A17" s="2"/>
      <c r="B17" s="2"/>
      <c r="C17" s="2"/>
      <c r="D17" s="2"/>
      <c r="I17" s="81"/>
      <c r="J17" s="81"/>
      <c r="K17" s="81"/>
    </row>
    <row r="18" spans="1:11" x14ac:dyDescent="0.35">
      <c r="A18" s="2"/>
      <c r="B18" s="2"/>
      <c r="C18" s="2"/>
      <c r="D18" s="2"/>
      <c r="I18" s="81"/>
      <c r="J18" s="81"/>
      <c r="K18" s="81"/>
    </row>
    <row r="19" spans="1:11" ht="15" thickBot="1" x14ac:dyDescent="0.4">
      <c r="A19" s="83"/>
      <c r="B19" s="83"/>
      <c r="C19" s="83"/>
      <c r="D19" s="83"/>
      <c r="I19" s="81"/>
      <c r="J19" s="81"/>
      <c r="K19" s="81"/>
    </row>
    <row r="20" spans="1:11" ht="15" thickBot="1" x14ac:dyDescent="0.4">
      <c r="A20" s="84"/>
      <c r="B20" s="85"/>
      <c r="C20" s="85"/>
      <c r="D20" s="86"/>
      <c r="I20" s="81"/>
      <c r="J20" s="81"/>
      <c r="K20" s="8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2026-06-23T06:56:36Z</dcterms:modified>
</cp:coreProperties>
</file>