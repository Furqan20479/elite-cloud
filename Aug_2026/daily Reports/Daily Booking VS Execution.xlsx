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6444DD01-31FC-4420-8313-2070E50ABAA0}" xr6:coauthVersionLast="47" xr6:coauthVersionMax="47" xr10:uidLastSave="{00000000-0000-0000-0000-000000000000}"/>
  <bookViews>
    <workbookView xWindow="-110" yWindow="-110" windowWidth="19420" windowHeight="10420" activeTab="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2" i="10" l="1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8"/>
  <c r="AA8" i="9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17"/>
  <c r="I15" i="18"/>
  <c r="I15" i="22"/>
  <c r="I15" i="25"/>
  <c r="I15" i="26"/>
  <c r="I15" i="30"/>
  <c r="I15" i="1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AA9" i="10" s="1"/>
  <c r="J10" i="10"/>
  <c r="Y10" i="10" s="1"/>
  <c r="J11" i="10"/>
  <c r="J12" i="10"/>
  <c r="Y12" i="10" s="1"/>
  <c r="AA12" i="10" s="1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AA8" i="10" s="1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AA12" i="7" l="1"/>
  <c r="AA12" i="8"/>
  <c r="Z14" i="8"/>
  <c r="Z15" i="8" s="1"/>
  <c r="AA11" i="8"/>
  <c r="AA10" i="10"/>
  <c r="AA14" i="10" s="1"/>
  <c r="AA15" i="10" s="1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8" l="1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<sst xmlns="http://schemas.openxmlformats.org/spreadsheetml/2006/main" count="1335" uniqueCount="34">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</sst>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S18" sqref="S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R17" sqref="R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v>281</v>
      </c>
      <c r="Q12" s="11">
        <v>403</v>
      </c>
      <c r="R12" s="11">
        <v>161</v>
      </c>
      <c r="S12" s="11">
        <v>383</v>
      </c>
      <c r="T12" s="11">
        <v>281</v>
      </c>
      <c r="U12" s="11">
        <v>561</v>
      </c>
      <c r="V12" s="15">
        <f t="shared" si="1"/>
        <v>51.825000000000003</v>
      </c>
      <c r="W12" s="12">
        <v>3</v>
      </c>
      <c r="Y12" s="39">
        <f t="shared" si="2"/>
        <v>80.5</v>
      </c>
      <c r="Z12" s="40">
        <f t="shared" si="3"/>
        <v>51.825000000000003</v>
      </c>
      <c r="AA12" s="41">
        <f t="shared" si="4"/>
        <v>28.674999999999997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319</v>
      </c>
      <c r="Q14" s="25">
        <f t="shared" si="6"/>
        <v>481</v>
      </c>
      <c r="R14" s="25">
        <f t="shared" si="6"/>
        <v>179</v>
      </c>
      <c r="S14" s="25">
        <f t="shared" si="6"/>
        <v>559</v>
      </c>
      <c r="T14" s="25">
        <f t="shared" si="6"/>
        <v>418</v>
      </c>
      <c r="U14" s="25">
        <f t="shared" si="6"/>
        <v>966</v>
      </c>
      <c r="V14" s="28">
        <f>SUM(O14:U14)</f>
        <v>3185</v>
      </c>
      <c r="W14" s="31"/>
      <c r="Y14" s="36">
        <f>SUM(Y8:Y13)</f>
        <v>121.45</v>
      </c>
      <c r="Z14" s="37">
        <f>SUM(Z8:Z13)</f>
        <v>79.625</v>
      </c>
      <c r="AA14" s="38">
        <f>SUM(AA8:AA13)</f>
        <v>41.824999999999996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7.9749999999999996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13.975</v>
      </c>
      <c r="T15" s="21">
        <f t="shared" si="8"/>
        <v>10.45</v>
      </c>
      <c r="U15" s="21">
        <f t="shared" si="8"/>
        <v>24.15</v>
      </c>
      <c r="V15" s="22">
        <f t="shared" si="8"/>
        <v>79.625</v>
      </c>
      <c r="W15" s="23"/>
      <c r="Y15" s="42">
        <f>Y14/40</f>
        <v>3.0362499999999999</v>
      </c>
      <c r="Z15" s="43">
        <f>Z14/40</f>
        <v>1.9906250000000001</v>
      </c>
      <c r="AA15" s="44">
        <f>AA14/40</f>
        <v>1.0456249999999998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M16" sqref="M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0</v>
      </c>
      <c r="P9" s="11">
        <v>12</v>
      </c>
      <c r="Q9" s="11">
        <v>0</v>
      </c>
      <c r="R9" s="11">
        <v>50</v>
      </c>
      <c r="S9" s="11">
        <v>50</v>
      </c>
      <c r="T9" s="11">
        <v>50</v>
      </c>
      <c r="U9" s="11">
        <v>10</v>
      </c>
      <c r="V9" s="15">
        <f t="shared" ref="V9:V12" si="1">SUM(O9:U9)/40</f>
        <v>4.3</v>
      </c>
      <c r="W9" s="12">
        <v>3</v>
      </c>
      <c r="Y9" s="39">
        <f t="shared" ref="Y9:Y13" si="2">J9</f>
        <v>5</v>
      </c>
      <c r="Z9" s="40">
        <f t="shared" ref="Z9:Z13" si="3">V9</f>
        <v>4.3</v>
      </c>
      <c r="AA9" s="41">
        <f t="shared" ref="AA9:AA13" si="4">Y9-Z9</f>
        <v>0.70000000000000018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136</v>
      </c>
      <c r="P14" s="25">
        <f t="shared" si="6"/>
        <v>897</v>
      </c>
      <c r="Q14" s="25">
        <f t="shared" si="6"/>
        <v>1025</v>
      </c>
      <c r="R14" s="25">
        <f t="shared" si="6"/>
        <v>3471</v>
      </c>
      <c r="S14" s="25">
        <f t="shared" si="6"/>
        <v>1223</v>
      </c>
      <c r="T14" s="25">
        <f t="shared" si="6"/>
        <v>1496</v>
      </c>
      <c r="U14" s="25">
        <f t="shared" si="6"/>
        <v>2745</v>
      </c>
      <c r="V14" s="28">
        <f>SUM(O14:U14)</f>
        <v>10993</v>
      </c>
      <c r="W14" s="31"/>
      <c r="Y14" s="36">
        <f>SUM(Y8:Y13)</f>
        <v>60.575000000000003</v>
      </c>
      <c r="Z14" s="37">
        <f>SUM(Z8:Z13)</f>
        <v>274.82499999999999</v>
      </c>
      <c r="AA14" s="38">
        <f>SUM(AA8:AA13)</f>
        <v>-214.24999999999997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3.4</v>
      </c>
      <c r="P15" s="21">
        <f t="shared" si="8"/>
        <v>22.425000000000001</v>
      </c>
      <c r="Q15" s="21">
        <f t="shared" si="8"/>
        <v>25.625</v>
      </c>
      <c r="R15" s="21">
        <f t="shared" si="8"/>
        <v>86.775000000000006</v>
      </c>
      <c r="S15" s="21">
        <f t="shared" si="8"/>
        <v>30.574999999999999</v>
      </c>
      <c r="T15" s="21">
        <f t="shared" si="8"/>
        <v>37.4</v>
      </c>
      <c r="U15" s="21">
        <f t="shared" si="8"/>
        <v>68.625</v>
      </c>
      <c r="V15" s="22">
        <f t="shared" si="8"/>
        <v>274.82499999999999</v>
      </c>
      <c r="W15" s="23"/>
      <c r="Y15" s="42">
        <f>Y14/40</f>
        <v>1.514375</v>
      </c>
      <c r="Z15" s="43">
        <f>Z14/40</f>
        <v>6.8706249999999995</v>
      </c>
      <c r="AA15" s="44">
        <f>AA14/40</f>
        <v>-5.3562499999999993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tabSelected="1" workbookViewId="0">
      <selection activeCell="L18" sqref="L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23.75</v>
      </c>
      <c r="Z8" s="40">
        <f>V8</f>
        <v>0</v>
      </c>
      <c r="AA8" s="41">
        <f>Y8-Z8</f>
        <v>23.75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9</v>
      </c>
      <c r="Z9" s="40">
        <f t="shared" ref="Z9:Z13" si="3">V9</f>
        <v>0</v>
      </c>
      <c r="AA9" s="41">
        <f t="shared" ref="AA9:AA13" si="4">Y9-Z9</f>
        <v>9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46.1</v>
      </c>
      <c r="Z10" s="40">
        <f t="shared" si="3"/>
        <v>0</v>
      </c>
      <c r="AA10" s="41">
        <f t="shared" si="4"/>
        <v>46.1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120</v>
      </c>
      <c r="Z12" s="40">
        <f t="shared" si="3"/>
        <v>0</v>
      </c>
      <c r="AA12" s="41">
        <f t="shared" si="4"/>
        <v>120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198.85</v>
      </c>
      <c r="Z14" s="37">
        <f>SUM(Z8:Z13)</f>
        <v>0</v>
      </c>
      <c r="AA14" s="38">
        <f>SUM(AA8:AA13)</f>
        <v>198.85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4.9712499999999995</v>
      </c>
      <c r="Z15" s="43">
        <f>Z14/40</f>
        <v>0</v>
      </c>
      <c r="AA15" s="44">
        <f>AA14/40</f>
        <v>4.9712499999999995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2026-08-10T06:07:09Z</dcterms:modified>
</cp:coreProperties>
</file>