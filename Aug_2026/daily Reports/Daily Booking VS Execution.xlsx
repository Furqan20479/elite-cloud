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89D11FB-918D-44DD-BAC0-7D084E83F82D}" xr6:coauthVersionLast="47" xr6:coauthVersionMax="47" xr10:uidLastSave="{00000000-0000-0000-0000-000000000000}"/>
  <bookViews>
    <workbookView xWindow="-110" yWindow="-110" windowWidth="19420" windowHeight="10420" tabRatio="860" activeTab="2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24" l="1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AA15" i="28"/>
  <c r="AA15" i="29"/>
  <c r="AA15" i="30"/>
  <c r="AA15" i="31"/>
  <c r="Z15" i="9"/>
  <c r="Z15" i="14"/>
  <c r="Z15" i="16"/>
  <c r="Z15" i="23"/>
  <c r="Z15" i="26"/>
  <c r="Z15" i="28"/>
  <c r="Z15" i="29"/>
  <c r="Z15" i="30"/>
  <c r="Z15" i="31"/>
  <c r="Y15" i="9"/>
  <c r="Y15" i="14"/>
  <c r="Y15" i="16"/>
  <c r="Y15" i="23"/>
  <c r="Y15" i="26"/>
  <c r="Y15" i="28"/>
  <c r="Y15" i="29"/>
  <c r="Y15" i="30"/>
  <c r="Y15" i="31"/>
  <c r="Y15" i="1"/>
  <c r="AA14" i="9"/>
  <c r="AA14" i="14"/>
  <c r="AA14" i="16"/>
  <c r="AA14" i="23"/>
  <c r="AA14" i="26"/>
  <c r="AA14" i="28"/>
  <c r="AA14" i="29"/>
  <c r="AA14" i="30"/>
  <c r="AA14" i="31"/>
  <c r="Z14" i="9"/>
  <c r="Z14" i="14"/>
  <c r="Z14" i="16"/>
  <c r="Z14" i="23"/>
  <c r="Z14" i="26"/>
  <c r="Z14" i="28"/>
  <c r="Z14" i="29"/>
  <c r="Z14" i="30"/>
  <c r="Z14" i="31"/>
  <c r="Y14" i="9"/>
  <c r="Y14" i="14"/>
  <c r="Y14" i="16"/>
  <c r="Y14" i="23"/>
  <c r="Y14" i="26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6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9" i="25"/>
  <c r="Z11" i="25"/>
  <c r="Z13" i="25"/>
  <c r="Z9" i="26"/>
  <c r="Z10" i="26"/>
  <c r="Z11" i="26"/>
  <c r="Z12" i="26"/>
  <c r="Z13" i="26"/>
  <c r="Z16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3"/>
  <c r="Z8" i="26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30"/>
  <c r="I15" i="1"/>
  <c r="H15" i="23"/>
  <c r="H15" i="26"/>
  <c r="H15" i="31"/>
  <c r="H15" i="1"/>
  <c r="G15" i="14"/>
  <c r="G15" i="16"/>
  <c r="G15" i="26"/>
  <c r="G15" i="28"/>
  <c r="G15" i="30"/>
  <c r="G15" i="31"/>
  <c r="G15" i="1"/>
  <c r="F15" i="9"/>
  <c r="F15" i="16"/>
  <c r="F15" i="23"/>
  <c r="F15" i="28"/>
  <c r="F15" i="29"/>
  <c r="F15" i="31"/>
  <c r="F15" i="1"/>
  <c r="E15" i="14"/>
  <c r="E15" i="16"/>
  <c r="E15" i="26"/>
  <c r="E15" i="28"/>
  <c r="E15" i="29"/>
  <c r="E15" i="30"/>
  <c r="E15" i="1"/>
  <c r="D15" i="9"/>
  <c r="D15" i="14"/>
  <c r="D15" i="23"/>
  <c r="D15" i="29"/>
  <c r="D15" i="30"/>
  <c r="D15" i="31"/>
  <c r="D15" i="1"/>
  <c r="C15" i="14"/>
  <c r="C15" i="16"/>
  <c r="C15" i="23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V10" i="25"/>
  <c r="Z10" i="25" s="1"/>
  <c r="V11" i="25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AA9" i="25" s="1"/>
  <c r="J10" i="25"/>
  <c r="Y10" i="25" s="1"/>
  <c r="J11" i="25"/>
  <c r="Y11" i="25" s="1"/>
  <c r="AA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J8" i="29"/>
  <c r="J8" i="30"/>
  <c r="J8" i="31"/>
  <c r="J8" i="1"/>
  <c r="AA11" i="27" l="1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31"/>
  <c r="C15" i="15"/>
  <c r="J14" i="28"/>
  <c r="J15" i="28" s="1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7" i="27" l="1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<sst xmlns="http://schemas.openxmlformats.org/spreadsheetml/2006/main" count="1363" uniqueCount="51">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</sst>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9">
        <f>J8</f>
        <v>9.875</v>
      </c>
      <c r="Z8" s="40">
        <f>V8</f>
        <v>7.875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9">
        <f t="shared" ref="Y9:Y13" si="2">J9</f>
        <v>12.5</v>
      </c>
      <c r="Z9" s="40">
        <f t="shared" ref="Z9:Z13" si="3">V9</f>
        <v>8.5</v>
      </c>
      <c r="AA9" s="41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9">
        <f t="shared" si="2"/>
        <v>6.7249999999999996</v>
      </c>
      <c r="Z10" s="40">
        <f t="shared" si="3"/>
        <v>4.9249999999999998</v>
      </c>
      <c r="AA10" s="41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9">
        <f t="shared" si="2"/>
        <v>4.75</v>
      </c>
      <c r="Z11" s="40">
        <f t="shared" si="3"/>
        <v>4.3</v>
      </c>
      <c r="AA11" s="41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9">
        <f t="shared" si="2"/>
        <v>3.15</v>
      </c>
      <c r="Z12" s="40">
        <f t="shared" si="3"/>
        <v>2.7</v>
      </c>
      <c r="AA12" s="41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8">
        <f>SUM(O14:U14)</f>
        <v>1132</v>
      </c>
      <c r="W14" s="31"/>
      <c r="Y14" s="36">
        <f>SUM(Y8:Y13)</f>
        <v>178.75</v>
      </c>
      <c r="Z14" s="37">
        <f>SUM(Z8:Z13)</f>
        <v>28.3</v>
      </c>
      <c r="AA14" s="38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42">
        <f>Y14/40</f>
        <v>4.46875</v>
      </c>
      <c r="Z15" s="43">
        <f>Z14/40</f>
        <v>0.70750000000000002</v>
      </c>
      <c r="AA15" s="44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9">
        <f>J8</f>
        <v>0</v>
      </c>
      <c r="Z8" s="40">
        <f>V8</f>
        <v>12.6</v>
      </c>
      <c r="AA8" s="41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9">
        <f t="shared" ref="Y9:Y13" si="2">J9</f>
        <v>0</v>
      </c>
      <c r="Z9" s="40">
        <f t="shared" ref="Z9:Z13" si="3">V9</f>
        <v>12.95</v>
      </c>
      <c r="AA9" s="41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9">
        <f t="shared" si="2"/>
        <v>0</v>
      </c>
      <c r="Z10" s="40">
        <f t="shared" si="3"/>
        <v>9.8000000000000007</v>
      </c>
      <c r="AA10" s="41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9">
        <f t="shared" si="2"/>
        <v>0</v>
      </c>
      <c r="Z11" s="40">
        <f t="shared" si="3"/>
        <v>7.95</v>
      </c>
      <c r="AA11" s="41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9">
        <f t="shared" si="2"/>
        <v>0</v>
      </c>
      <c r="Z12" s="40">
        <f t="shared" si="3"/>
        <v>3.5</v>
      </c>
      <c r="AA12" s="41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9">
        <f t="shared" si="2"/>
        <v>0</v>
      </c>
      <c r="Z13" s="40">
        <f t="shared" si="3"/>
        <v>40.475000000000001</v>
      </c>
      <c r="AA13" s="41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8">
        <f>SUM(O14:U14)</f>
        <v>3491</v>
      </c>
      <c r="W14" s="31"/>
      <c r="Y14" s="36">
        <f>SUM(Y8:Y13)</f>
        <v>0</v>
      </c>
      <c r="Z14" s="37">
        <f>SUM(Z8:Z13)</f>
        <v>87.275000000000006</v>
      </c>
      <c r="AA14" s="38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42">
        <f>Y14/40</f>
        <v>0</v>
      </c>
      <c r="Z15" s="43">
        <f>Z14/40</f>
        <v>2.1818750000000002</v>
      </c>
      <c r="AA15" s="44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P12" sqref="P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9">
        <f>J8</f>
        <v>9</v>
      </c>
      <c r="Z8" s="40">
        <f>V8</f>
        <v>9</v>
      </c>
      <c r="AA8" s="41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13.15</v>
      </c>
      <c r="Z9" s="40">
        <f t="shared" ref="Z9:Z13" si="3">V9</f>
        <v>0</v>
      </c>
      <c r="AA9" s="41">
        <f t="shared" ref="AA9:AA13" si="4">Y9-Z9</f>
        <v>13.15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9">
        <f t="shared" si="2"/>
        <v>6.5</v>
      </c>
      <c r="Z10" s="40">
        <f t="shared" si="3"/>
        <v>6.2</v>
      </c>
      <c r="AA10" s="41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1.4750000000000001</v>
      </c>
      <c r="Z11" s="40">
        <f t="shared" si="3"/>
        <v>0</v>
      </c>
      <c r="AA11" s="41">
        <f t="shared" si="4"/>
        <v>1.4750000000000001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9">
        <f t="shared" si="2"/>
        <v>4</v>
      </c>
      <c r="Z12" s="40">
        <f t="shared" si="3"/>
        <v>1.325</v>
      </c>
      <c r="AA12" s="41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8">
        <f>SUM(C14:I14)</f>
        <v>1365</v>
      </c>
      <c r="K14" s="31"/>
      <c r="M14" s="1"/>
      <c r="N14" s="7"/>
      <c r="O14" s="25">
        <f t="shared" ref="O14:U14" si="6">SUM(O8:O13)</f>
        <v>255</v>
      </c>
      <c r="P14" s="25">
        <f t="shared" si="6"/>
        <v>46</v>
      </c>
      <c r="Q14" s="25">
        <f t="shared" si="6"/>
        <v>12</v>
      </c>
      <c r="R14" s="25">
        <f t="shared" si="6"/>
        <v>40</v>
      </c>
      <c r="S14" s="25">
        <f t="shared" si="6"/>
        <v>135</v>
      </c>
      <c r="T14" s="25">
        <f t="shared" si="6"/>
        <v>68</v>
      </c>
      <c r="U14" s="25">
        <f t="shared" si="6"/>
        <v>105</v>
      </c>
      <c r="V14" s="28">
        <f>SUM(O14:U14)</f>
        <v>661</v>
      </c>
      <c r="W14" s="31"/>
      <c r="Y14" s="36">
        <f>SUM(Y8:Y13)</f>
        <v>34.125</v>
      </c>
      <c r="Z14" s="37">
        <f>SUM(Z8:Z13)</f>
        <v>16.524999999999999</v>
      </c>
      <c r="AA14" s="38">
        <f>SUM(AA8:AA13)</f>
        <v>17.599999999999998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1.1499999999999999</v>
      </c>
      <c r="Q15" s="21">
        <f t="shared" si="8"/>
        <v>0.3</v>
      </c>
      <c r="R15" s="21">
        <f t="shared" si="8"/>
        <v>1</v>
      </c>
      <c r="S15" s="21">
        <f t="shared" si="8"/>
        <v>3.375</v>
      </c>
      <c r="T15" s="21">
        <f t="shared" si="8"/>
        <v>1.7</v>
      </c>
      <c r="U15" s="21">
        <f t="shared" si="8"/>
        <v>2.625</v>
      </c>
      <c r="V15" s="22">
        <f t="shared" si="8"/>
        <v>16.524999999999999</v>
      </c>
      <c r="W15" s="23"/>
      <c r="Y15" s="42">
        <f>Y14/40</f>
        <v>0.85312500000000002</v>
      </c>
      <c r="Z15" s="43">
        <f>Z14/40</f>
        <v>0.41312499999999996</v>
      </c>
      <c r="AA15" s="44">
        <f>AA14/40</f>
        <v>0.43999999999999995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tabSelected="1" workbookViewId="0">
      <selection activeCell="L4" sqref="L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20</v>
      </c>
      <c r="E8" s="11">
        <v>130</v>
      </c>
      <c r="F8" s="11">
        <v>120</v>
      </c>
      <c r="G8" s="11">
        <v>83</v>
      </c>
      <c r="H8" s="11">
        <v>80</v>
      </c>
      <c r="I8" s="11">
        <v>80</v>
      </c>
      <c r="J8" s="15">
        <f>SUM(C8:I8)/40</f>
        <v>14.824999999999999</v>
      </c>
      <c r="K8" s="12">
        <v>10</v>
      </c>
      <c r="L8" s="13"/>
      <c r="M8" s="14"/>
      <c r="N8" s="7" t="s">
        <v>44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14.824999999999999</v>
      </c>
      <c r="Z8" s="40">
        <f>V8</f>
        <v>0</v>
      </c>
      <c r="AA8" s="41">
        <f>Y8-Z8</f>
        <v>14.824999999999999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6" si="2">J9</f>
        <v>10.199999999999999</v>
      </c>
      <c r="Z9" s="40">
        <f t="shared" ref="Z9:Z16" si="3">V9</f>
        <v>0</v>
      </c>
      <c r="AA9" s="41">
        <f t="shared" ref="AA9:AA16" si="4">Y9-Z9</f>
        <v>10.199999999999999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9.35</v>
      </c>
      <c r="Z10" s="40">
        <f t="shared" si="3"/>
        <v>0</v>
      </c>
      <c r="AA10" s="41">
        <f t="shared" si="4"/>
        <v>9.35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4.4000000000000004</v>
      </c>
      <c r="Z11" s="40">
        <f t="shared" si="3"/>
        <v>0</v>
      </c>
      <c r="AA11" s="41">
        <f t="shared" si="4"/>
        <v>4.4000000000000004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6.3</v>
      </c>
      <c r="Z12" s="40">
        <f t="shared" si="3"/>
        <v>0</v>
      </c>
      <c r="AA12" s="41">
        <f t="shared" si="4"/>
        <v>6.3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2"/>
      <c r="Y13" s="39"/>
      <c r="Z13" s="40"/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9"/>
      <c r="Z15" s="40"/>
      <c r="AA15" s="41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9">
        <f t="shared" si="2"/>
        <v>0</v>
      </c>
      <c r="Z16" s="40">
        <f t="shared" si="3"/>
        <v>0</v>
      </c>
      <c r="AA16" s="41">
        <f t="shared" si="4"/>
        <v>0</v>
      </c>
    </row>
    <row r="17" spans="1:27" x14ac:dyDescent="0.35">
      <c r="A17" s="1"/>
      <c r="B17" s="7"/>
      <c r="C17" s="25">
        <f t="shared" ref="C17:I17" si="5">SUM(C8:C16)</f>
        <v>514</v>
      </c>
      <c r="D17" s="25">
        <f t="shared" si="5"/>
        <v>78</v>
      </c>
      <c r="E17" s="25">
        <f t="shared" si="5"/>
        <v>251</v>
      </c>
      <c r="F17" s="25">
        <f t="shared" si="5"/>
        <v>241</v>
      </c>
      <c r="G17" s="25">
        <f t="shared" si="5"/>
        <v>243</v>
      </c>
      <c r="H17" s="25">
        <f t="shared" si="5"/>
        <v>232</v>
      </c>
      <c r="I17" s="25">
        <f t="shared" si="5"/>
        <v>244</v>
      </c>
      <c r="J17" s="28">
        <f>SUM(C17:I17)</f>
        <v>1803</v>
      </c>
      <c r="K17" s="31"/>
      <c r="M17" s="1"/>
      <c r="N17" s="7"/>
      <c r="O17" s="25">
        <f t="shared" ref="O17:U17" si="6">SUM(O8:O16)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8">
        <f>SUM(O17:U17)</f>
        <v>0</v>
      </c>
      <c r="W17" s="31"/>
      <c r="Y17" s="36">
        <f>SUM(Y8:Y16)</f>
        <v>45.074999999999996</v>
      </c>
      <c r="Z17" s="37">
        <f>SUM(Z8:Z16)</f>
        <v>0</v>
      </c>
      <c r="AA17" s="38">
        <f>SUM(AA8:AA16)</f>
        <v>45.074999999999996</v>
      </c>
    </row>
    <row r="18" spans="1:27" ht="15" thickBot="1" x14ac:dyDescent="0.4">
      <c r="A18" s="1"/>
      <c r="B18" s="20" t="s">
        <v>19</v>
      </c>
      <c r="C18" s="21">
        <f t="shared" ref="C18:J18" si="7">C17/40</f>
        <v>12.85</v>
      </c>
      <c r="D18" s="21">
        <f t="shared" si="7"/>
        <v>1.95</v>
      </c>
      <c r="E18" s="21">
        <f t="shared" si="7"/>
        <v>6.2750000000000004</v>
      </c>
      <c r="F18" s="21">
        <f t="shared" si="7"/>
        <v>6.0250000000000004</v>
      </c>
      <c r="G18" s="21">
        <f t="shared" si="7"/>
        <v>6.0750000000000002</v>
      </c>
      <c r="H18" s="21">
        <f t="shared" si="7"/>
        <v>5.8</v>
      </c>
      <c r="I18" s="21">
        <f t="shared" si="7"/>
        <v>6.1</v>
      </c>
      <c r="J18" s="22">
        <f t="shared" si="7"/>
        <v>45.075000000000003</v>
      </c>
      <c r="K18" s="23"/>
      <c r="M18" s="1"/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42">
        <f>Y17/40</f>
        <v>1.1268749999999998</v>
      </c>
      <c r="Z18" s="43">
        <f>Z17/40</f>
        <v>0</v>
      </c>
      <c r="AA18" s="44">
        <f>AA17/40</f>
        <v>1.1268749999999998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2026-08-25T12:24:08Z</dcterms:modified>
</cp:coreProperties>
</file>