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218F41BE-2971-4B0B-A3AA-B6866C5B0A41}" xr6:coauthVersionLast="47" xr6:coauthVersionMax="47" xr10:uidLastSave="{00000000-0000-0000-0000-000000000000}"/>
  <bookViews>
    <workbookView xWindow="-110" yWindow="-110" windowWidth="19420" windowHeight="10420" activeTab="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4" l="1"/>
  <c r="AA12" i="1" l="1"/>
  <c r="AA13" i="1"/>
  <c r="AA15" i="6"/>
  <c r="AA15" i="7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6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6"/>
  <c r="Y15" i="7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6"/>
  <c r="AA14" i="7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6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6"/>
  <c r="Y14" i="7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9" i="6"/>
  <c r="AA10" i="6"/>
  <c r="AA11" i="6"/>
  <c r="AA12" i="6"/>
  <c r="AA13" i="6"/>
  <c r="AA9" i="7"/>
  <c r="AA10" i="7"/>
  <c r="AA11" i="7"/>
  <c r="AA12" i="7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6"/>
  <c r="AA8" i="7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2" i="5"/>
  <c r="Z13" i="5"/>
  <c r="Z9" i="6"/>
  <c r="Z10" i="6"/>
  <c r="Z11" i="6"/>
  <c r="Z12" i="6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5"/>
  <c r="Z8" i="6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9" i="6"/>
  <c r="Y10" i="6"/>
  <c r="Y11" i="6"/>
  <c r="Y12" i="6"/>
  <c r="Y13" i="6"/>
  <c r="Y9" i="7"/>
  <c r="Y10" i="7"/>
  <c r="Y11" i="7"/>
  <c r="Y12" i="7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6"/>
  <c r="Y8" i="7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6"/>
  <c r="I15" i="9"/>
  <c r="I15" i="10"/>
  <c r="I15" i="14"/>
  <c r="I15" i="17"/>
  <c r="I15" i="18"/>
  <c r="I15" i="22"/>
  <c r="I15" i="25"/>
  <c r="I15" i="26"/>
  <c r="I15" i="30"/>
  <c r="I15" i="1"/>
  <c r="H15" i="7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6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7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6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7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6"/>
  <c r="C15" i="7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4" i="7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V9" i="6"/>
  <c r="V10" i="6"/>
  <c r="V11" i="6"/>
  <c r="V12" i="6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V8" i="6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AA9" i="5" s="1"/>
  <c r="J10" i="5"/>
  <c r="Y10" i="5" s="1"/>
  <c r="J11" i="5"/>
  <c r="Y11" i="5" s="1"/>
  <c r="AA11" i="5" s="1"/>
  <c r="J12" i="5"/>
  <c r="Y12" i="5" s="1"/>
  <c r="AA12" i="5" s="1"/>
  <c r="J9" i="6"/>
  <c r="J10" i="6"/>
  <c r="J11" i="6"/>
  <c r="J12" i="6"/>
  <c r="J9" i="7"/>
  <c r="J10" i="7"/>
  <c r="J11" i="7"/>
  <c r="J12" i="7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AA8" i="5" s="1"/>
  <c r="J8" i="6"/>
  <c r="J8" i="7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Z14" i="4" l="1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AA14" i="5" s="1"/>
  <c r="AA15" i="5" s="1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4" l="1"/>
  <c r="AA15" i="4" s="1"/>
</calcChain>
</file>

<file path=xl/sharedStrings.xml><?xml version="1.0" encoding="utf-8"?>
<sst xmlns="http://schemas.openxmlformats.org/spreadsheetml/2006/main" count="1326" uniqueCount="25">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</sst>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Arial Black"/>
      <family val="2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2" xfId="0" applyFont="1" applyBorder="1"/>
    <xf numFmtId="0" fontId="13" fillId="0" borderId="3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3" fillId="0" borderId="0" xfId="0" applyFont="1"/>
    <xf numFmtId="0" fontId="13" fillId="0" borderId="5" xfId="0" applyFont="1" applyBorder="1"/>
    <xf numFmtId="0" fontId="13" fillId="0" borderId="6" xfId="0" applyFont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" fontId="13" fillId="0" borderId="0" xfId="0" applyNumberFormat="1" applyFont="1"/>
    <xf numFmtId="0" fontId="11" fillId="0" borderId="6" xfId="0" applyFont="1" applyBorder="1"/>
    <xf numFmtId="0" fontId="13" fillId="0" borderId="0" xfId="0" applyFont="1" applyAlignment="1">
      <alignment horizontal="left"/>
    </xf>
    <xf numFmtId="0" fontId="13" fillId="0" borderId="5" xfId="0" applyFont="1" applyBorder="1" applyAlignment="1">
      <alignment horizontal="left"/>
    </xf>
    <xf numFmtId="0" fontId="11" fillId="0" borderId="7" xfId="0" applyFont="1" applyBorder="1"/>
    <xf numFmtId="0" fontId="14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3" fillId="0" borderId="9" xfId="0" applyFont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1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0" sqref="L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47" t="s">
        <v>21</v>
      </c>
      <c r="Z3" s="47"/>
      <c r="AA3" s="47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47"/>
      <c r="Z4" s="47"/>
      <c r="AA4" s="47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L9" sqref="L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23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tabSelected="1"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52"/>
      <c r="B2" s="53" t="s">
        <v>0</v>
      </c>
      <c r="C2" s="53"/>
      <c r="D2" s="53"/>
      <c r="E2" s="53"/>
      <c r="F2" s="53"/>
      <c r="G2" s="53"/>
      <c r="H2" s="53"/>
      <c r="I2" s="53"/>
      <c r="J2" s="53"/>
      <c r="K2" s="52"/>
      <c r="L2" s="52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52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52"/>
      <c r="B4" s="53"/>
      <c r="C4" s="53"/>
      <c r="D4" s="53"/>
      <c r="E4" s="53"/>
      <c r="F4" s="53"/>
      <c r="G4" s="53"/>
      <c r="H4" s="53"/>
      <c r="I4" s="53"/>
      <c r="J4" s="53"/>
      <c r="K4" s="52"/>
      <c r="L4" s="52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52"/>
      <c r="B5" s="54"/>
      <c r="C5" s="54"/>
      <c r="D5" s="54"/>
      <c r="E5" s="54"/>
      <c r="F5" s="54"/>
      <c r="G5" s="54"/>
      <c r="H5" s="54"/>
      <c r="I5" s="54"/>
      <c r="J5" s="54"/>
      <c r="K5" s="52"/>
      <c r="L5" s="52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52"/>
      <c r="B6" s="55"/>
      <c r="C6" s="56" t="s">
        <v>2</v>
      </c>
      <c r="D6" s="57" t="s">
        <v>3</v>
      </c>
      <c r="E6" s="57"/>
      <c r="F6" s="57"/>
      <c r="G6" s="57" t="s">
        <v>4</v>
      </c>
      <c r="H6" s="57"/>
      <c r="I6" s="57"/>
      <c r="J6" s="58"/>
      <c r="K6" s="59"/>
      <c r="L6" s="52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0"/>
      <c r="B7" s="61" t="s">
        <v>5</v>
      </c>
      <c r="C7" s="62" t="s">
        <v>6</v>
      </c>
      <c r="D7" s="63" t="s">
        <v>7</v>
      </c>
      <c r="E7" s="63" t="s">
        <v>8</v>
      </c>
      <c r="F7" s="63" t="s">
        <v>9</v>
      </c>
      <c r="G7" s="64" t="s">
        <v>7</v>
      </c>
      <c r="H7" s="64" t="s">
        <v>10</v>
      </c>
      <c r="I7" s="64" t="s">
        <v>9</v>
      </c>
      <c r="J7" s="65" t="s">
        <v>11</v>
      </c>
      <c r="K7" s="66" t="s">
        <v>12</v>
      </c>
      <c r="L7" s="67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8"/>
      <c r="B8" s="61" t="s">
        <v>13</v>
      </c>
      <c r="C8" s="65">
        <v>200</v>
      </c>
      <c r="D8" s="65">
        <v>70</v>
      </c>
      <c r="E8" s="65">
        <v>50</v>
      </c>
      <c r="F8" s="65">
        <v>0</v>
      </c>
      <c r="G8" s="65">
        <v>230</v>
      </c>
      <c r="H8" s="65">
        <v>250</v>
      </c>
      <c r="I8" s="65">
        <v>500</v>
      </c>
      <c r="J8" s="69">
        <f>SUM(C8:I8)/40</f>
        <v>32.5</v>
      </c>
      <c r="K8" s="66">
        <v>23</v>
      </c>
      <c r="L8" s="67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32.5</v>
      </c>
      <c r="Z8" s="40">
        <f>V8</f>
        <v>0</v>
      </c>
      <c r="AA8" s="41">
        <f>Y8-Z8</f>
        <v>32.5</v>
      </c>
    </row>
    <row r="9" spans="1:27" x14ac:dyDescent="0.35">
      <c r="A9" s="68"/>
      <c r="B9" s="61" t="s">
        <v>14</v>
      </c>
      <c r="C9" s="65">
        <v>75</v>
      </c>
      <c r="D9" s="65">
        <v>50</v>
      </c>
      <c r="E9" s="65">
        <v>50</v>
      </c>
      <c r="F9" s="65">
        <v>0</v>
      </c>
      <c r="G9" s="65">
        <v>181</v>
      </c>
      <c r="H9" s="65">
        <v>206</v>
      </c>
      <c r="I9" s="65">
        <v>233</v>
      </c>
      <c r="J9" s="69">
        <f t="shared" ref="J9:J12" si="0">SUM(C9:I9)/40</f>
        <v>19.875</v>
      </c>
      <c r="K9" s="66">
        <v>11</v>
      </c>
      <c r="L9" s="67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19.875</v>
      </c>
      <c r="Z9" s="40">
        <f t="shared" ref="Z9:Z13" si="3">V9</f>
        <v>0</v>
      </c>
      <c r="AA9" s="41">
        <f t="shared" ref="AA9:AA13" si="4">Y9-Z9</f>
        <v>19.875</v>
      </c>
    </row>
    <row r="10" spans="1:27" x14ac:dyDescent="0.35">
      <c r="A10" s="68"/>
      <c r="B10" s="61" t="s">
        <v>16</v>
      </c>
      <c r="C10" s="65">
        <v>272</v>
      </c>
      <c r="D10" s="65">
        <v>20</v>
      </c>
      <c r="E10" s="65">
        <v>20</v>
      </c>
      <c r="F10" s="65">
        <v>0</v>
      </c>
      <c r="G10" s="65">
        <v>107</v>
      </c>
      <c r="H10" s="65">
        <v>90</v>
      </c>
      <c r="I10" s="65">
        <v>113</v>
      </c>
      <c r="J10" s="69">
        <f t="shared" si="0"/>
        <v>15.55</v>
      </c>
      <c r="K10" s="66">
        <v>8</v>
      </c>
      <c r="L10" s="67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15.55</v>
      </c>
      <c r="Z10" s="40">
        <f t="shared" si="3"/>
        <v>0</v>
      </c>
      <c r="AA10" s="41">
        <f t="shared" si="4"/>
        <v>15.55</v>
      </c>
    </row>
    <row r="11" spans="1:27" x14ac:dyDescent="0.35">
      <c r="A11" s="70"/>
      <c r="B11" s="71" t="s">
        <v>24</v>
      </c>
      <c r="C11" s="65"/>
      <c r="D11" s="65"/>
      <c r="E11" s="65"/>
      <c r="F11" s="65"/>
      <c r="G11" s="65">
        <v>10</v>
      </c>
      <c r="H11" s="65">
        <v>10</v>
      </c>
      <c r="I11" s="65">
        <v>40</v>
      </c>
      <c r="J11" s="69">
        <f t="shared" si="0"/>
        <v>1.5</v>
      </c>
      <c r="K11" s="66">
        <v>1</v>
      </c>
      <c r="L11" s="67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70"/>
      <c r="B12" s="71" t="s">
        <v>17</v>
      </c>
      <c r="C12" s="65"/>
      <c r="D12" s="65">
        <v>120</v>
      </c>
      <c r="E12" s="65">
        <v>120</v>
      </c>
      <c r="F12" s="65">
        <v>240</v>
      </c>
      <c r="G12" s="65">
        <v>80</v>
      </c>
      <c r="H12" s="65">
        <v>120</v>
      </c>
      <c r="I12" s="65">
        <v>120</v>
      </c>
      <c r="J12" s="69">
        <f t="shared" si="0"/>
        <v>20</v>
      </c>
      <c r="K12" s="66">
        <v>2</v>
      </c>
      <c r="L12" s="67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20</v>
      </c>
      <c r="Z12" s="40">
        <f t="shared" si="3"/>
        <v>0</v>
      </c>
      <c r="AA12" s="41">
        <f t="shared" si="4"/>
        <v>20</v>
      </c>
    </row>
    <row r="13" spans="1:27" x14ac:dyDescent="0.35">
      <c r="A13" s="70"/>
      <c r="B13" s="71"/>
      <c r="C13" s="65"/>
      <c r="D13" s="65"/>
      <c r="E13" s="65"/>
      <c r="F13" s="65"/>
      <c r="G13" s="65"/>
      <c r="H13" s="65"/>
      <c r="I13" s="65"/>
      <c r="J13" s="69"/>
      <c r="K13" s="72"/>
      <c r="L13" s="52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52"/>
      <c r="B14" s="61"/>
      <c r="C14" s="73">
        <f t="shared" ref="C14:I14" si="5">SUM(C8:C13)</f>
        <v>547</v>
      </c>
      <c r="D14" s="73">
        <f t="shared" si="5"/>
        <v>260</v>
      </c>
      <c r="E14" s="73">
        <f t="shared" si="5"/>
        <v>240</v>
      </c>
      <c r="F14" s="73">
        <f t="shared" si="5"/>
        <v>240</v>
      </c>
      <c r="G14" s="73">
        <f t="shared" si="5"/>
        <v>608</v>
      </c>
      <c r="H14" s="73">
        <f t="shared" si="5"/>
        <v>676</v>
      </c>
      <c r="I14" s="73">
        <f t="shared" si="5"/>
        <v>1006</v>
      </c>
      <c r="J14" s="74">
        <f>SUM(C14:I14)</f>
        <v>3577</v>
      </c>
      <c r="K14" s="75"/>
      <c r="L14" s="52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89.424999999999997</v>
      </c>
      <c r="Z14" s="37">
        <f>SUM(Z8:Z13)</f>
        <v>0</v>
      </c>
      <c r="AA14" s="38">
        <f>SUM(AA8:AA13)</f>
        <v>89.424999999999997</v>
      </c>
    </row>
    <row r="15" spans="1:27" ht="15" thickBot="1" x14ac:dyDescent="0.4">
      <c r="A15" s="52"/>
      <c r="B15" s="76" t="s">
        <v>19</v>
      </c>
      <c r="C15" s="77">
        <f t="shared" ref="C15:J15" si="7">C14/40</f>
        <v>13.675000000000001</v>
      </c>
      <c r="D15" s="77">
        <f t="shared" si="7"/>
        <v>6.5</v>
      </c>
      <c r="E15" s="77">
        <f t="shared" si="7"/>
        <v>6</v>
      </c>
      <c r="F15" s="77">
        <f t="shared" si="7"/>
        <v>6</v>
      </c>
      <c r="G15" s="77">
        <f t="shared" si="7"/>
        <v>15.2</v>
      </c>
      <c r="H15" s="77">
        <f t="shared" si="7"/>
        <v>16.899999999999999</v>
      </c>
      <c r="I15" s="77">
        <f t="shared" si="7"/>
        <v>25.15</v>
      </c>
      <c r="J15" s="78">
        <f t="shared" si="7"/>
        <v>89.424999999999997</v>
      </c>
      <c r="K15" s="79"/>
      <c r="L15" s="52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2.2356249999999998</v>
      </c>
      <c r="Z15" s="43">
        <f>Z14/40</f>
        <v>0</v>
      </c>
      <c r="AA15" s="44">
        <f>AA14/40</f>
        <v>2.2356249999999998</v>
      </c>
    </row>
    <row r="16" spans="1:27" x14ac:dyDescent="0.35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48" t="s">
        <v>0</v>
      </c>
      <c r="C2" s="48"/>
      <c r="D2" s="48"/>
      <c r="E2" s="48"/>
      <c r="F2" s="48"/>
      <c r="G2" s="48"/>
      <c r="H2" s="48"/>
      <c r="I2" s="48"/>
      <c r="J2" s="48"/>
      <c r="M2" s="1"/>
      <c r="N2" s="48" t="s">
        <v>1</v>
      </c>
      <c r="O2" s="48"/>
      <c r="P2" s="48"/>
      <c r="Q2" s="48"/>
      <c r="R2" s="48"/>
      <c r="S2" s="48"/>
      <c r="T2" s="48"/>
      <c r="U2" s="48"/>
      <c r="V2" s="48"/>
    </row>
    <row r="3" spans="1:27" ht="14.5" customHeight="1" x14ac:dyDescent="0.35">
      <c r="A3" s="1"/>
      <c r="B3" s="48"/>
      <c r="C3" s="48"/>
      <c r="D3" s="48"/>
      <c r="E3" s="48"/>
      <c r="F3" s="48"/>
      <c r="G3" s="48"/>
      <c r="H3" s="48"/>
      <c r="I3" s="48"/>
      <c r="J3" s="48"/>
      <c r="M3" s="1"/>
      <c r="N3" s="48"/>
      <c r="O3" s="48"/>
      <c r="P3" s="48"/>
      <c r="Q3" s="48"/>
      <c r="R3" s="48"/>
      <c r="S3" s="48"/>
      <c r="T3" s="48"/>
      <c r="U3" s="48"/>
      <c r="V3" s="48"/>
      <c r="Y3" s="51" t="s">
        <v>21</v>
      </c>
      <c r="Z3" s="51"/>
      <c r="AA3" s="51"/>
    </row>
    <row r="4" spans="1:27" ht="14.5" customHeight="1" thickBot="1" x14ac:dyDescent="0.4">
      <c r="A4" s="1"/>
      <c r="B4" s="48"/>
      <c r="C4" s="48"/>
      <c r="D4" s="48"/>
      <c r="E4" s="48"/>
      <c r="F4" s="48"/>
      <c r="G4" s="48"/>
      <c r="H4" s="48"/>
      <c r="I4" s="48"/>
      <c r="J4" s="48"/>
      <c r="M4" s="1"/>
      <c r="N4" s="48"/>
      <c r="O4" s="48"/>
      <c r="P4" s="48"/>
      <c r="Q4" s="48"/>
      <c r="R4" s="48"/>
      <c r="S4" s="48"/>
      <c r="T4" s="48"/>
      <c r="U4" s="48"/>
      <c r="V4" s="48"/>
      <c r="Y4" s="51"/>
      <c r="Z4" s="51"/>
      <c r="AA4" s="51"/>
    </row>
    <row r="5" spans="1:27" ht="15" thickBot="1" x14ac:dyDescent="0.4">
      <c r="A5" s="1"/>
      <c r="B5" s="49"/>
      <c r="C5" s="49"/>
      <c r="D5" s="49"/>
      <c r="E5" s="49"/>
      <c r="F5" s="49"/>
      <c r="G5" s="49"/>
      <c r="H5" s="49"/>
      <c r="I5" s="49"/>
      <c r="J5" s="49"/>
      <c r="M5" s="1"/>
      <c r="N5" s="49"/>
      <c r="O5" s="49"/>
      <c r="P5" s="49"/>
      <c r="Q5" s="49"/>
      <c r="R5" s="49"/>
      <c r="S5" s="49"/>
      <c r="T5" s="49"/>
      <c r="U5" s="49"/>
      <c r="V5" s="49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50" t="s">
        <v>3</v>
      </c>
      <c r="E6" s="50"/>
      <c r="F6" s="50"/>
      <c r="G6" s="50" t="s">
        <v>4</v>
      </c>
      <c r="H6" s="50"/>
      <c r="I6" s="50"/>
      <c r="J6" s="4"/>
      <c r="K6" s="5"/>
      <c r="M6" s="1"/>
      <c r="N6" s="2"/>
      <c r="O6" s="3" t="s">
        <v>2</v>
      </c>
      <c r="P6" s="50" t="s">
        <v>3</v>
      </c>
      <c r="Q6" s="50"/>
      <c r="R6" s="50"/>
      <c r="S6" s="50" t="s">
        <v>4</v>
      </c>
      <c r="T6" s="50"/>
      <c r="U6" s="50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51" t="s">
        <v>21</v>
      </c>
      <c r="Z3" s="51"/>
      <c r="AA3" s="51"/>
    </row>
    <row r="4" spans="2:27" ht="14.5" customHeight="1" thickBot="1" x14ac:dyDescent="0.4">
      <c r="Y4" s="51"/>
      <c r="Z4" s="51"/>
      <c r="AA4" s="51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2026-08-04T12:10:39Z</dcterms:modified>
</cp:coreProperties>
</file>