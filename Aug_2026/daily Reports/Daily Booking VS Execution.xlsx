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D05A1D14-9CAE-4473-BF2D-E15C9DA93DB7}" xr6:coauthVersionLast="47" xr6:coauthVersionMax="47" xr10:uidLastSave="{00000000-0000-0000-0000-000000000000}"/>
  <bookViews>
    <workbookView xWindow="-110" yWindow="-110" windowWidth="19420" windowHeight="10420" activeTab="16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8" i="17" l="1"/>
  <c r="O11" i="17" l="1"/>
  <c r="U11" i="17"/>
  <c r="T11" i="17"/>
  <c r="S11" i="17"/>
  <c r="P11" i="17"/>
  <c r="O9" i="17" l="1"/>
  <c r="U9" i="17"/>
  <c r="T9" i="17"/>
  <c r="S9" i="17"/>
  <c r="R9" i="17"/>
  <c r="Q9" i="17"/>
  <c r="P9" i="17"/>
  <c r="V13" i="17" l="1"/>
  <c r="J13" i="17"/>
  <c r="U12" i="12" l="1"/>
  <c r="T12" i="12"/>
  <c r="S12" i="12"/>
  <c r="C13" i="15"/>
  <c r="I13" i="15"/>
  <c r="H13" i="15"/>
  <c r="G13" i="15"/>
  <c r="F13" i="15"/>
  <c r="E13" i="15"/>
  <c r="D13" i="15"/>
  <c r="V13" i="13"/>
  <c r="J13" i="15" l="1"/>
  <c r="G12" i="13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9"/>
  <c r="Z15" i="14"/>
  <c r="Z15" i="16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9"/>
  <c r="Y15" i="14"/>
  <c r="Y15" i="16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9"/>
  <c r="AA14" i="14"/>
  <c r="AA14" i="16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9"/>
  <c r="Z14" i="14"/>
  <c r="Z14" i="16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9"/>
  <c r="Y14" i="14"/>
  <c r="Y14" i="16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9" i="16"/>
  <c r="AA10" i="16"/>
  <c r="AA11" i="16"/>
  <c r="AA12" i="16"/>
  <c r="AA13" i="16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4"/>
  <c r="AA8" i="16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10" i="15"/>
  <c r="Z11" i="15"/>
  <c r="Z13" i="15"/>
  <c r="Z9" i="16"/>
  <c r="Z10" i="16"/>
  <c r="Z11" i="16"/>
  <c r="Z12" i="16"/>
  <c r="Z13" i="16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4"/>
  <c r="Z8" i="15"/>
  <c r="Z8" i="16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3" i="15"/>
  <c r="AA13" i="15" s="1"/>
  <c r="Y9" i="16"/>
  <c r="Y10" i="16"/>
  <c r="Y11" i="16"/>
  <c r="Y12" i="16"/>
  <c r="Y13" i="16"/>
  <c r="Y12" i="17"/>
  <c r="Y13" i="17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4"/>
  <c r="Y8" i="16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22"/>
  <c r="I15" i="25"/>
  <c r="I15" i="26"/>
  <c r="I15" i="30"/>
  <c r="I15" i="1"/>
  <c r="H15" i="19"/>
  <c r="H15" i="21"/>
  <c r="H15" i="22"/>
  <c r="H15" i="23"/>
  <c r="H15" i="25"/>
  <c r="H15" i="26"/>
  <c r="H15" i="27"/>
  <c r="H15" i="31"/>
  <c r="H15" i="1"/>
  <c r="G15" i="14"/>
  <c r="G15" i="16"/>
  <c r="G15" i="20"/>
  <c r="G15" i="22"/>
  <c r="G15" i="24"/>
  <c r="G15" i="26"/>
  <c r="G15" i="27"/>
  <c r="G15" i="28"/>
  <c r="G15" i="30"/>
  <c r="G15" i="31"/>
  <c r="G15" i="1"/>
  <c r="F15" i="9"/>
  <c r="F15" i="16"/>
  <c r="F15" i="21"/>
  <c r="F15" i="23"/>
  <c r="F15" i="25"/>
  <c r="F15" i="27"/>
  <c r="F15" i="28"/>
  <c r="F15" i="29"/>
  <c r="F15" i="31"/>
  <c r="F15" i="1"/>
  <c r="E15" i="14"/>
  <c r="E15" i="16"/>
  <c r="E15" i="22"/>
  <c r="E15" i="24"/>
  <c r="E15" i="26"/>
  <c r="E15" i="28"/>
  <c r="E15" i="29"/>
  <c r="E15" i="30"/>
  <c r="E15" i="1"/>
  <c r="D15" i="9"/>
  <c r="D15" i="14"/>
  <c r="D15" i="19"/>
  <c r="D15" i="23"/>
  <c r="D15" i="25"/>
  <c r="D15" i="27"/>
  <c r="D15" i="29"/>
  <c r="D15" i="30"/>
  <c r="D15" i="31"/>
  <c r="D15" i="1"/>
  <c r="C15" i="14"/>
  <c r="C15" i="16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5" i="17" s="1"/>
  <c r="I14" i="18"/>
  <c r="I15" i="18" s="1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5" i="17" s="1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5" i="17" s="1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5" i="17" s="1"/>
  <c r="E14" i="18"/>
  <c r="E15" i="18" s="1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5" i="17" s="1"/>
  <c r="D14" i="18"/>
  <c r="D15" i="18" s="1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5" i="18" s="1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Z9" i="15" s="1"/>
  <c r="V10" i="15"/>
  <c r="V11" i="15"/>
  <c r="V12" i="15"/>
  <c r="Z12" i="15" s="1"/>
  <c r="V9" i="16"/>
  <c r="V10" i="16"/>
  <c r="V11" i="16"/>
  <c r="V12" i="16"/>
  <c r="V9" i="17"/>
  <c r="Z9" i="17" s="1"/>
  <c r="V10" i="17"/>
  <c r="Z10" i="17" s="1"/>
  <c r="V11" i="17"/>
  <c r="Z11" i="17" s="1"/>
  <c r="V12" i="17"/>
  <c r="Z12" i="17" s="1"/>
  <c r="AA12" i="17" s="1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Z8" i="17" s="1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J10" i="15"/>
  <c r="Y10" i="15" s="1"/>
  <c r="AA10" i="15" s="1"/>
  <c r="J11" i="15"/>
  <c r="Y11" i="15" s="1"/>
  <c r="J12" i="15"/>
  <c r="Y12" i="15" s="1"/>
  <c r="J9" i="16"/>
  <c r="J10" i="16"/>
  <c r="J11" i="16"/>
  <c r="J12" i="16"/>
  <c r="J9" i="17"/>
  <c r="Y9" i="17" s="1"/>
  <c r="J10" i="17"/>
  <c r="Y10" i="17" s="1"/>
  <c r="J11" i="17"/>
  <c r="Y11" i="17" s="1"/>
  <c r="J12" i="17"/>
  <c r="J9" i="18"/>
  <c r="Y9" i="18" s="1"/>
  <c r="AA9" i="18" s="1"/>
  <c r="J10" i="18"/>
  <c r="Y10" i="18" s="1"/>
  <c r="J11" i="18"/>
  <c r="Y11" i="18" s="1"/>
  <c r="AA11" i="18" s="1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Y8" i="17" s="1"/>
  <c r="J8" i="18"/>
  <c r="Y8" i="18" s="1"/>
  <c r="AA8" i="18" s="1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AA8" i="17" l="1"/>
  <c r="AA11" i="17"/>
  <c r="Z14" i="17"/>
  <c r="Z15" i="17" s="1"/>
  <c r="AA9" i="17"/>
  <c r="AA10" i="17"/>
  <c r="Y14" i="18"/>
  <c r="Y15" i="18" s="1"/>
  <c r="AA10" i="18"/>
  <c r="AA14" i="18" s="1"/>
  <c r="AA15" i="18" s="1"/>
  <c r="Y14" i="17"/>
  <c r="Y15" i="17" s="1"/>
  <c r="AA13" i="17"/>
  <c r="AA11" i="15"/>
  <c r="Z14" i="15"/>
  <c r="Z15" i="15" s="1"/>
  <c r="AA9" i="15"/>
  <c r="Y14" i="15"/>
  <c r="Y15" i="15" s="1"/>
  <c r="AA12" i="15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17" l="1"/>
  <c r="AA15" i="17" s="1"/>
  <c r="AA14" i="15"/>
  <c r="AA15" i="15" s="1"/>
  <c r="AA14" i="12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</calcChain>
</file>

<file path=xl/sharedStrings.xml><?xml version="1.0" encoding="utf-8"?>
<sst xmlns="http://schemas.openxmlformats.org/spreadsheetml/2006/main" count="1346" uniqueCount="40">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</sst>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75" t="s">
        <v>21</v>
      </c>
      <c r="Z3" s="75"/>
      <c r="AA3" s="75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75"/>
      <c r="Z4" s="75"/>
      <c r="AA4" s="75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79" t="s">
        <v>31</v>
      </c>
      <c r="M1" s="79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6" t="s">
        <v>0</v>
      </c>
      <c r="C2" s="76"/>
      <c r="D2" s="76"/>
      <c r="E2" s="76"/>
      <c r="F2" s="76"/>
      <c r="G2" s="76"/>
      <c r="H2" s="76"/>
      <c r="I2" s="76"/>
      <c r="J2" s="76"/>
      <c r="K2" s="47"/>
      <c r="L2" s="47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47"/>
      <c r="B3" s="76"/>
      <c r="C3" s="76"/>
      <c r="D3" s="76"/>
      <c r="E3" s="76"/>
      <c r="F3" s="76"/>
      <c r="G3" s="76"/>
      <c r="H3" s="76"/>
      <c r="I3" s="76"/>
      <c r="J3" s="76"/>
      <c r="K3" s="47"/>
      <c r="L3" s="47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47"/>
      <c r="B4" s="76"/>
      <c r="C4" s="76"/>
      <c r="D4" s="76"/>
      <c r="E4" s="76"/>
      <c r="F4" s="76"/>
      <c r="G4" s="76"/>
      <c r="H4" s="76"/>
      <c r="I4" s="76"/>
      <c r="J4" s="76"/>
      <c r="K4" s="47"/>
      <c r="L4" s="47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customHeight="1" thickBot="1" x14ac:dyDescent="0.4">
      <c r="A5" s="47"/>
      <c r="B5" s="77"/>
      <c r="C5" s="77"/>
      <c r="D5" s="77"/>
      <c r="E5" s="77"/>
      <c r="F5" s="77"/>
      <c r="G5" s="77"/>
      <c r="H5" s="77"/>
      <c r="I5" s="77"/>
      <c r="J5" s="77"/>
      <c r="K5" s="47"/>
      <c r="L5" s="4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1" t="s">
        <v>3</v>
      </c>
      <c r="E6" s="81"/>
      <c r="F6" s="81"/>
      <c r="G6" s="81" t="s">
        <v>4</v>
      </c>
      <c r="H6" s="81"/>
      <c r="I6" s="81"/>
      <c r="J6" s="50"/>
      <c r="K6" s="51"/>
      <c r="L6" s="47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opLeftCell="A2" workbookViewId="0">
      <selection activeCell="W18" sqref="W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9">
        <f>J8</f>
        <v>10.5</v>
      </c>
      <c r="Z8" s="40">
        <f>V8</f>
        <v>9.5</v>
      </c>
      <c r="AA8" s="41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9">
        <f t="shared" ref="Y9:Y13" si="2">J9</f>
        <v>5.6</v>
      </c>
      <c r="Z9" s="40">
        <f t="shared" ref="Z9:Z13" si="3">V9</f>
        <v>5</v>
      </c>
      <c r="AA9" s="41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9">
        <f t="shared" si="2"/>
        <v>11.6</v>
      </c>
      <c r="Z10" s="40">
        <f t="shared" si="3"/>
        <v>10.574999999999999</v>
      </c>
      <c r="AA10" s="41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9">
        <f t="shared" si="2"/>
        <v>1.9</v>
      </c>
      <c r="Z11" s="40">
        <f t="shared" si="3"/>
        <v>1.9</v>
      </c>
      <c r="AA11" s="41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>
        <v>7</v>
      </c>
      <c r="Y12" s="39">
        <f t="shared" si="2"/>
        <v>97.5</v>
      </c>
      <c r="Z12" s="40">
        <f t="shared" si="3"/>
        <v>634.5</v>
      </c>
      <c r="AA12" s="41">
        <f t="shared" si="4"/>
        <v>-537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9">
        <f t="shared" si="2"/>
        <v>1.8</v>
      </c>
      <c r="Z13" s="40">
        <f t="shared" si="3"/>
        <v>1.8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5156</v>
      </c>
      <c r="K14" s="31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5646</v>
      </c>
      <c r="T14" s="25">
        <f t="shared" si="6"/>
        <v>4384</v>
      </c>
      <c r="U14" s="25">
        <f t="shared" si="6"/>
        <v>6549</v>
      </c>
      <c r="V14" s="28">
        <f>SUM(O14:U14)</f>
        <v>26531</v>
      </c>
      <c r="W14" s="31"/>
      <c r="Y14" s="36">
        <f>SUM(Y8:Y13)</f>
        <v>128.9</v>
      </c>
      <c r="Z14" s="37">
        <f>SUM(Z8:Z13)</f>
        <v>663.27499999999998</v>
      </c>
      <c r="AA14" s="38">
        <f>SUM(AA8:AA13)</f>
        <v>-534.375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141.15</v>
      </c>
      <c r="T15" s="21">
        <f t="shared" si="8"/>
        <v>109.6</v>
      </c>
      <c r="U15" s="21">
        <f t="shared" si="8"/>
        <v>163.72499999999999</v>
      </c>
      <c r="V15" s="22">
        <f t="shared" si="8"/>
        <v>663.27499999999998</v>
      </c>
      <c r="W15" s="23"/>
      <c r="Y15" s="42">
        <f>Y14/40</f>
        <v>3.2225000000000001</v>
      </c>
      <c r="Z15" s="43">
        <f>Z14/40</f>
        <v>16.581875</v>
      </c>
      <c r="AA15" s="44">
        <f>AA14/40</f>
        <v>-13.359375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Q17" sqref="Q17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9">
        <f>J8</f>
        <v>8.375</v>
      </c>
      <c r="Z8" s="40">
        <f>V8</f>
        <v>3.875</v>
      </c>
      <c r="AA8" s="41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9">
        <f t="shared" ref="Y9:Y13" si="2">J9</f>
        <v>7.05</v>
      </c>
      <c r="Z9" s="40">
        <f t="shared" ref="Z9:Z13" si="3">V9</f>
        <v>6.05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9">
        <f t="shared" si="2"/>
        <v>10.050000000000001</v>
      </c>
      <c r="Z10" s="40">
        <f t="shared" si="3"/>
        <v>8.0500000000000007</v>
      </c>
      <c r="AA10" s="41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9">
        <f t="shared" si="2"/>
        <v>7.65</v>
      </c>
      <c r="Z11" s="40">
        <f t="shared" si="3"/>
        <v>6.15</v>
      </c>
      <c r="AA11" s="41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9">
        <f t="shared" si="2"/>
        <v>22</v>
      </c>
      <c r="Z12" s="40">
        <f t="shared" si="3"/>
        <v>23</v>
      </c>
      <c r="AA12" s="41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9">
        <f t="shared" si="2"/>
        <v>2.9</v>
      </c>
      <c r="Z13" s="40">
        <f t="shared" si="3"/>
        <v>2</v>
      </c>
      <c r="AA13" s="41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8">
        <f>SUM(C14:I14)</f>
        <v>2321</v>
      </c>
      <c r="K14" s="31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8">
        <f>SUM(O14:U14)</f>
        <v>1965</v>
      </c>
      <c r="W14" s="31"/>
      <c r="Y14" s="36">
        <f>SUM(Y8:Y13)</f>
        <v>58.024999999999999</v>
      </c>
      <c r="Z14" s="37">
        <f>SUM(Z8:Z13)</f>
        <v>49.125</v>
      </c>
      <c r="AA14" s="38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42">
        <f>Y14/40</f>
        <v>1.4506250000000001</v>
      </c>
      <c r="Z15" s="43">
        <f>Z14/40</f>
        <v>1.2281249999999999</v>
      </c>
      <c r="AA15" s="44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280</v>
      </c>
      <c r="D8" s="11">
        <v>80</v>
      </c>
      <c r="E8" s="11">
        <v>80</v>
      </c>
      <c r="F8" s="11">
        <v>0</v>
      </c>
      <c r="G8" s="11">
        <v>15</v>
      </c>
      <c r="H8" s="11">
        <v>10</v>
      </c>
      <c r="I8" s="11">
        <v>15</v>
      </c>
      <c r="J8" s="15">
        <f>SUM(C8:I8)/40</f>
        <v>12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</v>
      </c>
      <c r="Z8" s="40">
        <f>V8</f>
        <v>0</v>
      </c>
      <c r="AA8" s="41">
        <f>Y8-Z8</f>
        <v>12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3" si="0">SUM(C9:I9)/40</f>
        <v>13.925000000000001</v>
      </c>
      <c r="K9" s="12">
        <v>13</v>
      </c>
      <c r="L9" s="13"/>
      <c r="M9" s="14"/>
      <c r="N9" s="7" t="s">
        <v>15</v>
      </c>
      <c r="O9" s="11">
        <v>40</v>
      </c>
      <c r="P9" s="11">
        <v>7</v>
      </c>
      <c r="Q9" s="11">
        <v>27</v>
      </c>
      <c r="R9" s="11">
        <v>27</v>
      </c>
      <c r="S9" s="11">
        <v>87</v>
      </c>
      <c r="T9" s="11">
        <v>87</v>
      </c>
      <c r="U9" s="11">
        <v>167</v>
      </c>
      <c r="V9" s="15">
        <f t="shared" ref="V9:V12" si="1">SUM(O9:U9)/40</f>
        <v>11.05</v>
      </c>
      <c r="W9" s="12">
        <v>5</v>
      </c>
      <c r="Y9" s="39">
        <f t="shared" ref="Y9:Y13" si="2">J9</f>
        <v>13.925000000000001</v>
      </c>
      <c r="Z9" s="40">
        <f t="shared" ref="Z9:Z13" si="3">V9</f>
        <v>11.05</v>
      </c>
      <c r="AA9" s="41">
        <f t="shared" ref="AA9:AA13" si="4">Y9-Z9</f>
        <v>2.875</v>
      </c>
    </row>
    <row r="10" spans="1:27" x14ac:dyDescent="0.35">
      <c r="A10" s="14"/>
      <c r="B10" s="7" t="s">
        <v>16</v>
      </c>
      <c r="C10" s="11">
        <v>132</v>
      </c>
      <c r="D10" s="11">
        <v>0</v>
      </c>
      <c r="E10" s="11">
        <v>0</v>
      </c>
      <c r="F10" s="11">
        <v>0</v>
      </c>
      <c r="G10" s="11">
        <v>117</v>
      </c>
      <c r="H10" s="11">
        <v>135</v>
      </c>
      <c r="I10" s="11">
        <v>152</v>
      </c>
      <c r="J10" s="15">
        <f t="shared" si="0"/>
        <v>13.4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13.4</v>
      </c>
      <c r="Z10" s="40">
        <f t="shared" si="3"/>
        <v>0</v>
      </c>
      <c r="AA10" s="41">
        <f t="shared" si="4"/>
        <v>13.4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>
        <v>112</v>
      </c>
      <c r="P11" s="11">
        <v>0</v>
      </c>
      <c r="Q11" s="11">
        <v>12</v>
      </c>
      <c r="R11" s="11">
        <v>0</v>
      </c>
      <c r="S11" s="11">
        <v>7</v>
      </c>
      <c r="T11" s="11">
        <v>7</v>
      </c>
      <c r="U11" s="11">
        <v>6</v>
      </c>
      <c r="V11" s="15">
        <f t="shared" si="1"/>
        <v>3.6</v>
      </c>
      <c r="W11" s="12">
        <v>3</v>
      </c>
      <c r="Y11" s="39">
        <f t="shared" si="2"/>
        <v>3.6</v>
      </c>
      <c r="Z11" s="40">
        <f t="shared" si="3"/>
        <v>3.6</v>
      </c>
      <c r="AA11" s="41">
        <f t="shared" si="4"/>
        <v>0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8.15</v>
      </c>
      <c r="Z12" s="40">
        <f t="shared" si="3"/>
        <v>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>
        <f>80+40</f>
        <v>120</v>
      </c>
      <c r="D13" s="11">
        <f>120+120+40</f>
        <v>280</v>
      </c>
      <c r="E13" s="11">
        <f>120+80+20</f>
        <v>220</v>
      </c>
      <c r="F13" s="11">
        <f>120+40+20</f>
        <v>180</v>
      </c>
      <c r="G13" s="11">
        <f>120+440+20</f>
        <v>580</v>
      </c>
      <c r="H13" s="11">
        <f>120+200+40</f>
        <v>360</v>
      </c>
      <c r="I13" s="11">
        <f>120+80+20</f>
        <v>220</v>
      </c>
      <c r="J13" s="15">
        <f t="shared" si="0"/>
        <v>49</v>
      </c>
      <c r="K13" s="18">
        <v>3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49</v>
      </c>
      <c r="Z13" s="40">
        <f t="shared" si="3"/>
        <v>0</v>
      </c>
      <c r="AA13" s="41">
        <f t="shared" si="4"/>
        <v>49</v>
      </c>
    </row>
    <row r="14" spans="1:27" x14ac:dyDescent="0.35">
      <c r="A14" s="1"/>
      <c r="B14" s="7"/>
      <c r="C14" s="25">
        <f t="shared" ref="C14:I14" si="5">SUM(C8:C13)</f>
        <v>768</v>
      </c>
      <c r="D14" s="25">
        <f t="shared" si="5"/>
        <v>380</v>
      </c>
      <c r="E14" s="25">
        <f t="shared" si="5"/>
        <v>339</v>
      </c>
      <c r="F14" s="25">
        <f t="shared" si="5"/>
        <v>207</v>
      </c>
      <c r="G14" s="25">
        <f t="shared" si="5"/>
        <v>929</v>
      </c>
      <c r="H14" s="25">
        <f t="shared" si="5"/>
        <v>692</v>
      </c>
      <c r="I14" s="25">
        <f t="shared" si="5"/>
        <v>688</v>
      </c>
      <c r="J14" s="28">
        <f>SUM(C14:I14)</f>
        <v>4003</v>
      </c>
      <c r="K14" s="31"/>
      <c r="M14" s="1"/>
      <c r="N14" s="7"/>
      <c r="O14" s="25">
        <f t="shared" ref="O14:U14" si="6">SUM(O8:O13)</f>
        <v>192</v>
      </c>
      <c r="P14" s="25">
        <f t="shared" si="6"/>
        <v>7</v>
      </c>
      <c r="Q14" s="25">
        <f t="shared" si="6"/>
        <v>39</v>
      </c>
      <c r="R14" s="25">
        <f t="shared" si="6"/>
        <v>27</v>
      </c>
      <c r="S14" s="25">
        <f t="shared" si="6"/>
        <v>164</v>
      </c>
      <c r="T14" s="25">
        <f t="shared" si="6"/>
        <v>154</v>
      </c>
      <c r="U14" s="25">
        <f t="shared" si="6"/>
        <v>243</v>
      </c>
      <c r="V14" s="28">
        <f>SUM(O14:U14)</f>
        <v>826</v>
      </c>
      <c r="W14" s="31"/>
      <c r="Y14" s="36">
        <f>SUM(Y8:Y13)</f>
        <v>100.075</v>
      </c>
      <c r="Z14" s="37">
        <f>SUM(Z8:Z13)</f>
        <v>20.65</v>
      </c>
      <c r="AA14" s="38">
        <f>SUM(AA8:AA13)</f>
        <v>79.424999999999997</v>
      </c>
    </row>
    <row r="15" spans="1:27" ht="15" thickBot="1" x14ac:dyDescent="0.4">
      <c r="A15" s="1"/>
      <c r="B15" s="20" t="s">
        <v>19</v>
      </c>
      <c r="C15" s="21">
        <f t="shared" ref="C15:J15" si="7">C14/40</f>
        <v>19.2</v>
      </c>
      <c r="D15" s="21">
        <f t="shared" si="7"/>
        <v>9.5</v>
      </c>
      <c r="E15" s="21">
        <f t="shared" si="7"/>
        <v>8.4749999999999996</v>
      </c>
      <c r="F15" s="21">
        <f t="shared" si="7"/>
        <v>5.1749999999999998</v>
      </c>
      <c r="G15" s="21">
        <f t="shared" si="7"/>
        <v>23.225000000000001</v>
      </c>
      <c r="H15" s="21">
        <f t="shared" si="7"/>
        <v>17.3</v>
      </c>
      <c r="I15" s="21">
        <f t="shared" si="7"/>
        <v>17.2</v>
      </c>
      <c r="J15" s="22">
        <f t="shared" si="7"/>
        <v>100.075</v>
      </c>
      <c r="K15" s="23"/>
      <c r="M15" s="1"/>
      <c r="N15" s="20" t="s">
        <v>19</v>
      </c>
      <c r="O15" s="21">
        <f t="shared" ref="O15:V15" si="8">O14/40</f>
        <v>4.8</v>
      </c>
      <c r="P15" s="21">
        <f t="shared" si="8"/>
        <v>0.17499999999999999</v>
      </c>
      <c r="Q15" s="21">
        <f t="shared" si="8"/>
        <v>0.97499999999999998</v>
      </c>
      <c r="R15" s="21">
        <f t="shared" si="8"/>
        <v>0.67500000000000004</v>
      </c>
      <c r="S15" s="21">
        <f t="shared" si="8"/>
        <v>4.0999999999999996</v>
      </c>
      <c r="T15" s="21">
        <f t="shared" si="8"/>
        <v>3.85</v>
      </c>
      <c r="U15" s="21">
        <f t="shared" si="8"/>
        <v>6.0750000000000002</v>
      </c>
      <c r="V15" s="22">
        <f t="shared" si="8"/>
        <v>20.65</v>
      </c>
      <c r="W15" s="23"/>
      <c r="Y15" s="42">
        <f>Y14/40</f>
        <v>2.5018750000000001</v>
      </c>
      <c r="Z15" s="43">
        <f>Z14/40</f>
        <v>0.51624999999999999</v>
      </c>
      <c r="AA15" s="44">
        <f>AA14/40</f>
        <v>1.985625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tabSelected="1" workbookViewId="0">
      <selection activeCell="O18" sqref="O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440</v>
      </c>
      <c r="D8" s="11">
        <v>200</v>
      </c>
      <c r="E8" s="11">
        <v>140</v>
      </c>
      <c r="F8" s="11">
        <v>0</v>
      </c>
      <c r="G8" s="11">
        <v>180</v>
      </c>
      <c r="H8" s="11">
        <v>130</v>
      </c>
      <c r="I8" s="11">
        <v>175</v>
      </c>
      <c r="J8" s="15">
        <f>SUM(C8:I8)/40</f>
        <v>31.625</v>
      </c>
      <c r="K8" s="12">
        <v>15</v>
      </c>
      <c r="L8" s="13"/>
      <c r="M8" s="14"/>
      <c r="N8" s="7" t="s">
        <v>13</v>
      </c>
      <c r="O8" s="11">
        <f>160+40</f>
        <v>200</v>
      </c>
      <c r="P8" s="11">
        <v>120</v>
      </c>
      <c r="Q8" s="11">
        <v>120</v>
      </c>
      <c r="R8" s="11">
        <v>0</v>
      </c>
      <c r="S8" s="11">
        <v>170</v>
      </c>
      <c r="T8" s="11">
        <v>120</v>
      </c>
      <c r="U8" s="11">
        <v>160</v>
      </c>
      <c r="V8" s="15">
        <f>SUM(O8:U8)/40</f>
        <v>22.25</v>
      </c>
      <c r="W8" s="12">
        <v>9</v>
      </c>
      <c r="Y8" s="39">
        <f>J8</f>
        <v>31.625</v>
      </c>
      <c r="Z8" s="40">
        <f>V8</f>
        <v>22.25</v>
      </c>
      <c r="AA8" s="41">
        <f>Y8-Z8</f>
        <v>9.375</v>
      </c>
    </row>
    <row r="9" spans="1:27" x14ac:dyDescent="0.35">
      <c r="A9" s="14"/>
      <c r="B9" s="7" t="s">
        <v>14</v>
      </c>
      <c r="C9" s="11">
        <v>32</v>
      </c>
      <c r="D9" s="11">
        <v>55</v>
      </c>
      <c r="E9" s="11">
        <v>36</v>
      </c>
      <c r="F9" s="11">
        <v>41</v>
      </c>
      <c r="G9" s="11">
        <v>55</v>
      </c>
      <c r="H9" s="11">
        <v>45</v>
      </c>
      <c r="I9" s="11">
        <v>60</v>
      </c>
      <c r="J9" s="15">
        <f t="shared" ref="J9:J13" si="0">SUM(C9:I9)/40</f>
        <v>8.1</v>
      </c>
      <c r="K9" s="12">
        <v>9</v>
      </c>
      <c r="L9" s="13"/>
      <c r="M9" s="14"/>
      <c r="N9" s="7" t="s">
        <v>15</v>
      </c>
      <c r="O9" s="11">
        <f>32+40</f>
        <v>72</v>
      </c>
      <c r="P9" s="11">
        <f>35+7</f>
        <v>42</v>
      </c>
      <c r="Q9" s="11">
        <f>36+27</f>
        <v>63</v>
      </c>
      <c r="R9" s="11">
        <f>21+27</f>
        <v>48</v>
      </c>
      <c r="S9" s="11">
        <f>30+87</f>
        <v>117</v>
      </c>
      <c r="T9" s="11">
        <f>25+87</f>
        <v>112</v>
      </c>
      <c r="U9" s="11">
        <f>25+167</f>
        <v>192</v>
      </c>
      <c r="V9" s="15">
        <f t="shared" ref="V9:V13" si="1">SUM(O9:U9)/40</f>
        <v>16.149999999999999</v>
      </c>
      <c r="W9" s="12">
        <v>13</v>
      </c>
      <c r="Y9" s="39">
        <f t="shared" ref="Y9:Y13" si="2">J9</f>
        <v>8.1</v>
      </c>
      <c r="Z9" s="40">
        <f t="shared" ref="Z9:Z13" si="3">V9</f>
        <v>16.149999999999999</v>
      </c>
      <c r="AA9" s="41">
        <f t="shared" ref="AA9:AA13" si="4">Y9-Z9</f>
        <v>-8.0499999999999989</v>
      </c>
    </row>
    <row r="10" spans="1:27" x14ac:dyDescent="0.35">
      <c r="A10" s="14"/>
      <c r="B10" s="7" t="s">
        <v>16</v>
      </c>
      <c r="C10" s="11">
        <v>100</v>
      </c>
      <c r="D10" s="11">
        <v>10</v>
      </c>
      <c r="E10" s="11">
        <v>10</v>
      </c>
      <c r="F10" s="11">
        <v>0</v>
      </c>
      <c r="G10" s="11">
        <v>77</v>
      </c>
      <c r="H10" s="11">
        <v>125</v>
      </c>
      <c r="I10" s="11">
        <v>126</v>
      </c>
      <c r="J10" s="15">
        <f t="shared" si="0"/>
        <v>11.2</v>
      </c>
      <c r="K10" s="12">
        <v>5</v>
      </c>
      <c r="L10" s="13"/>
      <c r="M10" s="14"/>
      <c r="N10" s="7" t="s">
        <v>16</v>
      </c>
      <c r="O10" s="11">
        <v>40</v>
      </c>
      <c r="P10" s="11">
        <v>0</v>
      </c>
      <c r="Q10" s="11">
        <v>0</v>
      </c>
      <c r="R10" s="11">
        <v>0</v>
      </c>
      <c r="S10" s="11">
        <v>55</v>
      </c>
      <c r="T10" s="11">
        <v>95</v>
      </c>
      <c r="U10" s="11">
        <v>90</v>
      </c>
      <c r="V10" s="15">
        <f t="shared" si="1"/>
        <v>7</v>
      </c>
      <c r="W10" s="12">
        <v>3</v>
      </c>
      <c r="Y10" s="39">
        <f t="shared" si="2"/>
        <v>11.2</v>
      </c>
      <c r="Z10" s="40">
        <f t="shared" si="3"/>
        <v>7</v>
      </c>
      <c r="AA10" s="41">
        <f t="shared" si="4"/>
        <v>4.1999999999999993</v>
      </c>
    </row>
    <row r="11" spans="1:27" x14ac:dyDescent="0.35">
      <c r="A11" s="16"/>
      <c r="B11" s="17" t="s">
        <v>24</v>
      </c>
      <c r="C11" s="11">
        <v>120</v>
      </c>
      <c r="D11" s="11">
        <v>40</v>
      </c>
      <c r="E11" s="11">
        <v>40</v>
      </c>
      <c r="F11" s="11">
        <v>40</v>
      </c>
      <c r="G11" s="11">
        <v>55</v>
      </c>
      <c r="H11" s="11">
        <v>50</v>
      </c>
      <c r="I11" s="11">
        <v>55</v>
      </c>
      <c r="J11" s="15">
        <f t="shared" si="0"/>
        <v>10</v>
      </c>
      <c r="K11" s="12">
        <v>4</v>
      </c>
      <c r="L11" s="13"/>
      <c r="M11" s="16"/>
      <c r="N11" s="17" t="s">
        <v>24</v>
      </c>
      <c r="O11" s="11">
        <f>120+112</f>
        <v>232</v>
      </c>
      <c r="P11" s="11">
        <f>40+12</f>
        <v>52</v>
      </c>
      <c r="Q11" s="11">
        <v>40</v>
      </c>
      <c r="R11" s="11">
        <v>40</v>
      </c>
      <c r="S11" s="11">
        <f>55+7</f>
        <v>62</v>
      </c>
      <c r="T11" s="11">
        <f>50+7</f>
        <v>57</v>
      </c>
      <c r="U11" s="11">
        <f>55+6</f>
        <v>61</v>
      </c>
      <c r="V11" s="15">
        <f t="shared" si="1"/>
        <v>13.6</v>
      </c>
      <c r="W11" s="12">
        <v>12</v>
      </c>
      <c r="Y11" s="39">
        <f t="shared" si="2"/>
        <v>10</v>
      </c>
      <c r="Z11" s="40">
        <f t="shared" si="3"/>
        <v>13.6</v>
      </c>
      <c r="AA11" s="41">
        <f t="shared" si="4"/>
        <v>-3.5999999999999996</v>
      </c>
    </row>
    <row r="12" spans="1:27" x14ac:dyDescent="0.35">
      <c r="A12" s="16"/>
      <c r="B12" s="17" t="s">
        <v>34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34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0</v>
      </c>
      <c r="Z12" s="40">
        <f t="shared" si="3"/>
        <v>6</v>
      </c>
      <c r="AA12" s="41">
        <f t="shared" si="4"/>
        <v>-6</v>
      </c>
    </row>
    <row r="13" spans="1:27" x14ac:dyDescent="0.35">
      <c r="A13" s="16"/>
      <c r="B13" s="17" t="s">
        <v>39</v>
      </c>
      <c r="C13" s="11">
        <v>36</v>
      </c>
      <c r="D13" s="11">
        <v>0</v>
      </c>
      <c r="E13" s="11">
        <v>12</v>
      </c>
      <c r="F13" s="11">
        <v>0</v>
      </c>
      <c r="G13" s="11">
        <v>15</v>
      </c>
      <c r="H13" s="11">
        <v>0</v>
      </c>
      <c r="I13" s="11">
        <v>0</v>
      </c>
      <c r="J13" s="15">
        <f t="shared" si="0"/>
        <v>1.575</v>
      </c>
      <c r="K13" s="18">
        <v>5</v>
      </c>
      <c r="M13" s="16"/>
      <c r="N13" s="17" t="s">
        <v>39</v>
      </c>
      <c r="O13" s="11">
        <v>12</v>
      </c>
      <c r="P13" s="11">
        <v>0</v>
      </c>
      <c r="Q13" s="11">
        <v>12</v>
      </c>
      <c r="R13" s="11">
        <v>0</v>
      </c>
      <c r="S13" s="11">
        <v>15</v>
      </c>
      <c r="T13" s="11">
        <v>0</v>
      </c>
      <c r="U13" s="11">
        <v>0</v>
      </c>
      <c r="V13" s="15">
        <f t="shared" si="1"/>
        <v>0.97499999999999998</v>
      </c>
      <c r="W13" s="12">
        <v>3</v>
      </c>
      <c r="Y13" s="39">
        <f t="shared" si="2"/>
        <v>1.575</v>
      </c>
      <c r="Z13" s="40">
        <f t="shared" si="3"/>
        <v>0.97499999999999998</v>
      </c>
      <c r="AA13" s="41">
        <f t="shared" si="4"/>
        <v>0.6</v>
      </c>
    </row>
    <row r="14" spans="1:27" x14ac:dyDescent="0.35">
      <c r="A14" s="1"/>
      <c r="B14" s="7"/>
      <c r="C14" s="25">
        <f t="shared" ref="C14:I14" si="5">SUM(C8:C13)</f>
        <v>728</v>
      </c>
      <c r="D14" s="25">
        <f t="shared" si="5"/>
        <v>305</v>
      </c>
      <c r="E14" s="25">
        <f t="shared" si="5"/>
        <v>238</v>
      </c>
      <c r="F14" s="25">
        <f t="shared" si="5"/>
        <v>81</v>
      </c>
      <c r="G14" s="25">
        <f t="shared" si="5"/>
        <v>382</v>
      </c>
      <c r="H14" s="25">
        <f t="shared" si="5"/>
        <v>350</v>
      </c>
      <c r="I14" s="25">
        <f t="shared" si="5"/>
        <v>416</v>
      </c>
      <c r="J14" s="28">
        <f>SUM(C14:I14)</f>
        <v>2500</v>
      </c>
      <c r="K14" s="31"/>
      <c r="M14" s="1"/>
      <c r="N14" s="7"/>
      <c r="O14" s="25">
        <f t="shared" ref="O14:U14" si="6">SUM(O8:O13)</f>
        <v>596</v>
      </c>
      <c r="P14" s="25">
        <f t="shared" si="6"/>
        <v>214</v>
      </c>
      <c r="Q14" s="25">
        <f t="shared" si="6"/>
        <v>235</v>
      </c>
      <c r="R14" s="25">
        <f t="shared" si="6"/>
        <v>88</v>
      </c>
      <c r="S14" s="25">
        <f t="shared" si="6"/>
        <v>489</v>
      </c>
      <c r="T14" s="25">
        <f t="shared" si="6"/>
        <v>444</v>
      </c>
      <c r="U14" s="25">
        <f t="shared" si="6"/>
        <v>573</v>
      </c>
      <c r="V14" s="28">
        <f>SUM(O14:U14)</f>
        <v>2639</v>
      </c>
      <c r="W14" s="31"/>
      <c r="Y14" s="36">
        <f>SUM(Y8:Y13)</f>
        <v>62.5</v>
      </c>
      <c r="Z14" s="37">
        <f>SUM(Z8:Z13)</f>
        <v>65.974999999999994</v>
      </c>
      <c r="AA14" s="38">
        <f>SUM(AA8:AA13)</f>
        <v>-3.4749999999999992</v>
      </c>
    </row>
    <row r="15" spans="1:27" ht="15" thickBot="1" x14ac:dyDescent="0.4">
      <c r="A15" s="1"/>
      <c r="B15" s="20" t="s">
        <v>19</v>
      </c>
      <c r="C15" s="21">
        <f t="shared" ref="C15:J15" si="7">C14/40</f>
        <v>18.2</v>
      </c>
      <c r="D15" s="21">
        <f t="shared" si="7"/>
        <v>7.625</v>
      </c>
      <c r="E15" s="21">
        <f t="shared" si="7"/>
        <v>5.95</v>
      </c>
      <c r="F15" s="21">
        <f t="shared" si="7"/>
        <v>2.0249999999999999</v>
      </c>
      <c r="G15" s="21">
        <f t="shared" si="7"/>
        <v>9.5500000000000007</v>
      </c>
      <c r="H15" s="21">
        <f t="shared" si="7"/>
        <v>8.75</v>
      </c>
      <c r="I15" s="21">
        <f t="shared" si="7"/>
        <v>10.4</v>
      </c>
      <c r="J15" s="22">
        <f t="shared" si="7"/>
        <v>62.5</v>
      </c>
      <c r="K15" s="23"/>
      <c r="M15" s="1"/>
      <c r="N15" s="20" t="s">
        <v>19</v>
      </c>
      <c r="O15" s="21">
        <f t="shared" ref="O15:V15" si="8">O14/40</f>
        <v>14.9</v>
      </c>
      <c r="P15" s="21">
        <f t="shared" si="8"/>
        <v>5.35</v>
      </c>
      <c r="Q15" s="21">
        <f t="shared" si="8"/>
        <v>5.875</v>
      </c>
      <c r="R15" s="21">
        <f t="shared" si="8"/>
        <v>2.2000000000000002</v>
      </c>
      <c r="S15" s="21">
        <f t="shared" si="8"/>
        <v>12.225</v>
      </c>
      <c r="T15" s="21">
        <f t="shared" si="8"/>
        <v>11.1</v>
      </c>
      <c r="U15" s="21">
        <f t="shared" si="8"/>
        <v>14.324999999999999</v>
      </c>
      <c r="V15" s="22">
        <f t="shared" si="8"/>
        <v>65.974999999999994</v>
      </c>
      <c r="W15" s="23"/>
      <c r="Y15" s="42">
        <f>Y14/40</f>
        <v>1.5625</v>
      </c>
      <c r="Z15" s="43">
        <f>Z14/40</f>
        <v>1.6493749999999998</v>
      </c>
      <c r="AA15" s="44">
        <f>AA14/40</f>
        <v>-8.687499999999998E-2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229</v>
      </c>
      <c r="D8" s="11">
        <v>8</v>
      </c>
      <c r="E8" s="11">
        <v>43</v>
      </c>
      <c r="F8" s="11">
        <v>0</v>
      </c>
      <c r="G8" s="11">
        <v>75</v>
      </c>
      <c r="H8" s="11">
        <v>53</v>
      </c>
      <c r="I8" s="11">
        <v>82</v>
      </c>
      <c r="J8" s="15">
        <f>SUM(C8:I8)/40</f>
        <v>12.25</v>
      </c>
      <c r="K8" s="12">
        <v>16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12.25</v>
      </c>
      <c r="Z8" s="40">
        <f>V8</f>
        <v>0</v>
      </c>
      <c r="AA8" s="41">
        <f>Y8-Z8</f>
        <v>12.25</v>
      </c>
    </row>
    <row r="9" spans="1:27" x14ac:dyDescent="0.35">
      <c r="A9" s="14"/>
      <c r="B9" s="7" t="s">
        <v>14</v>
      </c>
      <c r="C9" s="11">
        <v>92</v>
      </c>
      <c r="D9" s="11">
        <v>82</v>
      </c>
      <c r="E9" s="11">
        <v>70</v>
      </c>
      <c r="F9" s="11">
        <v>62</v>
      </c>
      <c r="G9" s="11">
        <v>42</v>
      </c>
      <c r="H9" s="11">
        <v>32</v>
      </c>
      <c r="I9" s="11">
        <v>48</v>
      </c>
      <c r="J9" s="15">
        <f t="shared" ref="J9:J12" si="0">SUM(C9:I9)/40</f>
        <v>10.7</v>
      </c>
      <c r="K9" s="12">
        <v>10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190</v>
      </c>
      <c r="D10" s="11">
        <v>20</v>
      </c>
      <c r="E10" s="11">
        <v>20</v>
      </c>
      <c r="F10" s="11">
        <v>0</v>
      </c>
      <c r="G10" s="11">
        <v>147</v>
      </c>
      <c r="H10" s="11">
        <v>156</v>
      </c>
      <c r="I10" s="11">
        <v>153</v>
      </c>
      <c r="J10" s="15">
        <f t="shared" si="0"/>
        <v>17.149999999999999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17.149999999999999</v>
      </c>
      <c r="Z10" s="40">
        <f t="shared" si="3"/>
        <v>0</v>
      </c>
      <c r="AA10" s="41">
        <f t="shared" si="4"/>
        <v>17.149999999999999</v>
      </c>
    </row>
    <row r="11" spans="1:27" x14ac:dyDescent="0.35">
      <c r="A11" s="16"/>
      <c r="B11" s="17" t="s">
        <v>24</v>
      </c>
      <c r="C11" s="11">
        <v>5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1.0249999999999999</v>
      </c>
      <c r="K11" s="12">
        <v>2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1.0249999999999999</v>
      </c>
      <c r="Z11" s="40">
        <f t="shared" si="3"/>
        <v>0</v>
      </c>
      <c r="AA11" s="41">
        <f t="shared" si="4"/>
        <v>1.0249999999999999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516</v>
      </c>
      <c r="D14" s="25">
        <f t="shared" si="5"/>
        <v>116</v>
      </c>
      <c r="E14" s="25">
        <f t="shared" si="5"/>
        <v>139</v>
      </c>
      <c r="F14" s="25">
        <f t="shared" si="5"/>
        <v>68</v>
      </c>
      <c r="G14" s="25">
        <f t="shared" si="5"/>
        <v>270</v>
      </c>
      <c r="H14" s="25">
        <f t="shared" si="5"/>
        <v>247</v>
      </c>
      <c r="I14" s="25">
        <f t="shared" si="5"/>
        <v>289</v>
      </c>
      <c r="J14" s="28">
        <f>SUM(C14:I14)</f>
        <v>1645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41.124999999999993</v>
      </c>
      <c r="Z14" s="37">
        <f>SUM(Z8:Z13)</f>
        <v>0</v>
      </c>
      <c r="AA14" s="38">
        <f>SUM(AA8:AA13)</f>
        <v>41.124999999999993</v>
      </c>
    </row>
    <row r="15" spans="1:27" ht="15" thickBot="1" x14ac:dyDescent="0.4">
      <c r="A15" s="1"/>
      <c r="B15" s="20" t="s">
        <v>19</v>
      </c>
      <c r="C15" s="21">
        <f t="shared" ref="C15:J15" si="7">C14/40</f>
        <v>12.9</v>
      </c>
      <c r="D15" s="21">
        <f t="shared" si="7"/>
        <v>2.9</v>
      </c>
      <c r="E15" s="21">
        <f t="shared" si="7"/>
        <v>3.4750000000000001</v>
      </c>
      <c r="F15" s="21">
        <f t="shared" si="7"/>
        <v>1.7</v>
      </c>
      <c r="G15" s="21">
        <f t="shared" si="7"/>
        <v>6.75</v>
      </c>
      <c r="H15" s="21">
        <f t="shared" si="7"/>
        <v>6.1749999999999998</v>
      </c>
      <c r="I15" s="21">
        <f t="shared" si="7"/>
        <v>7.2249999999999996</v>
      </c>
      <c r="J15" s="22">
        <f t="shared" si="7"/>
        <v>41.125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1.0281249999999997</v>
      </c>
      <c r="Z15" s="43">
        <f>Z14/40</f>
        <v>0</v>
      </c>
      <c r="AA15" s="44">
        <f>AA14/40</f>
        <v>1.0281249999999997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0" t="s">
        <v>21</v>
      </c>
      <c r="Z3" s="80"/>
      <c r="AA3" s="80"/>
    </row>
    <row r="4" spans="2:27" ht="14.5" customHeight="1" thickBot="1" x14ac:dyDescent="0.4">
      <c r="Y4" s="80"/>
      <c r="Z4" s="80"/>
      <c r="AA4" s="80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2026-08-18T04:35:58Z</dcterms:modified>
</cp:coreProperties>
</file>