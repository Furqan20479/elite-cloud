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"/>
    </mc:Choice>
  </mc:AlternateContent>
  <xr:revisionPtr revIDLastSave="0" documentId="13_ncr:1_{451810DE-4C12-42C8-958A-264F91D2292A}" xr6:coauthVersionLast="47" xr6:coauthVersionMax="47" xr10:uidLastSave="{00000000-0000-0000-0000-000000000000}"/>
  <bookViews>
    <workbookView xWindow="-110" yWindow="-110" windowWidth="19420" windowHeight="10420" tabRatio="860" activeTab="20" xr2:uid="{B0E336F2-AB38-4CE9-B7A3-449981D50C07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7" i="20" l="1"/>
  <c r="Y26" i="20"/>
  <c r="X23" i="20"/>
  <c r="P15" i="20"/>
  <c r="Q15" i="20"/>
  <c r="R15" i="20"/>
  <c r="S15" i="20"/>
  <c r="T15" i="20"/>
  <c r="U15" i="20"/>
  <c r="O15" i="20"/>
  <c r="V14" i="20"/>
  <c r="U9" i="19" l="1"/>
  <c r="T9" i="19"/>
  <c r="S9" i="19"/>
  <c r="I15" i="20"/>
  <c r="H15" i="20"/>
  <c r="G15" i="20"/>
  <c r="C15" i="20"/>
  <c r="F15" i="20"/>
  <c r="E15" i="20"/>
  <c r="D15" i="20"/>
  <c r="V12" i="20" l="1"/>
  <c r="V13" i="20"/>
  <c r="Z14" i="20"/>
  <c r="J13" i="20"/>
  <c r="J14" i="20"/>
  <c r="Y14" i="20" s="1"/>
  <c r="J23" i="19"/>
  <c r="AA14" i="20" l="1"/>
  <c r="O8" i="17"/>
  <c r="O11" i="17" l="1"/>
  <c r="U11" i="17"/>
  <c r="T11" i="17"/>
  <c r="S11" i="17"/>
  <c r="P11" i="17"/>
  <c r="O9" i="17" l="1"/>
  <c r="U9" i="17"/>
  <c r="T9" i="17"/>
  <c r="S9" i="17"/>
  <c r="R9" i="17"/>
  <c r="Q9" i="17"/>
  <c r="P9" i="17"/>
  <c r="V13" i="17" l="1"/>
  <c r="J13" i="17"/>
  <c r="U12" i="12" l="1"/>
  <c r="T12" i="12"/>
  <c r="S12" i="12"/>
  <c r="C13" i="15"/>
  <c r="I13" i="15"/>
  <c r="H13" i="15"/>
  <c r="G13" i="15"/>
  <c r="F13" i="15"/>
  <c r="E13" i="15"/>
  <c r="D13" i="15"/>
  <c r="V13" i="13"/>
  <c r="J13" i="15" l="1"/>
  <c r="G12" i="13"/>
  <c r="J13" i="13" l="1"/>
  <c r="V13" i="12"/>
  <c r="V13" i="11"/>
  <c r="J13" i="12"/>
  <c r="U12" i="7"/>
  <c r="T12" i="7"/>
  <c r="S12" i="7"/>
  <c r="P12" i="7"/>
  <c r="J13" i="11" l="1"/>
  <c r="I12" i="10"/>
  <c r="F12" i="10"/>
  <c r="E12" i="10"/>
  <c r="D12" i="10"/>
  <c r="H12" i="10" l="1"/>
  <c r="G12" i="10"/>
  <c r="V13" i="6" l="1"/>
  <c r="U12" i="5" l="1"/>
  <c r="T12" i="5"/>
  <c r="R12" i="5"/>
  <c r="J9" i="4" l="1"/>
  <c r="AA12" i="1" l="1"/>
  <c r="AA13" i="1"/>
  <c r="AA15" i="9"/>
  <c r="AA15" i="14"/>
  <c r="AA15" i="16"/>
  <c r="AA15" i="22"/>
  <c r="AA15" i="23"/>
  <c r="AA15" i="24"/>
  <c r="AA15" i="25"/>
  <c r="AA15" i="26"/>
  <c r="AA15" i="27"/>
  <c r="AA15" i="28"/>
  <c r="AA15" i="29"/>
  <c r="AA15" i="30"/>
  <c r="AA15" i="31"/>
  <c r="Z15" i="9"/>
  <c r="Z15" i="14"/>
  <c r="Z15" i="16"/>
  <c r="Z15" i="22"/>
  <c r="Z15" i="23"/>
  <c r="Z15" i="24"/>
  <c r="Z15" i="25"/>
  <c r="Z15" i="26"/>
  <c r="Z15" i="27"/>
  <c r="Z15" i="28"/>
  <c r="Z15" i="29"/>
  <c r="Z15" i="30"/>
  <c r="Z15" i="31"/>
  <c r="Y15" i="9"/>
  <c r="Y15" i="14"/>
  <c r="Y15" i="16"/>
  <c r="Y15" i="22"/>
  <c r="Y15" i="23"/>
  <c r="Y15" i="24"/>
  <c r="Y15" i="25"/>
  <c r="Y15" i="26"/>
  <c r="Y15" i="27"/>
  <c r="Y15" i="28"/>
  <c r="Y15" i="29"/>
  <c r="Y15" i="30"/>
  <c r="Y15" i="31"/>
  <c r="Y15" i="1"/>
  <c r="AA14" i="9"/>
  <c r="AA14" i="14"/>
  <c r="AA14" i="16"/>
  <c r="AA14" i="22"/>
  <c r="AA14" i="23"/>
  <c r="AA14" i="24"/>
  <c r="AA14" i="25"/>
  <c r="AA14" i="26"/>
  <c r="AA14" i="27"/>
  <c r="AA14" i="28"/>
  <c r="AA14" i="29"/>
  <c r="AA14" i="30"/>
  <c r="AA14" i="31"/>
  <c r="Z14" i="9"/>
  <c r="Z14" i="14"/>
  <c r="Z14" i="16"/>
  <c r="Z14" i="22"/>
  <c r="Z14" i="23"/>
  <c r="Z14" i="24"/>
  <c r="Z14" i="25"/>
  <c r="Z14" i="26"/>
  <c r="Z14" i="27"/>
  <c r="Z14" i="28"/>
  <c r="Z14" i="29"/>
  <c r="Z14" i="30"/>
  <c r="Z14" i="31"/>
  <c r="Y14" i="9"/>
  <c r="Y14" i="14"/>
  <c r="Y14" i="16"/>
  <c r="Y14" i="22"/>
  <c r="Y14" i="23"/>
  <c r="Y14" i="24"/>
  <c r="Y14" i="25"/>
  <c r="Y14" i="26"/>
  <c r="Y14" i="27"/>
  <c r="Y14" i="28"/>
  <c r="Y14" i="29"/>
  <c r="Y14" i="30"/>
  <c r="Y14" i="31"/>
  <c r="Y14" i="1"/>
  <c r="AA12" i="2"/>
  <c r="AA13" i="2"/>
  <c r="AA11" i="3"/>
  <c r="AA12" i="3"/>
  <c r="AA13" i="3"/>
  <c r="AA13" i="4"/>
  <c r="AA13" i="5"/>
  <c r="AA13" i="7"/>
  <c r="AA10" i="8"/>
  <c r="AA13" i="8"/>
  <c r="AA9" i="9"/>
  <c r="AA10" i="9"/>
  <c r="AA11" i="9"/>
  <c r="AA12" i="9"/>
  <c r="AA13" i="9"/>
  <c r="AA11" i="10"/>
  <c r="AA13" i="10"/>
  <c r="AA9" i="14"/>
  <c r="AA10" i="14"/>
  <c r="AA11" i="14"/>
  <c r="AA12" i="14"/>
  <c r="AA13" i="14"/>
  <c r="AA9" i="16"/>
  <c r="AA10" i="16"/>
  <c r="AA11" i="16"/>
  <c r="AA12" i="16"/>
  <c r="AA13" i="16"/>
  <c r="AA13" i="18"/>
  <c r="AA13" i="19"/>
  <c r="AA13" i="21"/>
  <c r="AA9" i="22"/>
  <c r="AA10" i="22"/>
  <c r="AA11" i="22"/>
  <c r="AA12" i="22"/>
  <c r="AA13" i="22"/>
  <c r="AA9" i="23"/>
  <c r="AA10" i="23"/>
  <c r="AA11" i="23"/>
  <c r="AA12" i="23"/>
  <c r="AA13" i="23"/>
  <c r="AA9" i="24"/>
  <c r="AA10" i="24"/>
  <c r="AA11" i="24"/>
  <c r="AA12" i="24"/>
  <c r="AA13" i="24"/>
  <c r="AA9" i="25"/>
  <c r="AA10" i="25"/>
  <c r="AA11" i="25"/>
  <c r="AA12" i="25"/>
  <c r="AA13" i="25"/>
  <c r="AA9" i="26"/>
  <c r="AA10" i="26"/>
  <c r="AA11" i="26"/>
  <c r="AA12" i="26"/>
  <c r="AA13" i="26"/>
  <c r="AA9" i="27"/>
  <c r="AA10" i="27"/>
  <c r="AA11" i="27"/>
  <c r="AA12" i="27"/>
  <c r="AA13" i="27"/>
  <c r="AA9" i="28"/>
  <c r="AA10" i="28"/>
  <c r="AA11" i="28"/>
  <c r="AA12" i="28"/>
  <c r="AA13" i="28"/>
  <c r="AA9" i="29"/>
  <c r="AA10" i="29"/>
  <c r="AA11" i="29"/>
  <c r="AA12" i="29"/>
  <c r="AA13" i="29"/>
  <c r="AA9" i="30"/>
  <c r="AA10" i="30"/>
  <c r="AA11" i="30"/>
  <c r="AA12" i="30"/>
  <c r="AA13" i="30"/>
  <c r="AA9" i="31"/>
  <c r="AA10" i="31"/>
  <c r="AA11" i="31"/>
  <c r="AA12" i="31"/>
  <c r="AA13" i="31"/>
  <c r="AA8" i="2"/>
  <c r="AA8" i="9"/>
  <c r="AA8" i="14"/>
  <c r="AA8" i="16"/>
  <c r="AA8" i="22"/>
  <c r="AA8" i="23"/>
  <c r="AA8" i="24"/>
  <c r="AA8" i="25"/>
  <c r="AA8" i="26"/>
  <c r="AA8" i="27"/>
  <c r="AA8" i="28"/>
  <c r="AA8" i="29"/>
  <c r="AA8" i="30"/>
  <c r="AA8" i="31"/>
  <c r="Z9" i="2"/>
  <c r="Z10" i="2"/>
  <c r="Z12" i="2"/>
  <c r="Z13" i="2"/>
  <c r="Z10" i="3"/>
  <c r="Z11" i="3"/>
  <c r="Z12" i="3"/>
  <c r="Z13" i="3"/>
  <c r="Z9" i="4"/>
  <c r="Z11" i="4"/>
  <c r="Z12" i="4"/>
  <c r="Z13" i="4"/>
  <c r="Z9" i="5"/>
  <c r="Z11" i="5"/>
  <c r="Z13" i="5"/>
  <c r="Z13" i="6"/>
  <c r="AA13" i="6" s="1"/>
  <c r="Z9" i="7"/>
  <c r="Z13" i="7"/>
  <c r="Z10" i="8"/>
  <c r="Z13" i="8"/>
  <c r="Z9" i="9"/>
  <c r="Z10" i="9"/>
  <c r="Z11" i="9"/>
  <c r="Z12" i="9"/>
  <c r="Z13" i="9"/>
  <c r="Z11" i="10"/>
  <c r="Z13" i="10"/>
  <c r="Z9" i="11"/>
  <c r="Z13" i="11"/>
  <c r="Z9" i="12"/>
  <c r="Z13" i="12"/>
  <c r="Z13" i="13"/>
  <c r="Z9" i="14"/>
  <c r="Z10" i="14"/>
  <c r="Z11" i="14"/>
  <c r="Z12" i="14"/>
  <c r="Z13" i="14"/>
  <c r="Z10" i="15"/>
  <c r="Z11" i="15"/>
  <c r="Z13" i="15"/>
  <c r="Z9" i="16"/>
  <c r="Z10" i="16"/>
  <c r="Z11" i="16"/>
  <c r="Z12" i="16"/>
  <c r="Z13" i="16"/>
  <c r="Z13" i="17"/>
  <c r="Z11" i="18"/>
  <c r="Z13" i="18"/>
  <c r="Z12" i="19"/>
  <c r="Z13" i="19"/>
  <c r="Z13" i="20"/>
  <c r="Z9" i="21"/>
  <c r="Z13" i="21"/>
  <c r="Z9" i="22"/>
  <c r="Z10" i="22"/>
  <c r="Z11" i="22"/>
  <c r="Z12" i="22"/>
  <c r="Z13" i="22"/>
  <c r="Z9" i="23"/>
  <c r="Z10" i="23"/>
  <c r="Z11" i="23"/>
  <c r="Z12" i="23"/>
  <c r="Z13" i="23"/>
  <c r="Z9" i="24"/>
  <c r="Z10" i="24"/>
  <c r="Z11" i="24"/>
  <c r="Z12" i="24"/>
  <c r="Z13" i="24"/>
  <c r="Z9" i="25"/>
  <c r="Z10" i="25"/>
  <c r="Z11" i="25"/>
  <c r="Z12" i="25"/>
  <c r="Z13" i="25"/>
  <c r="Z9" i="26"/>
  <c r="Z10" i="26"/>
  <c r="Z11" i="26"/>
  <c r="Z12" i="26"/>
  <c r="Z13" i="26"/>
  <c r="Z9" i="27"/>
  <c r="Z10" i="27"/>
  <c r="Z11" i="27"/>
  <c r="Z12" i="27"/>
  <c r="Z13" i="27"/>
  <c r="Z9" i="28"/>
  <c r="Z10" i="28"/>
  <c r="Z11" i="28"/>
  <c r="Z12" i="28"/>
  <c r="Z13" i="28"/>
  <c r="Z9" i="29"/>
  <c r="Z10" i="29"/>
  <c r="Z11" i="29"/>
  <c r="Z12" i="29"/>
  <c r="Z13" i="29"/>
  <c r="Z9" i="30"/>
  <c r="Z10" i="30"/>
  <c r="Z11" i="30"/>
  <c r="Z12" i="30"/>
  <c r="Z13" i="30"/>
  <c r="Z9" i="31"/>
  <c r="Z10" i="31"/>
  <c r="Z11" i="31"/>
  <c r="Z12" i="31"/>
  <c r="Z13" i="31"/>
  <c r="Z12" i="1"/>
  <c r="Z13" i="1"/>
  <c r="Z8" i="2"/>
  <c r="Z8" i="9"/>
  <c r="Z8" i="14"/>
  <c r="Z8" i="15"/>
  <c r="Z8" i="16"/>
  <c r="Z8" i="21"/>
  <c r="Z8" i="22"/>
  <c r="Z8" i="23"/>
  <c r="Z8" i="24"/>
  <c r="Z8" i="25"/>
  <c r="Z8" i="26"/>
  <c r="Z8" i="27"/>
  <c r="Z8" i="28"/>
  <c r="Z8" i="29"/>
  <c r="Z8" i="30"/>
  <c r="Z8" i="31"/>
  <c r="Y12" i="2"/>
  <c r="Y13" i="2"/>
  <c r="Y11" i="3"/>
  <c r="Y12" i="3"/>
  <c r="Y13" i="3"/>
  <c r="Y13" i="4"/>
  <c r="Y13" i="5"/>
  <c r="Y13" i="6"/>
  <c r="Y13" i="7"/>
  <c r="Y10" i="8"/>
  <c r="Y13" i="8"/>
  <c r="Y9" i="9"/>
  <c r="Y10" i="9"/>
  <c r="Y11" i="9"/>
  <c r="Y12" i="9"/>
  <c r="Y13" i="9"/>
  <c r="Y11" i="10"/>
  <c r="Y13" i="10"/>
  <c r="Y13" i="11"/>
  <c r="AA13" i="11" s="1"/>
  <c r="Y10" i="12"/>
  <c r="Y13" i="12"/>
  <c r="Y13" i="13"/>
  <c r="Y9" i="14"/>
  <c r="Y10" i="14"/>
  <c r="Y11" i="14"/>
  <c r="Y12" i="14"/>
  <c r="Y13" i="14"/>
  <c r="Y13" i="15"/>
  <c r="AA13" i="15" s="1"/>
  <c r="Y9" i="16"/>
  <c r="Y10" i="16"/>
  <c r="Y11" i="16"/>
  <c r="Y12" i="16"/>
  <c r="Y13" i="16"/>
  <c r="Y12" i="17"/>
  <c r="Y13" i="17"/>
  <c r="Y12" i="18"/>
  <c r="Y13" i="18"/>
  <c r="Y13" i="19"/>
  <c r="Y13" i="20"/>
  <c r="Y13" i="21"/>
  <c r="Y9" i="22"/>
  <c r="Y10" i="22"/>
  <c r="Y11" i="22"/>
  <c r="Y12" i="22"/>
  <c r="Y13" i="22"/>
  <c r="Y9" i="23"/>
  <c r="Y10" i="23"/>
  <c r="Y11" i="23"/>
  <c r="Y12" i="23"/>
  <c r="Y13" i="23"/>
  <c r="Y9" i="24"/>
  <c r="Y10" i="24"/>
  <c r="Y11" i="24"/>
  <c r="Y12" i="24"/>
  <c r="Y13" i="24"/>
  <c r="Y9" i="25"/>
  <c r="Y10" i="25"/>
  <c r="Y11" i="25"/>
  <c r="Y12" i="25"/>
  <c r="Y13" i="25"/>
  <c r="Y9" i="26"/>
  <c r="Y10" i="26"/>
  <c r="Y11" i="26"/>
  <c r="Y12" i="26"/>
  <c r="Y13" i="26"/>
  <c r="Y9" i="27"/>
  <c r="Y10" i="27"/>
  <c r="Y11" i="27"/>
  <c r="Y12" i="27"/>
  <c r="Y13" i="27"/>
  <c r="Y9" i="28"/>
  <c r="Y10" i="28"/>
  <c r="Y11" i="28"/>
  <c r="Y12" i="28"/>
  <c r="Y13" i="28"/>
  <c r="Y9" i="29"/>
  <c r="Y10" i="29"/>
  <c r="Y11" i="29"/>
  <c r="Y12" i="29"/>
  <c r="Y13" i="29"/>
  <c r="Y9" i="30"/>
  <c r="Y10" i="30"/>
  <c r="Y11" i="30"/>
  <c r="Y12" i="30"/>
  <c r="Y13" i="30"/>
  <c r="Y9" i="31"/>
  <c r="Y10" i="31"/>
  <c r="Y11" i="31"/>
  <c r="Y12" i="31"/>
  <c r="Y13" i="31"/>
  <c r="Y9" i="1"/>
  <c r="Y10" i="1"/>
  <c r="Y11" i="1"/>
  <c r="Y12" i="1"/>
  <c r="Y13" i="1"/>
  <c r="Y8" i="2"/>
  <c r="Y8" i="3"/>
  <c r="Y8" i="8"/>
  <c r="Y8" i="9"/>
  <c r="Y8" i="14"/>
  <c r="Y8" i="16"/>
  <c r="Y8" i="22"/>
  <c r="Y8" i="23"/>
  <c r="Y8" i="24"/>
  <c r="Y8" i="25"/>
  <c r="Y8" i="26"/>
  <c r="Y8" i="27"/>
  <c r="Y8" i="28"/>
  <c r="Y8" i="29"/>
  <c r="Y8" i="30"/>
  <c r="Y8" i="31"/>
  <c r="Y8" i="1"/>
  <c r="U14" i="2"/>
  <c r="U15" i="2" s="1"/>
  <c r="T14" i="2"/>
  <c r="T15" i="2" s="1"/>
  <c r="S14" i="2"/>
  <c r="S15" i="2" s="1"/>
  <c r="R14" i="2"/>
  <c r="R15" i="2" s="1"/>
  <c r="Q14" i="2"/>
  <c r="Q15" i="2" s="1"/>
  <c r="P14" i="2"/>
  <c r="P15" i="2" s="1"/>
  <c r="O14" i="2"/>
  <c r="U14" i="3"/>
  <c r="U15" i="3" s="1"/>
  <c r="T14" i="3"/>
  <c r="T15" i="3" s="1"/>
  <c r="S14" i="3"/>
  <c r="S15" i="3" s="1"/>
  <c r="R14" i="3"/>
  <c r="R15" i="3" s="1"/>
  <c r="Q14" i="3"/>
  <c r="Q15" i="3" s="1"/>
  <c r="P14" i="3"/>
  <c r="P15" i="3" s="1"/>
  <c r="O14" i="3"/>
  <c r="O15" i="3" s="1"/>
  <c r="U14" i="4"/>
  <c r="U15" i="4" s="1"/>
  <c r="T14" i="4"/>
  <c r="T15" i="4" s="1"/>
  <c r="S14" i="4"/>
  <c r="S15" i="4" s="1"/>
  <c r="R14" i="4"/>
  <c r="R15" i="4" s="1"/>
  <c r="Q14" i="4"/>
  <c r="Q15" i="4" s="1"/>
  <c r="P14" i="4"/>
  <c r="P15" i="4" s="1"/>
  <c r="O14" i="4"/>
  <c r="O15" i="4" s="1"/>
  <c r="U14" i="5"/>
  <c r="U15" i="5" s="1"/>
  <c r="T14" i="5"/>
  <c r="T15" i="5" s="1"/>
  <c r="S14" i="5"/>
  <c r="S15" i="5" s="1"/>
  <c r="R14" i="5"/>
  <c r="R15" i="5" s="1"/>
  <c r="Q14" i="5"/>
  <c r="Q15" i="5" s="1"/>
  <c r="P14" i="5"/>
  <c r="P15" i="5" s="1"/>
  <c r="O14" i="5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U14" i="7"/>
  <c r="U15" i="7" s="1"/>
  <c r="T14" i="7"/>
  <c r="T15" i="7" s="1"/>
  <c r="S14" i="7"/>
  <c r="S15" i="7" s="1"/>
  <c r="R14" i="7"/>
  <c r="R15" i="7" s="1"/>
  <c r="Q14" i="7"/>
  <c r="Q15" i="7" s="1"/>
  <c r="P14" i="7"/>
  <c r="P15" i="7" s="1"/>
  <c r="O14" i="7"/>
  <c r="O15" i="7" s="1"/>
  <c r="U14" i="8"/>
  <c r="U15" i="8" s="1"/>
  <c r="T14" i="8"/>
  <c r="T15" i="8" s="1"/>
  <c r="S14" i="8"/>
  <c r="S15" i="8" s="1"/>
  <c r="R14" i="8"/>
  <c r="R15" i="8" s="1"/>
  <c r="Q14" i="8"/>
  <c r="Q15" i="8" s="1"/>
  <c r="P14" i="8"/>
  <c r="P15" i="8" s="1"/>
  <c r="O14" i="8"/>
  <c r="O15" i="8" s="1"/>
  <c r="U14" i="9"/>
  <c r="U15" i="9" s="1"/>
  <c r="T14" i="9"/>
  <c r="T15" i="9" s="1"/>
  <c r="S14" i="9"/>
  <c r="S15" i="9" s="1"/>
  <c r="R14" i="9"/>
  <c r="R15" i="9" s="1"/>
  <c r="Q14" i="9"/>
  <c r="Q15" i="9" s="1"/>
  <c r="P14" i="9"/>
  <c r="P15" i="9" s="1"/>
  <c r="O14" i="9"/>
  <c r="U14" i="10"/>
  <c r="U15" i="10" s="1"/>
  <c r="T14" i="10"/>
  <c r="T15" i="10" s="1"/>
  <c r="S14" i="10"/>
  <c r="S15" i="10" s="1"/>
  <c r="R14" i="10"/>
  <c r="R15" i="10" s="1"/>
  <c r="Q14" i="10"/>
  <c r="Q15" i="10" s="1"/>
  <c r="P14" i="10"/>
  <c r="P15" i="10" s="1"/>
  <c r="O14" i="10"/>
  <c r="O15" i="10" s="1"/>
  <c r="U14" i="11"/>
  <c r="U15" i="11" s="1"/>
  <c r="T14" i="11"/>
  <c r="T15" i="11" s="1"/>
  <c r="S14" i="11"/>
  <c r="S15" i="11" s="1"/>
  <c r="R14" i="11"/>
  <c r="R15" i="11" s="1"/>
  <c r="Q14" i="11"/>
  <c r="Q15" i="11" s="1"/>
  <c r="P14" i="11"/>
  <c r="P15" i="11" s="1"/>
  <c r="O14" i="11"/>
  <c r="O15" i="11" s="1"/>
  <c r="U14" i="12"/>
  <c r="U15" i="12" s="1"/>
  <c r="T14" i="12"/>
  <c r="T15" i="12" s="1"/>
  <c r="S14" i="12"/>
  <c r="S15" i="12" s="1"/>
  <c r="R14" i="12"/>
  <c r="R15" i="12" s="1"/>
  <c r="Q14" i="12"/>
  <c r="Q15" i="12" s="1"/>
  <c r="P14" i="12"/>
  <c r="P15" i="12" s="1"/>
  <c r="O14" i="12"/>
  <c r="O15" i="12" s="1"/>
  <c r="U14" i="13"/>
  <c r="U15" i="13" s="1"/>
  <c r="T14" i="13"/>
  <c r="T15" i="13" s="1"/>
  <c r="S14" i="13"/>
  <c r="S15" i="13" s="1"/>
  <c r="R14" i="13"/>
  <c r="R15" i="13" s="1"/>
  <c r="Q14" i="13"/>
  <c r="Q15" i="13" s="1"/>
  <c r="P14" i="13"/>
  <c r="P15" i="13" s="1"/>
  <c r="O14" i="13"/>
  <c r="P15" i="14"/>
  <c r="O15" i="14"/>
  <c r="U14" i="14"/>
  <c r="U15" i="14" s="1"/>
  <c r="T14" i="14"/>
  <c r="T15" i="14" s="1"/>
  <c r="S14" i="14"/>
  <c r="S15" i="14" s="1"/>
  <c r="R14" i="14"/>
  <c r="R15" i="14" s="1"/>
  <c r="Q14" i="14"/>
  <c r="Q15" i="14" s="1"/>
  <c r="P14" i="14"/>
  <c r="O14" i="14"/>
  <c r="U14" i="15"/>
  <c r="U15" i="15" s="1"/>
  <c r="T14" i="15"/>
  <c r="T15" i="15" s="1"/>
  <c r="S14" i="15"/>
  <c r="S15" i="15" s="1"/>
  <c r="R14" i="15"/>
  <c r="R15" i="15" s="1"/>
  <c r="Q14" i="15"/>
  <c r="Q15" i="15" s="1"/>
  <c r="P14" i="15"/>
  <c r="P15" i="15" s="1"/>
  <c r="O14" i="15"/>
  <c r="O15" i="15" s="1"/>
  <c r="U14" i="16"/>
  <c r="U15" i="16" s="1"/>
  <c r="T14" i="16"/>
  <c r="T15" i="16" s="1"/>
  <c r="S14" i="16"/>
  <c r="S15" i="16" s="1"/>
  <c r="R14" i="16"/>
  <c r="R15" i="16" s="1"/>
  <c r="Q14" i="16"/>
  <c r="Q15" i="16" s="1"/>
  <c r="P14" i="16"/>
  <c r="P15" i="16" s="1"/>
  <c r="O14" i="16"/>
  <c r="O15" i="16" s="1"/>
  <c r="U14" i="17"/>
  <c r="U15" i="17" s="1"/>
  <c r="T14" i="17"/>
  <c r="T15" i="17" s="1"/>
  <c r="S14" i="17"/>
  <c r="S15" i="17" s="1"/>
  <c r="R14" i="17"/>
  <c r="R15" i="17" s="1"/>
  <c r="Q14" i="17"/>
  <c r="Q15" i="17" s="1"/>
  <c r="P14" i="17"/>
  <c r="P15" i="17" s="1"/>
  <c r="O14" i="17"/>
  <c r="U14" i="18"/>
  <c r="U15" i="18" s="1"/>
  <c r="T14" i="18"/>
  <c r="T15" i="18" s="1"/>
  <c r="S14" i="18"/>
  <c r="S15" i="18" s="1"/>
  <c r="R14" i="18"/>
  <c r="R15" i="18" s="1"/>
  <c r="Q14" i="18"/>
  <c r="Q15" i="18" s="1"/>
  <c r="P14" i="18"/>
  <c r="P15" i="18" s="1"/>
  <c r="O14" i="18"/>
  <c r="O15" i="18" s="1"/>
  <c r="U14" i="19"/>
  <c r="U15" i="19" s="1"/>
  <c r="T14" i="19"/>
  <c r="T15" i="19" s="1"/>
  <c r="S14" i="19"/>
  <c r="S15" i="19" s="1"/>
  <c r="R14" i="19"/>
  <c r="R15" i="19" s="1"/>
  <c r="Q14" i="19"/>
  <c r="Q15" i="19" s="1"/>
  <c r="P14" i="19"/>
  <c r="P15" i="19" s="1"/>
  <c r="O14" i="19"/>
  <c r="O15" i="19" s="1"/>
  <c r="O16" i="20"/>
  <c r="U14" i="21"/>
  <c r="U15" i="21" s="1"/>
  <c r="T14" i="21"/>
  <c r="T15" i="21" s="1"/>
  <c r="S14" i="21"/>
  <c r="S15" i="21" s="1"/>
  <c r="R14" i="21"/>
  <c r="R15" i="21" s="1"/>
  <c r="Q14" i="21"/>
  <c r="Q15" i="21" s="1"/>
  <c r="P14" i="21"/>
  <c r="P15" i="21" s="1"/>
  <c r="O14" i="21"/>
  <c r="P15" i="22"/>
  <c r="O15" i="22"/>
  <c r="U14" i="22"/>
  <c r="U15" i="22" s="1"/>
  <c r="T14" i="22"/>
  <c r="T15" i="22" s="1"/>
  <c r="S14" i="22"/>
  <c r="S15" i="22" s="1"/>
  <c r="R14" i="22"/>
  <c r="R15" i="22" s="1"/>
  <c r="Q14" i="22"/>
  <c r="Q15" i="22" s="1"/>
  <c r="P14" i="22"/>
  <c r="O14" i="22"/>
  <c r="U14" i="23"/>
  <c r="U15" i="23" s="1"/>
  <c r="T14" i="23"/>
  <c r="T15" i="23" s="1"/>
  <c r="S14" i="23"/>
  <c r="S15" i="23" s="1"/>
  <c r="R14" i="23"/>
  <c r="R15" i="23" s="1"/>
  <c r="Q14" i="23"/>
  <c r="Q15" i="23" s="1"/>
  <c r="P14" i="23"/>
  <c r="P15" i="23" s="1"/>
  <c r="O14" i="23"/>
  <c r="O15" i="23" s="1"/>
  <c r="U14" i="24"/>
  <c r="U15" i="24" s="1"/>
  <c r="T14" i="24"/>
  <c r="T15" i="24" s="1"/>
  <c r="S14" i="24"/>
  <c r="S15" i="24" s="1"/>
  <c r="R14" i="24"/>
  <c r="R15" i="24" s="1"/>
  <c r="Q14" i="24"/>
  <c r="Q15" i="24" s="1"/>
  <c r="P14" i="24"/>
  <c r="P15" i="24" s="1"/>
  <c r="O14" i="24"/>
  <c r="O15" i="24" s="1"/>
  <c r="U14" i="25"/>
  <c r="U15" i="25" s="1"/>
  <c r="T14" i="25"/>
  <c r="T15" i="25" s="1"/>
  <c r="S14" i="25"/>
  <c r="S15" i="25" s="1"/>
  <c r="R14" i="25"/>
  <c r="R15" i="25" s="1"/>
  <c r="Q14" i="25"/>
  <c r="Q15" i="25" s="1"/>
  <c r="P14" i="25"/>
  <c r="P15" i="25" s="1"/>
  <c r="O14" i="25"/>
  <c r="P15" i="26"/>
  <c r="O15" i="26"/>
  <c r="U14" i="26"/>
  <c r="U15" i="26" s="1"/>
  <c r="T14" i="26"/>
  <c r="T15" i="26" s="1"/>
  <c r="S14" i="26"/>
  <c r="S15" i="26" s="1"/>
  <c r="R14" i="26"/>
  <c r="R15" i="26" s="1"/>
  <c r="Q14" i="26"/>
  <c r="Q15" i="26" s="1"/>
  <c r="P14" i="26"/>
  <c r="O14" i="26"/>
  <c r="U14" i="27"/>
  <c r="U15" i="27" s="1"/>
  <c r="T14" i="27"/>
  <c r="T15" i="27" s="1"/>
  <c r="S14" i="27"/>
  <c r="S15" i="27" s="1"/>
  <c r="R14" i="27"/>
  <c r="R15" i="27" s="1"/>
  <c r="Q14" i="27"/>
  <c r="Q15" i="27" s="1"/>
  <c r="P14" i="27"/>
  <c r="P15" i="27" s="1"/>
  <c r="O14" i="27"/>
  <c r="O15" i="27" s="1"/>
  <c r="U14" i="28"/>
  <c r="U15" i="28" s="1"/>
  <c r="T14" i="28"/>
  <c r="T15" i="28" s="1"/>
  <c r="S14" i="28"/>
  <c r="S15" i="28" s="1"/>
  <c r="R14" i="28"/>
  <c r="R15" i="28" s="1"/>
  <c r="Q14" i="28"/>
  <c r="Q15" i="28" s="1"/>
  <c r="P14" i="28"/>
  <c r="P15" i="28" s="1"/>
  <c r="O14" i="28"/>
  <c r="O15" i="28" s="1"/>
  <c r="U14" i="29"/>
  <c r="U15" i="29" s="1"/>
  <c r="T14" i="29"/>
  <c r="T15" i="29" s="1"/>
  <c r="S14" i="29"/>
  <c r="S15" i="29" s="1"/>
  <c r="R14" i="29"/>
  <c r="R15" i="29" s="1"/>
  <c r="Q14" i="29"/>
  <c r="Q15" i="29" s="1"/>
  <c r="P14" i="29"/>
  <c r="P15" i="29" s="1"/>
  <c r="O14" i="29"/>
  <c r="P15" i="30"/>
  <c r="U14" i="30"/>
  <c r="U15" i="30" s="1"/>
  <c r="T14" i="30"/>
  <c r="T15" i="30" s="1"/>
  <c r="S14" i="30"/>
  <c r="S15" i="30" s="1"/>
  <c r="R14" i="30"/>
  <c r="R15" i="30" s="1"/>
  <c r="Q14" i="30"/>
  <c r="Q15" i="30" s="1"/>
  <c r="P14" i="30"/>
  <c r="O14" i="30"/>
  <c r="O15" i="30" s="1"/>
  <c r="T15" i="31"/>
  <c r="S15" i="31"/>
  <c r="U14" i="31"/>
  <c r="U15" i="31" s="1"/>
  <c r="T14" i="31"/>
  <c r="S14" i="31"/>
  <c r="R14" i="31"/>
  <c r="R15" i="31" s="1"/>
  <c r="Q14" i="31"/>
  <c r="Q15" i="31" s="1"/>
  <c r="P14" i="31"/>
  <c r="P15" i="31" s="1"/>
  <c r="O14" i="31"/>
  <c r="O15" i="31" s="1"/>
  <c r="U14" i="1"/>
  <c r="U15" i="1" s="1"/>
  <c r="T14" i="1"/>
  <c r="T15" i="1" s="1"/>
  <c r="S14" i="1"/>
  <c r="S15" i="1" s="1"/>
  <c r="R14" i="1"/>
  <c r="R15" i="1" s="1"/>
  <c r="Q14" i="1"/>
  <c r="Q15" i="1" s="1"/>
  <c r="P14" i="1"/>
  <c r="P15" i="1" s="1"/>
  <c r="O14" i="1"/>
  <c r="O15" i="1" s="1"/>
  <c r="J15" i="1"/>
  <c r="I15" i="9"/>
  <c r="I15" i="14"/>
  <c r="I15" i="22"/>
  <c r="I15" i="25"/>
  <c r="I15" i="26"/>
  <c r="I15" i="30"/>
  <c r="I15" i="1"/>
  <c r="H15" i="22"/>
  <c r="H15" i="23"/>
  <c r="H15" i="25"/>
  <c r="H15" i="26"/>
  <c r="H15" i="27"/>
  <c r="H15" i="31"/>
  <c r="H15" i="1"/>
  <c r="G15" i="14"/>
  <c r="G15" i="16"/>
  <c r="G15" i="22"/>
  <c r="G15" i="24"/>
  <c r="G15" i="26"/>
  <c r="G15" i="27"/>
  <c r="G15" i="28"/>
  <c r="G15" i="30"/>
  <c r="G15" i="31"/>
  <c r="G15" i="1"/>
  <c r="F15" i="9"/>
  <c r="F15" i="16"/>
  <c r="F15" i="23"/>
  <c r="F15" i="25"/>
  <c r="F15" i="27"/>
  <c r="F15" i="28"/>
  <c r="F15" i="29"/>
  <c r="F15" i="31"/>
  <c r="F15" i="1"/>
  <c r="E15" i="14"/>
  <c r="E15" i="16"/>
  <c r="E15" i="22"/>
  <c r="E15" i="24"/>
  <c r="E15" i="26"/>
  <c r="E15" i="28"/>
  <c r="E15" i="29"/>
  <c r="E15" i="30"/>
  <c r="E15" i="1"/>
  <c r="D15" i="9"/>
  <c r="D15" i="14"/>
  <c r="D15" i="23"/>
  <c r="D15" i="25"/>
  <c r="D15" i="27"/>
  <c r="D15" i="29"/>
  <c r="D15" i="30"/>
  <c r="D15" i="31"/>
  <c r="D15" i="1"/>
  <c r="C15" i="14"/>
  <c r="C15" i="16"/>
  <c r="C15" i="22"/>
  <c r="C15" i="23"/>
  <c r="C15" i="24"/>
  <c r="C15" i="28"/>
  <c r="C15" i="30"/>
  <c r="C15" i="1"/>
  <c r="I14" i="2"/>
  <c r="I15" i="2" s="1"/>
  <c r="I14" i="3"/>
  <c r="I15" i="3" s="1"/>
  <c r="I14" i="4"/>
  <c r="I15" i="4" s="1"/>
  <c r="I14" i="5"/>
  <c r="I15" i="5" s="1"/>
  <c r="I14" i="6"/>
  <c r="I15" i="6" s="1"/>
  <c r="I14" i="7"/>
  <c r="I15" i="7" s="1"/>
  <c r="I14" i="8"/>
  <c r="I15" i="8" s="1"/>
  <c r="I14" i="9"/>
  <c r="I14" i="10"/>
  <c r="I15" i="10" s="1"/>
  <c r="I14" i="11"/>
  <c r="I15" i="11" s="1"/>
  <c r="I14" i="12"/>
  <c r="I15" i="12" s="1"/>
  <c r="I14" i="13"/>
  <c r="I15" i="13" s="1"/>
  <c r="I14" i="14"/>
  <c r="I14" i="15"/>
  <c r="I15" i="15" s="1"/>
  <c r="I14" i="16"/>
  <c r="I15" i="16" s="1"/>
  <c r="I14" i="17"/>
  <c r="I15" i="17" s="1"/>
  <c r="I14" i="18"/>
  <c r="I15" i="18" s="1"/>
  <c r="I14" i="19"/>
  <c r="I15" i="19" s="1"/>
  <c r="I16" i="20"/>
  <c r="I14" i="21"/>
  <c r="I15" i="21" s="1"/>
  <c r="I14" i="22"/>
  <c r="I14" i="23"/>
  <c r="I15" i="23" s="1"/>
  <c r="I14" i="24"/>
  <c r="I15" i="24" s="1"/>
  <c r="I14" i="25"/>
  <c r="I14" i="26"/>
  <c r="I14" i="27"/>
  <c r="I15" i="27" s="1"/>
  <c r="I14" i="28"/>
  <c r="I15" i="28" s="1"/>
  <c r="I14" i="29"/>
  <c r="I15" i="29" s="1"/>
  <c r="I14" i="30"/>
  <c r="I14" i="31"/>
  <c r="I15" i="31" s="1"/>
  <c r="I14" i="1"/>
  <c r="H14" i="2"/>
  <c r="H15" i="2" s="1"/>
  <c r="H14" i="3"/>
  <c r="H15" i="3" s="1"/>
  <c r="H14" i="4"/>
  <c r="H15" i="4" s="1"/>
  <c r="H14" i="5"/>
  <c r="H15" i="5" s="1"/>
  <c r="H14" i="6"/>
  <c r="H15" i="6" s="1"/>
  <c r="H14" i="7"/>
  <c r="H15" i="7" s="1"/>
  <c r="H14" i="8"/>
  <c r="H15" i="8" s="1"/>
  <c r="H14" i="9"/>
  <c r="H15" i="9" s="1"/>
  <c r="H14" i="10"/>
  <c r="H15" i="10" s="1"/>
  <c r="H14" i="11"/>
  <c r="H15" i="11" s="1"/>
  <c r="H14" i="12"/>
  <c r="H15" i="12" s="1"/>
  <c r="H14" i="13"/>
  <c r="H15" i="13" s="1"/>
  <c r="H14" i="14"/>
  <c r="H15" i="14" s="1"/>
  <c r="H14" i="15"/>
  <c r="H15" i="15" s="1"/>
  <c r="H14" i="16"/>
  <c r="H15" i="16" s="1"/>
  <c r="H14" i="17"/>
  <c r="H15" i="17" s="1"/>
  <c r="H14" i="18"/>
  <c r="H15" i="18" s="1"/>
  <c r="H14" i="19"/>
  <c r="H15" i="19" s="1"/>
  <c r="H16" i="20"/>
  <c r="H14" i="21"/>
  <c r="H15" i="21" s="1"/>
  <c r="H14" i="22"/>
  <c r="H14" i="23"/>
  <c r="H14" i="24"/>
  <c r="H15" i="24" s="1"/>
  <c r="H14" i="25"/>
  <c r="H14" i="26"/>
  <c r="H14" i="27"/>
  <c r="H14" i="28"/>
  <c r="H15" i="28" s="1"/>
  <c r="H14" i="29"/>
  <c r="H15" i="29" s="1"/>
  <c r="H14" i="30"/>
  <c r="H15" i="30" s="1"/>
  <c r="H14" i="31"/>
  <c r="H14" i="1"/>
  <c r="G14" i="2"/>
  <c r="G15" i="2" s="1"/>
  <c r="G14" i="3"/>
  <c r="G15" i="3" s="1"/>
  <c r="G14" i="4"/>
  <c r="G15" i="4" s="1"/>
  <c r="G14" i="5"/>
  <c r="G15" i="5" s="1"/>
  <c r="G14" i="6"/>
  <c r="G15" i="6" s="1"/>
  <c r="G14" i="7"/>
  <c r="G15" i="7" s="1"/>
  <c r="G14" i="8"/>
  <c r="G15" i="8" s="1"/>
  <c r="G14" i="9"/>
  <c r="G15" i="9" s="1"/>
  <c r="G14" i="10"/>
  <c r="G15" i="10" s="1"/>
  <c r="G14" i="11"/>
  <c r="G15" i="11" s="1"/>
  <c r="G14" i="12"/>
  <c r="G15" i="12" s="1"/>
  <c r="G14" i="13"/>
  <c r="G15" i="13" s="1"/>
  <c r="G14" i="14"/>
  <c r="G14" i="15"/>
  <c r="G15" i="15" s="1"/>
  <c r="G14" i="16"/>
  <c r="G14" i="17"/>
  <c r="G15" i="17" s="1"/>
  <c r="G14" i="18"/>
  <c r="G15" i="18" s="1"/>
  <c r="G14" i="19"/>
  <c r="G15" i="19" s="1"/>
  <c r="G16" i="20"/>
  <c r="G14" i="21"/>
  <c r="G15" i="21" s="1"/>
  <c r="G14" i="22"/>
  <c r="G14" i="23"/>
  <c r="G15" i="23" s="1"/>
  <c r="G14" i="24"/>
  <c r="G14" i="25"/>
  <c r="G15" i="25" s="1"/>
  <c r="G14" i="26"/>
  <c r="G14" i="27"/>
  <c r="G14" i="28"/>
  <c r="G14" i="29"/>
  <c r="G15" i="29" s="1"/>
  <c r="G14" i="30"/>
  <c r="G14" i="31"/>
  <c r="G14" i="1"/>
  <c r="F14" i="2"/>
  <c r="F15" i="2" s="1"/>
  <c r="F14" i="3"/>
  <c r="F15" i="3" s="1"/>
  <c r="F14" i="4"/>
  <c r="F15" i="4" s="1"/>
  <c r="F14" i="5"/>
  <c r="F15" i="5" s="1"/>
  <c r="F14" i="6"/>
  <c r="F14" i="7"/>
  <c r="F15" i="7" s="1"/>
  <c r="F14" i="8"/>
  <c r="F15" i="8" s="1"/>
  <c r="F14" i="9"/>
  <c r="F14" i="10"/>
  <c r="F15" i="10" s="1"/>
  <c r="F14" i="11"/>
  <c r="F15" i="11" s="1"/>
  <c r="F14" i="12"/>
  <c r="F15" i="12" s="1"/>
  <c r="F14" i="13"/>
  <c r="F15" i="13" s="1"/>
  <c r="F14" i="14"/>
  <c r="F14" i="15"/>
  <c r="F15" i="15" s="1"/>
  <c r="F14" i="16"/>
  <c r="F14" i="17"/>
  <c r="F15" i="17" s="1"/>
  <c r="F14" i="18"/>
  <c r="F15" i="18" s="1"/>
  <c r="F14" i="19"/>
  <c r="F15" i="19" s="1"/>
  <c r="F16" i="20"/>
  <c r="F14" i="21"/>
  <c r="F15" i="21" s="1"/>
  <c r="F14" i="22"/>
  <c r="F14" i="23"/>
  <c r="F14" i="24"/>
  <c r="F15" i="24" s="1"/>
  <c r="F14" i="25"/>
  <c r="F14" i="26"/>
  <c r="F14" i="27"/>
  <c r="F14" i="28"/>
  <c r="F14" i="29"/>
  <c r="F14" i="30"/>
  <c r="F15" i="30" s="1"/>
  <c r="F14" i="31"/>
  <c r="F14" i="1"/>
  <c r="E14" i="2"/>
  <c r="E15" i="2" s="1"/>
  <c r="E14" i="3"/>
  <c r="E15" i="3" s="1"/>
  <c r="E14" i="4"/>
  <c r="E15" i="4" s="1"/>
  <c r="E14" i="5"/>
  <c r="E15" i="5" s="1"/>
  <c r="E14" i="6"/>
  <c r="E15" i="6" s="1"/>
  <c r="E14" i="7"/>
  <c r="E15" i="7" s="1"/>
  <c r="E14" i="8"/>
  <c r="E15" i="8" s="1"/>
  <c r="E14" i="9"/>
  <c r="E15" i="9" s="1"/>
  <c r="E14" i="10"/>
  <c r="E15" i="10" s="1"/>
  <c r="E14" i="11"/>
  <c r="E15" i="11" s="1"/>
  <c r="E14" i="12"/>
  <c r="E15" i="12" s="1"/>
  <c r="E14" i="13"/>
  <c r="E15" i="13" s="1"/>
  <c r="E14" i="14"/>
  <c r="E14" i="15"/>
  <c r="E15" i="15" s="1"/>
  <c r="E14" i="16"/>
  <c r="E14" i="17"/>
  <c r="E15" i="17" s="1"/>
  <c r="E14" i="18"/>
  <c r="E15" i="18" s="1"/>
  <c r="E14" i="19"/>
  <c r="E15" i="19" s="1"/>
  <c r="E16" i="20"/>
  <c r="E14" i="21"/>
  <c r="E15" i="21" s="1"/>
  <c r="E14" i="22"/>
  <c r="E14" i="23"/>
  <c r="E15" i="23" s="1"/>
  <c r="E14" i="24"/>
  <c r="E14" i="25"/>
  <c r="E15" i="25" s="1"/>
  <c r="E14" i="26"/>
  <c r="E14" i="27"/>
  <c r="E15" i="27" s="1"/>
  <c r="E14" i="28"/>
  <c r="E14" i="29"/>
  <c r="E14" i="30"/>
  <c r="E14" i="31"/>
  <c r="E15" i="31" s="1"/>
  <c r="E14" i="1"/>
  <c r="D14" i="2"/>
  <c r="D15" i="2" s="1"/>
  <c r="D14" i="3"/>
  <c r="D15" i="3" s="1"/>
  <c r="D14" i="4"/>
  <c r="D15" i="4" s="1"/>
  <c r="D14" i="5"/>
  <c r="D15" i="5" s="1"/>
  <c r="D14" i="6"/>
  <c r="D15" i="6" s="1"/>
  <c r="D14" i="7"/>
  <c r="D15" i="7" s="1"/>
  <c r="D14" i="8"/>
  <c r="D15" i="8" s="1"/>
  <c r="D14" i="9"/>
  <c r="D14" i="10"/>
  <c r="D15" i="10" s="1"/>
  <c r="D14" i="11"/>
  <c r="D15" i="11" s="1"/>
  <c r="D14" i="12"/>
  <c r="D15" i="12" s="1"/>
  <c r="D14" i="13"/>
  <c r="D15" i="13" s="1"/>
  <c r="D14" i="14"/>
  <c r="D14" i="15"/>
  <c r="D15" i="15" s="1"/>
  <c r="D14" i="16"/>
  <c r="D15" i="16" s="1"/>
  <c r="D14" i="17"/>
  <c r="D15" i="17" s="1"/>
  <c r="D14" i="18"/>
  <c r="D15" i="18" s="1"/>
  <c r="D14" i="19"/>
  <c r="D15" i="19" s="1"/>
  <c r="D16" i="20"/>
  <c r="D14" i="21"/>
  <c r="D15" i="21" s="1"/>
  <c r="D14" i="22"/>
  <c r="D15" i="22" s="1"/>
  <c r="D14" i="23"/>
  <c r="D14" i="24"/>
  <c r="D15" i="24" s="1"/>
  <c r="D14" i="25"/>
  <c r="D14" i="26"/>
  <c r="D15" i="26" s="1"/>
  <c r="D14" i="27"/>
  <c r="D14" i="28"/>
  <c r="D15" i="28" s="1"/>
  <c r="D14" i="29"/>
  <c r="D14" i="30"/>
  <c r="D14" i="31"/>
  <c r="D14" i="1"/>
  <c r="C14" i="2"/>
  <c r="C15" i="2" s="1"/>
  <c r="C14" i="3"/>
  <c r="C15" i="3" s="1"/>
  <c r="C14" i="4"/>
  <c r="C15" i="4" s="1"/>
  <c r="C14" i="5"/>
  <c r="C15" i="5" s="1"/>
  <c r="C14" i="6"/>
  <c r="C15" i="6" s="1"/>
  <c r="C14" i="7"/>
  <c r="C15" i="7" s="1"/>
  <c r="C14" i="8"/>
  <c r="C15" i="8" s="1"/>
  <c r="C14" i="9"/>
  <c r="C15" i="9" s="1"/>
  <c r="C14" i="10"/>
  <c r="C15" i="10" s="1"/>
  <c r="C14" i="11"/>
  <c r="C14" i="12"/>
  <c r="C15" i="12" s="1"/>
  <c r="C14" i="13"/>
  <c r="C15" i="13" s="1"/>
  <c r="C14" i="14"/>
  <c r="C14" i="15"/>
  <c r="C14" i="16"/>
  <c r="C14" i="17"/>
  <c r="C14" i="18"/>
  <c r="C15" i="18" s="1"/>
  <c r="C14" i="19"/>
  <c r="C15" i="19" s="1"/>
  <c r="C16" i="20"/>
  <c r="C14" i="21"/>
  <c r="C15" i="21" s="1"/>
  <c r="C14" i="22"/>
  <c r="C14" i="23"/>
  <c r="C14" i="24"/>
  <c r="C14" i="25"/>
  <c r="C14" i="26"/>
  <c r="C15" i="26" s="1"/>
  <c r="C14" i="27"/>
  <c r="C14" i="28"/>
  <c r="C14" i="29"/>
  <c r="C14" i="30"/>
  <c r="C14" i="31"/>
  <c r="C14" i="1"/>
  <c r="J14" i="1" s="1"/>
  <c r="V9" i="2"/>
  <c r="V10" i="2"/>
  <c r="V11" i="2"/>
  <c r="Z11" i="2" s="1"/>
  <c r="Z14" i="2" s="1"/>
  <c r="Z15" i="2" s="1"/>
  <c r="V12" i="2"/>
  <c r="V9" i="3"/>
  <c r="Z9" i="3" s="1"/>
  <c r="V10" i="3"/>
  <c r="V11" i="3"/>
  <c r="V12" i="3"/>
  <c r="V9" i="4"/>
  <c r="V10" i="4"/>
  <c r="Z10" i="4" s="1"/>
  <c r="V11" i="4"/>
  <c r="V12" i="4"/>
  <c r="V9" i="5"/>
  <c r="V10" i="5"/>
  <c r="Z10" i="5" s="1"/>
  <c r="V11" i="5"/>
  <c r="V12" i="5"/>
  <c r="Z12" i="5" s="1"/>
  <c r="V9" i="6"/>
  <c r="Z9" i="6" s="1"/>
  <c r="V10" i="6"/>
  <c r="Z10" i="6" s="1"/>
  <c r="V11" i="6"/>
  <c r="Z11" i="6" s="1"/>
  <c r="V12" i="6"/>
  <c r="Z12" i="6" s="1"/>
  <c r="V9" i="7"/>
  <c r="V10" i="7"/>
  <c r="Z10" i="7" s="1"/>
  <c r="V11" i="7"/>
  <c r="Z11" i="7" s="1"/>
  <c r="V12" i="7"/>
  <c r="Z12" i="7" s="1"/>
  <c r="V9" i="8"/>
  <c r="Z9" i="8" s="1"/>
  <c r="V10" i="8"/>
  <c r="V11" i="8"/>
  <c r="Z11" i="8" s="1"/>
  <c r="V12" i="8"/>
  <c r="Z12" i="8" s="1"/>
  <c r="V9" i="9"/>
  <c r="V10" i="9"/>
  <c r="V11" i="9"/>
  <c r="V12" i="9"/>
  <c r="V9" i="10"/>
  <c r="Z9" i="10" s="1"/>
  <c r="V10" i="10"/>
  <c r="Z10" i="10" s="1"/>
  <c r="V11" i="10"/>
  <c r="V12" i="10"/>
  <c r="Z12" i="10" s="1"/>
  <c r="V9" i="11"/>
  <c r="V10" i="11"/>
  <c r="Z10" i="11" s="1"/>
  <c r="V11" i="11"/>
  <c r="Z11" i="11" s="1"/>
  <c r="V12" i="11"/>
  <c r="Z12" i="11" s="1"/>
  <c r="V9" i="12"/>
  <c r="V10" i="12"/>
  <c r="Z10" i="12" s="1"/>
  <c r="V11" i="12"/>
  <c r="Z11" i="12" s="1"/>
  <c r="V12" i="12"/>
  <c r="Z12" i="12" s="1"/>
  <c r="V9" i="13"/>
  <c r="Z9" i="13" s="1"/>
  <c r="V10" i="13"/>
  <c r="Z10" i="13" s="1"/>
  <c r="V11" i="13"/>
  <c r="Z11" i="13" s="1"/>
  <c r="V12" i="13"/>
  <c r="Z12" i="13" s="1"/>
  <c r="V9" i="14"/>
  <c r="V10" i="14"/>
  <c r="V11" i="14"/>
  <c r="V12" i="14"/>
  <c r="V9" i="15"/>
  <c r="Z9" i="15" s="1"/>
  <c r="V10" i="15"/>
  <c r="V11" i="15"/>
  <c r="V12" i="15"/>
  <c r="Z12" i="15" s="1"/>
  <c r="V9" i="16"/>
  <c r="V10" i="16"/>
  <c r="V11" i="16"/>
  <c r="V12" i="16"/>
  <c r="V9" i="17"/>
  <c r="Z9" i="17" s="1"/>
  <c r="V10" i="17"/>
  <c r="Z10" i="17" s="1"/>
  <c r="V11" i="17"/>
  <c r="Z11" i="17" s="1"/>
  <c r="V12" i="17"/>
  <c r="Z12" i="17" s="1"/>
  <c r="AA12" i="17" s="1"/>
  <c r="V9" i="18"/>
  <c r="Z9" i="18" s="1"/>
  <c r="V10" i="18"/>
  <c r="Z10" i="18" s="1"/>
  <c r="V11" i="18"/>
  <c r="V12" i="18"/>
  <c r="Z12" i="18" s="1"/>
  <c r="AA12" i="18" s="1"/>
  <c r="V9" i="19"/>
  <c r="Z9" i="19" s="1"/>
  <c r="V10" i="19"/>
  <c r="Z10" i="19" s="1"/>
  <c r="V11" i="19"/>
  <c r="Z11" i="19" s="1"/>
  <c r="V12" i="19"/>
  <c r="V9" i="20"/>
  <c r="Z9" i="20" s="1"/>
  <c r="V10" i="20"/>
  <c r="Z10" i="20" s="1"/>
  <c r="V11" i="20"/>
  <c r="Z11" i="20" s="1"/>
  <c r="Z12" i="20"/>
  <c r="V9" i="21"/>
  <c r="V10" i="21"/>
  <c r="Z10" i="21" s="1"/>
  <c r="V11" i="21"/>
  <c r="Z11" i="21" s="1"/>
  <c r="V12" i="21"/>
  <c r="Z12" i="21" s="1"/>
  <c r="V9" i="22"/>
  <c r="V10" i="22"/>
  <c r="V11" i="22"/>
  <c r="V12" i="22"/>
  <c r="V9" i="23"/>
  <c r="V10" i="23"/>
  <c r="V11" i="23"/>
  <c r="V12" i="23"/>
  <c r="V9" i="24"/>
  <c r="V10" i="24"/>
  <c r="V11" i="24"/>
  <c r="V12" i="24"/>
  <c r="V9" i="25"/>
  <c r="V10" i="25"/>
  <c r="V11" i="25"/>
  <c r="V12" i="25"/>
  <c r="V9" i="26"/>
  <c r="V10" i="26"/>
  <c r="V11" i="26"/>
  <c r="V12" i="26"/>
  <c r="V9" i="27"/>
  <c r="V10" i="27"/>
  <c r="V11" i="27"/>
  <c r="V12" i="27"/>
  <c r="V9" i="28"/>
  <c r="V10" i="28"/>
  <c r="V11" i="28"/>
  <c r="V12" i="28"/>
  <c r="V9" i="29"/>
  <c r="V10" i="29"/>
  <c r="V11" i="29"/>
  <c r="V12" i="29"/>
  <c r="V9" i="30"/>
  <c r="V10" i="30"/>
  <c r="V11" i="30"/>
  <c r="V12" i="30"/>
  <c r="V9" i="31"/>
  <c r="V10" i="31"/>
  <c r="V11" i="31"/>
  <c r="V12" i="31"/>
  <c r="V9" i="1"/>
  <c r="Z9" i="1" s="1"/>
  <c r="AA9" i="1" s="1"/>
  <c r="V10" i="1"/>
  <c r="Z10" i="1" s="1"/>
  <c r="AA10" i="1" s="1"/>
  <c r="V11" i="1"/>
  <c r="Z11" i="1" s="1"/>
  <c r="AA11" i="1" s="1"/>
  <c r="V12" i="1"/>
  <c r="V8" i="2"/>
  <c r="V8" i="3"/>
  <c r="Z8" i="3" s="1"/>
  <c r="AA8" i="3" s="1"/>
  <c r="V8" i="4"/>
  <c r="Z8" i="4" s="1"/>
  <c r="V8" i="5"/>
  <c r="Z8" i="5" s="1"/>
  <c r="V8" i="6"/>
  <c r="Z8" i="6" s="1"/>
  <c r="V8" i="7"/>
  <c r="Z8" i="7" s="1"/>
  <c r="V8" i="8"/>
  <c r="Z8" i="8" s="1"/>
  <c r="AA8" i="8" s="1"/>
  <c r="V8" i="9"/>
  <c r="V8" i="10"/>
  <c r="Z8" i="10" s="1"/>
  <c r="V8" i="11"/>
  <c r="Z8" i="11" s="1"/>
  <c r="V8" i="12"/>
  <c r="Z8" i="12" s="1"/>
  <c r="V8" i="13"/>
  <c r="Z8" i="13" s="1"/>
  <c r="V8" i="14"/>
  <c r="V8" i="15"/>
  <c r="V8" i="16"/>
  <c r="V8" i="17"/>
  <c r="Z8" i="17" s="1"/>
  <c r="V8" i="18"/>
  <c r="Z8" i="18" s="1"/>
  <c r="V8" i="19"/>
  <c r="Z8" i="19" s="1"/>
  <c r="V8" i="20"/>
  <c r="Z8" i="20" s="1"/>
  <c r="V8" i="21"/>
  <c r="V8" i="22"/>
  <c r="V8" i="23"/>
  <c r="V8" i="24"/>
  <c r="V8" i="25"/>
  <c r="V8" i="26"/>
  <c r="V8" i="27"/>
  <c r="V8" i="28"/>
  <c r="V8" i="29"/>
  <c r="V8" i="30"/>
  <c r="V8" i="31"/>
  <c r="V8" i="1"/>
  <c r="Z8" i="1" s="1"/>
  <c r="AA8" i="1" s="1"/>
  <c r="J9" i="2"/>
  <c r="Y9" i="2" s="1"/>
  <c r="AA9" i="2" s="1"/>
  <c r="J10" i="2"/>
  <c r="Y10" i="2" s="1"/>
  <c r="AA10" i="2" s="1"/>
  <c r="J11" i="2"/>
  <c r="Y11" i="2" s="1"/>
  <c r="J12" i="2"/>
  <c r="J9" i="3"/>
  <c r="Y9" i="3" s="1"/>
  <c r="J10" i="3"/>
  <c r="Y10" i="3" s="1"/>
  <c r="AA10" i="3" s="1"/>
  <c r="J11" i="3"/>
  <c r="J12" i="3"/>
  <c r="Y9" i="4"/>
  <c r="AA9" i="4" s="1"/>
  <c r="J10" i="4"/>
  <c r="Y10" i="4" s="1"/>
  <c r="J11" i="4"/>
  <c r="Y11" i="4" s="1"/>
  <c r="AA11" i="4" s="1"/>
  <c r="J12" i="4"/>
  <c r="Y12" i="4" s="1"/>
  <c r="AA12" i="4" s="1"/>
  <c r="J9" i="5"/>
  <c r="Y9" i="5" s="1"/>
  <c r="J10" i="5"/>
  <c r="Y10" i="5" s="1"/>
  <c r="J11" i="5"/>
  <c r="Y11" i="5" s="1"/>
  <c r="AA11" i="5" s="1"/>
  <c r="J12" i="5"/>
  <c r="Y12" i="5" s="1"/>
  <c r="J9" i="6"/>
  <c r="Y9" i="6" s="1"/>
  <c r="J10" i="6"/>
  <c r="Y10" i="6" s="1"/>
  <c r="J11" i="6"/>
  <c r="Y11" i="6" s="1"/>
  <c r="J12" i="6"/>
  <c r="Y12" i="6" s="1"/>
  <c r="J9" i="7"/>
  <c r="Y9" i="7" s="1"/>
  <c r="J10" i="7"/>
  <c r="Y10" i="7" s="1"/>
  <c r="J11" i="7"/>
  <c r="Y11" i="7" s="1"/>
  <c r="J12" i="7"/>
  <c r="Y12" i="7" s="1"/>
  <c r="J9" i="8"/>
  <c r="Y9" i="8" s="1"/>
  <c r="J10" i="8"/>
  <c r="J11" i="8"/>
  <c r="Y11" i="8" s="1"/>
  <c r="J12" i="8"/>
  <c r="Y12" i="8" s="1"/>
  <c r="J9" i="9"/>
  <c r="J10" i="9"/>
  <c r="J11" i="9"/>
  <c r="J12" i="9"/>
  <c r="J9" i="10"/>
  <c r="Y9" i="10" s="1"/>
  <c r="J10" i="10"/>
  <c r="Y10" i="10" s="1"/>
  <c r="J11" i="10"/>
  <c r="J12" i="10"/>
  <c r="Y12" i="10" s="1"/>
  <c r="J9" i="11"/>
  <c r="Y9" i="11" s="1"/>
  <c r="J10" i="11"/>
  <c r="Y10" i="11" s="1"/>
  <c r="J11" i="11"/>
  <c r="Y11" i="11" s="1"/>
  <c r="J12" i="11"/>
  <c r="Y12" i="11" s="1"/>
  <c r="J9" i="12"/>
  <c r="Y9" i="12" s="1"/>
  <c r="AA9" i="12" s="1"/>
  <c r="J10" i="12"/>
  <c r="J11" i="12"/>
  <c r="Y11" i="12" s="1"/>
  <c r="J12" i="12"/>
  <c r="Y12" i="12" s="1"/>
  <c r="J9" i="13"/>
  <c r="Y9" i="13" s="1"/>
  <c r="J10" i="13"/>
  <c r="Y10" i="13" s="1"/>
  <c r="J11" i="13"/>
  <c r="Y11" i="13" s="1"/>
  <c r="J12" i="13"/>
  <c r="Y12" i="13" s="1"/>
  <c r="J9" i="14"/>
  <c r="J10" i="14"/>
  <c r="J11" i="14"/>
  <c r="J12" i="14"/>
  <c r="J9" i="15"/>
  <c r="Y9" i="15" s="1"/>
  <c r="J10" i="15"/>
  <c r="Y10" i="15" s="1"/>
  <c r="AA10" i="15" s="1"/>
  <c r="J11" i="15"/>
  <c r="Y11" i="15" s="1"/>
  <c r="J12" i="15"/>
  <c r="Y12" i="15" s="1"/>
  <c r="J9" i="16"/>
  <c r="J10" i="16"/>
  <c r="J11" i="16"/>
  <c r="J12" i="16"/>
  <c r="J9" i="17"/>
  <c r="Y9" i="17" s="1"/>
  <c r="J10" i="17"/>
  <c r="Y10" i="17" s="1"/>
  <c r="J11" i="17"/>
  <c r="Y11" i="17" s="1"/>
  <c r="J12" i="17"/>
  <c r="J9" i="18"/>
  <c r="Y9" i="18" s="1"/>
  <c r="J10" i="18"/>
  <c r="Y10" i="18" s="1"/>
  <c r="J11" i="18"/>
  <c r="Y11" i="18" s="1"/>
  <c r="AA11" i="18" s="1"/>
  <c r="J12" i="18"/>
  <c r="J9" i="19"/>
  <c r="Y9" i="19" s="1"/>
  <c r="J10" i="19"/>
  <c r="Y10" i="19" s="1"/>
  <c r="J11" i="19"/>
  <c r="Y11" i="19" s="1"/>
  <c r="J12" i="19"/>
  <c r="Y12" i="19" s="1"/>
  <c r="AA12" i="19" s="1"/>
  <c r="J9" i="20"/>
  <c r="Y9" i="20" s="1"/>
  <c r="J10" i="20"/>
  <c r="Y10" i="20" s="1"/>
  <c r="J11" i="20"/>
  <c r="Y11" i="20" s="1"/>
  <c r="J12" i="20"/>
  <c r="Y12" i="20" s="1"/>
  <c r="J9" i="21"/>
  <c r="Y9" i="21" s="1"/>
  <c r="J10" i="21"/>
  <c r="Y10" i="21" s="1"/>
  <c r="J11" i="21"/>
  <c r="Y11" i="21" s="1"/>
  <c r="J12" i="21"/>
  <c r="Y12" i="21" s="1"/>
  <c r="J9" i="22"/>
  <c r="J10" i="22"/>
  <c r="J11" i="22"/>
  <c r="J12" i="22"/>
  <c r="J9" i="23"/>
  <c r="J10" i="23"/>
  <c r="J11" i="23"/>
  <c r="J12" i="23"/>
  <c r="J9" i="24"/>
  <c r="J10" i="24"/>
  <c r="J11" i="24"/>
  <c r="J12" i="24"/>
  <c r="J9" i="25"/>
  <c r="J10" i="25"/>
  <c r="J11" i="25"/>
  <c r="J12" i="25"/>
  <c r="J9" i="26"/>
  <c r="J10" i="26"/>
  <c r="J11" i="26"/>
  <c r="J12" i="26"/>
  <c r="J9" i="27"/>
  <c r="J10" i="27"/>
  <c r="J11" i="27"/>
  <c r="J12" i="27"/>
  <c r="J9" i="28"/>
  <c r="J10" i="28"/>
  <c r="J11" i="28"/>
  <c r="J12" i="28"/>
  <c r="J9" i="29"/>
  <c r="J10" i="29"/>
  <c r="J11" i="29"/>
  <c r="J12" i="29"/>
  <c r="J9" i="30"/>
  <c r="J10" i="30"/>
  <c r="J11" i="30"/>
  <c r="J12" i="30"/>
  <c r="J9" i="31"/>
  <c r="J10" i="31"/>
  <c r="J11" i="31"/>
  <c r="J12" i="31"/>
  <c r="J9" i="1"/>
  <c r="J10" i="1"/>
  <c r="J11" i="1"/>
  <c r="J12" i="1"/>
  <c r="J8" i="2"/>
  <c r="J8" i="3"/>
  <c r="J8" i="4"/>
  <c r="Y8" i="4" s="1"/>
  <c r="J8" i="5"/>
  <c r="Y8" i="5" s="1"/>
  <c r="J8" i="6"/>
  <c r="Y8" i="6" s="1"/>
  <c r="J8" i="7"/>
  <c r="Y8" i="7" s="1"/>
  <c r="J8" i="8"/>
  <c r="J8" i="9"/>
  <c r="J8" i="10"/>
  <c r="Y8" i="10" s="1"/>
  <c r="J8" i="11"/>
  <c r="Y8" i="11" s="1"/>
  <c r="J8" i="12"/>
  <c r="Y8" i="12" s="1"/>
  <c r="J8" i="13"/>
  <c r="Y8" i="13" s="1"/>
  <c r="J8" i="14"/>
  <c r="J8" i="15"/>
  <c r="Y8" i="15" s="1"/>
  <c r="AA8" i="15" s="1"/>
  <c r="J8" i="16"/>
  <c r="J8" i="17"/>
  <c r="Y8" i="17" s="1"/>
  <c r="J8" i="18"/>
  <c r="Y8" i="18" s="1"/>
  <c r="J8" i="19"/>
  <c r="Y8" i="19" s="1"/>
  <c r="J8" i="20"/>
  <c r="Y8" i="20" s="1"/>
  <c r="J8" i="21"/>
  <c r="Y8" i="21" s="1"/>
  <c r="AA8" i="21" s="1"/>
  <c r="J8" i="22"/>
  <c r="J8" i="23"/>
  <c r="J8" i="24"/>
  <c r="J8" i="25"/>
  <c r="J8" i="26"/>
  <c r="J8" i="27"/>
  <c r="J8" i="28"/>
  <c r="J8" i="29"/>
  <c r="J8" i="30"/>
  <c r="J8" i="31"/>
  <c r="J8" i="1"/>
  <c r="AA9" i="21" l="1"/>
  <c r="AA10" i="21"/>
  <c r="Z14" i="21"/>
  <c r="Z15" i="21" s="1"/>
  <c r="AA12" i="21"/>
  <c r="AA12" i="20"/>
  <c r="AA10" i="20"/>
  <c r="AA9" i="20"/>
  <c r="Y14" i="21"/>
  <c r="Y15" i="21" s="1"/>
  <c r="AA11" i="21"/>
  <c r="AA11" i="19"/>
  <c r="AA10" i="19"/>
  <c r="Z14" i="19"/>
  <c r="Z15" i="19" s="1"/>
  <c r="AA9" i="19"/>
  <c r="AA11" i="20"/>
  <c r="Y15" i="20"/>
  <c r="Y16" i="20" s="1"/>
  <c r="AA13" i="20"/>
  <c r="Z15" i="20"/>
  <c r="Z16" i="20" s="1"/>
  <c r="AA8" i="20"/>
  <c r="AA9" i="18"/>
  <c r="Z14" i="18"/>
  <c r="Z15" i="18" s="1"/>
  <c r="AA8" i="18"/>
  <c r="Y14" i="19"/>
  <c r="Y15" i="19" s="1"/>
  <c r="AA8" i="19"/>
  <c r="AA8" i="17"/>
  <c r="AA11" i="17"/>
  <c r="Z14" i="17"/>
  <c r="Z15" i="17" s="1"/>
  <c r="AA9" i="17"/>
  <c r="AA10" i="17"/>
  <c r="Y14" i="18"/>
  <c r="Y15" i="18" s="1"/>
  <c r="AA10" i="18"/>
  <c r="Y14" i="17"/>
  <c r="Y15" i="17" s="1"/>
  <c r="AA13" i="17"/>
  <c r="AA11" i="15"/>
  <c r="Z14" i="15"/>
  <c r="Z15" i="15" s="1"/>
  <c r="AA9" i="15"/>
  <c r="Y14" i="15"/>
  <c r="Y15" i="15" s="1"/>
  <c r="AA12" i="15"/>
  <c r="AA12" i="13"/>
  <c r="AA11" i="13"/>
  <c r="AA9" i="13"/>
  <c r="AA10" i="13"/>
  <c r="Z14" i="13"/>
  <c r="Z15" i="13" s="1"/>
  <c r="AA8" i="13"/>
  <c r="AA12" i="12"/>
  <c r="AA10" i="12"/>
  <c r="AA8" i="12"/>
  <c r="Y14" i="13"/>
  <c r="Y15" i="13" s="1"/>
  <c r="AA13" i="13"/>
  <c r="AA14" i="13" s="1"/>
  <c r="AA15" i="13" s="1"/>
  <c r="Z14" i="12"/>
  <c r="Z15" i="12" s="1"/>
  <c r="AA11" i="12"/>
  <c r="AA13" i="12"/>
  <c r="AA12" i="11"/>
  <c r="AA9" i="11"/>
  <c r="Y14" i="12"/>
  <c r="Y15" i="12" s="1"/>
  <c r="AA11" i="11"/>
  <c r="Z14" i="11"/>
  <c r="Z15" i="11" s="1"/>
  <c r="AA10" i="11"/>
  <c r="AA12" i="10"/>
  <c r="AA9" i="10"/>
  <c r="Z14" i="10"/>
  <c r="Z15" i="10" s="1"/>
  <c r="AA8" i="10"/>
  <c r="Y14" i="11"/>
  <c r="Y15" i="11" s="1"/>
  <c r="AA8" i="11"/>
  <c r="AA14" i="11" s="1"/>
  <c r="AA15" i="11" s="1"/>
  <c r="AA12" i="7"/>
  <c r="AA12" i="8"/>
  <c r="Z14" i="8"/>
  <c r="Z15" i="8" s="1"/>
  <c r="AA11" i="8"/>
  <c r="AA10" i="10"/>
  <c r="Y14" i="10"/>
  <c r="Y15" i="10" s="1"/>
  <c r="AA11" i="7"/>
  <c r="Z14" i="7"/>
  <c r="Z15" i="7" s="1"/>
  <c r="AA10" i="7"/>
  <c r="AA8" i="7"/>
  <c r="Y14" i="8"/>
  <c r="Y15" i="8" s="1"/>
  <c r="AA9" i="8"/>
  <c r="AA12" i="6"/>
  <c r="AA11" i="6"/>
  <c r="AA8" i="6"/>
  <c r="Z14" i="6"/>
  <c r="Z15" i="6" s="1"/>
  <c r="AA10" i="6"/>
  <c r="AA9" i="7"/>
  <c r="Y14" i="7"/>
  <c r="Y15" i="7" s="1"/>
  <c r="AA8" i="5"/>
  <c r="AA9" i="5"/>
  <c r="AA12" i="5"/>
  <c r="Y14" i="6"/>
  <c r="Y15" i="6" s="1"/>
  <c r="AA9" i="6"/>
  <c r="Z14" i="4"/>
  <c r="Z15" i="4" s="1"/>
  <c r="AA8" i="4"/>
  <c r="Y14" i="5"/>
  <c r="Y15" i="5" s="1"/>
  <c r="Y14" i="4"/>
  <c r="Y15" i="4" s="1"/>
  <c r="AA10" i="4"/>
  <c r="Z14" i="3"/>
  <c r="Z15" i="3" s="1"/>
  <c r="AA9" i="3"/>
  <c r="AA14" i="3" s="1"/>
  <c r="AA15" i="3" s="1"/>
  <c r="Y14" i="3"/>
  <c r="Y15" i="3" s="1"/>
  <c r="Y14" i="2"/>
  <c r="Y15" i="2" s="1"/>
  <c r="AA11" i="2"/>
  <c r="AA14" i="2" s="1"/>
  <c r="AA15" i="2" s="1"/>
  <c r="AA10" i="5"/>
  <c r="Z14" i="5"/>
  <c r="Z15" i="5" s="1"/>
  <c r="Z14" i="1"/>
  <c r="Z15" i="1" s="1"/>
  <c r="AA14" i="1"/>
  <c r="AA15" i="1" s="1"/>
  <c r="J14" i="25"/>
  <c r="J15" i="25" s="1"/>
  <c r="C15" i="25"/>
  <c r="J14" i="29"/>
  <c r="J15" i="29" s="1"/>
  <c r="C15" i="29"/>
  <c r="J14" i="17"/>
  <c r="J15" i="17" s="1"/>
  <c r="C15" i="17"/>
  <c r="J14" i="26"/>
  <c r="J15" i="26" s="1"/>
  <c r="F15" i="26"/>
  <c r="J14" i="22"/>
  <c r="J15" i="22" s="1"/>
  <c r="F15" i="22"/>
  <c r="J14" i="14"/>
  <c r="J15" i="14" s="1"/>
  <c r="F15" i="14"/>
  <c r="J14" i="6"/>
  <c r="J15" i="6" s="1"/>
  <c r="F15" i="6"/>
  <c r="J14" i="31"/>
  <c r="J15" i="31" s="1"/>
  <c r="J14" i="27"/>
  <c r="J15" i="27" s="1"/>
  <c r="J14" i="23"/>
  <c r="J15" i="23" s="1"/>
  <c r="J14" i="19"/>
  <c r="J15" i="19" s="1"/>
  <c r="J14" i="15"/>
  <c r="J15" i="15" s="1"/>
  <c r="J14" i="11"/>
  <c r="J15" i="11" s="1"/>
  <c r="J14" i="7"/>
  <c r="J15" i="7" s="1"/>
  <c r="J14" i="3"/>
  <c r="J15" i="3" s="1"/>
  <c r="C15" i="27"/>
  <c r="C15" i="11"/>
  <c r="C15" i="31"/>
  <c r="C15" i="15"/>
  <c r="J14" i="28"/>
  <c r="J15" i="28" s="1"/>
  <c r="J14" i="24"/>
  <c r="J15" i="24" s="1"/>
  <c r="J15" i="20"/>
  <c r="J16" i="20" s="1"/>
  <c r="J14" i="16"/>
  <c r="J15" i="16" s="1"/>
  <c r="J14" i="12"/>
  <c r="J15" i="12" s="1"/>
  <c r="J14" i="8"/>
  <c r="J15" i="8" s="1"/>
  <c r="J14" i="4"/>
  <c r="J15" i="4" s="1"/>
  <c r="V14" i="26"/>
  <c r="V15" i="26" s="1"/>
  <c r="V14" i="22"/>
  <c r="V15" i="22" s="1"/>
  <c r="V14" i="18"/>
  <c r="V15" i="18" s="1"/>
  <c r="V14" i="14"/>
  <c r="V15" i="14" s="1"/>
  <c r="V14" i="10"/>
  <c r="V15" i="10" s="1"/>
  <c r="V14" i="4"/>
  <c r="V15" i="4" s="1"/>
  <c r="V14" i="3"/>
  <c r="V15" i="3" s="1"/>
  <c r="V14" i="2"/>
  <c r="V15" i="2" s="1"/>
  <c r="V14" i="5"/>
  <c r="V15" i="5" s="1"/>
  <c r="V14" i="29"/>
  <c r="V15" i="29" s="1"/>
  <c r="V14" i="25"/>
  <c r="V15" i="25" s="1"/>
  <c r="V14" i="21"/>
  <c r="V15" i="21" s="1"/>
  <c r="V14" i="17"/>
  <c r="V15" i="17" s="1"/>
  <c r="V14" i="13"/>
  <c r="V15" i="13" s="1"/>
  <c r="V14" i="9"/>
  <c r="V15" i="9" s="1"/>
  <c r="V14" i="7"/>
  <c r="V15" i="7" s="1"/>
  <c r="V14" i="6"/>
  <c r="V15" i="6" s="1"/>
  <c r="V14" i="31"/>
  <c r="V15" i="31" s="1"/>
  <c r="V14" i="1"/>
  <c r="V15" i="1" s="1"/>
  <c r="V14" i="30"/>
  <c r="V15" i="30" s="1"/>
  <c r="V14" i="27"/>
  <c r="V15" i="27" s="1"/>
  <c r="V14" i="23"/>
  <c r="V15" i="23" s="1"/>
  <c r="V14" i="19"/>
  <c r="V15" i="19" s="1"/>
  <c r="V14" i="15"/>
  <c r="V15" i="15" s="1"/>
  <c r="V14" i="11"/>
  <c r="V15" i="11" s="1"/>
  <c r="O15" i="6"/>
  <c r="O15" i="2"/>
  <c r="O15" i="29"/>
  <c r="V14" i="28"/>
  <c r="V15" i="28" s="1"/>
  <c r="O15" i="25"/>
  <c r="V14" i="24"/>
  <c r="V15" i="24" s="1"/>
  <c r="O15" i="21"/>
  <c r="O15" i="17"/>
  <c r="V14" i="16"/>
  <c r="V15" i="16" s="1"/>
  <c r="O15" i="13"/>
  <c r="V14" i="12"/>
  <c r="V15" i="12" s="1"/>
  <c r="O15" i="9"/>
  <c r="V14" i="8"/>
  <c r="V15" i="8" s="1"/>
  <c r="O15" i="5"/>
  <c r="J14" i="30"/>
  <c r="J15" i="30" s="1"/>
  <c r="J14" i="18"/>
  <c r="J15" i="18" s="1"/>
  <c r="J14" i="10"/>
  <c r="J15" i="10" s="1"/>
  <c r="J14" i="2"/>
  <c r="J15" i="2" s="1"/>
  <c r="J14" i="21"/>
  <c r="J15" i="21" s="1"/>
  <c r="J14" i="13"/>
  <c r="J15" i="13" s="1"/>
  <c r="J14" i="9"/>
  <c r="J15" i="9" s="1"/>
  <c r="J14" i="5"/>
  <c r="J15" i="5" s="1"/>
  <c r="AA14" i="21" l="1"/>
  <c r="AA15" i="21" s="1"/>
  <c r="AA14" i="19"/>
  <c r="AA15" i="19" s="1"/>
  <c r="AA15" i="20"/>
  <c r="AA16" i="20" s="1"/>
  <c r="AA14" i="18"/>
  <c r="AA15" i="18" s="1"/>
  <c r="AA14" i="17"/>
  <c r="AA15" i="17" s="1"/>
  <c r="AA14" i="15"/>
  <c r="AA15" i="15" s="1"/>
  <c r="AA14" i="12"/>
  <c r="AA15" i="12" s="1"/>
  <c r="AA14" i="10"/>
  <c r="AA15" i="10" s="1"/>
  <c r="AA14" i="8"/>
  <c r="AA15" i="8" s="1"/>
  <c r="AA14" i="7"/>
  <c r="AA15" i="7" s="1"/>
  <c r="AA14" i="6"/>
  <c r="AA15" i="6" s="1"/>
  <c r="AA14" i="5"/>
  <c r="AA15" i="5" s="1"/>
  <c r="AA14" i="4"/>
  <c r="AA15" i="4" s="1"/>
  <c r="T16" i="20"/>
  <c r="S16" i="20"/>
  <c r="R16" i="20"/>
  <c r="U16" i="20"/>
  <c r="P16" i="20"/>
  <c r="V15" i="20"/>
  <c r="V16" i="20" s="1"/>
  <c r="Q16" i="20"/>
</calcChain>
</file>

<file path=xl/sharedStrings.xml><?xml version="1.0" encoding="utf-8"?>
<sst xmlns="http://schemas.openxmlformats.org/spreadsheetml/2006/main" count="1352" uniqueCount="44">
  <si>
    <t>Booking</t>
  </si>
  <si>
    <t>Execution</t>
  </si>
  <si>
    <t>60gm</t>
  </si>
  <si>
    <t>70 Gmm</t>
  </si>
  <si>
    <t>120Gm</t>
  </si>
  <si>
    <t>Name</t>
  </si>
  <si>
    <t xml:space="preserve">CHK  </t>
  </si>
  <si>
    <t>Meat</t>
  </si>
  <si>
    <t>LEM</t>
  </si>
  <si>
    <t>CHK</t>
  </si>
  <si>
    <t xml:space="preserve">LEM </t>
  </si>
  <si>
    <t>Ctns</t>
  </si>
  <si>
    <t>Shops</t>
  </si>
  <si>
    <t xml:space="preserve">Zeshan </t>
  </si>
  <si>
    <t xml:space="preserve">Salman </t>
  </si>
  <si>
    <t>Salman</t>
  </si>
  <si>
    <t>Umair</t>
  </si>
  <si>
    <t xml:space="preserve">Shakoor </t>
  </si>
  <si>
    <t>Shakoor</t>
  </si>
  <si>
    <t>SKU Wise</t>
  </si>
  <si>
    <t>Vacant</t>
  </si>
  <si>
    <t>Diffrence</t>
  </si>
  <si>
    <t xml:space="preserve">Execution </t>
  </si>
  <si>
    <t>Return</t>
  </si>
  <si>
    <t>Jabbar</t>
  </si>
  <si>
    <t>A1</t>
  </si>
  <si>
    <t>A2</t>
  </si>
  <si>
    <t>A3</t>
  </si>
  <si>
    <t>A4</t>
  </si>
  <si>
    <t>A5</t>
  </si>
  <si>
    <t>A6</t>
  </si>
  <si>
    <t xml:space="preserve">Sunday </t>
  </si>
  <si>
    <t>Negotiate</t>
  </si>
  <si>
    <t>Sohail SD</t>
  </si>
  <si>
    <t xml:space="preserve">Jabran </t>
  </si>
  <si>
    <t>Shahid SB</t>
  </si>
  <si>
    <t>Jabran</t>
  </si>
  <si>
    <t>Jabran Iqbal</t>
  </si>
  <si>
    <t xml:space="preserve">Jabran Iqbal </t>
  </si>
  <si>
    <t>Furqan</t>
  </si>
  <si>
    <t>Jabar</t>
  </si>
  <si>
    <t xml:space="preserve">Hasan </t>
  </si>
  <si>
    <t xml:space="preserve">Jabbar </t>
  </si>
  <si>
    <t xml:space="preserve">Furqan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</si>
</sst>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36"/>
      <color theme="1"/>
      <name val="Arial Black"/>
      <family val="2"/>
    </font>
    <font>
      <b/>
      <sz val="8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0" fontId="2" fillId="0" borderId="2" xfId="0" applyFont="1" applyBorder="1"/>
    <xf numFmtId="0" fontId="4" fillId="0" borderId="3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4" fillId="0" borderId="0" xfId="0" applyNumberFormat="1" applyFont="1"/>
    <xf numFmtId="0" fontId="0" fillId="0" borderId="6" xfId="0" applyBorder="1"/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7" xfId="0" applyBorder="1"/>
    <xf numFmtId="0" fontId="4" fillId="0" borderId="6" xfId="0" applyFont="1" applyBorder="1" applyAlignment="1">
      <alignment horizontal="center"/>
    </xf>
    <xf numFmtId="0" fontId="6" fillId="0" borderId="8" xfId="0" applyFont="1" applyBorder="1"/>
    <xf numFmtId="0" fontId="4" fillId="0" borderId="9" xfId="0" applyFont="1" applyBorder="1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0" fillId="0" borderId="10" xfId="0" applyBorder="1"/>
    <xf numFmtId="0" fontId="2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0" xfId="0" applyFont="1"/>
    <xf numFmtId="0" fontId="6" fillId="0" borderId="0" xfId="0" applyFont="1"/>
    <xf numFmtId="0" fontId="6" fillId="0" borderId="6" xfId="0" applyFont="1" applyBorder="1" applyAlignment="1">
      <alignment horizontal="center"/>
    </xf>
    <xf numFmtId="0" fontId="1" fillId="0" borderId="7" xfId="0" applyFont="1" applyBorder="1"/>
    <xf numFmtId="0" fontId="5" fillId="0" borderId="0" xfId="0" applyFont="1"/>
    <xf numFmtId="0" fontId="5" fillId="0" borderId="7" xfId="0" applyFont="1" applyBorder="1"/>
    <xf numFmtId="0" fontId="0" fillId="0" borderId="2" xfId="0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0" fontId="11" fillId="0" borderId="0" xfId="0" applyFont="1"/>
    <xf numFmtId="0" fontId="11" fillId="0" borderId="2" xfId="0" applyFont="1" applyBorder="1"/>
    <xf numFmtId="0" fontId="12" fillId="0" borderId="3" xfId="0" applyFont="1" applyBorder="1" applyAlignment="1">
      <alignment horizontal="center"/>
    </xf>
    <xf numFmtId="0" fontId="11" fillId="0" borderId="3" xfId="0" applyFont="1" applyBorder="1"/>
    <xf numFmtId="0" fontId="11" fillId="0" borderId="4" xfId="0" applyFont="1" applyBorder="1"/>
    <xf numFmtId="0" fontId="12" fillId="0" borderId="0" xfId="0" applyFont="1"/>
    <xf numFmtId="0" fontId="12" fillId="0" borderId="5" xfId="0" applyFont="1" applyBorder="1"/>
    <xf numFmtId="0" fontId="12" fillId="0" borderId="6" xfId="0" applyFont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" fontId="12" fillId="0" borderId="0" xfId="0" applyNumberFormat="1" applyFont="1"/>
    <xf numFmtId="0" fontId="11" fillId="0" borderId="6" xfId="0" applyFont="1" applyBorder="1"/>
    <xf numFmtId="0" fontId="12" fillId="0" borderId="0" xfId="0" applyFont="1" applyAlignment="1">
      <alignment horizontal="left"/>
    </xf>
    <xf numFmtId="0" fontId="12" fillId="0" borderId="5" xfId="0" applyFont="1" applyBorder="1" applyAlignment="1">
      <alignment horizontal="left"/>
    </xf>
    <xf numFmtId="0" fontId="11" fillId="0" borderId="7" xfId="0" applyFont="1" applyBorder="1"/>
    <xf numFmtId="0" fontId="13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/>
    <xf numFmtId="0" fontId="14" fillId="0" borderId="8" xfId="0" applyFont="1" applyBorder="1"/>
    <xf numFmtId="0" fontId="12" fillId="0" borderId="9" xfId="0" applyFont="1" applyBorder="1" applyAlignment="1">
      <alignment horizontal="center"/>
    </xf>
    <xf numFmtId="0" fontId="14" fillId="4" borderId="9" xfId="0" applyFont="1" applyFill="1" applyBorder="1" applyAlignment="1">
      <alignment horizontal="center" vertical="center"/>
    </xf>
    <xf numFmtId="0" fontId="11" fillId="0" borderId="10" xfId="0" applyFont="1" applyBorder="1"/>
    <xf numFmtId="2" fontId="5" fillId="4" borderId="9" xfId="0" applyNumberFormat="1" applyFont="1" applyFill="1" applyBorder="1" applyAlignment="1">
      <alignment horizontal="center" vertical="center"/>
    </xf>
    <xf numFmtId="0" fontId="0" fillId="6" borderId="6" xfId="0" applyFill="1" applyBorder="1"/>
    <xf numFmtId="0" fontId="0" fillId="5" borderId="6" xfId="0" applyFill="1" applyBorder="1"/>
    <xf numFmtId="0" fontId="15" fillId="0" borderId="6" xfId="0" applyFont="1" applyBorder="1" applyAlignment="1">
      <alignment horizontal="center"/>
    </xf>
    <xf numFmtId="0" fontId="1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7967-E2EB-4CA7-BAB0-3E7FDF23CB2C}">
  <dimension ref="A1:AA15"/>
  <sheetViews>
    <sheetView workbookViewId="0">
      <selection activeCell="L14" sqref="L14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8.81640625" bestFit="1" customWidth="1"/>
  </cols>
  <sheetData>
    <row r="1" spans="1:27" x14ac:dyDescent="0.35">
      <c r="A1" s="6" t="s">
        <v>25</v>
      </c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77" t="s">
        <v>21</v>
      </c>
      <c r="Z3" s="77"/>
      <c r="AA3" s="77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77"/>
      <c r="Z4" s="77"/>
      <c r="AA4" s="77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132</v>
      </c>
      <c r="D8" s="11">
        <v>12</v>
      </c>
      <c r="E8" s="11">
        <v>12</v>
      </c>
      <c r="F8" s="11">
        <v>0</v>
      </c>
      <c r="G8" s="11">
        <v>70</v>
      </c>
      <c r="H8" s="11">
        <v>80</v>
      </c>
      <c r="I8" s="11">
        <v>90</v>
      </c>
      <c r="J8" s="15">
        <f>SUM(C8:I8)/40</f>
        <v>9.9</v>
      </c>
      <c r="K8" s="12">
        <v>8</v>
      </c>
      <c r="L8" s="13"/>
      <c r="M8" s="14"/>
      <c r="N8" s="7" t="s">
        <v>13</v>
      </c>
      <c r="O8" s="11">
        <v>40</v>
      </c>
      <c r="P8" s="11"/>
      <c r="Q8" s="11"/>
      <c r="R8" s="11"/>
      <c r="S8" s="11">
        <v>40</v>
      </c>
      <c r="T8" s="11">
        <v>80</v>
      </c>
      <c r="U8" s="11">
        <v>40</v>
      </c>
      <c r="V8" s="15">
        <f>SUM(O8:U8)/40</f>
        <v>5</v>
      </c>
      <c r="W8" s="12">
        <v>2</v>
      </c>
      <c r="Y8" s="39">
        <f>J8</f>
        <v>9.9</v>
      </c>
      <c r="Z8" s="40">
        <f>V8</f>
        <v>5</v>
      </c>
      <c r="AA8" s="41">
        <f>Y8-Z8</f>
        <v>4.9000000000000004</v>
      </c>
    </row>
    <row r="9" spans="1:27" x14ac:dyDescent="0.35">
      <c r="A9" s="14"/>
      <c r="B9" s="7" t="s">
        <v>14</v>
      </c>
      <c r="C9" s="11">
        <v>152</v>
      </c>
      <c r="D9" s="11">
        <v>45</v>
      </c>
      <c r="E9" s="11">
        <v>30</v>
      </c>
      <c r="F9" s="11">
        <v>0</v>
      </c>
      <c r="G9" s="11">
        <v>67</v>
      </c>
      <c r="H9" s="11">
        <v>53</v>
      </c>
      <c r="I9" s="11">
        <v>55</v>
      </c>
      <c r="J9" s="15">
        <f t="shared" ref="J9:J12" si="0">SUM(C9:I9)/40</f>
        <v>10.050000000000001</v>
      </c>
      <c r="K9" s="12">
        <v>7</v>
      </c>
      <c r="L9" s="13"/>
      <c r="M9" s="14"/>
      <c r="N9" s="7" t="s">
        <v>15</v>
      </c>
      <c r="O9" s="11">
        <v>132</v>
      </c>
      <c r="P9" s="11">
        <v>35</v>
      </c>
      <c r="Q9" s="11">
        <v>20</v>
      </c>
      <c r="R9" s="11">
        <v>0</v>
      </c>
      <c r="S9" s="11">
        <v>64</v>
      </c>
      <c r="T9" s="11">
        <v>53</v>
      </c>
      <c r="U9" s="11">
        <v>55</v>
      </c>
      <c r="V9" s="15">
        <f t="shared" ref="V9:V12" si="1">SUM(O9:U9)/40</f>
        <v>8.9749999999999996</v>
      </c>
      <c r="W9" s="12">
        <v>6</v>
      </c>
      <c r="Y9" s="39">
        <f t="shared" ref="Y9:Y13" si="2">J9</f>
        <v>10.050000000000001</v>
      </c>
      <c r="Z9" s="40">
        <f t="shared" ref="Z9:Z13" si="3">V9</f>
        <v>8.9749999999999996</v>
      </c>
      <c r="AA9" s="41">
        <f t="shared" ref="AA9:AA13" si="4">Y9-Z9</f>
        <v>1.0750000000000011</v>
      </c>
    </row>
    <row r="10" spans="1:27" x14ac:dyDescent="0.35">
      <c r="A10" s="14"/>
      <c r="B10" s="7" t="s">
        <v>16</v>
      </c>
      <c r="C10" s="11">
        <v>100</v>
      </c>
      <c r="D10" s="11">
        <v>40</v>
      </c>
      <c r="E10" s="11">
        <v>20</v>
      </c>
      <c r="F10" s="11">
        <v>0</v>
      </c>
      <c r="G10" s="11">
        <v>164</v>
      </c>
      <c r="H10" s="11">
        <v>164</v>
      </c>
      <c r="I10" s="11">
        <v>144</v>
      </c>
      <c r="J10" s="15">
        <f t="shared" si="0"/>
        <v>15.8</v>
      </c>
      <c r="K10" s="12">
        <v>8</v>
      </c>
      <c r="L10" s="13"/>
      <c r="M10" s="14"/>
      <c r="N10" s="7" t="s">
        <v>16</v>
      </c>
      <c r="O10" s="11">
        <v>80</v>
      </c>
      <c r="P10" s="11">
        <v>40</v>
      </c>
      <c r="Q10" s="11">
        <v>20</v>
      </c>
      <c r="R10" s="11">
        <v>0</v>
      </c>
      <c r="S10" s="11">
        <v>124</v>
      </c>
      <c r="T10" s="11">
        <v>124</v>
      </c>
      <c r="U10" s="11">
        <v>92</v>
      </c>
      <c r="V10" s="15">
        <f t="shared" si="1"/>
        <v>12</v>
      </c>
      <c r="W10" s="12">
        <v>5</v>
      </c>
      <c r="Y10" s="39">
        <f t="shared" si="2"/>
        <v>15.8</v>
      </c>
      <c r="Z10" s="40">
        <f t="shared" si="3"/>
        <v>12</v>
      </c>
      <c r="AA10" s="41">
        <f t="shared" si="4"/>
        <v>3.8000000000000007</v>
      </c>
    </row>
    <row r="11" spans="1:27" x14ac:dyDescent="0.35">
      <c r="A11" s="16"/>
      <c r="B11" s="17" t="s">
        <v>17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18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20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20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4">
        <f t="shared" ref="C14:I14" si="5">SUM(C8:C13)</f>
        <v>384</v>
      </c>
      <c r="D14" s="24">
        <f t="shared" si="5"/>
        <v>97</v>
      </c>
      <c r="E14" s="24">
        <f t="shared" si="5"/>
        <v>62</v>
      </c>
      <c r="F14" s="24">
        <f t="shared" si="5"/>
        <v>0</v>
      </c>
      <c r="G14" s="24">
        <f t="shared" si="5"/>
        <v>301</v>
      </c>
      <c r="H14" s="24">
        <f t="shared" si="5"/>
        <v>297</v>
      </c>
      <c r="I14" s="24">
        <f t="shared" si="5"/>
        <v>289</v>
      </c>
      <c r="J14" s="19">
        <f>SUM(C14:I14)</f>
        <v>1430</v>
      </c>
      <c r="K14" s="29"/>
      <c r="M14" s="1"/>
      <c r="N14" s="7"/>
      <c r="O14" s="24">
        <f t="shared" ref="O14:U14" si="6">SUM(O8:O13)</f>
        <v>252</v>
      </c>
      <c r="P14" s="24">
        <f t="shared" si="6"/>
        <v>75</v>
      </c>
      <c r="Q14" s="24">
        <f t="shared" si="6"/>
        <v>40</v>
      </c>
      <c r="R14" s="24">
        <f t="shared" si="6"/>
        <v>0</v>
      </c>
      <c r="S14" s="24">
        <f t="shared" si="6"/>
        <v>228</v>
      </c>
      <c r="T14" s="24">
        <f t="shared" si="6"/>
        <v>257</v>
      </c>
      <c r="U14" s="24">
        <f t="shared" si="6"/>
        <v>187</v>
      </c>
      <c r="V14" s="19">
        <f>SUM(O14:U14)</f>
        <v>1039</v>
      </c>
      <c r="W14" s="29"/>
      <c r="Y14" s="34">
        <f>SUM(Y8:Y13)</f>
        <v>35.75</v>
      </c>
      <c r="Z14" s="35">
        <f>SUM(Z8:Z13)</f>
        <v>25.975000000000001</v>
      </c>
      <c r="AA14" s="45">
        <f>SUM(AA8:AA13)</f>
        <v>9.7750000000000021</v>
      </c>
    </row>
    <row r="15" spans="1:27" ht="15" thickBot="1" x14ac:dyDescent="0.4">
      <c r="A15" s="1"/>
      <c r="B15" s="20" t="s">
        <v>19</v>
      </c>
      <c r="C15" s="21">
        <f t="shared" ref="C15:J15" si="7">C14/40</f>
        <v>9.6</v>
      </c>
      <c r="D15" s="21">
        <f t="shared" si="7"/>
        <v>2.4249999999999998</v>
      </c>
      <c r="E15" s="21">
        <f t="shared" si="7"/>
        <v>1.55</v>
      </c>
      <c r="F15" s="21">
        <f t="shared" si="7"/>
        <v>0</v>
      </c>
      <c r="G15" s="21">
        <f t="shared" si="7"/>
        <v>7.5250000000000004</v>
      </c>
      <c r="H15" s="21">
        <f t="shared" si="7"/>
        <v>7.4249999999999998</v>
      </c>
      <c r="I15" s="21">
        <f t="shared" si="7"/>
        <v>7.2249999999999996</v>
      </c>
      <c r="J15" s="22">
        <f t="shared" si="7"/>
        <v>35.75</v>
      </c>
      <c r="K15" s="23"/>
      <c r="M15" s="1"/>
      <c r="N15" s="20" t="s">
        <v>19</v>
      </c>
      <c r="O15" s="21">
        <f t="shared" ref="O15:V15" si="8">O14/40</f>
        <v>6.3</v>
      </c>
      <c r="P15" s="21">
        <f t="shared" si="8"/>
        <v>1.875</v>
      </c>
      <c r="Q15" s="21">
        <f t="shared" si="8"/>
        <v>1</v>
      </c>
      <c r="R15" s="21">
        <f t="shared" si="8"/>
        <v>0</v>
      </c>
      <c r="S15" s="21">
        <f t="shared" si="8"/>
        <v>5.7</v>
      </c>
      <c r="T15" s="21">
        <f t="shared" si="8"/>
        <v>6.4249999999999998</v>
      </c>
      <c r="U15" s="21">
        <f t="shared" si="8"/>
        <v>4.6749999999999998</v>
      </c>
      <c r="V15" s="22">
        <f t="shared" si="8"/>
        <v>25.975000000000001</v>
      </c>
      <c r="W15" s="23"/>
      <c r="Y15" s="42">
        <f>Y14/40</f>
        <v>0.89375000000000004</v>
      </c>
      <c r="Z15" s="43">
        <f>Z14/40</f>
        <v>0.64937500000000004</v>
      </c>
      <c r="AA15" s="44">
        <f>AA14/40</f>
        <v>0.24437500000000006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4D50-A789-4515-ABA1-71936FBC5F42}">
  <dimension ref="A1:AA15"/>
  <sheetViews>
    <sheetView workbookViewId="0">
      <selection activeCell="M10" sqref="M10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6" t="s">
        <v>26</v>
      </c>
      <c r="B1" s="1"/>
      <c r="C1" s="1"/>
      <c r="D1" s="1"/>
      <c r="E1" s="1"/>
      <c r="F1" s="1"/>
      <c r="G1" s="1"/>
      <c r="H1" s="1"/>
      <c r="I1" s="1"/>
      <c r="L1" s="81" t="s">
        <v>31</v>
      </c>
      <c r="M1" s="8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46"/>
      <c r="D8" s="46"/>
      <c r="E8" s="46"/>
      <c r="F8" s="46"/>
      <c r="G8" s="46"/>
      <c r="H8" s="46"/>
      <c r="I8" s="46"/>
      <c r="J8" s="15">
        <f>SUM(C8:I8)/40</f>
        <v>0</v>
      </c>
      <c r="K8" s="12"/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9">
        <f>J8</f>
        <v>0</v>
      </c>
      <c r="Z8" s="40">
        <f>V8</f>
        <v>0</v>
      </c>
      <c r="AA8" s="41">
        <f>Y8-Z8</f>
        <v>0</v>
      </c>
    </row>
    <row r="9" spans="1:27" x14ac:dyDescent="0.35">
      <c r="A9" s="14"/>
      <c r="B9" s="7" t="s">
        <v>14</v>
      </c>
      <c r="C9" s="46"/>
      <c r="D9" s="46"/>
      <c r="E9" s="46"/>
      <c r="F9" s="46"/>
      <c r="G9" s="46"/>
      <c r="H9" s="46"/>
      <c r="I9" s="46"/>
      <c r="J9" s="15">
        <f t="shared" ref="J9:J12" si="0">SUM(C9:I9)/40</f>
        <v>0</v>
      </c>
      <c r="K9" s="12"/>
      <c r="L9" s="13"/>
      <c r="M9" s="14"/>
      <c r="N9" s="7" t="s">
        <v>15</v>
      </c>
      <c r="O9" s="11"/>
      <c r="P9" s="11"/>
      <c r="Q9" s="11"/>
      <c r="R9" s="11"/>
      <c r="S9" s="11"/>
      <c r="T9" s="11"/>
      <c r="U9" s="11"/>
      <c r="V9" s="15">
        <f t="shared" ref="V9:V12" si="1">SUM(O9:U9)/40</f>
        <v>0</v>
      </c>
      <c r="W9" s="12"/>
      <c r="Y9" s="39">
        <f t="shared" ref="Y9:Y13" si="2">J9</f>
        <v>0</v>
      </c>
      <c r="Z9" s="40">
        <f t="shared" ref="Z9:Z13" si="3">V9</f>
        <v>0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46"/>
      <c r="D10" s="46"/>
      <c r="E10" s="46"/>
      <c r="F10" s="46"/>
      <c r="G10" s="46"/>
      <c r="H10" s="46"/>
      <c r="I10" s="46"/>
      <c r="J10" s="15">
        <f t="shared" si="0"/>
        <v>0</v>
      </c>
      <c r="K10" s="12"/>
      <c r="L10" s="13"/>
      <c r="M10" s="14"/>
      <c r="N10" s="7" t="s">
        <v>16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17</v>
      </c>
      <c r="C11" s="46"/>
      <c r="D11" s="46"/>
      <c r="E11" s="46"/>
      <c r="F11" s="46"/>
      <c r="G11" s="46"/>
      <c r="H11" s="46"/>
      <c r="I11" s="46"/>
      <c r="J11" s="15">
        <f t="shared" si="0"/>
        <v>0</v>
      </c>
      <c r="K11" s="12"/>
      <c r="L11" s="13"/>
      <c r="M11" s="16"/>
      <c r="N11" s="17" t="s">
        <v>18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20</v>
      </c>
      <c r="C12" s="46"/>
      <c r="D12" s="46"/>
      <c r="E12" s="46"/>
      <c r="F12" s="46"/>
      <c r="G12" s="46"/>
      <c r="H12" s="46"/>
      <c r="I12" s="46"/>
      <c r="J12" s="15">
        <f t="shared" si="0"/>
        <v>0</v>
      </c>
      <c r="K12" s="12"/>
      <c r="L12" s="13"/>
      <c r="M12" s="16"/>
      <c r="N12" s="17" t="s">
        <v>20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0</v>
      </c>
      <c r="D14" s="25">
        <f t="shared" si="5"/>
        <v>0</v>
      </c>
      <c r="E14" s="25">
        <f t="shared" si="5"/>
        <v>0</v>
      </c>
      <c r="F14" s="25">
        <f t="shared" si="5"/>
        <v>0</v>
      </c>
      <c r="G14" s="25">
        <f t="shared" si="5"/>
        <v>0</v>
      </c>
      <c r="H14" s="25">
        <f t="shared" si="5"/>
        <v>0</v>
      </c>
      <c r="I14" s="25">
        <f t="shared" si="5"/>
        <v>0</v>
      </c>
      <c r="J14" s="28">
        <f>SUM(C14:I14)</f>
        <v>0</v>
      </c>
      <c r="K14" s="31"/>
      <c r="M14" s="1"/>
      <c r="N14" s="7"/>
      <c r="O14" s="25">
        <f t="shared" ref="O14:U14" si="6">SUM(O8:O13)</f>
        <v>0</v>
      </c>
      <c r="P14" s="25">
        <f t="shared" si="6"/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</v>
      </c>
      <c r="U14" s="25">
        <f t="shared" si="6"/>
        <v>0</v>
      </c>
      <c r="V14" s="28">
        <f>SUM(O14:U14)</f>
        <v>0</v>
      </c>
      <c r="W14" s="31"/>
      <c r="Y14" s="36">
        <f>SUM(Y8:Y13)</f>
        <v>0</v>
      </c>
      <c r="Z14" s="37">
        <f>SUM(Z8:Z13)</f>
        <v>0</v>
      </c>
      <c r="AA14" s="38">
        <f>SUM(AA8:AA13)</f>
        <v>0</v>
      </c>
    </row>
    <row r="15" spans="1:27" ht="15" thickBot="1" x14ac:dyDescent="0.4">
      <c r="A15" s="1"/>
      <c r="B15" s="20" t="s">
        <v>19</v>
      </c>
      <c r="C15" s="21">
        <f t="shared" ref="C15:J15" si="7">C14/40</f>
        <v>0</v>
      </c>
      <c r="D15" s="21">
        <f t="shared" si="7"/>
        <v>0</v>
      </c>
      <c r="E15" s="21">
        <f t="shared" si="7"/>
        <v>0</v>
      </c>
      <c r="F15" s="21">
        <f t="shared" si="7"/>
        <v>0</v>
      </c>
      <c r="G15" s="21">
        <f t="shared" si="7"/>
        <v>0</v>
      </c>
      <c r="H15" s="21">
        <f t="shared" si="7"/>
        <v>0</v>
      </c>
      <c r="I15" s="21">
        <f t="shared" si="7"/>
        <v>0</v>
      </c>
      <c r="J15" s="22">
        <f t="shared" si="7"/>
        <v>0</v>
      </c>
      <c r="K15" s="23"/>
      <c r="M15" s="1"/>
      <c r="N15" s="20" t="s">
        <v>19</v>
      </c>
      <c r="O15" s="21">
        <f t="shared" ref="O15:V15" si="8">O14/40</f>
        <v>0</v>
      </c>
      <c r="P15" s="21">
        <f t="shared" si="8"/>
        <v>0</v>
      </c>
      <c r="Q15" s="21">
        <f t="shared" si="8"/>
        <v>0</v>
      </c>
      <c r="R15" s="21">
        <f t="shared" si="8"/>
        <v>0</v>
      </c>
      <c r="S15" s="21">
        <f t="shared" si="8"/>
        <v>0</v>
      </c>
      <c r="T15" s="21">
        <f t="shared" si="8"/>
        <v>0</v>
      </c>
      <c r="U15" s="21">
        <f t="shared" si="8"/>
        <v>0</v>
      </c>
      <c r="V15" s="22">
        <f t="shared" si="8"/>
        <v>0</v>
      </c>
      <c r="W15" s="23"/>
      <c r="Y15" s="42">
        <f>Y14/40</f>
        <v>0</v>
      </c>
      <c r="Z15" s="43">
        <f>Z14/40</f>
        <v>0</v>
      </c>
      <c r="AA15" s="44">
        <f>AA14/40</f>
        <v>0</v>
      </c>
    </row>
  </sheetData>
  <mergeCells count="8">
    <mergeCell ref="L1:M1"/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E74C-C447-4A90-B62E-14FECF9BB5AD}">
  <dimension ref="A1:AA15"/>
  <sheetViews>
    <sheetView workbookViewId="0">
      <selection activeCell="T18" sqref="T18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6" t="s">
        <v>27</v>
      </c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150</v>
      </c>
      <c r="D8" s="11">
        <v>70</v>
      </c>
      <c r="E8" s="11">
        <v>90</v>
      </c>
      <c r="F8" s="11"/>
      <c r="G8" s="11">
        <v>120</v>
      </c>
      <c r="H8" s="11">
        <v>150</v>
      </c>
      <c r="I8" s="11">
        <v>100</v>
      </c>
      <c r="J8" s="15">
        <f>SUM(C8:I8)/40</f>
        <v>17</v>
      </c>
      <c r="K8" s="12">
        <v>17</v>
      </c>
      <c r="L8" s="13"/>
      <c r="M8" s="14"/>
      <c r="N8" s="7" t="s">
        <v>13</v>
      </c>
      <c r="O8" s="11">
        <v>120</v>
      </c>
      <c r="P8" s="11">
        <v>80</v>
      </c>
      <c r="Q8" s="11">
        <v>73</v>
      </c>
      <c r="R8" s="11">
        <v>0</v>
      </c>
      <c r="S8" s="11">
        <v>110</v>
      </c>
      <c r="T8" s="11">
        <v>110</v>
      </c>
      <c r="U8" s="11">
        <v>160</v>
      </c>
      <c r="V8" s="15">
        <f>SUM(O8:U8)/40</f>
        <v>16.324999999999999</v>
      </c>
      <c r="W8" s="12">
        <v>12</v>
      </c>
      <c r="Y8" s="39">
        <f>J8</f>
        <v>17</v>
      </c>
      <c r="Z8" s="40">
        <f>V8</f>
        <v>16.324999999999999</v>
      </c>
      <c r="AA8" s="41">
        <f>Y8-Z8</f>
        <v>0.67500000000000071</v>
      </c>
    </row>
    <row r="9" spans="1:27" x14ac:dyDescent="0.35">
      <c r="A9" s="14"/>
      <c r="B9" s="7" t="s">
        <v>14</v>
      </c>
      <c r="C9" s="11">
        <v>135</v>
      </c>
      <c r="D9" s="11">
        <v>64</v>
      </c>
      <c r="E9" s="11">
        <v>40</v>
      </c>
      <c r="F9" s="11">
        <v>0</v>
      </c>
      <c r="G9" s="11">
        <v>108</v>
      </c>
      <c r="H9" s="11">
        <v>87</v>
      </c>
      <c r="I9" s="11">
        <v>105</v>
      </c>
      <c r="J9" s="15">
        <f t="shared" ref="J9:J12" si="0">SUM(C9:I9)/40</f>
        <v>13.475</v>
      </c>
      <c r="K9" s="12">
        <v>7</v>
      </c>
      <c r="L9" s="13"/>
      <c r="M9" s="14"/>
      <c r="N9" s="7" t="s">
        <v>15</v>
      </c>
      <c r="O9" s="11">
        <v>135</v>
      </c>
      <c r="P9" s="11">
        <v>64</v>
      </c>
      <c r="Q9" s="11">
        <v>40</v>
      </c>
      <c r="R9" s="11">
        <v>0</v>
      </c>
      <c r="S9" s="11">
        <v>80</v>
      </c>
      <c r="T9" s="11">
        <v>65</v>
      </c>
      <c r="U9" s="11">
        <v>75</v>
      </c>
      <c r="V9" s="15">
        <f t="shared" ref="V9:V12" si="1">SUM(O9:U9)/40</f>
        <v>11.475</v>
      </c>
      <c r="W9" s="12">
        <v>5</v>
      </c>
      <c r="Y9" s="39">
        <f t="shared" ref="Y9:Y13" si="2">J9</f>
        <v>13.475</v>
      </c>
      <c r="Z9" s="40">
        <f t="shared" ref="Z9:Z13" si="3">V9</f>
        <v>11.475</v>
      </c>
      <c r="AA9" s="41">
        <f t="shared" ref="AA9:AA13" si="4">Y9-Z9</f>
        <v>2</v>
      </c>
    </row>
    <row r="10" spans="1:27" x14ac:dyDescent="0.35">
      <c r="A10" s="14"/>
      <c r="B10" s="7" t="s">
        <v>16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16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17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18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20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20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285</v>
      </c>
      <c r="D14" s="25">
        <f t="shared" si="5"/>
        <v>134</v>
      </c>
      <c r="E14" s="25">
        <f t="shared" si="5"/>
        <v>130</v>
      </c>
      <c r="F14" s="25">
        <f t="shared" si="5"/>
        <v>0</v>
      </c>
      <c r="G14" s="25">
        <f t="shared" si="5"/>
        <v>228</v>
      </c>
      <c r="H14" s="25">
        <f t="shared" si="5"/>
        <v>237</v>
      </c>
      <c r="I14" s="25">
        <f t="shared" si="5"/>
        <v>205</v>
      </c>
      <c r="J14" s="28">
        <f>SUM(C14:I14)</f>
        <v>1219</v>
      </c>
      <c r="K14" s="31"/>
      <c r="M14" s="1"/>
      <c r="N14" s="7"/>
      <c r="O14" s="25">
        <f t="shared" ref="O14:U14" si="6">SUM(O8:O13)</f>
        <v>255</v>
      </c>
      <c r="P14" s="25">
        <f t="shared" si="6"/>
        <v>144</v>
      </c>
      <c r="Q14" s="25">
        <f t="shared" si="6"/>
        <v>113</v>
      </c>
      <c r="R14" s="25">
        <f t="shared" si="6"/>
        <v>0</v>
      </c>
      <c r="S14" s="25">
        <f t="shared" si="6"/>
        <v>190</v>
      </c>
      <c r="T14" s="25">
        <f t="shared" si="6"/>
        <v>175</v>
      </c>
      <c r="U14" s="25">
        <f t="shared" si="6"/>
        <v>235</v>
      </c>
      <c r="V14" s="28">
        <f>SUM(O14:U14)</f>
        <v>1112</v>
      </c>
      <c r="W14" s="31"/>
      <c r="Y14" s="36">
        <f>SUM(Y8:Y13)</f>
        <v>30.475000000000001</v>
      </c>
      <c r="Z14" s="37">
        <f>SUM(Z8:Z13)</f>
        <v>27.799999999999997</v>
      </c>
      <c r="AA14" s="38">
        <f>SUM(AA8:AA13)</f>
        <v>2.6750000000000007</v>
      </c>
    </row>
    <row r="15" spans="1:27" ht="15" thickBot="1" x14ac:dyDescent="0.4">
      <c r="A15" s="1"/>
      <c r="B15" s="20" t="s">
        <v>19</v>
      </c>
      <c r="C15" s="21">
        <f t="shared" ref="C15:J15" si="7">C14/40</f>
        <v>7.125</v>
      </c>
      <c r="D15" s="21">
        <f t="shared" si="7"/>
        <v>3.35</v>
      </c>
      <c r="E15" s="21">
        <f t="shared" si="7"/>
        <v>3.25</v>
      </c>
      <c r="F15" s="21">
        <f t="shared" si="7"/>
        <v>0</v>
      </c>
      <c r="G15" s="21">
        <f t="shared" si="7"/>
        <v>5.7</v>
      </c>
      <c r="H15" s="21">
        <f t="shared" si="7"/>
        <v>5.9249999999999998</v>
      </c>
      <c r="I15" s="21">
        <f t="shared" si="7"/>
        <v>5.125</v>
      </c>
      <c r="J15" s="22">
        <f t="shared" si="7"/>
        <v>30.475000000000001</v>
      </c>
      <c r="K15" s="23"/>
      <c r="M15" s="1"/>
      <c r="N15" s="20" t="s">
        <v>19</v>
      </c>
      <c r="O15" s="21">
        <f t="shared" ref="O15:V15" si="8">O14/40</f>
        <v>6.375</v>
      </c>
      <c r="P15" s="21">
        <f t="shared" si="8"/>
        <v>3.6</v>
      </c>
      <c r="Q15" s="21">
        <f t="shared" si="8"/>
        <v>2.8250000000000002</v>
      </c>
      <c r="R15" s="21">
        <f t="shared" si="8"/>
        <v>0</v>
      </c>
      <c r="S15" s="21">
        <f t="shared" si="8"/>
        <v>4.75</v>
      </c>
      <c r="T15" s="21">
        <f t="shared" si="8"/>
        <v>4.375</v>
      </c>
      <c r="U15" s="21">
        <f t="shared" si="8"/>
        <v>5.875</v>
      </c>
      <c r="V15" s="22">
        <f t="shared" si="8"/>
        <v>27.8</v>
      </c>
      <c r="W15" s="23"/>
      <c r="Y15" s="42">
        <f>Y14/40</f>
        <v>0.76187500000000008</v>
      </c>
      <c r="Z15" s="43">
        <f>Z14/40</f>
        <v>0.69499999999999995</v>
      </c>
      <c r="AA15" s="44">
        <f>AA14/40</f>
        <v>6.6875000000000018E-2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BE16-0424-4AA6-A26A-B37C87397264}">
  <dimension ref="A1:AA15"/>
  <sheetViews>
    <sheetView workbookViewId="0">
      <selection activeCell="M14" sqref="M14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6" t="s">
        <v>28</v>
      </c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212</v>
      </c>
      <c r="D8" s="11">
        <v>92</v>
      </c>
      <c r="E8" s="11">
        <v>102</v>
      </c>
      <c r="F8" s="11">
        <v>0</v>
      </c>
      <c r="G8" s="11">
        <v>195</v>
      </c>
      <c r="H8" s="11">
        <v>160</v>
      </c>
      <c r="I8" s="11">
        <v>195</v>
      </c>
      <c r="J8" s="15">
        <f>SUM(C8:I8)/40</f>
        <v>23.9</v>
      </c>
      <c r="K8" s="12">
        <v>21</v>
      </c>
      <c r="L8" s="13"/>
      <c r="M8" s="14"/>
      <c r="N8" s="7" t="s">
        <v>13</v>
      </c>
      <c r="O8" s="11">
        <v>212</v>
      </c>
      <c r="P8" s="11">
        <v>92</v>
      </c>
      <c r="Q8" s="11">
        <v>92</v>
      </c>
      <c r="R8" s="11">
        <v>0</v>
      </c>
      <c r="S8" s="11">
        <v>180</v>
      </c>
      <c r="T8" s="11">
        <v>150</v>
      </c>
      <c r="U8" s="11">
        <v>180</v>
      </c>
      <c r="V8" s="15">
        <f>SUM(O8:U8)/40</f>
        <v>22.65</v>
      </c>
      <c r="W8" s="12">
        <v>19</v>
      </c>
      <c r="Y8" s="39">
        <f>J8</f>
        <v>23.9</v>
      </c>
      <c r="Z8" s="40">
        <f>V8</f>
        <v>22.65</v>
      </c>
      <c r="AA8" s="41">
        <f>Y8-Z8</f>
        <v>1.25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>SUM(C9:I9)/40</f>
        <v>0</v>
      </c>
      <c r="K9" s="12"/>
      <c r="L9" s="13"/>
      <c r="M9" s="14"/>
      <c r="N9" s="7" t="s">
        <v>15</v>
      </c>
      <c r="O9" s="11"/>
      <c r="P9" s="11"/>
      <c r="Q9" s="11"/>
      <c r="R9" s="11"/>
      <c r="S9" s="11"/>
      <c r="T9" s="11"/>
      <c r="U9" s="11"/>
      <c r="V9" s="15">
        <f t="shared" ref="V9:V12" si="0">SUM(O9:U9)/40</f>
        <v>0</v>
      </c>
      <c r="W9" s="12"/>
      <c r="Y9" s="39">
        <f t="shared" ref="Y9:Y13" si="1">J9</f>
        <v>0</v>
      </c>
      <c r="Z9" s="40">
        <f t="shared" ref="Z9:Z13" si="2">V9</f>
        <v>0</v>
      </c>
      <c r="AA9" s="41">
        <f t="shared" ref="AA9:AA13" si="3">Y9-Z9</f>
        <v>0</v>
      </c>
    </row>
    <row r="10" spans="1:27" x14ac:dyDescent="0.35">
      <c r="A10" s="14"/>
      <c r="B10" s="7" t="s">
        <v>16</v>
      </c>
      <c r="C10" s="11">
        <v>80</v>
      </c>
      <c r="D10" s="11">
        <v>0</v>
      </c>
      <c r="E10" s="11">
        <v>0</v>
      </c>
      <c r="F10" s="11"/>
      <c r="G10" s="11">
        <v>100</v>
      </c>
      <c r="H10" s="11">
        <v>60</v>
      </c>
      <c r="I10" s="11">
        <v>120</v>
      </c>
      <c r="J10" s="15">
        <f t="shared" ref="J10:J12" si="4">SUM(C10:I10)/40</f>
        <v>9</v>
      </c>
      <c r="K10" s="12">
        <v>5</v>
      </c>
      <c r="L10" s="13"/>
      <c r="M10" s="14"/>
      <c r="N10" s="7" t="s">
        <v>16</v>
      </c>
      <c r="O10" s="11">
        <v>80</v>
      </c>
      <c r="P10" s="11">
        <v>0</v>
      </c>
      <c r="Q10" s="11">
        <v>0</v>
      </c>
      <c r="R10" s="11">
        <v>0</v>
      </c>
      <c r="S10" s="11">
        <v>60</v>
      </c>
      <c r="T10" s="11">
        <v>20</v>
      </c>
      <c r="U10" s="11">
        <v>40</v>
      </c>
      <c r="V10" s="15">
        <f t="shared" si="0"/>
        <v>5</v>
      </c>
      <c r="W10" s="12">
        <v>3</v>
      </c>
      <c r="Y10" s="39">
        <f t="shared" si="1"/>
        <v>9</v>
      </c>
      <c r="Z10" s="40">
        <f t="shared" si="2"/>
        <v>5</v>
      </c>
      <c r="AA10" s="41">
        <f t="shared" si="3"/>
        <v>4</v>
      </c>
    </row>
    <row r="11" spans="1:27" x14ac:dyDescent="0.35">
      <c r="A11" s="16"/>
      <c r="B11" s="17" t="s">
        <v>17</v>
      </c>
      <c r="C11" s="11"/>
      <c r="D11" s="11">
        <v>200</v>
      </c>
      <c r="E11" s="11">
        <v>240</v>
      </c>
      <c r="F11" s="11">
        <v>240</v>
      </c>
      <c r="G11" s="11">
        <v>320</v>
      </c>
      <c r="H11" s="11">
        <v>320</v>
      </c>
      <c r="I11" s="11">
        <v>600</v>
      </c>
      <c r="J11" s="15">
        <f t="shared" si="4"/>
        <v>48</v>
      </c>
      <c r="K11" s="12">
        <v>1</v>
      </c>
      <c r="L11" s="13"/>
      <c r="M11" s="16"/>
      <c r="N11" s="17" t="s">
        <v>18</v>
      </c>
      <c r="O11" s="11"/>
      <c r="P11" s="11"/>
      <c r="Q11" s="11"/>
      <c r="R11" s="11"/>
      <c r="S11" s="11"/>
      <c r="T11" s="11"/>
      <c r="U11" s="11"/>
      <c r="V11" s="15">
        <f t="shared" si="0"/>
        <v>0</v>
      </c>
      <c r="W11" s="12"/>
      <c r="Y11" s="39">
        <f t="shared" si="1"/>
        <v>48</v>
      </c>
      <c r="Z11" s="40">
        <f t="shared" si="2"/>
        <v>0</v>
      </c>
      <c r="AA11" s="41">
        <f t="shared" si="3"/>
        <v>48</v>
      </c>
    </row>
    <row r="12" spans="1:27" x14ac:dyDescent="0.35">
      <c r="A12" s="16"/>
      <c r="B12" s="17" t="s">
        <v>24</v>
      </c>
      <c r="C12" s="11">
        <v>37</v>
      </c>
      <c r="D12" s="11">
        <v>50</v>
      </c>
      <c r="E12" s="11">
        <v>51</v>
      </c>
      <c r="F12" s="11">
        <v>27</v>
      </c>
      <c r="G12" s="11">
        <v>33</v>
      </c>
      <c r="H12" s="11">
        <v>26</v>
      </c>
      <c r="I12" s="11">
        <v>36</v>
      </c>
      <c r="J12" s="15">
        <f t="shared" si="4"/>
        <v>6.5</v>
      </c>
      <c r="K12" s="12">
        <v>8</v>
      </c>
      <c r="L12" s="13"/>
      <c r="M12" s="16"/>
      <c r="N12" s="17" t="s">
        <v>24</v>
      </c>
      <c r="O12" s="11"/>
      <c r="P12" s="11"/>
      <c r="Q12" s="11"/>
      <c r="R12" s="11"/>
      <c r="S12" s="11"/>
      <c r="T12" s="11"/>
      <c r="U12" s="11"/>
      <c r="V12" s="15">
        <f t="shared" si="0"/>
        <v>0</v>
      </c>
      <c r="W12" s="12"/>
      <c r="Y12" s="39">
        <f t="shared" si="1"/>
        <v>6.5</v>
      </c>
      <c r="Z12" s="40">
        <f t="shared" si="2"/>
        <v>0</v>
      </c>
      <c r="AA12" s="41">
        <f t="shared" si="3"/>
        <v>6.5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1"/>
        <v>0</v>
      </c>
      <c r="Z13" s="40">
        <f t="shared" si="2"/>
        <v>0</v>
      </c>
      <c r="AA13" s="41">
        <f t="shared" si="3"/>
        <v>0</v>
      </c>
    </row>
    <row r="14" spans="1:27" x14ac:dyDescent="0.35">
      <c r="A14" s="1"/>
      <c r="B14" s="7"/>
      <c r="C14" s="25">
        <f t="shared" ref="C14:I14" si="5">SUM(C8:C13)</f>
        <v>329</v>
      </c>
      <c r="D14" s="25">
        <f t="shared" si="5"/>
        <v>342</v>
      </c>
      <c r="E14" s="25">
        <f t="shared" si="5"/>
        <v>393</v>
      </c>
      <c r="F14" s="25">
        <f t="shared" si="5"/>
        <v>267</v>
      </c>
      <c r="G14" s="25">
        <f t="shared" si="5"/>
        <v>648</v>
      </c>
      <c r="H14" s="25">
        <f t="shared" si="5"/>
        <v>566</v>
      </c>
      <c r="I14" s="25">
        <f t="shared" si="5"/>
        <v>951</v>
      </c>
      <c r="J14" s="28">
        <f>SUM(C14:I14)</f>
        <v>3496</v>
      </c>
      <c r="K14" s="31"/>
      <c r="M14" s="1"/>
      <c r="N14" s="7"/>
      <c r="O14" s="25">
        <f t="shared" ref="O14:U14" si="6">SUM(O8:O13)</f>
        <v>292</v>
      </c>
      <c r="P14" s="25">
        <f t="shared" si="6"/>
        <v>92</v>
      </c>
      <c r="Q14" s="25">
        <f t="shared" si="6"/>
        <v>92</v>
      </c>
      <c r="R14" s="25">
        <f t="shared" si="6"/>
        <v>0</v>
      </c>
      <c r="S14" s="25">
        <f t="shared" si="6"/>
        <v>240</v>
      </c>
      <c r="T14" s="25">
        <f t="shared" si="6"/>
        <v>170</v>
      </c>
      <c r="U14" s="25">
        <f t="shared" si="6"/>
        <v>220</v>
      </c>
      <c r="V14" s="28">
        <f>SUM(O14:U14)</f>
        <v>1106</v>
      </c>
      <c r="W14" s="31"/>
      <c r="Y14" s="36">
        <f>SUM(Y8:Y13)</f>
        <v>87.4</v>
      </c>
      <c r="Z14" s="37">
        <f>SUM(Z8:Z13)</f>
        <v>27.65</v>
      </c>
      <c r="AA14" s="38">
        <f>SUM(AA8:AA13)</f>
        <v>59.75</v>
      </c>
    </row>
    <row r="15" spans="1:27" ht="15" thickBot="1" x14ac:dyDescent="0.4">
      <c r="A15" s="1"/>
      <c r="B15" s="20" t="s">
        <v>19</v>
      </c>
      <c r="C15" s="21">
        <f t="shared" ref="C15:J15" si="7">C14/40</f>
        <v>8.2249999999999996</v>
      </c>
      <c r="D15" s="21">
        <f t="shared" si="7"/>
        <v>8.5500000000000007</v>
      </c>
      <c r="E15" s="21">
        <f t="shared" si="7"/>
        <v>9.8249999999999993</v>
      </c>
      <c r="F15" s="21">
        <f t="shared" si="7"/>
        <v>6.6749999999999998</v>
      </c>
      <c r="G15" s="21">
        <f t="shared" si="7"/>
        <v>16.2</v>
      </c>
      <c r="H15" s="21">
        <f t="shared" si="7"/>
        <v>14.15</v>
      </c>
      <c r="I15" s="21">
        <f t="shared" si="7"/>
        <v>23.774999999999999</v>
      </c>
      <c r="J15" s="22">
        <f t="shared" si="7"/>
        <v>87.4</v>
      </c>
      <c r="K15" s="23"/>
      <c r="M15" s="1"/>
      <c r="N15" s="20" t="s">
        <v>19</v>
      </c>
      <c r="O15" s="21">
        <f t="shared" ref="O15:V15" si="8">O14/40</f>
        <v>7.3</v>
      </c>
      <c r="P15" s="21">
        <f t="shared" si="8"/>
        <v>2.2999999999999998</v>
      </c>
      <c r="Q15" s="21">
        <f t="shared" si="8"/>
        <v>2.2999999999999998</v>
      </c>
      <c r="R15" s="21">
        <f t="shared" si="8"/>
        <v>0</v>
      </c>
      <c r="S15" s="21">
        <f t="shared" si="8"/>
        <v>6</v>
      </c>
      <c r="T15" s="21">
        <f t="shared" si="8"/>
        <v>4.25</v>
      </c>
      <c r="U15" s="21">
        <f t="shared" si="8"/>
        <v>5.5</v>
      </c>
      <c r="V15" s="22">
        <f t="shared" si="8"/>
        <v>27.65</v>
      </c>
      <c r="W15" s="23"/>
      <c r="Y15" s="42">
        <f>Y14/40</f>
        <v>2.1850000000000001</v>
      </c>
      <c r="Z15" s="43">
        <f>Z14/40</f>
        <v>0.69124999999999992</v>
      </c>
      <c r="AA15" s="44">
        <f>AA14/40</f>
        <v>1.4937499999999999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0396-7890-4995-B70F-491025A8A037}">
  <dimension ref="A1:AA16"/>
  <sheetViews>
    <sheetView workbookViewId="0">
      <selection activeCell="M18" sqref="M18"/>
    </sheetView>
  </sheetViews>
  <sheetFormatPr defaultRowHeight="14.5" x14ac:dyDescent="0.35"/>
  <cols>
    <col min="1" max="1" width="5.6328125" customWidth="1"/>
    <col min="2" max="2" width="6.453125" bestFit="1" customWidth="1"/>
    <col min="3" max="3" width="4.36328125" bestFit="1" customWidth="1"/>
    <col min="4" max="4" width="5.36328125" bestFit="1" customWidth="1"/>
    <col min="5" max="6" width="4.08984375" bestFit="1" customWidth="1"/>
    <col min="7" max="9" width="5.36328125" bestFit="1" customWidth="1"/>
    <col min="10" max="10" width="6.1796875" bestFit="1" customWidth="1"/>
    <col min="11" max="11" width="5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52" t="s">
        <v>29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1"/>
      <c r="N1" s="1"/>
      <c r="O1" s="1"/>
      <c r="P1" s="1"/>
      <c r="Q1" s="1"/>
      <c r="R1" s="1"/>
      <c r="S1" s="1"/>
      <c r="T1" s="1"/>
      <c r="U1" s="1"/>
    </row>
    <row r="2" spans="1:27" ht="14.5" customHeight="1" x14ac:dyDescent="0.35">
      <c r="A2" s="47"/>
      <c r="B2" s="78" t="s">
        <v>0</v>
      </c>
      <c r="C2" s="78"/>
      <c r="D2" s="78"/>
      <c r="E2" s="78"/>
      <c r="F2" s="78"/>
      <c r="G2" s="78"/>
      <c r="H2" s="78"/>
      <c r="I2" s="78"/>
      <c r="J2" s="78"/>
      <c r="K2" s="47"/>
      <c r="L2" s="47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47"/>
      <c r="B3" s="78"/>
      <c r="C3" s="78"/>
      <c r="D3" s="78"/>
      <c r="E3" s="78"/>
      <c r="F3" s="78"/>
      <c r="G3" s="78"/>
      <c r="H3" s="78"/>
      <c r="I3" s="78"/>
      <c r="J3" s="78"/>
      <c r="K3" s="47"/>
      <c r="L3" s="47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47"/>
      <c r="B4" s="78"/>
      <c r="C4" s="78"/>
      <c r="D4" s="78"/>
      <c r="E4" s="78"/>
      <c r="F4" s="78"/>
      <c r="G4" s="78"/>
      <c r="H4" s="78"/>
      <c r="I4" s="78"/>
      <c r="J4" s="78"/>
      <c r="K4" s="47"/>
      <c r="L4" s="47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customHeight="1" thickBot="1" x14ac:dyDescent="0.4">
      <c r="A5" s="47"/>
      <c r="B5" s="79"/>
      <c r="C5" s="79"/>
      <c r="D5" s="79"/>
      <c r="E5" s="79"/>
      <c r="F5" s="79"/>
      <c r="G5" s="79"/>
      <c r="H5" s="79"/>
      <c r="I5" s="79"/>
      <c r="J5" s="79"/>
      <c r="K5" s="47"/>
      <c r="L5" s="47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47"/>
      <c r="B6" s="48"/>
      <c r="C6" s="49" t="s">
        <v>2</v>
      </c>
      <c r="D6" s="83" t="s">
        <v>3</v>
      </c>
      <c r="E6" s="83"/>
      <c r="F6" s="83"/>
      <c r="G6" s="83" t="s">
        <v>4</v>
      </c>
      <c r="H6" s="83"/>
      <c r="I6" s="83"/>
      <c r="J6" s="50"/>
      <c r="K6" s="51"/>
      <c r="L6" s="47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52"/>
      <c r="B7" s="53" t="s">
        <v>5</v>
      </c>
      <c r="C7" s="54" t="s">
        <v>6</v>
      </c>
      <c r="D7" s="55" t="s">
        <v>7</v>
      </c>
      <c r="E7" s="55" t="s">
        <v>8</v>
      </c>
      <c r="F7" s="55" t="s">
        <v>9</v>
      </c>
      <c r="G7" s="56" t="s">
        <v>7</v>
      </c>
      <c r="H7" s="56" t="s">
        <v>10</v>
      </c>
      <c r="I7" s="56" t="s">
        <v>9</v>
      </c>
      <c r="J7" s="57" t="s">
        <v>11</v>
      </c>
      <c r="K7" s="58" t="s">
        <v>12</v>
      </c>
      <c r="L7" s="59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60"/>
      <c r="B8" s="53" t="s">
        <v>13</v>
      </c>
      <c r="C8" s="57">
        <v>200</v>
      </c>
      <c r="D8" s="57">
        <v>70</v>
      </c>
      <c r="E8" s="57">
        <v>50</v>
      </c>
      <c r="F8" s="57">
        <v>0</v>
      </c>
      <c r="G8" s="57">
        <v>230</v>
      </c>
      <c r="H8" s="57">
        <v>250</v>
      </c>
      <c r="I8" s="57">
        <v>500</v>
      </c>
      <c r="J8" s="61">
        <f>SUM(C8:I8)/40</f>
        <v>32.5</v>
      </c>
      <c r="K8" s="58">
        <v>23</v>
      </c>
      <c r="L8" s="59"/>
      <c r="M8" s="14"/>
      <c r="N8" s="7" t="s">
        <v>13</v>
      </c>
      <c r="O8" s="11">
        <v>200</v>
      </c>
      <c r="P8" s="11">
        <v>70</v>
      </c>
      <c r="Q8" s="11">
        <v>50</v>
      </c>
      <c r="R8" s="11">
        <v>0</v>
      </c>
      <c r="S8" s="11">
        <v>205</v>
      </c>
      <c r="T8" s="11">
        <v>210</v>
      </c>
      <c r="U8" s="11">
        <v>165</v>
      </c>
      <c r="V8" s="15">
        <f>SUM(O8:U8)/40</f>
        <v>22.5</v>
      </c>
      <c r="W8" s="12">
        <v>21</v>
      </c>
      <c r="Y8" s="39">
        <f>J8</f>
        <v>32.5</v>
      </c>
      <c r="Z8" s="40">
        <f>V8</f>
        <v>22.5</v>
      </c>
      <c r="AA8" s="41">
        <f>Y8-Z8</f>
        <v>10</v>
      </c>
    </row>
    <row r="9" spans="1:27" x14ac:dyDescent="0.35">
      <c r="A9" s="60"/>
      <c r="B9" s="53" t="s">
        <v>14</v>
      </c>
      <c r="C9" s="57">
        <v>75</v>
      </c>
      <c r="D9" s="57">
        <v>50</v>
      </c>
      <c r="E9" s="57">
        <v>50</v>
      </c>
      <c r="F9" s="57">
        <v>0</v>
      </c>
      <c r="G9" s="57">
        <v>181</v>
      </c>
      <c r="H9" s="57">
        <v>206</v>
      </c>
      <c r="I9" s="57">
        <v>233</v>
      </c>
      <c r="J9" s="61">
        <f t="shared" ref="J9:J12" si="0">SUM(C9:I9)/40</f>
        <v>19.875</v>
      </c>
      <c r="K9" s="58">
        <v>11</v>
      </c>
      <c r="L9" s="59"/>
      <c r="M9" s="14"/>
      <c r="N9" s="7" t="s">
        <v>15</v>
      </c>
      <c r="O9" s="11">
        <v>75</v>
      </c>
      <c r="P9" s="11">
        <v>50</v>
      </c>
      <c r="Q9" s="11">
        <v>50</v>
      </c>
      <c r="R9" s="11">
        <v>0</v>
      </c>
      <c r="S9" s="11">
        <v>170</v>
      </c>
      <c r="T9" s="11">
        <v>200</v>
      </c>
      <c r="U9" s="11">
        <v>250</v>
      </c>
      <c r="V9" s="15">
        <f t="shared" ref="V9:V12" si="1">SUM(O9:U9)/40</f>
        <v>19.875</v>
      </c>
      <c r="W9" s="12">
        <v>11</v>
      </c>
      <c r="Y9" s="39">
        <f t="shared" ref="Y9:Y13" si="2">J9</f>
        <v>19.875</v>
      </c>
      <c r="Z9" s="40">
        <f t="shared" ref="Z9:Z13" si="3">V9</f>
        <v>19.875</v>
      </c>
      <c r="AA9" s="41">
        <f t="shared" ref="AA9:AA13" si="4">Y9-Z9</f>
        <v>0</v>
      </c>
    </row>
    <row r="10" spans="1:27" x14ac:dyDescent="0.35">
      <c r="A10" s="60"/>
      <c r="B10" s="53" t="s">
        <v>16</v>
      </c>
      <c r="C10" s="57">
        <v>272</v>
      </c>
      <c r="D10" s="57">
        <v>20</v>
      </c>
      <c r="E10" s="57">
        <v>20</v>
      </c>
      <c r="F10" s="57">
        <v>0</v>
      </c>
      <c r="G10" s="57">
        <v>107</v>
      </c>
      <c r="H10" s="57">
        <v>90</v>
      </c>
      <c r="I10" s="57">
        <v>113</v>
      </c>
      <c r="J10" s="61">
        <f t="shared" si="0"/>
        <v>15.55</v>
      </c>
      <c r="K10" s="58">
        <v>8</v>
      </c>
      <c r="L10" s="59"/>
      <c r="M10" s="14"/>
      <c r="N10" s="7" t="s">
        <v>16</v>
      </c>
      <c r="O10" s="11">
        <v>172</v>
      </c>
      <c r="P10" s="11">
        <v>20</v>
      </c>
      <c r="Q10" s="11">
        <v>20</v>
      </c>
      <c r="R10" s="11">
        <v>0</v>
      </c>
      <c r="S10" s="11">
        <v>92</v>
      </c>
      <c r="T10" s="11">
        <v>80</v>
      </c>
      <c r="U10" s="11">
        <v>98</v>
      </c>
      <c r="V10" s="15">
        <f t="shared" si="1"/>
        <v>12.05</v>
      </c>
      <c r="W10" s="12">
        <v>5</v>
      </c>
      <c r="Y10" s="39">
        <f t="shared" si="2"/>
        <v>15.55</v>
      </c>
      <c r="Z10" s="40">
        <f t="shared" si="3"/>
        <v>12.05</v>
      </c>
      <c r="AA10" s="41">
        <f t="shared" si="4"/>
        <v>3.5</v>
      </c>
    </row>
    <row r="11" spans="1:27" x14ac:dyDescent="0.35">
      <c r="A11" s="62"/>
      <c r="B11" s="63" t="s">
        <v>24</v>
      </c>
      <c r="C11" s="57"/>
      <c r="D11" s="57"/>
      <c r="E11" s="57"/>
      <c r="F11" s="57"/>
      <c r="G11" s="57">
        <v>10</v>
      </c>
      <c r="H11" s="57">
        <v>10</v>
      </c>
      <c r="I11" s="57">
        <v>40</v>
      </c>
      <c r="J11" s="61">
        <f t="shared" si="0"/>
        <v>1.5</v>
      </c>
      <c r="K11" s="58">
        <v>1</v>
      </c>
      <c r="L11" s="59"/>
      <c r="M11" s="16"/>
      <c r="N11" s="17" t="s">
        <v>24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1.5</v>
      </c>
      <c r="Z11" s="40">
        <f t="shared" si="3"/>
        <v>0</v>
      </c>
      <c r="AA11" s="41">
        <f t="shared" si="4"/>
        <v>1.5</v>
      </c>
    </row>
    <row r="12" spans="1:27" x14ac:dyDescent="0.35">
      <c r="A12" s="62"/>
      <c r="B12" s="63" t="s">
        <v>17</v>
      </c>
      <c r="C12" s="57"/>
      <c r="D12" s="57">
        <v>120</v>
      </c>
      <c r="E12" s="57">
        <v>120</v>
      </c>
      <c r="F12" s="57">
        <v>240</v>
      </c>
      <c r="G12" s="57">
        <v>80</v>
      </c>
      <c r="H12" s="57">
        <v>120</v>
      </c>
      <c r="I12" s="57">
        <v>120</v>
      </c>
      <c r="J12" s="61">
        <f t="shared" si="0"/>
        <v>20</v>
      </c>
      <c r="K12" s="58">
        <v>2</v>
      </c>
      <c r="L12" s="59"/>
      <c r="M12" s="16"/>
      <c r="N12" s="17" t="s">
        <v>18</v>
      </c>
      <c r="O12" s="11"/>
      <c r="P12" s="11">
        <v>120</v>
      </c>
      <c r="Q12" s="11">
        <v>120</v>
      </c>
      <c r="R12" s="11">
        <f>120+120</f>
        <v>240</v>
      </c>
      <c r="S12" s="11">
        <v>200</v>
      </c>
      <c r="T12" s="11">
        <f>40+200</f>
        <v>240</v>
      </c>
      <c r="U12" s="11">
        <f>40+200</f>
        <v>240</v>
      </c>
      <c r="V12" s="15">
        <f t="shared" si="1"/>
        <v>29</v>
      </c>
      <c r="W12" s="12">
        <v>2</v>
      </c>
      <c r="Y12" s="39">
        <f t="shared" si="2"/>
        <v>20</v>
      </c>
      <c r="Z12" s="40">
        <f t="shared" si="3"/>
        <v>29</v>
      </c>
      <c r="AA12" s="41">
        <f t="shared" si="4"/>
        <v>-9</v>
      </c>
    </row>
    <row r="13" spans="1:27" x14ac:dyDescent="0.35">
      <c r="A13" s="62"/>
      <c r="B13" s="63"/>
      <c r="C13" s="57"/>
      <c r="D13" s="57"/>
      <c r="E13" s="57"/>
      <c r="F13" s="57"/>
      <c r="G13" s="57"/>
      <c r="H13" s="57"/>
      <c r="I13" s="57"/>
      <c r="J13" s="61"/>
      <c r="K13" s="64"/>
      <c r="L13" s="47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47"/>
      <c r="B14" s="53"/>
      <c r="C14" s="65">
        <f t="shared" ref="C14:I14" si="5">SUM(C8:C13)</f>
        <v>547</v>
      </c>
      <c r="D14" s="65">
        <f t="shared" si="5"/>
        <v>260</v>
      </c>
      <c r="E14" s="65">
        <f t="shared" si="5"/>
        <v>240</v>
      </c>
      <c r="F14" s="65">
        <f t="shared" si="5"/>
        <v>240</v>
      </c>
      <c r="G14" s="65">
        <f t="shared" si="5"/>
        <v>608</v>
      </c>
      <c r="H14" s="65">
        <f t="shared" si="5"/>
        <v>676</v>
      </c>
      <c r="I14" s="65">
        <f t="shared" si="5"/>
        <v>1006</v>
      </c>
      <c r="J14" s="66">
        <f>SUM(C14:I14)</f>
        <v>3577</v>
      </c>
      <c r="K14" s="67"/>
      <c r="L14" s="47"/>
      <c r="M14" s="1"/>
      <c r="N14" s="7"/>
      <c r="O14" s="25">
        <f t="shared" ref="O14:U14" si="6">SUM(O8:O13)</f>
        <v>447</v>
      </c>
      <c r="P14" s="25">
        <f t="shared" si="6"/>
        <v>260</v>
      </c>
      <c r="Q14" s="25">
        <f t="shared" si="6"/>
        <v>240</v>
      </c>
      <c r="R14" s="25">
        <f t="shared" si="6"/>
        <v>240</v>
      </c>
      <c r="S14" s="25">
        <f t="shared" si="6"/>
        <v>667</v>
      </c>
      <c r="T14" s="25">
        <f t="shared" si="6"/>
        <v>730</v>
      </c>
      <c r="U14" s="25">
        <f t="shared" si="6"/>
        <v>753</v>
      </c>
      <c r="V14" s="28">
        <f>SUM(O14:U14)</f>
        <v>3337</v>
      </c>
      <c r="W14" s="31"/>
      <c r="Y14" s="36">
        <f>SUM(Y8:Y13)</f>
        <v>89.424999999999997</v>
      </c>
      <c r="Z14" s="37">
        <f>SUM(Z8:Z13)</f>
        <v>83.424999999999997</v>
      </c>
      <c r="AA14" s="38">
        <f>SUM(AA8:AA13)</f>
        <v>6</v>
      </c>
    </row>
    <row r="15" spans="1:27" ht="15" thickBot="1" x14ac:dyDescent="0.4">
      <c r="A15" s="47"/>
      <c r="B15" s="68" t="s">
        <v>19</v>
      </c>
      <c r="C15" s="69">
        <f t="shared" ref="C15:J15" si="7">C14/40</f>
        <v>13.675000000000001</v>
      </c>
      <c r="D15" s="69">
        <f t="shared" si="7"/>
        <v>6.5</v>
      </c>
      <c r="E15" s="69">
        <f t="shared" si="7"/>
        <v>6</v>
      </c>
      <c r="F15" s="69">
        <f t="shared" si="7"/>
        <v>6</v>
      </c>
      <c r="G15" s="69">
        <f t="shared" si="7"/>
        <v>15.2</v>
      </c>
      <c r="H15" s="69">
        <f t="shared" si="7"/>
        <v>16.899999999999999</v>
      </c>
      <c r="I15" s="69">
        <f t="shared" si="7"/>
        <v>25.15</v>
      </c>
      <c r="J15" s="70">
        <f t="shared" si="7"/>
        <v>89.424999999999997</v>
      </c>
      <c r="K15" s="71"/>
      <c r="L15" s="47"/>
      <c r="M15" s="1"/>
      <c r="N15" s="20" t="s">
        <v>19</v>
      </c>
      <c r="O15" s="21">
        <f t="shared" ref="O15:V15" si="8">O14/40</f>
        <v>11.175000000000001</v>
      </c>
      <c r="P15" s="21">
        <f t="shared" si="8"/>
        <v>6.5</v>
      </c>
      <c r="Q15" s="21">
        <f t="shared" si="8"/>
        <v>6</v>
      </c>
      <c r="R15" s="21">
        <f t="shared" si="8"/>
        <v>6</v>
      </c>
      <c r="S15" s="21">
        <f t="shared" si="8"/>
        <v>16.675000000000001</v>
      </c>
      <c r="T15" s="21">
        <f t="shared" si="8"/>
        <v>18.25</v>
      </c>
      <c r="U15" s="21">
        <f t="shared" si="8"/>
        <v>18.824999999999999</v>
      </c>
      <c r="V15" s="22">
        <f t="shared" si="8"/>
        <v>83.424999999999997</v>
      </c>
      <c r="W15" s="23"/>
      <c r="Y15" s="42">
        <f>Y14/40</f>
        <v>2.2356249999999998</v>
      </c>
      <c r="Z15" s="43">
        <f>Z14/40</f>
        <v>2.0856249999999998</v>
      </c>
      <c r="AA15" s="44">
        <f>AA14/40</f>
        <v>0.15</v>
      </c>
    </row>
    <row r="16" spans="1:27" x14ac:dyDescent="0.3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1D63-9221-4747-B7FB-C6037E7ADA17}">
  <dimension ref="A1:AA15"/>
  <sheetViews>
    <sheetView workbookViewId="0">
      <selection activeCell="W17" sqref="W17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7.81640625" bestFit="1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6" t="s">
        <v>30</v>
      </c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136</v>
      </c>
      <c r="D8" s="11">
        <v>46</v>
      </c>
      <c r="E8" s="11">
        <v>46</v>
      </c>
      <c r="F8" s="11">
        <v>0</v>
      </c>
      <c r="G8" s="11">
        <v>81</v>
      </c>
      <c r="H8" s="11">
        <v>66</v>
      </c>
      <c r="I8" s="11">
        <v>121</v>
      </c>
      <c r="J8" s="73">
        <f>SUM(C8:I8)/40</f>
        <v>12.4</v>
      </c>
      <c r="K8" s="12">
        <v>16</v>
      </c>
      <c r="L8" s="13"/>
      <c r="M8" s="14"/>
      <c r="N8" s="7" t="s">
        <v>13</v>
      </c>
      <c r="O8" s="11">
        <v>96</v>
      </c>
      <c r="P8" s="11">
        <v>26</v>
      </c>
      <c r="Q8" s="11">
        <v>26</v>
      </c>
      <c r="R8" s="11">
        <v>0</v>
      </c>
      <c r="S8" s="11">
        <v>41</v>
      </c>
      <c r="T8" s="11">
        <v>26</v>
      </c>
      <c r="U8" s="11">
        <v>81</v>
      </c>
      <c r="V8" s="73">
        <f>SUM(O8:U8)/40</f>
        <v>7.4</v>
      </c>
      <c r="W8" s="12">
        <v>13</v>
      </c>
      <c r="Y8" s="39">
        <f>J8</f>
        <v>12.4</v>
      </c>
      <c r="Z8" s="40">
        <f>V8</f>
        <v>7.4</v>
      </c>
      <c r="AA8" s="41">
        <f>Y8-Z8</f>
        <v>5</v>
      </c>
    </row>
    <row r="9" spans="1:27" x14ac:dyDescent="0.35">
      <c r="A9" s="14"/>
      <c r="B9" s="7" t="s">
        <v>14</v>
      </c>
      <c r="C9" s="11">
        <v>126</v>
      </c>
      <c r="D9" s="11">
        <v>109</v>
      </c>
      <c r="E9" s="11">
        <v>88</v>
      </c>
      <c r="F9" s="11">
        <v>15</v>
      </c>
      <c r="G9" s="11">
        <v>78</v>
      </c>
      <c r="H9" s="11">
        <v>73</v>
      </c>
      <c r="I9" s="11">
        <v>78</v>
      </c>
      <c r="J9" s="73">
        <f t="shared" ref="J9:J12" si="0">SUM(C9:I9)/40</f>
        <v>14.175000000000001</v>
      </c>
      <c r="K9" s="12">
        <v>7</v>
      </c>
      <c r="L9" s="13"/>
      <c r="M9" s="14"/>
      <c r="N9" s="7" t="s">
        <v>15</v>
      </c>
      <c r="O9" s="11">
        <v>126</v>
      </c>
      <c r="P9" s="11">
        <v>96</v>
      </c>
      <c r="Q9" s="11">
        <v>76</v>
      </c>
      <c r="R9" s="11">
        <v>0</v>
      </c>
      <c r="S9" s="11">
        <v>78</v>
      </c>
      <c r="T9" s="11">
        <v>73</v>
      </c>
      <c r="U9" s="11">
        <v>78</v>
      </c>
      <c r="V9" s="73">
        <f t="shared" ref="V9:V13" si="1">SUM(O9:U9)/40</f>
        <v>13.175000000000001</v>
      </c>
      <c r="W9" s="12">
        <v>6</v>
      </c>
      <c r="Y9" s="39">
        <f t="shared" ref="Y9:Y13" si="2">J9</f>
        <v>14.175000000000001</v>
      </c>
      <c r="Z9" s="40">
        <f t="shared" ref="Z9:Z13" si="3">V9</f>
        <v>13.175000000000001</v>
      </c>
      <c r="AA9" s="41">
        <f t="shared" ref="AA9:AA13" si="4">Y9-Z9</f>
        <v>1</v>
      </c>
    </row>
    <row r="10" spans="1:27" x14ac:dyDescent="0.35">
      <c r="A10" s="14"/>
      <c r="B10" s="7" t="s">
        <v>16</v>
      </c>
      <c r="C10" s="11">
        <v>120</v>
      </c>
      <c r="D10" s="11">
        <v>10</v>
      </c>
      <c r="E10" s="11">
        <v>0</v>
      </c>
      <c r="F10" s="11">
        <v>0</v>
      </c>
      <c r="G10" s="11">
        <v>98</v>
      </c>
      <c r="H10" s="11">
        <v>33</v>
      </c>
      <c r="I10" s="11">
        <v>78</v>
      </c>
      <c r="J10" s="73">
        <f t="shared" si="0"/>
        <v>8.4749999999999996</v>
      </c>
      <c r="K10" s="12">
        <v>7</v>
      </c>
      <c r="L10" s="13"/>
      <c r="M10" s="14"/>
      <c r="N10" s="7" t="s">
        <v>16</v>
      </c>
      <c r="O10" s="11">
        <v>120</v>
      </c>
      <c r="P10" s="11">
        <v>10</v>
      </c>
      <c r="Q10" s="11">
        <v>0</v>
      </c>
      <c r="R10" s="11">
        <v>0</v>
      </c>
      <c r="S10" s="11">
        <v>98</v>
      </c>
      <c r="T10" s="11">
        <v>33</v>
      </c>
      <c r="U10" s="11">
        <v>78</v>
      </c>
      <c r="V10" s="73">
        <f t="shared" si="1"/>
        <v>8.4749999999999996</v>
      </c>
      <c r="W10" s="12">
        <v>7</v>
      </c>
      <c r="Y10" s="39">
        <f t="shared" si="2"/>
        <v>8.4749999999999996</v>
      </c>
      <c r="Z10" s="40">
        <f t="shared" si="3"/>
        <v>8.4749999999999996</v>
      </c>
      <c r="AA10" s="41">
        <f t="shared" si="4"/>
        <v>0</v>
      </c>
    </row>
    <row r="11" spans="1:27" x14ac:dyDescent="0.35">
      <c r="A11" s="16"/>
      <c r="B11" s="17" t="s">
        <v>24</v>
      </c>
      <c r="C11" s="11">
        <v>30</v>
      </c>
      <c r="D11" s="11">
        <v>12</v>
      </c>
      <c r="E11" s="11">
        <v>58</v>
      </c>
      <c r="F11" s="11">
        <v>12</v>
      </c>
      <c r="G11" s="11">
        <v>18</v>
      </c>
      <c r="H11" s="11">
        <v>6</v>
      </c>
      <c r="I11" s="11">
        <v>6</v>
      </c>
      <c r="J11" s="73">
        <f t="shared" si="0"/>
        <v>3.55</v>
      </c>
      <c r="K11" s="12">
        <v>5</v>
      </c>
      <c r="L11" s="13"/>
      <c r="M11" s="16"/>
      <c r="N11" s="17" t="s">
        <v>24</v>
      </c>
      <c r="O11" s="11">
        <v>12</v>
      </c>
      <c r="P11" s="11"/>
      <c r="Q11" s="11"/>
      <c r="R11" s="11"/>
      <c r="S11" s="11"/>
      <c r="T11" s="11"/>
      <c r="U11" s="11"/>
      <c r="V11" s="73">
        <f t="shared" si="1"/>
        <v>0.3</v>
      </c>
      <c r="W11" s="12">
        <v>1</v>
      </c>
      <c r="Y11" s="39">
        <f t="shared" si="2"/>
        <v>3.55</v>
      </c>
      <c r="Z11" s="40">
        <f t="shared" si="3"/>
        <v>0.3</v>
      </c>
      <c r="AA11" s="41">
        <f t="shared" si="4"/>
        <v>3.25</v>
      </c>
    </row>
    <row r="12" spans="1:27" x14ac:dyDescent="0.35">
      <c r="A12" s="16"/>
      <c r="B12" s="17" t="s">
        <v>17</v>
      </c>
      <c r="C12" s="11">
        <v>280</v>
      </c>
      <c r="D12" s="11">
        <v>200</v>
      </c>
      <c r="E12" s="11">
        <v>200</v>
      </c>
      <c r="F12" s="11">
        <v>200</v>
      </c>
      <c r="G12" s="11">
        <v>360</v>
      </c>
      <c r="H12" s="11">
        <v>360</v>
      </c>
      <c r="I12" s="11">
        <v>400</v>
      </c>
      <c r="J12" s="73">
        <f t="shared" si="0"/>
        <v>50</v>
      </c>
      <c r="K12" s="12">
        <v>3</v>
      </c>
      <c r="L12" s="13"/>
      <c r="M12" s="16" t="s">
        <v>32</v>
      </c>
      <c r="N12" s="17" t="s">
        <v>18</v>
      </c>
      <c r="O12" s="11">
        <v>280</v>
      </c>
      <c r="P12" s="11">
        <v>638</v>
      </c>
      <c r="Q12" s="11">
        <v>480</v>
      </c>
      <c r="R12" s="11">
        <v>679</v>
      </c>
      <c r="S12" s="11">
        <v>760</v>
      </c>
      <c r="T12" s="11">
        <v>640</v>
      </c>
      <c r="U12" s="11">
        <v>1078</v>
      </c>
      <c r="V12" s="73">
        <f t="shared" si="1"/>
        <v>113.875</v>
      </c>
      <c r="W12" s="12">
        <v>5</v>
      </c>
      <c r="Y12" s="39">
        <f t="shared" si="2"/>
        <v>50</v>
      </c>
      <c r="Z12" s="40">
        <f t="shared" si="3"/>
        <v>113.875</v>
      </c>
      <c r="AA12" s="41">
        <f t="shared" si="4"/>
        <v>-63.875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73"/>
      <c r="K13" s="18"/>
      <c r="M13" s="16"/>
      <c r="N13" s="17" t="s">
        <v>33</v>
      </c>
      <c r="O13" s="11">
        <v>1600</v>
      </c>
      <c r="P13" s="11"/>
      <c r="Q13" s="11"/>
      <c r="R13" s="11"/>
      <c r="S13" s="11">
        <v>600</v>
      </c>
      <c r="T13" s="11">
        <v>800</v>
      </c>
      <c r="U13" s="11">
        <v>1000</v>
      </c>
      <c r="V13" s="73">
        <f t="shared" si="1"/>
        <v>100</v>
      </c>
      <c r="W13" s="12">
        <v>1</v>
      </c>
      <c r="Y13" s="39">
        <f t="shared" si="2"/>
        <v>0</v>
      </c>
      <c r="Z13" s="40">
        <f t="shared" si="3"/>
        <v>100</v>
      </c>
      <c r="AA13" s="41">
        <f t="shared" si="4"/>
        <v>-100</v>
      </c>
    </row>
    <row r="14" spans="1:27" x14ac:dyDescent="0.35">
      <c r="A14" s="1"/>
      <c r="B14" s="7"/>
      <c r="C14" s="25">
        <f t="shared" ref="C14:I14" si="5">SUM(C8:C13)</f>
        <v>692</v>
      </c>
      <c r="D14" s="25">
        <f t="shared" si="5"/>
        <v>377</v>
      </c>
      <c r="E14" s="25">
        <f t="shared" si="5"/>
        <v>392</v>
      </c>
      <c r="F14" s="25">
        <f t="shared" si="5"/>
        <v>227</v>
      </c>
      <c r="G14" s="25">
        <f t="shared" si="5"/>
        <v>635</v>
      </c>
      <c r="H14" s="25">
        <f t="shared" si="5"/>
        <v>538</v>
      </c>
      <c r="I14" s="25">
        <f t="shared" si="5"/>
        <v>683</v>
      </c>
      <c r="J14" s="28">
        <f>SUM(C14:I14)</f>
        <v>3544</v>
      </c>
      <c r="K14" s="31"/>
      <c r="M14" s="1"/>
      <c r="N14" s="7"/>
      <c r="O14" s="25">
        <f t="shared" ref="O14:U14" si="6">SUM(O8:O13)</f>
        <v>2234</v>
      </c>
      <c r="P14" s="25">
        <f t="shared" si="6"/>
        <v>770</v>
      </c>
      <c r="Q14" s="25">
        <f t="shared" si="6"/>
        <v>582</v>
      </c>
      <c r="R14" s="25">
        <f t="shared" si="6"/>
        <v>679</v>
      </c>
      <c r="S14" s="25">
        <f t="shared" si="6"/>
        <v>1577</v>
      </c>
      <c r="T14" s="25">
        <f t="shared" si="6"/>
        <v>1572</v>
      </c>
      <c r="U14" s="25">
        <f t="shared" si="6"/>
        <v>2315</v>
      </c>
      <c r="V14" s="28">
        <f>SUM(O14:U14)</f>
        <v>9729</v>
      </c>
      <c r="W14" s="31"/>
      <c r="Y14" s="36">
        <f>SUM(Y8:Y13)</f>
        <v>88.6</v>
      </c>
      <c r="Z14" s="37">
        <f>SUM(Z8:Z13)</f>
        <v>243.22499999999999</v>
      </c>
      <c r="AA14" s="38">
        <f>SUM(AA8:AA13)</f>
        <v>-154.625</v>
      </c>
    </row>
    <row r="15" spans="1:27" ht="15" thickBot="1" x14ac:dyDescent="0.4">
      <c r="A15" s="1"/>
      <c r="B15" s="20" t="s">
        <v>19</v>
      </c>
      <c r="C15" s="21">
        <f t="shared" ref="C15:J15" si="7">C14/40</f>
        <v>17.3</v>
      </c>
      <c r="D15" s="21">
        <f t="shared" si="7"/>
        <v>9.4250000000000007</v>
      </c>
      <c r="E15" s="21">
        <f t="shared" si="7"/>
        <v>9.8000000000000007</v>
      </c>
      <c r="F15" s="21">
        <f t="shared" si="7"/>
        <v>5.6749999999999998</v>
      </c>
      <c r="G15" s="21">
        <f t="shared" si="7"/>
        <v>15.875</v>
      </c>
      <c r="H15" s="21">
        <f t="shared" si="7"/>
        <v>13.45</v>
      </c>
      <c r="I15" s="21">
        <f t="shared" si="7"/>
        <v>17.074999999999999</v>
      </c>
      <c r="J15" s="22">
        <f t="shared" si="7"/>
        <v>88.6</v>
      </c>
      <c r="K15" s="23"/>
      <c r="M15" s="1"/>
      <c r="N15" s="20" t="s">
        <v>19</v>
      </c>
      <c r="O15" s="21">
        <f t="shared" ref="O15:V15" si="8">O14/40</f>
        <v>55.85</v>
      </c>
      <c r="P15" s="21">
        <f t="shared" si="8"/>
        <v>19.25</v>
      </c>
      <c r="Q15" s="21">
        <f t="shared" si="8"/>
        <v>14.55</v>
      </c>
      <c r="R15" s="21">
        <f t="shared" si="8"/>
        <v>16.975000000000001</v>
      </c>
      <c r="S15" s="21">
        <f t="shared" si="8"/>
        <v>39.424999999999997</v>
      </c>
      <c r="T15" s="21">
        <f t="shared" si="8"/>
        <v>39.299999999999997</v>
      </c>
      <c r="U15" s="21">
        <f t="shared" si="8"/>
        <v>57.875</v>
      </c>
      <c r="V15" s="72">
        <f t="shared" si="8"/>
        <v>243.22499999999999</v>
      </c>
      <c r="W15" s="23"/>
      <c r="Y15" s="42">
        <f>Y14/40</f>
        <v>2.2149999999999999</v>
      </c>
      <c r="Z15" s="43">
        <f>Z14/40</f>
        <v>6.0806249999999995</v>
      </c>
      <c r="AA15" s="44">
        <f>AA14/40</f>
        <v>-3.8656250000000001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3F42-AC98-43DD-8F7A-85910B527402}">
  <dimension ref="A1:AA15"/>
  <sheetViews>
    <sheetView workbookViewId="0">
      <selection activeCell="AB7" sqref="AB7:AC10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142</v>
      </c>
      <c r="D8" s="11">
        <v>20</v>
      </c>
      <c r="E8" s="11">
        <v>60</v>
      </c>
      <c r="F8" s="11">
        <v>0</v>
      </c>
      <c r="G8" s="11">
        <v>117</v>
      </c>
      <c r="H8" s="11">
        <v>106</v>
      </c>
      <c r="I8" s="11">
        <v>297</v>
      </c>
      <c r="J8" s="15">
        <f>SUM(C8:I8)/40</f>
        <v>18.55</v>
      </c>
      <c r="K8" s="12">
        <v>14</v>
      </c>
      <c r="L8" s="13"/>
      <c r="M8" s="14"/>
      <c r="N8" s="7" t="s">
        <v>13</v>
      </c>
      <c r="O8" s="11">
        <v>142</v>
      </c>
      <c r="P8" s="11">
        <v>20</v>
      </c>
      <c r="Q8" s="11">
        <v>60</v>
      </c>
      <c r="R8" s="11">
        <v>0</v>
      </c>
      <c r="S8" s="11">
        <v>117</v>
      </c>
      <c r="T8" s="11">
        <v>106</v>
      </c>
      <c r="U8" s="11">
        <v>297</v>
      </c>
      <c r="V8" s="15">
        <f>SUM(O8:U8)/40</f>
        <v>18.55</v>
      </c>
      <c r="W8" s="12">
        <v>14</v>
      </c>
      <c r="Y8" s="39">
        <f>J8</f>
        <v>18.55</v>
      </c>
      <c r="Z8" s="40">
        <f>V8</f>
        <v>18.55</v>
      </c>
      <c r="AA8" s="41">
        <f>Y8-Z8</f>
        <v>0</v>
      </c>
    </row>
    <row r="9" spans="1:27" x14ac:dyDescent="0.35">
      <c r="A9" s="14"/>
      <c r="B9" s="7" t="s">
        <v>14</v>
      </c>
      <c r="C9" s="11">
        <v>42</v>
      </c>
      <c r="D9" s="11">
        <v>58</v>
      </c>
      <c r="E9" s="11">
        <v>31</v>
      </c>
      <c r="F9" s="11">
        <v>101</v>
      </c>
      <c r="G9" s="11">
        <v>54</v>
      </c>
      <c r="H9" s="11">
        <v>78</v>
      </c>
      <c r="I9" s="11">
        <v>64</v>
      </c>
      <c r="J9" s="15">
        <f t="shared" ref="J9:J12" si="0">SUM(C9:I9)/40</f>
        <v>10.7</v>
      </c>
      <c r="K9" s="12">
        <v>11</v>
      </c>
      <c r="L9" s="13"/>
      <c r="M9" s="14"/>
      <c r="N9" s="7" t="s">
        <v>15</v>
      </c>
      <c r="O9" s="11"/>
      <c r="P9" s="11"/>
      <c r="Q9" s="11"/>
      <c r="R9" s="11"/>
      <c r="S9" s="11"/>
      <c r="T9" s="11"/>
      <c r="U9" s="11"/>
      <c r="V9" s="15">
        <f t="shared" ref="V9:V12" si="1">SUM(O9:U9)/40</f>
        <v>0</v>
      </c>
      <c r="W9" s="12"/>
      <c r="Y9" s="39">
        <f t="shared" ref="Y9:Y13" si="2">J9</f>
        <v>10.7</v>
      </c>
      <c r="Z9" s="40">
        <f t="shared" ref="Z9:Z13" si="3">V9</f>
        <v>0</v>
      </c>
      <c r="AA9" s="41">
        <f t="shared" ref="AA9:AA13" si="4">Y9-Z9</f>
        <v>10.7</v>
      </c>
    </row>
    <row r="10" spans="1:27" x14ac:dyDescent="0.35">
      <c r="A10" s="14"/>
      <c r="B10" s="7" t="s">
        <v>16</v>
      </c>
      <c r="C10" s="11">
        <v>32</v>
      </c>
      <c r="D10" s="11">
        <v>0</v>
      </c>
      <c r="E10" s="11">
        <v>0</v>
      </c>
      <c r="F10" s="11">
        <v>0</v>
      </c>
      <c r="G10" s="11">
        <v>35</v>
      </c>
      <c r="H10" s="11">
        <v>25</v>
      </c>
      <c r="I10" s="11">
        <v>108</v>
      </c>
      <c r="J10" s="15">
        <f t="shared" si="0"/>
        <v>5</v>
      </c>
      <c r="K10" s="12">
        <v>5</v>
      </c>
      <c r="L10" s="13"/>
      <c r="M10" s="14"/>
      <c r="N10" s="7" t="s">
        <v>16</v>
      </c>
      <c r="O10" s="11">
        <v>20</v>
      </c>
      <c r="P10" s="11">
        <v>0</v>
      </c>
      <c r="Q10" s="11">
        <v>0</v>
      </c>
      <c r="R10" s="11">
        <v>0</v>
      </c>
      <c r="S10" s="11">
        <v>35</v>
      </c>
      <c r="T10" s="11">
        <v>15</v>
      </c>
      <c r="U10" s="11">
        <v>90</v>
      </c>
      <c r="V10" s="15">
        <f t="shared" si="1"/>
        <v>4</v>
      </c>
      <c r="W10" s="12">
        <v>4</v>
      </c>
      <c r="Y10" s="39">
        <f t="shared" si="2"/>
        <v>5</v>
      </c>
      <c r="Z10" s="40">
        <f t="shared" si="3"/>
        <v>4</v>
      </c>
      <c r="AA10" s="41">
        <f t="shared" si="4"/>
        <v>1</v>
      </c>
    </row>
    <row r="11" spans="1:27" x14ac:dyDescent="0.35">
      <c r="A11" s="16"/>
      <c r="B11" s="17" t="s">
        <v>24</v>
      </c>
      <c r="C11" s="11">
        <v>98</v>
      </c>
      <c r="D11" s="11">
        <v>24</v>
      </c>
      <c r="E11" s="11">
        <v>24</v>
      </c>
      <c r="F11" s="11">
        <v>24</v>
      </c>
      <c r="G11" s="11">
        <v>39</v>
      </c>
      <c r="H11" s="11">
        <v>26</v>
      </c>
      <c r="I11" s="11">
        <v>33</v>
      </c>
      <c r="J11" s="15">
        <f t="shared" si="0"/>
        <v>6.7</v>
      </c>
      <c r="K11" s="12">
        <v>6</v>
      </c>
      <c r="L11" s="13"/>
      <c r="M11" s="16"/>
      <c r="N11" s="17" t="s">
        <v>24</v>
      </c>
      <c r="O11" s="11">
        <v>98</v>
      </c>
      <c r="P11" s="11">
        <v>18</v>
      </c>
      <c r="Q11" s="11">
        <v>18</v>
      </c>
      <c r="R11" s="11">
        <v>18</v>
      </c>
      <c r="S11" s="11">
        <v>24</v>
      </c>
      <c r="T11" s="11">
        <v>16</v>
      </c>
      <c r="U11" s="11">
        <v>18</v>
      </c>
      <c r="V11" s="15">
        <f t="shared" si="1"/>
        <v>5.25</v>
      </c>
      <c r="W11" s="12">
        <v>5</v>
      </c>
      <c r="Y11" s="39">
        <f t="shared" si="2"/>
        <v>6.7</v>
      </c>
      <c r="Z11" s="40">
        <f t="shared" si="3"/>
        <v>5.25</v>
      </c>
      <c r="AA11" s="41">
        <f t="shared" si="4"/>
        <v>1.4500000000000002</v>
      </c>
    </row>
    <row r="12" spans="1:27" x14ac:dyDescent="0.35">
      <c r="A12" s="16"/>
      <c r="B12" s="17" t="s">
        <v>17</v>
      </c>
      <c r="C12" s="11"/>
      <c r="D12" s="11">
        <v>600</v>
      </c>
      <c r="E12" s="11">
        <v>640</v>
      </c>
      <c r="F12" s="11">
        <v>360</v>
      </c>
      <c r="G12" s="11">
        <v>480</v>
      </c>
      <c r="H12" s="11">
        <v>380</v>
      </c>
      <c r="I12" s="11">
        <v>760</v>
      </c>
      <c r="J12" s="15">
        <f t="shared" si="0"/>
        <v>80.5</v>
      </c>
      <c r="K12" s="12">
        <v>3</v>
      </c>
      <c r="L12" s="13"/>
      <c r="M12" s="16"/>
      <c r="N12" s="17" t="s">
        <v>18</v>
      </c>
      <c r="O12" s="11">
        <v>3</v>
      </c>
      <c r="P12" s="11">
        <f>281-40</f>
        <v>241</v>
      </c>
      <c r="Q12" s="11">
        <v>403</v>
      </c>
      <c r="R12" s="11">
        <v>161</v>
      </c>
      <c r="S12" s="11">
        <f>383-20</f>
        <v>363</v>
      </c>
      <c r="T12" s="11">
        <f>281-20</f>
        <v>261</v>
      </c>
      <c r="U12" s="11">
        <f>561-20</f>
        <v>541</v>
      </c>
      <c r="V12" s="15">
        <f t="shared" si="1"/>
        <v>49.325000000000003</v>
      </c>
      <c r="W12" s="12">
        <v>3</v>
      </c>
      <c r="Y12" s="39">
        <f t="shared" si="2"/>
        <v>80.5</v>
      </c>
      <c r="Z12" s="40">
        <f t="shared" si="3"/>
        <v>49.325000000000003</v>
      </c>
      <c r="AA12" s="41">
        <f t="shared" si="4"/>
        <v>31.174999999999997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314</v>
      </c>
      <c r="D14" s="25">
        <f t="shared" si="5"/>
        <v>702</v>
      </c>
      <c r="E14" s="25">
        <f t="shared" si="5"/>
        <v>755</v>
      </c>
      <c r="F14" s="25">
        <f t="shared" si="5"/>
        <v>485</v>
      </c>
      <c r="G14" s="25">
        <f t="shared" si="5"/>
        <v>725</v>
      </c>
      <c r="H14" s="25">
        <f t="shared" si="5"/>
        <v>615</v>
      </c>
      <c r="I14" s="25">
        <f t="shared" si="5"/>
        <v>1262</v>
      </c>
      <c r="J14" s="28">
        <f>SUM(C14:I14)</f>
        <v>4858</v>
      </c>
      <c r="K14" s="31"/>
      <c r="M14" s="1"/>
      <c r="N14" s="7"/>
      <c r="O14" s="25">
        <f t="shared" ref="O14:U14" si="6">SUM(O8:O13)</f>
        <v>263</v>
      </c>
      <c r="P14" s="25">
        <f t="shared" si="6"/>
        <v>279</v>
      </c>
      <c r="Q14" s="25">
        <f t="shared" si="6"/>
        <v>481</v>
      </c>
      <c r="R14" s="25">
        <f t="shared" si="6"/>
        <v>179</v>
      </c>
      <c r="S14" s="25">
        <f t="shared" si="6"/>
        <v>539</v>
      </c>
      <c r="T14" s="25">
        <f t="shared" si="6"/>
        <v>398</v>
      </c>
      <c r="U14" s="25">
        <f t="shared" si="6"/>
        <v>946</v>
      </c>
      <c r="V14" s="28">
        <f>SUM(O14:U14)</f>
        <v>3085</v>
      </c>
      <c r="W14" s="31"/>
      <c r="Y14" s="36">
        <f>SUM(Y8:Y13)</f>
        <v>121.45</v>
      </c>
      <c r="Z14" s="37">
        <f>SUM(Z8:Z13)</f>
        <v>77.125</v>
      </c>
      <c r="AA14" s="38">
        <f>SUM(AA8:AA13)</f>
        <v>44.324999999999996</v>
      </c>
    </row>
    <row r="15" spans="1:27" ht="15" thickBot="1" x14ac:dyDescent="0.4">
      <c r="A15" s="1"/>
      <c r="B15" s="20" t="s">
        <v>19</v>
      </c>
      <c r="C15" s="21">
        <f t="shared" ref="C15:J15" si="7">C14/40</f>
        <v>7.85</v>
      </c>
      <c r="D15" s="21">
        <f t="shared" si="7"/>
        <v>17.55</v>
      </c>
      <c r="E15" s="21">
        <f t="shared" si="7"/>
        <v>18.875</v>
      </c>
      <c r="F15" s="21">
        <f t="shared" si="7"/>
        <v>12.125</v>
      </c>
      <c r="G15" s="21">
        <f t="shared" si="7"/>
        <v>18.125</v>
      </c>
      <c r="H15" s="21">
        <f t="shared" si="7"/>
        <v>15.375</v>
      </c>
      <c r="I15" s="21">
        <f t="shared" si="7"/>
        <v>31.55</v>
      </c>
      <c r="J15" s="22">
        <f t="shared" si="7"/>
        <v>121.45</v>
      </c>
      <c r="K15" s="23"/>
      <c r="M15" s="1"/>
      <c r="N15" s="20" t="s">
        <v>19</v>
      </c>
      <c r="O15" s="21">
        <f t="shared" ref="O15:V15" si="8">O14/40</f>
        <v>6.5750000000000002</v>
      </c>
      <c r="P15" s="21">
        <f t="shared" si="8"/>
        <v>6.9749999999999996</v>
      </c>
      <c r="Q15" s="21">
        <f t="shared" si="8"/>
        <v>12.025</v>
      </c>
      <c r="R15" s="21">
        <f t="shared" si="8"/>
        <v>4.4749999999999996</v>
      </c>
      <c r="S15" s="21">
        <f t="shared" si="8"/>
        <v>13.475</v>
      </c>
      <c r="T15" s="21">
        <f t="shared" si="8"/>
        <v>9.9499999999999993</v>
      </c>
      <c r="U15" s="21">
        <f t="shared" si="8"/>
        <v>23.65</v>
      </c>
      <c r="V15" s="22">
        <f t="shared" si="8"/>
        <v>77.125</v>
      </c>
      <c r="W15" s="23"/>
      <c r="Y15" s="42">
        <f>Y14/40</f>
        <v>3.0362499999999999</v>
      </c>
      <c r="Z15" s="43">
        <f>Z14/40</f>
        <v>1.9281250000000001</v>
      </c>
      <c r="AA15" s="44">
        <f>AA14/40</f>
        <v>1.1081249999999998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4E6D-17E5-4D33-833A-ACEA6390716F}">
  <dimension ref="A1:AA15"/>
  <sheetViews>
    <sheetView workbookViewId="0">
      <selection activeCell="W9" sqref="W9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9">
        <f>J8</f>
        <v>0</v>
      </c>
      <c r="Z8" s="40">
        <f>V8</f>
        <v>0</v>
      </c>
      <c r="AA8" s="41">
        <f>Y8-Z8</f>
        <v>0</v>
      </c>
    </row>
    <row r="9" spans="1:27" x14ac:dyDescent="0.35">
      <c r="A9" s="14"/>
      <c r="B9" s="7" t="s">
        <v>14</v>
      </c>
      <c r="C9" s="11">
        <v>10</v>
      </c>
      <c r="D9" s="11">
        <v>13</v>
      </c>
      <c r="E9" s="11">
        <v>12</v>
      </c>
      <c r="F9" s="11">
        <v>15</v>
      </c>
      <c r="G9" s="11">
        <v>50</v>
      </c>
      <c r="H9" s="11">
        <v>50</v>
      </c>
      <c r="I9" s="11">
        <v>50</v>
      </c>
      <c r="J9" s="15">
        <f t="shared" ref="J9:J12" si="0">SUM(C9:I9)/40</f>
        <v>5</v>
      </c>
      <c r="K9" s="12">
        <v>3</v>
      </c>
      <c r="L9" s="13"/>
      <c r="M9" s="14"/>
      <c r="N9" s="7" t="s">
        <v>15</v>
      </c>
      <c r="O9" s="11">
        <v>12</v>
      </c>
      <c r="P9" s="11">
        <v>54</v>
      </c>
      <c r="Q9" s="11">
        <v>16</v>
      </c>
      <c r="R9" s="11">
        <v>136</v>
      </c>
      <c r="S9" s="11">
        <v>91</v>
      </c>
      <c r="T9" s="11">
        <v>116</v>
      </c>
      <c r="U9" s="11">
        <v>59</v>
      </c>
      <c r="V9" s="15">
        <f t="shared" ref="V9:V12" si="1">SUM(O9:U9)/40</f>
        <v>12.1</v>
      </c>
      <c r="W9" s="12">
        <v>3</v>
      </c>
      <c r="Y9" s="39">
        <f t="shared" ref="Y9:Y13" si="2">J9</f>
        <v>5</v>
      </c>
      <c r="Z9" s="40">
        <f t="shared" ref="Z9:Z13" si="3">V9</f>
        <v>12.1</v>
      </c>
      <c r="AA9" s="41">
        <f t="shared" ref="AA9:AA13" si="4">Y9-Z9</f>
        <v>-7.1</v>
      </c>
    </row>
    <row r="10" spans="1:27" x14ac:dyDescent="0.35">
      <c r="A10" s="14"/>
      <c r="B10" s="7" t="s">
        <v>16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16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24</v>
      </c>
      <c r="C11" s="11">
        <v>82</v>
      </c>
      <c r="D11" s="11">
        <v>25</v>
      </c>
      <c r="E11" s="11">
        <v>25</v>
      </c>
      <c r="F11" s="11">
        <v>52</v>
      </c>
      <c r="G11" s="11">
        <v>53</v>
      </c>
      <c r="H11" s="11">
        <v>42</v>
      </c>
      <c r="I11" s="11">
        <v>44</v>
      </c>
      <c r="J11" s="15">
        <f t="shared" si="0"/>
        <v>8.0749999999999993</v>
      </c>
      <c r="K11" s="12">
        <v>8</v>
      </c>
      <c r="L11" s="13"/>
      <c r="M11" s="16"/>
      <c r="N11" s="17" t="s">
        <v>24</v>
      </c>
      <c r="O11" s="11">
        <v>16</v>
      </c>
      <c r="P11" s="11">
        <v>21</v>
      </c>
      <c r="Q11" s="11">
        <v>21</v>
      </c>
      <c r="R11" s="11">
        <v>22</v>
      </c>
      <c r="S11" s="11">
        <v>15</v>
      </c>
      <c r="T11" s="11">
        <v>10</v>
      </c>
      <c r="U11" s="11">
        <v>15</v>
      </c>
      <c r="V11" s="15">
        <f t="shared" si="1"/>
        <v>3</v>
      </c>
      <c r="W11" s="12">
        <v>4</v>
      </c>
      <c r="Y11" s="39">
        <f t="shared" si="2"/>
        <v>8.0749999999999993</v>
      </c>
      <c r="Z11" s="40">
        <f t="shared" si="3"/>
        <v>3</v>
      </c>
      <c r="AA11" s="41">
        <f t="shared" si="4"/>
        <v>5.0749999999999993</v>
      </c>
    </row>
    <row r="12" spans="1:27" x14ac:dyDescent="0.35">
      <c r="A12" s="16"/>
      <c r="B12" s="17" t="s">
        <v>17</v>
      </c>
      <c r="C12" s="11"/>
      <c r="D12" s="11">
        <v>160</v>
      </c>
      <c r="E12" s="11">
        <v>320</v>
      </c>
      <c r="F12" s="11">
        <v>300</v>
      </c>
      <c r="G12" s="11">
        <v>400</v>
      </c>
      <c r="H12" s="11">
        <v>200</v>
      </c>
      <c r="I12" s="11">
        <v>520</v>
      </c>
      <c r="J12" s="15">
        <f t="shared" si="0"/>
        <v>47.5</v>
      </c>
      <c r="K12" s="12">
        <v>4</v>
      </c>
      <c r="L12" s="13"/>
      <c r="M12" s="16"/>
      <c r="N12" s="17" t="s">
        <v>18</v>
      </c>
      <c r="O12" s="11">
        <v>120</v>
      </c>
      <c r="P12" s="11">
        <v>864</v>
      </c>
      <c r="Q12" s="11">
        <v>1004</v>
      </c>
      <c r="R12" s="11">
        <v>3399</v>
      </c>
      <c r="S12" s="11">
        <v>1158</v>
      </c>
      <c r="T12" s="11">
        <v>1436</v>
      </c>
      <c r="U12" s="11">
        <v>2720</v>
      </c>
      <c r="V12" s="15">
        <f t="shared" si="1"/>
        <v>267.52499999999998</v>
      </c>
      <c r="W12" s="12">
        <v>6</v>
      </c>
      <c r="Y12" s="39">
        <f t="shared" si="2"/>
        <v>47.5</v>
      </c>
      <c r="Z12" s="40">
        <f t="shared" si="3"/>
        <v>267.52499999999998</v>
      </c>
      <c r="AA12" s="41">
        <f t="shared" si="4"/>
        <v>-220.02499999999998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92</v>
      </c>
      <c r="D14" s="25">
        <f t="shared" si="5"/>
        <v>198</v>
      </c>
      <c r="E14" s="25">
        <f t="shared" si="5"/>
        <v>357</v>
      </c>
      <c r="F14" s="25">
        <f t="shared" si="5"/>
        <v>367</v>
      </c>
      <c r="G14" s="25">
        <f t="shared" si="5"/>
        <v>503</v>
      </c>
      <c r="H14" s="25">
        <f t="shared" si="5"/>
        <v>292</v>
      </c>
      <c r="I14" s="25">
        <f t="shared" si="5"/>
        <v>614</v>
      </c>
      <c r="J14" s="28">
        <f>SUM(C14:I14)</f>
        <v>2423</v>
      </c>
      <c r="K14" s="31"/>
      <c r="M14" s="1"/>
      <c r="N14" s="7"/>
      <c r="O14" s="25">
        <f t="shared" ref="O14:U14" si="6">SUM(O8:O13)</f>
        <v>148</v>
      </c>
      <c r="P14" s="25">
        <f t="shared" si="6"/>
        <v>939</v>
      </c>
      <c r="Q14" s="25">
        <f t="shared" si="6"/>
        <v>1041</v>
      </c>
      <c r="R14" s="25">
        <f t="shared" si="6"/>
        <v>3557</v>
      </c>
      <c r="S14" s="25">
        <f t="shared" si="6"/>
        <v>1264</v>
      </c>
      <c r="T14" s="25">
        <f t="shared" si="6"/>
        <v>1562</v>
      </c>
      <c r="U14" s="25">
        <f t="shared" si="6"/>
        <v>2794</v>
      </c>
      <c r="V14" s="28">
        <f>SUM(O14:U14)</f>
        <v>11305</v>
      </c>
      <c r="W14" s="31"/>
      <c r="Y14" s="36">
        <f>SUM(Y8:Y13)</f>
        <v>60.575000000000003</v>
      </c>
      <c r="Z14" s="37">
        <f>SUM(Z8:Z13)</f>
        <v>282.625</v>
      </c>
      <c r="AA14" s="38">
        <f>SUM(AA8:AA13)</f>
        <v>-222.04999999999998</v>
      </c>
    </row>
    <row r="15" spans="1:27" ht="15" thickBot="1" x14ac:dyDescent="0.4">
      <c r="A15" s="1"/>
      <c r="B15" s="20" t="s">
        <v>19</v>
      </c>
      <c r="C15" s="21">
        <f t="shared" ref="C15:J15" si="7">C14/40</f>
        <v>2.2999999999999998</v>
      </c>
      <c r="D15" s="21">
        <f t="shared" si="7"/>
        <v>4.95</v>
      </c>
      <c r="E15" s="21">
        <f t="shared" si="7"/>
        <v>8.9250000000000007</v>
      </c>
      <c r="F15" s="21">
        <f t="shared" si="7"/>
        <v>9.1750000000000007</v>
      </c>
      <c r="G15" s="21">
        <f t="shared" si="7"/>
        <v>12.574999999999999</v>
      </c>
      <c r="H15" s="21">
        <f t="shared" si="7"/>
        <v>7.3</v>
      </c>
      <c r="I15" s="21">
        <f t="shared" si="7"/>
        <v>15.35</v>
      </c>
      <c r="J15" s="22">
        <f t="shared" si="7"/>
        <v>60.575000000000003</v>
      </c>
      <c r="K15" s="23"/>
      <c r="M15" s="1"/>
      <c r="N15" s="20" t="s">
        <v>19</v>
      </c>
      <c r="O15" s="21">
        <f t="shared" ref="O15:V15" si="8">O14/40</f>
        <v>3.7</v>
      </c>
      <c r="P15" s="21">
        <f t="shared" si="8"/>
        <v>23.475000000000001</v>
      </c>
      <c r="Q15" s="21">
        <f t="shared" si="8"/>
        <v>26.024999999999999</v>
      </c>
      <c r="R15" s="21">
        <f t="shared" si="8"/>
        <v>88.924999999999997</v>
      </c>
      <c r="S15" s="21">
        <f t="shared" si="8"/>
        <v>31.6</v>
      </c>
      <c r="T15" s="21">
        <f t="shared" si="8"/>
        <v>39.049999999999997</v>
      </c>
      <c r="U15" s="21">
        <f t="shared" si="8"/>
        <v>69.849999999999994</v>
      </c>
      <c r="V15" s="22">
        <f t="shared" si="8"/>
        <v>282.625</v>
      </c>
      <c r="W15" s="23"/>
      <c r="Y15" s="42">
        <f>Y14/40</f>
        <v>1.514375</v>
      </c>
      <c r="Z15" s="43">
        <f>Z14/40</f>
        <v>7.0656249999999998</v>
      </c>
      <c r="AA15" s="44">
        <f>AA14/40</f>
        <v>-5.5512499999999996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78AC-42E1-47D8-9009-F093134445D4}">
  <dimension ref="A1:AA15"/>
  <sheetViews>
    <sheetView workbookViewId="0">
      <selection activeCell="L17" sqref="L17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46"/>
      <c r="D8" s="46"/>
      <c r="E8" s="46"/>
      <c r="F8" s="46"/>
      <c r="G8" s="46"/>
      <c r="H8" s="46"/>
      <c r="I8" s="46"/>
      <c r="J8" s="74">
        <f>SUM(C8:I8)/40</f>
        <v>0</v>
      </c>
      <c r="K8" s="12"/>
      <c r="L8" s="13"/>
      <c r="M8" s="14"/>
      <c r="N8" s="7" t="s">
        <v>13</v>
      </c>
      <c r="O8" s="46"/>
      <c r="P8" s="46"/>
      <c r="Q8" s="46"/>
      <c r="R8" s="46"/>
      <c r="S8" s="46"/>
      <c r="T8" s="46"/>
      <c r="U8" s="46"/>
      <c r="V8" s="74">
        <f>SUM(O8:U8)/40</f>
        <v>0</v>
      </c>
      <c r="W8" s="12"/>
      <c r="Y8" s="39">
        <f>J8</f>
        <v>0</v>
      </c>
      <c r="Z8" s="40">
        <f>V8</f>
        <v>0</v>
      </c>
      <c r="AA8" s="41">
        <f>Y8-Z8</f>
        <v>0</v>
      </c>
    </row>
    <row r="9" spans="1:27" x14ac:dyDescent="0.35">
      <c r="A9" s="14"/>
      <c r="B9" s="7" t="s">
        <v>14</v>
      </c>
      <c r="C9" s="46"/>
      <c r="D9" s="46"/>
      <c r="E9" s="46"/>
      <c r="F9" s="46"/>
      <c r="G9" s="46"/>
      <c r="H9" s="46"/>
      <c r="I9" s="46"/>
      <c r="J9" s="74">
        <f t="shared" ref="J9:J12" si="0">SUM(C9:I9)/40</f>
        <v>0</v>
      </c>
      <c r="K9" s="12"/>
      <c r="L9" s="13"/>
      <c r="M9" s="14"/>
      <c r="N9" s="7" t="s">
        <v>15</v>
      </c>
      <c r="O9" s="46"/>
      <c r="P9" s="46"/>
      <c r="Q9" s="46"/>
      <c r="R9" s="46"/>
      <c r="S9" s="46"/>
      <c r="T9" s="46"/>
      <c r="U9" s="46"/>
      <c r="V9" s="74">
        <f t="shared" ref="V9:V12" si="1">SUM(O9:U9)/40</f>
        <v>0</v>
      </c>
      <c r="W9" s="12"/>
      <c r="Y9" s="39">
        <f t="shared" ref="Y9:Y13" si="2">J9</f>
        <v>0</v>
      </c>
      <c r="Z9" s="40">
        <f t="shared" ref="Z9:Z13" si="3">V9</f>
        <v>0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46"/>
      <c r="D10" s="46"/>
      <c r="E10" s="46"/>
      <c r="F10" s="46"/>
      <c r="G10" s="46"/>
      <c r="H10" s="46"/>
      <c r="I10" s="46"/>
      <c r="J10" s="74">
        <f t="shared" si="0"/>
        <v>0</v>
      </c>
      <c r="K10" s="12"/>
      <c r="L10" s="13"/>
      <c r="M10" s="14"/>
      <c r="N10" s="7" t="s">
        <v>16</v>
      </c>
      <c r="O10" s="46"/>
      <c r="P10" s="46"/>
      <c r="Q10" s="46"/>
      <c r="R10" s="46"/>
      <c r="S10" s="46"/>
      <c r="T10" s="46"/>
      <c r="U10" s="46"/>
      <c r="V10" s="74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24</v>
      </c>
      <c r="C11" s="46"/>
      <c r="D11" s="46"/>
      <c r="E11" s="46"/>
      <c r="F11" s="46"/>
      <c r="G11" s="46"/>
      <c r="H11" s="46"/>
      <c r="I11" s="46"/>
      <c r="J11" s="74">
        <f t="shared" si="0"/>
        <v>0</v>
      </c>
      <c r="K11" s="12"/>
      <c r="L11" s="13"/>
      <c r="M11" s="16"/>
      <c r="N11" s="17" t="s">
        <v>24</v>
      </c>
      <c r="O11" s="46"/>
      <c r="P11" s="46"/>
      <c r="Q11" s="46"/>
      <c r="R11" s="46"/>
      <c r="S11" s="46"/>
      <c r="T11" s="46"/>
      <c r="U11" s="46"/>
      <c r="V11" s="74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17</v>
      </c>
      <c r="C12" s="46"/>
      <c r="D12" s="46"/>
      <c r="E12" s="46"/>
      <c r="F12" s="46"/>
      <c r="G12" s="46"/>
      <c r="H12" s="46"/>
      <c r="I12" s="46"/>
      <c r="J12" s="74">
        <f t="shared" si="0"/>
        <v>0</v>
      </c>
      <c r="K12" s="12"/>
      <c r="L12" s="13"/>
      <c r="M12" s="16"/>
      <c r="N12" s="17" t="s">
        <v>18</v>
      </c>
      <c r="O12" s="46"/>
      <c r="P12" s="46"/>
      <c r="Q12" s="46"/>
      <c r="R12" s="46"/>
      <c r="S12" s="46"/>
      <c r="T12" s="46"/>
      <c r="U12" s="46"/>
      <c r="V12" s="74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46"/>
      <c r="D13" s="46"/>
      <c r="E13" s="46"/>
      <c r="F13" s="46"/>
      <c r="G13" s="46"/>
      <c r="H13" s="46"/>
      <c r="I13" s="46"/>
      <c r="J13" s="74"/>
      <c r="K13" s="18"/>
      <c r="M13" s="16"/>
      <c r="N13" s="17"/>
      <c r="O13" s="46"/>
      <c r="P13" s="46"/>
      <c r="Q13" s="46"/>
      <c r="R13" s="46"/>
      <c r="S13" s="46"/>
      <c r="T13" s="46"/>
      <c r="U13" s="46"/>
      <c r="V13" s="74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0</v>
      </c>
      <c r="D14" s="25">
        <f t="shared" si="5"/>
        <v>0</v>
      </c>
      <c r="E14" s="25">
        <f t="shared" si="5"/>
        <v>0</v>
      </c>
      <c r="F14" s="25">
        <f t="shared" si="5"/>
        <v>0</v>
      </c>
      <c r="G14" s="25">
        <f t="shared" si="5"/>
        <v>0</v>
      </c>
      <c r="H14" s="25">
        <f t="shared" si="5"/>
        <v>0</v>
      </c>
      <c r="I14" s="25">
        <f t="shared" si="5"/>
        <v>0</v>
      </c>
      <c r="J14" s="28">
        <f>SUM(C14:I14)</f>
        <v>0</v>
      </c>
      <c r="K14" s="31"/>
      <c r="M14" s="1"/>
      <c r="N14" s="7"/>
      <c r="O14" s="25">
        <f t="shared" ref="O14:U14" si="6">SUM(O8:O13)</f>
        <v>0</v>
      </c>
      <c r="P14" s="25">
        <f t="shared" si="6"/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</v>
      </c>
      <c r="U14" s="25">
        <f t="shared" si="6"/>
        <v>0</v>
      </c>
      <c r="V14" s="28">
        <f>SUM(O14:U14)</f>
        <v>0</v>
      </c>
      <c r="W14" s="31"/>
      <c r="Y14" s="36">
        <f>SUM(Y8:Y13)</f>
        <v>0</v>
      </c>
      <c r="Z14" s="37">
        <f>SUM(Z8:Z13)</f>
        <v>0</v>
      </c>
      <c r="AA14" s="38">
        <f>SUM(AA8:AA13)</f>
        <v>0</v>
      </c>
    </row>
    <row r="15" spans="1:27" ht="15" thickBot="1" x14ac:dyDescent="0.4">
      <c r="A15" s="1"/>
      <c r="B15" s="20" t="s">
        <v>19</v>
      </c>
      <c r="C15" s="21">
        <f t="shared" ref="C15:J15" si="7">C14/40</f>
        <v>0</v>
      </c>
      <c r="D15" s="21">
        <f t="shared" si="7"/>
        <v>0</v>
      </c>
      <c r="E15" s="21">
        <f t="shared" si="7"/>
        <v>0</v>
      </c>
      <c r="F15" s="21">
        <f t="shared" si="7"/>
        <v>0</v>
      </c>
      <c r="G15" s="21">
        <f t="shared" si="7"/>
        <v>0</v>
      </c>
      <c r="H15" s="21">
        <f t="shared" si="7"/>
        <v>0</v>
      </c>
      <c r="I15" s="21">
        <f t="shared" si="7"/>
        <v>0</v>
      </c>
      <c r="J15" s="22">
        <f t="shared" si="7"/>
        <v>0</v>
      </c>
      <c r="K15" s="23"/>
      <c r="M15" s="1"/>
      <c r="N15" s="20" t="s">
        <v>19</v>
      </c>
      <c r="O15" s="21">
        <f t="shared" ref="O15:V15" si="8">O14/40</f>
        <v>0</v>
      </c>
      <c r="P15" s="21">
        <f t="shared" si="8"/>
        <v>0</v>
      </c>
      <c r="Q15" s="21">
        <f t="shared" si="8"/>
        <v>0</v>
      </c>
      <c r="R15" s="21">
        <f t="shared" si="8"/>
        <v>0</v>
      </c>
      <c r="S15" s="21">
        <f t="shared" si="8"/>
        <v>0</v>
      </c>
      <c r="T15" s="21">
        <f t="shared" si="8"/>
        <v>0</v>
      </c>
      <c r="U15" s="21">
        <f t="shared" si="8"/>
        <v>0</v>
      </c>
      <c r="V15" s="22">
        <f t="shared" si="8"/>
        <v>0</v>
      </c>
      <c r="W15" s="23"/>
      <c r="Y15" s="42">
        <f>Y14/40</f>
        <v>0</v>
      </c>
      <c r="Z15" s="43">
        <f>Z14/40</f>
        <v>0</v>
      </c>
      <c r="AA15" s="44">
        <f>AA14/40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57C8-6669-47B4-92C0-B801164619FC}">
  <dimension ref="A1:AA15"/>
  <sheetViews>
    <sheetView workbookViewId="0">
      <selection activeCell="R18" sqref="R18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6" width="3.542968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110</v>
      </c>
      <c r="D8" s="11">
        <v>80</v>
      </c>
      <c r="E8" s="11">
        <v>80</v>
      </c>
      <c r="F8" s="11">
        <v>0</v>
      </c>
      <c r="G8" s="11">
        <v>220</v>
      </c>
      <c r="H8" s="11">
        <v>220</v>
      </c>
      <c r="I8" s="11">
        <v>240</v>
      </c>
      <c r="J8" s="15">
        <f>SUM(C8:I8)/40</f>
        <v>23.75</v>
      </c>
      <c r="K8" s="12">
        <v>9</v>
      </c>
      <c r="L8" s="13"/>
      <c r="M8" s="14"/>
      <c r="N8" s="7" t="s">
        <v>13</v>
      </c>
      <c r="O8" s="11">
        <v>110</v>
      </c>
      <c r="P8" s="11">
        <v>80</v>
      </c>
      <c r="Q8" s="11">
        <v>80</v>
      </c>
      <c r="R8" s="11">
        <v>0</v>
      </c>
      <c r="S8" s="11">
        <v>220</v>
      </c>
      <c r="T8" s="11">
        <v>220</v>
      </c>
      <c r="U8" s="11">
        <v>240</v>
      </c>
      <c r="V8" s="15">
        <f>SUM(O8:U8)/40</f>
        <v>23.75</v>
      </c>
      <c r="W8" s="12">
        <v>9</v>
      </c>
      <c r="Y8" s="39">
        <f>J8</f>
        <v>23.75</v>
      </c>
      <c r="Z8" s="40">
        <f>V8</f>
        <v>23.75</v>
      </c>
      <c r="AA8" s="41">
        <f>Y8-Z8</f>
        <v>0</v>
      </c>
    </row>
    <row r="9" spans="1:27" x14ac:dyDescent="0.35">
      <c r="A9" s="14"/>
      <c r="B9" s="7" t="s">
        <v>14</v>
      </c>
      <c r="C9" s="11">
        <v>120</v>
      </c>
      <c r="D9" s="11">
        <v>60</v>
      </c>
      <c r="E9" s="11">
        <v>20</v>
      </c>
      <c r="F9" s="11">
        <v>0</v>
      </c>
      <c r="G9" s="11">
        <v>55</v>
      </c>
      <c r="H9" s="11">
        <v>55</v>
      </c>
      <c r="I9" s="11">
        <v>50</v>
      </c>
      <c r="J9" s="15">
        <f t="shared" ref="J9:J12" si="0">SUM(C9:I9)/40</f>
        <v>9</v>
      </c>
      <c r="K9" s="12">
        <v>3</v>
      </c>
      <c r="L9" s="13"/>
      <c r="M9" s="14"/>
      <c r="N9" s="7" t="s">
        <v>15</v>
      </c>
      <c r="O9" s="11">
        <v>90</v>
      </c>
      <c r="P9" s="11">
        <v>60</v>
      </c>
      <c r="Q9" s="11">
        <v>20</v>
      </c>
      <c r="R9" s="11">
        <v>0</v>
      </c>
      <c r="S9" s="11">
        <v>55</v>
      </c>
      <c r="T9" s="11">
        <v>55</v>
      </c>
      <c r="U9" s="11">
        <v>50</v>
      </c>
      <c r="V9" s="15">
        <f t="shared" ref="V9:V12" si="1">SUM(O9:U9)/40</f>
        <v>8.25</v>
      </c>
      <c r="W9" s="12">
        <v>2</v>
      </c>
      <c r="Y9" s="39">
        <f t="shared" ref="Y9:Y13" si="2">J9</f>
        <v>9</v>
      </c>
      <c r="Z9" s="40">
        <f t="shared" ref="Z9:Z13" si="3">V9</f>
        <v>8.25</v>
      </c>
      <c r="AA9" s="41">
        <f t="shared" ref="AA9:AA13" si="4">Y9-Z9</f>
        <v>0.75</v>
      </c>
    </row>
    <row r="10" spans="1:27" x14ac:dyDescent="0.35">
      <c r="A10" s="14"/>
      <c r="B10" s="7" t="s">
        <v>16</v>
      </c>
      <c r="C10" s="11">
        <v>452</v>
      </c>
      <c r="D10" s="11">
        <v>292</v>
      </c>
      <c r="E10" s="11">
        <v>252</v>
      </c>
      <c r="F10" s="11">
        <v>0</v>
      </c>
      <c r="G10" s="11">
        <v>272</v>
      </c>
      <c r="H10" s="11">
        <v>264</v>
      </c>
      <c r="I10" s="11">
        <v>312</v>
      </c>
      <c r="J10" s="15">
        <f t="shared" si="0"/>
        <v>46.1</v>
      </c>
      <c r="K10" s="12">
        <v>10</v>
      </c>
      <c r="L10" s="13"/>
      <c r="M10" s="14"/>
      <c r="N10" s="7" t="s">
        <v>16</v>
      </c>
      <c r="O10" s="11">
        <v>452</v>
      </c>
      <c r="P10" s="11">
        <v>292</v>
      </c>
      <c r="Q10" s="11">
        <v>252</v>
      </c>
      <c r="R10" s="11">
        <v>0</v>
      </c>
      <c r="S10" s="11">
        <v>272</v>
      </c>
      <c r="T10" s="11">
        <v>264</v>
      </c>
      <c r="U10" s="11">
        <v>312</v>
      </c>
      <c r="V10" s="15">
        <f t="shared" si="1"/>
        <v>46.1</v>
      </c>
      <c r="W10" s="12">
        <v>10</v>
      </c>
      <c r="Y10" s="39">
        <f t="shared" si="2"/>
        <v>46.1</v>
      </c>
      <c r="Z10" s="40">
        <f t="shared" si="3"/>
        <v>46.1</v>
      </c>
      <c r="AA10" s="41">
        <f t="shared" si="4"/>
        <v>0</v>
      </c>
    </row>
    <row r="11" spans="1:27" x14ac:dyDescent="0.35">
      <c r="A11" s="16"/>
      <c r="B11" s="17" t="s">
        <v>24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24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17</v>
      </c>
      <c r="C12" s="11"/>
      <c r="D12" s="11">
        <f>80+120+40+120+80</f>
        <v>440</v>
      </c>
      <c r="E12" s="11">
        <f>80+120+80+360+80</f>
        <v>720</v>
      </c>
      <c r="F12" s="11">
        <f>80+120+760+120</f>
        <v>1080</v>
      </c>
      <c r="G12" s="11">
        <f>80+80+40+440</f>
        <v>640</v>
      </c>
      <c r="H12" s="11">
        <f>80+80+80+560</f>
        <v>800</v>
      </c>
      <c r="I12" s="11">
        <f>80+80+40+840+80</f>
        <v>1120</v>
      </c>
      <c r="J12" s="15">
        <f t="shared" si="0"/>
        <v>120</v>
      </c>
      <c r="K12" s="12">
        <v>9</v>
      </c>
      <c r="L12" s="13"/>
      <c r="M12" s="16"/>
      <c r="N12" s="17" t="s">
        <v>18</v>
      </c>
      <c r="O12" s="11"/>
      <c r="P12" s="11">
        <v>200</v>
      </c>
      <c r="Q12" s="11">
        <v>440</v>
      </c>
      <c r="R12" s="11">
        <v>760</v>
      </c>
      <c r="S12" s="11">
        <v>400</v>
      </c>
      <c r="T12" s="11">
        <v>520</v>
      </c>
      <c r="U12" s="11">
        <v>800</v>
      </c>
      <c r="V12" s="15">
        <f t="shared" si="1"/>
        <v>78</v>
      </c>
      <c r="W12" s="12">
        <v>5</v>
      </c>
      <c r="Y12" s="39">
        <f t="shared" si="2"/>
        <v>120</v>
      </c>
      <c r="Z12" s="40">
        <f t="shared" si="3"/>
        <v>78</v>
      </c>
      <c r="AA12" s="41">
        <f t="shared" si="4"/>
        <v>42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 t="s">
        <v>35</v>
      </c>
      <c r="O13" s="11"/>
      <c r="P13" s="11">
        <v>10</v>
      </c>
      <c r="Q13" s="11">
        <v>20</v>
      </c>
      <c r="R13" s="11">
        <v>10</v>
      </c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682</v>
      </c>
      <c r="D14" s="25">
        <f t="shared" si="5"/>
        <v>872</v>
      </c>
      <c r="E14" s="25">
        <f t="shared" si="5"/>
        <v>1072</v>
      </c>
      <c r="F14" s="25">
        <f t="shared" si="5"/>
        <v>1080</v>
      </c>
      <c r="G14" s="25">
        <f t="shared" si="5"/>
        <v>1187</v>
      </c>
      <c r="H14" s="25">
        <f t="shared" si="5"/>
        <v>1339</v>
      </c>
      <c r="I14" s="25">
        <f t="shared" si="5"/>
        <v>1722</v>
      </c>
      <c r="J14" s="28">
        <f>SUM(C14:I14)</f>
        <v>7954</v>
      </c>
      <c r="K14" s="31"/>
      <c r="M14" s="1"/>
      <c r="N14" s="7"/>
      <c r="O14" s="25">
        <f t="shared" ref="O14:U14" si="6">SUM(O8:O13)</f>
        <v>652</v>
      </c>
      <c r="P14" s="25">
        <f t="shared" si="6"/>
        <v>642</v>
      </c>
      <c r="Q14" s="25">
        <f t="shared" si="6"/>
        <v>812</v>
      </c>
      <c r="R14" s="25">
        <f t="shared" si="6"/>
        <v>770</v>
      </c>
      <c r="S14" s="25">
        <f t="shared" si="6"/>
        <v>947</v>
      </c>
      <c r="T14" s="25">
        <f t="shared" si="6"/>
        <v>1059</v>
      </c>
      <c r="U14" s="25">
        <f t="shared" si="6"/>
        <v>1402</v>
      </c>
      <c r="V14" s="28">
        <f>SUM(O14:U14)</f>
        <v>6284</v>
      </c>
      <c r="W14" s="31"/>
      <c r="Y14" s="36">
        <f>SUM(Y8:Y13)</f>
        <v>198.85</v>
      </c>
      <c r="Z14" s="37">
        <f>SUM(Z8:Z13)</f>
        <v>156.1</v>
      </c>
      <c r="AA14" s="38">
        <f>SUM(AA8:AA13)</f>
        <v>42.75</v>
      </c>
    </row>
    <row r="15" spans="1:27" ht="15" thickBot="1" x14ac:dyDescent="0.4">
      <c r="A15" s="1"/>
      <c r="B15" s="20" t="s">
        <v>19</v>
      </c>
      <c r="C15" s="21">
        <f t="shared" ref="C15:J15" si="7">C14/40</f>
        <v>17.05</v>
      </c>
      <c r="D15" s="21">
        <f t="shared" si="7"/>
        <v>21.8</v>
      </c>
      <c r="E15" s="21">
        <f t="shared" si="7"/>
        <v>26.8</v>
      </c>
      <c r="F15" s="21">
        <f t="shared" si="7"/>
        <v>27</v>
      </c>
      <c r="G15" s="21">
        <f t="shared" si="7"/>
        <v>29.675000000000001</v>
      </c>
      <c r="H15" s="21">
        <f t="shared" si="7"/>
        <v>33.475000000000001</v>
      </c>
      <c r="I15" s="21">
        <f t="shared" si="7"/>
        <v>43.05</v>
      </c>
      <c r="J15" s="22">
        <f t="shared" si="7"/>
        <v>198.85</v>
      </c>
      <c r="K15" s="23"/>
      <c r="M15" s="1"/>
      <c r="N15" s="20" t="s">
        <v>19</v>
      </c>
      <c r="O15" s="21">
        <f t="shared" ref="O15:V15" si="8">O14/40</f>
        <v>16.3</v>
      </c>
      <c r="P15" s="21">
        <f t="shared" si="8"/>
        <v>16.05</v>
      </c>
      <c r="Q15" s="21">
        <f t="shared" si="8"/>
        <v>20.3</v>
      </c>
      <c r="R15" s="21">
        <f t="shared" si="8"/>
        <v>19.25</v>
      </c>
      <c r="S15" s="21">
        <f t="shared" si="8"/>
        <v>23.675000000000001</v>
      </c>
      <c r="T15" s="21">
        <f t="shared" si="8"/>
        <v>26.475000000000001</v>
      </c>
      <c r="U15" s="21">
        <f t="shared" si="8"/>
        <v>35.049999999999997</v>
      </c>
      <c r="V15" s="22">
        <f t="shared" si="8"/>
        <v>157.1</v>
      </c>
      <c r="W15" s="23"/>
      <c r="Y15" s="42">
        <f>Y14/40</f>
        <v>4.9712499999999995</v>
      </c>
      <c r="Z15" s="43">
        <f>Z14/40</f>
        <v>3.9024999999999999</v>
      </c>
      <c r="AA15" s="44">
        <f>AA14/40</f>
        <v>1.0687500000000001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B511-BA97-45BD-9562-F3C78F09ECB1}">
  <dimension ref="A1:AA15"/>
  <sheetViews>
    <sheetView workbookViewId="0">
      <selection activeCell="V13" sqref="V13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198</v>
      </c>
      <c r="D8" s="11">
        <v>56</v>
      </c>
      <c r="E8" s="11">
        <v>56</v>
      </c>
      <c r="F8" s="11">
        <v>0</v>
      </c>
      <c r="G8" s="11">
        <v>61</v>
      </c>
      <c r="H8" s="11">
        <v>54</v>
      </c>
      <c r="I8" s="11">
        <v>63</v>
      </c>
      <c r="J8" s="15">
        <f>SUM(C8:I8)/40</f>
        <v>12.2</v>
      </c>
      <c r="K8" s="12">
        <v>9</v>
      </c>
      <c r="L8" s="13"/>
      <c r="M8" s="14"/>
      <c r="N8" s="7" t="s">
        <v>13</v>
      </c>
      <c r="O8" s="11">
        <v>196</v>
      </c>
      <c r="P8" s="11">
        <v>56</v>
      </c>
      <c r="Q8" s="11">
        <v>53</v>
      </c>
      <c r="R8" s="11"/>
      <c r="S8" s="11">
        <v>58</v>
      </c>
      <c r="T8" s="11">
        <v>53</v>
      </c>
      <c r="U8" s="11">
        <v>56</v>
      </c>
      <c r="V8" s="15">
        <f>SUM(O8:U8)/40</f>
        <v>11.8</v>
      </c>
      <c r="W8" s="12">
        <v>9</v>
      </c>
      <c r="Y8" s="39">
        <f>J8</f>
        <v>12.2</v>
      </c>
      <c r="Z8" s="40">
        <f>V8</f>
        <v>11.8</v>
      </c>
      <c r="AA8" s="41">
        <f>Y8-Z8</f>
        <v>0.39999999999999858</v>
      </c>
    </row>
    <row r="9" spans="1:27" x14ac:dyDescent="0.35">
      <c r="A9" s="14"/>
      <c r="B9" s="7" t="s">
        <v>14</v>
      </c>
      <c r="C9" s="11">
        <v>12</v>
      </c>
      <c r="D9" s="11">
        <v>19</v>
      </c>
      <c r="E9" s="11">
        <v>18</v>
      </c>
      <c r="F9" s="11">
        <v>21</v>
      </c>
      <c r="G9" s="11">
        <v>146</v>
      </c>
      <c r="H9" s="11">
        <v>86</v>
      </c>
      <c r="I9" s="11">
        <v>186</v>
      </c>
      <c r="J9" s="15">
        <f t="shared" ref="J9:J13" si="0">SUM(C9:I9)/40</f>
        <v>12.2</v>
      </c>
      <c r="K9" s="12">
        <v>8</v>
      </c>
      <c r="L9" s="13"/>
      <c r="M9" s="14"/>
      <c r="N9" s="7" t="s">
        <v>15</v>
      </c>
      <c r="O9" s="11">
        <v>12</v>
      </c>
      <c r="P9" s="11">
        <v>19</v>
      </c>
      <c r="Q9" s="11">
        <v>18</v>
      </c>
      <c r="R9" s="11">
        <v>21</v>
      </c>
      <c r="S9" s="11">
        <v>146</v>
      </c>
      <c r="T9" s="11">
        <v>86</v>
      </c>
      <c r="U9" s="11">
        <v>186</v>
      </c>
      <c r="V9" s="15">
        <f t="shared" ref="V9:V13" si="1">SUM(O9:U9)/40</f>
        <v>12.2</v>
      </c>
      <c r="W9" s="12">
        <v>8</v>
      </c>
      <c r="Y9" s="39">
        <f t="shared" ref="Y9:Y13" si="2">J9</f>
        <v>12.2</v>
      </c>
      <c r="Z9" s="40">
        <f t="shared" ref="Z9:Z13" si="3">V9</f>
        <v>12.2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11">
        <v>160</v>
      </c>
      <c r="D10" s="11">
        <v>72</v>
      </c>
      <c r="E10" s="11">
        <v>72</v>
      </c>
      <c r="F10" s="11">
        <v>0</v>
      </c>
      <c r="G10" s="11">
        <v>200</v>
      </c>
      <c r="H10" s="11">
        <v>40</v>
      </c>
      <c r="I10" s="11">
        <v>180</v>
      </c>
      <c r="J10" s="15">
        <f t="shared" si="0"/>
        <v>18.100000000000001</v>
      </c>
      <c r="K10" s="12">
        <v>7</v>
      </c>
      <c r="L10" s="13"/>
      <c r="M10" s="14"/>
      <c r="N10" s="7" t="s">
        <v>16</v>
      </c>
      <c r="O10" s="11">
        <v>160</v>
      </c>
      <c r="P10" s="11">
        <v>72</v>
      </c>
      <c r="Q10" s="11">
        <v>72</v>
      </c>
      <c r="R10" s="11">
        <v>0</v>
      </c>
      <c r="S10" s="11">
        <v>200</v>
      </c>
      <c r="T10" s="11">
        <v>40</v>
      </c>
      <c r="U10" s="11">
        <v>180</v>
      </c>
      <c r="V10" s="15">
        <f t="shared" si="1"/>
        <v>18.100000000000001</v>
      </c>
      <c r="W10" s="12">
        <v>7</v>
      </c>
      <c r="Y10" s="39">
        <f t="shared" si="2"/>
        <v>18.100000000000001</v>
      </c>
      <c r="Z10" s="40">
        <f t="shared" si="3"/>
        <v>18.100000000000001</v>
      </c>
      <c r="AA10" s="41">
        <f t="shared" si="4"/>
        <v>0</v>
      </c>
    </row>
    <row r="11" spans="1:27" x14ac:dyDescent="0.35">
      <c r="A11" s="16"/>
      <c r="B11" s="17" t="s">
        <v>24</v>
      </c>
      <c r="C11" s="11">
        <v>96</v>
      </c>
      <c r="D11" s="11">
        <v>74</v>
      </c>
      <c r="E11" s="11">
        <v>74</v>
      </c>
      <c r="F11" s="11">
        <v>74</v>
      </c>
      <c r="G11" s="11"/>
      <c r="H11" s="11"/>
      <c r="I11" s="11"/>
      <c r="J11" s="15">
        <f t="shared" si="0"/>
        <v>7.95</v>
      </c>
      <c r="K11" s="12">
        <v>5</v>
      </c>
      <c r="L11" s="13"/>
      <c r="M11" s="16"/>
      <c r="N11" s="17" t="s">
        <v>24</v>
      </c>
      <c r="O11" s="11">
        <v>84</v>
      </c>
      <c r="P11" s="11">
        <v>74</v>
      </c>
      <c r="Q11" s="11">
        <v>74</v>
      </c>
      <c r="R11" s="11">
        <v>74</v>
      </c>
      <c r="S11" s="11"/>
      <c r="T11" s="11"/>
      <c r="U11" s="11"/>
      <c r="V11" s="15">
        <f t="shared" si="1"/>
        <v>7.65</v>
      </c>
      <c r="W11" s="12">
        <v>5</v>
      </c>
      <c r="Y11" s="39">
        <f t="shared" si="2"/>
        <v>7.95</v>
      </c>
      <c r="Z11" s="40">
        <f t="shared" si="3"/>
        <v>7.65</v>
      </c>
      <c r="AA11" s="41">
        <f t="shared" si="4"/>
        <v>0.29999999999999982</v>
      </c>
    </row>
    <row r="12" spans="1:27" x14ac:dyDescent="0.35">
      <c r="A12" s="16"/>
      <c r="B12" s="17" t="s">
        <v>17</v>
      </c>
      <c r="C12" s="11">
        <v>240</v>
      </c>
      <c r="D12" s="11">
        <v>640</v>
      </c>
      <c r="E12" s="11">
        <v>440</v>
      </c>
      <c r="F12" s="11">
        <v>840</v>
      </c>
      <c r="G12" s="11">
        <v>540</v>
      </c>
      <c r="H12" s="11">
        <v>400</v>
      </c>
      <c r="I12" s="11">
        <v>800</v>
      </c>
      <c r="J12" s="15">
        <f t="shared" si="0"/>
        <v>97.5</v>
      </c>
      <c r="K12" s="12">
        <v>6</v>
      </c>
      <c r="L12" s="13"/>
      <c r="M12" s="16"/>
      <c r="N12" s="17" t="s">
        <v>18</v>
      </c>
      <c r="O12" s="11"/>
      <c r="P12" s="11">
        <v>79</v>
      </c>
      <c r="Q12" s="11">
        <v>120</v>
      </c>
      <c r="R12" s="11">
        <v>120</v>
      </c>
      <c r="S12" s="11">
        <v>160</v>
      </c>
      <c r="T12" s="11">
        <v>200</v>
      </c>
      <c r="U12" s="11">
        <v>160</v>
      </c>
      <c r="V12" s="15">
        <f t="shared" si="1"/>
        <v>20.975000000000001</v>
      </c>
      <c r="W12" s="12">
        <v>2</v>
      </c>
      <c r="Y12" s="39">
        <f t="shared" si="2"/>
        <v>97.5</v>
      </c>
      <c r="Z12" s="40">
        <f t="shared" si="3"/>
        <v>20.975000000000001</v>
      </c>
      <c r="AA12" s="41">
        <f t="shared" si="4"/>
        <v>76.525000000000006</v>
      </c>
    </row>
    <row r="13" spans="1:27" x14ac:dyDescent="0.35">
      <c r="A13" s="16"/>
      <c r="B13" s="17" t="s">
        <v>34</v>
      </c>
      <c r="C13" s="11">
        <v>20</v>
      </c>
      <c r="D13" s="11"/>
      <c r="E13" s="11"/>
      <c r="F13" s="11"/>
      <c r="G13" s="11">
        <v>10</v>
      </c>
      <c r="H13" s="11">
        <v>10</v>
      </c>
      <c r="I13" s="11">
        <v>40</v>
      </c>
      <c r="J13" s="15">
        <f t="shared" si="0"/>
        <v>2</v>
      </c>
      <c r="K13" s="18">
        <v>2</v>
      </c>
      <c r="M13" s="16"/>
      <c r="N13" s="17" t="s">
        <v>34</v>
      </c>
      <c r="O13" s="11">
        <v>20</v>
      </c>
      <c r="P13" s="11">
        <v>0</v>
      </c>
      <c r="Q13" s="11">
        <v>0</v>
      </c>
      <c r="R13" s="11"/>
      <c r="S13" s="11">
        <v>10</v>
      </c>
      <c r="T13" s="11">
        <v>10</v>
      </c>
      <c r="U13" s="11">
        <v>20</v>
      </c>
      <c r="V13" s="15">
        <f t="shared" si="1"/>
        <v>1.5</v>
      </c>
      <c r="W13" s="12">
        <v>1</v>
      </c>
      <c r="Y13" s="39">
        <f t="shared" si="2"/>
        <v>2</v>
      </c>
      <c r="Z13" s="40">
        <f t="shared" si="3"/>
        <v>1.5</v>
      </c>
      <c r="AA13" s="41">
        <f t="shared" si="4"/>
        <v>0.5</v>
      </c>
    </row>
    <row r="14" spans="1:27" x14ac:dyDescent="0.35">
      <c r="A14" s="1"/>
      <c r="B14" s="7"/>
      <c r="C14" s="25">
        <f t="shared" ref="C14:I14" si="5">SUM(C8:C13)</f>
        <v>726</v>
      </c>
      <c r="D14" s="25">
        <f t="shared" si="5"/>
        <v>861</v>
      </c>
      <c r="E14" s="25">
        <f t="shared" si="5"/>
        <v>660</v>
      </c>
      <c r="F14" s="25">
        <f t="shared" si="5"/>
        <v>935</v>
      </c>
      <c r="G14" s="25">
        <f t="shared" si="5"/>
        <v>957</v>
      </c>
      <c r="H14" s="25">
        <f t="shared" si="5"/>
        <v>590</v>
      </c>
      <c r="I14" s="25">
        <f t="shared" si="5"/>
        <v>1269</v>
      </c>
      <c r="J14" s="28">
        <f>SUM(C14:I14)</f>
        <v>5998</v>
      </c>
      <c r="K14" s="31"/>
      <c r="M14" s="1"/>
      <c r="N14" s="7"/>
      <c r="O14" s="25">
        <f t="shared" ref="O14:U14" si="6">SUM(O8:O13)</f>
        <v>472</v>
      </c>
      <c r="P14" s="25">
        <f t="shared" si="6"/>
        <v>300</v>
      </c>
      <c r="Q14" s="25">
        <f t="shared" si="6"/>
        <v>337</v>
      </c>
      <c r="R14" s="25">
        <f t="shared" si="6"/>
        <v>215</v>
      </c>
      <c r="S14" s="25">
        <f t="shared" si="6"/>
        <v>574</v>
      </c>
      <c r="T14" s="25">
        <f t="shared" si="6"/>
        <v>389</v>
      </c>
      <c r="U14" s="25">
        <f t="shared" si="6"/>
        <v>602</v>
      </c>
      <c r="V14" s="28">
        <f>SUM(O14:U14)</f>
        <v>2889</v>
      </c>
      <c r="W14" s="31"/>
      <c r="Y14" s="36">
        <f>SUM(Y8:Y13)</f>
        <v>149.94999999999999</v>
      </c>
      <c r="Z14" s="37">
        <f>SUM(Z8:Z13)</f>
        <v>72.224999999999994</v>
      </c>
      <c r="AA14" s="38">
        <f>SUM(AA8:AA13)</f>
        <v>77.725000000000009</v>
      </c>
    </row>
    <row r="15" spans="1:27" ht="15" thickBot="1" x14ac:dyDescent="0.4">
      <c r="A15" s="1"/>
      <c r="B15" s="20" t="s">
        <v>19</v>
      </c>
      <c r="C15" s="21">
        <f t="shared" ref="C15:J15" si="7">C14/40</f>
        <v>18.149999999999999</v>
      </c>
      <c r="D15" s="21">
        <f t="shared" si="7"/>
        <v>21.524999999999999</v>
      </c>
      <c r="E15" s="21">
        <f t="shared" si="7"/>
        <v>16.5</v>
      </c>
      <c r="F15" s="21">
        <f t="shared" si="7"/>
        <v>23.375</v>
      </c>
      <c r="G15" s="21">
        <f t="shared" si="7"/>
        <v>23.925000000000001</v>
      </c>
      <c r="H15" s="21">
        <f t="shared" si="7"/>
        <v>14.75</v>
      </c>
      <c r="I15" s="21">
        <f t="shared" si="7"/>
        <v>31.725000000000001</v>
      </c>
      <c r="J15" s="22">
        <f t="shared" si="7"/>
        <v>149.94999999999999</v>
      </c>
      <c r="K15" s="23"/>
      <c r="M15" s="1"/>
      <c r="N15" s="20" t="s">
        <v>19</v>
      </c>
      <c r="O15" s="21">
        <f t="shared" ref="O15:V15" si="8">O14/40</f>
        <v>11.8</v>
      </c>
      <c r="P15" s="21">
        <f t="shared" si="8"/>
        <v>7.5</v>
      </c>
      <c r="Q15" s="21">
        <f t="shared" si="8"/>
        <v>8.4250000000000007</v>
      </c>
      <c r="R15" s="21">
        <f t="shared" si="8"/>
        <v>5.375</v>
      </c>
      <c r="S15" s="21">
        <f t="shared" si="8"/>
        <v>14.35</v>
      </c>
      <c r="T15" s="21">
        <f t="shared" si="8"/>
        <v>9.7249999999999996</v>
      </c>
      <c r="U15" s="21">
        <f t="shared" si="8"/>
        <v>15.05</v>
      </c>
      <c r="V15" s="22">
        <f t="shared" si="8"/>
        <v>72.224999999999994</v>
      </c>
      <c r="W15" s="23"/>
      <c r="Y15" s="42">
        <f>Y14/40</f>
        <v>3.7487499999999998</v>
      </c>
      <c r="Z15" s="43">
        <f>Z14/40</f>
        <v>1.8056249999999998</v>
      </c>
      <c r="AA15" s="44">
        <f>AA14/40</f>
        <v>1.9431250000000002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B926-7A0E-4186-8371-73B2B7C1B1B1}">
  <dimension ref="A1:AA15"/>
  <sheetViews>
    <sheetView topLeftCell="A2" workbookViewId="0">
      <selection activeCell="W18" sqref="W18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160</v>
      </c>
      <c r="D8" s="11">
        <v>40</v>
      </c>
      <c r="E8" s="11">
        <v>40</v>
      </c>
      <c r="F8" s="11">
        <v>0</v>
      </c>
      <c r="G8" s="11">
        <v>55</v>
      </c>
      <c r="H8" s="11">
        <v>60</v>
      </c>
      <c r="I8" s="11">
        <v>65</v>
      </c>
      <c r="J8" s="15">
        <f>SUM(C8:I8)/40</f>
        <v>10.5</v>
      </c>
      <c r="K8" s="12">
        <v>11</v>
      </c>
      <c r="L8" s="13"/>
      <c r="M8" s="14"/>
      <c r="N8" s="7" t="s">
        <v>13</v>
      </c>
      <c r="O8" s="11">
        <v>120</v>
      </c>
      <c r="P8" s="11">
        <v>40</v>
      </c>
      <c r="Q8" s="11">
        <v>40</v>
      </c>
      <c r="R8" s="11">
        <v>0</v>
      </c>
      <c r="S8" s="11">
        <v>55</v>
      </c>
      <c r="T8" s="11">
        <v>60</v>
      </c>
      <c r="U8" s="11">
        <v>65</v>
      </c>
      <c r="V8" s="15">
        <f>SUM(O8:U8)/40</f>
        <v>9.5</v>
      </c>
      <c r="W8" s="12">
        <v>11</v>
      </c>
      <c r="Y8" s="39">
        <f>J8</f>
        <v>10.5</v>
      </c>
      <c r="Z8" s="40">
        <f>V8</f>
        <v>9.5</v>
      </c>
      <c r="AA8" s="41">
        <f>Y8-Z8</f>
        <v>1</v>
      </c>
    </row>
    <row r="9" spans="1:27" x14ac:dyDescent="0.35">
      <c r="A9" s="14"/>
      <c r="B9" s="7" t="s">
        <v>14</v>
      </c>
      <c r="C9" s="11">
        <v>22</v>
      </c>
      <c r="D9" s="11">
        <v>6</v>
      </c>
      <c r="E9" s="11">
        <v>6</v>
      </c>
      <c r="F9" s="11">
        <v>0</v>
      </c>
      <c r="G9" s="11">
        <v>80</v>
      </c>
      <c r="H9" s="11">
        <v>50</v>
      </c>
      <c r="I9" s="11">
        <v>60</v>
      </c>
      <c r="J9" s="15">
        <f t="shared" ref="J9:J13" si="0">SUM(C9:I9)/40</f>
        <v>5.6</v>
      </c>
      <c r="K9" s="12">
        <v>9</v>
      </c>
      <c r="L9" s="13"/>
      <c r="M9" s="14"/>
      <c r="N9" s="7" t="s">
        <v>15</v>
      </c>
      <c r="O9" s="11">
        <v>22</v>
      </c>
      <c r="P9" s="11">
        <v>6</v>
      </c>
      <c r="Q9" s="11">
        <v>6</v>
      </c>
      <c r="R9" s="11">
        <v>0</v>
      </c>
      <c r="S9" s="11">
        <v>56</v>
      </c>
      <c r="T9" s="11">
        <v>50</v>
      </c>
      <c r="U9" s="11">
        <v>60</v>
      </c>
      <c r="V9" s="15">
        <f t="shared" ref="V9:V13" si="1">SUM(O9:U9)/40</f>
        <v>5</v>
      </c>
      <c r="W9" s="12">
        <v>5</v>
      </c>
      <c r="Y9" s="39">
        <f t="shared" ref="Y9:Y13" si="2">J9</f>
        <v>5.6</v>
      </c>
      <c r="Z9" s="40">
        <f t="shared" ref="Z9:Z13" si="3">V9</f>
        <v>5</v>
      </c>
      <c r="AA9" s="41">
        <f t="shared" ref="AA9:AA13" si="4">Y9-Z9</f>
        <v>0.59999999999999964</v>
      </c>
    </row>
    <row r="10" spans="1:27" x14ac:dyDescent="0.35">
      <c r="A10" s="14"/>
      <c r="B10" s="7" t="s">
        <v>16</v>
      </c>
      <c r="C10" s="11">
        <v>160</v>
      </c>
      <c r="D10" s="11">
        <v>0</v>
      </c>
      <c r="E10" s="11">
        <v>0</v>
      </c>
      <c r="F10" s="11"/>
      <c r="G10" s="11">
        <v>126</v>
      </c>
      <c r="H10" s="11">
        <v>44</v>
      </c>
      <c r="I10" s="11">
        <v>134</v>
      </c>
      <c r="J10" s="15">
        <f t="shared" si="0"/>
        <v>11.6</v>
      </c>
      <c r="K10" s="12">
        <v>10</v>
      </c>
      <c r="L10" s="13"/>
      <c r="M10" s="14"/>
      <c r="N10" s="7" t="s">
        <v>16</v>
      </c>
      <c r="O10" s="11">
        <v>120</v>
      </c>
      <c r="P10" s="11">
        <v>0</v>
      </c>
      <c r="Q10" s="11">
        <v>0</v>
      </c>
      <c r="R10" s="11">
        <v>0</v>
      </c>
      <c r="S10" s="11">
        <v>125</v>
      </c>
      <c r="T10" s="11">
        <v>44</v>
      </c>
      <c r="U10" s="11">
        <v>134</v>
      </c>
      <c r="V10" s="15">
        <f t="shared" si="1"/>
        <v>10.574999999999999</v>
      </c>
      <c r="W10" s="12">
        <v>9</v>
      </c>
      <c r="Y10" s="39">
        <f t="shared" si="2"/>
        <v>11.6</v>
      </c>
      <c r="Z10" s="40">
        <f t="shared" si="3"/>
        <v>10.574999999999999</v>
      </c>
      <c r="AA10" s="41">
        <f t="shared" si="4"/>
        <v>1.0250000000000004</v>
      </c>
    </row>
    <row r="11" spans="1:27" x14ac:dyDescent="0.35">
      <c r="A11" s="16"/>
      <c r="B11" s="17" t="s">
        <v>24</v>
      </c>
      <c r="C11" s="11">
        <v>40</v>
      </c>
      <c r="D11" s="11">
        <v>6</v>
      </c>
      <c r="E11" s="11">
        <v>6</v>
      </c>
      <c r="F11" s="11">
        <v>6</v>
      </c>
      <c r="G11" s="11">
        <v>6</v>
      </c>
      <c r="H11" s="11">
        <v>6</v>
      </c>
      <c r="I11" s="11">
        <v>6</v>
      </c>
      <c r="J11" s="15">
        <f t="shared" si="0"/>
        <v>1.9</v>
      </c>
      <c r="K11" s="12">
        <v>1</v>
      </c>
      <c r="L11" s="13"/>
      <c r="M11" s="16"/>
      <c r="N11" s="17" t="s">
        <v>24</v>
      </c>
      <c r="O11" s="11">
        <v>40</v>
      </c>
      <c r="P11" s="11">
        <v>6</v>
      </c>
      <c r="Q11" s="11">
        <v>6</v>
      </c>
      <c r="R11" s="11">
        <v>6</v>
      </c>
      <c r="S11" s="11">
        <v>6</v>
      </c>
      <c r="T11" s="11">
        <v>6</v>
      </c>
      <c r="U11" s="11">
        <v>6</v>
      </c>
      <c r="V11" s="15">
        <f t="shared" si="1"/>
        <v>1.9</v>
      </c>
      <c r="W11" s="12">
        <v>1</v>
      </c>
      <c r="Y11" s="39">
        <f t="shared" si="2"/>
        <v>1.9</v>
      </c>
      <c r="Z11" s="40">
        <f t="shared" si="3"/>
        <v>1.9</v>
      </c>
      <c r="AA11" s="41">
        <f t="shared" si="4"/>
        <v>0</v>
      </c>
    </row>
    <row r="12" spans="1:27" x14ac:dyDescent="0.35">
      <c r="A12" s="16"/>
      <c r="B12" s="17" t="s">
        <v>17</v>
      </c>
      <c r="C12" s="11">
        <v>240</v>
      </c>
      <c r="D12" s="11">
        <v>640</v>
      </c>
      <c r="E12" s="11">
        <v>440</v>
      </c>
      <c r="F12" s="11">
        <v>840</v>
      </c>
      <c r="G12" s="11">
        <v>540</v>
      </c>
      <c r="H12" s="11">
        <v>400</v>
      </c>
      <c r="I12" s="11">
        <v>800</v>
      </c>
      <c r="J12" s="15">
        <f t="shared" si="0"/>
        <v>97.5</v>
      </c>
      <c r="K12" s="12">
        <v>10</v>
      </c>
      <c r="L12" s="13"/>
      <c r="M12" s="16"/>
      <c r="N12" s="17" t="s">
        <v>18</v>
      </c>
      <c r="O12" s="11">
        <v>4040</v>
      </c>
      <c r="P12" s="11">
        <v>2200</v>
      </c>
      <c r="Q12" s="11">
        <v>1960</v>
      </c>
      <c r="R12" s="11">
        <v>1280</v>
      </c>
      <c r="S12" s="11">
        <f>4520+880</f>
        <v>5400</v>
      </c>
      <c r="T12" s="11">
        <f>3580+640</f>
        <v>4220</v>
      </c>
      <c r="U12" s="11">
        <f>3400+880+2000</f>
        <v>6280</v>
      </c>
      <c r="V12" s="15">
        <f t="shared" si="1"/>
        <v>634.5</v>
      </c>
      <c r="W12" s="12">
        <v>7</v>
      </c>
      <c r="Y12" s="39">
        <f t="shared" si="2"/>
        <v>97.5</v>
      </c>
      <c r="Z12" s="40">
        <f t="shared" si="3"/>
        <v>634.5</v>
      </c>
      <c r="AA12" s="41">
        <f t="shared" si="4"/>
        <v>-537</v>
      </c>
    </row>
    <row r="13" spans="1:27" x14ac:dyDescent="0.35">
      <c r="A13" s="16"/>
      <c r="B13" s="17" t="s">
        <v>34</v>
      </c>
      <c r="C13" s="11">
        <v>24</v>
      </c>
      <c r="D13" s="11">
        <v>16</v>
      </c>
      <c r="E13" s="11">
        <v>16</v>
      </c>
      <c r="F13" s="11">
        <v>4</v>
      </c>
      <c r="G13" s="11">
        <v>4</v>
      </c>
      <c r="H13" s="11">
        <v>4</v>
      </c>
      <c r="I13" s="11">
        <v>4</v>
      </c>
      <c r="J13" s="15">
        <f t="shared" si="0"/>
        <v>1.8</v>
      </c>
      <c r="K13" s="12">
        <v>2</v>
      </c>
      <c r="M13" s="16"/>
      <c r="N13" s="17" t="s">
        <v>36</v>
      </c>
      <c r="O13" s="11">
        <v>24</v>
      </c>
      <c r="P13" s="11">
        <v>16</v>
      </c>
      <c r="Q13" s="11">
        <v>16</v>
      </c>
      <c r="R13" s="11">
        <v>4</v>
      </c>
      <c r="S13" s="11">
        <v>4</v>
      </c>
      <c r="T13" s="11">
        <v>4</v>
      </c>
      <c r="U13" s="11">
        <v>4</v>
      </c>
      <c r="V13" s="15">
        <f t="shared" si="1"/>
        <v>1.8</v>
      </c>
      <c r="W13" s="12">
        <v>2</v>
      </c>
      <c r="Y13" s="39">
        <f t="shared" si="2"/>
        <v>1.8</v>
      </c>
      <c r="Z13" s="40">
        <f t="shared" si="3"/>
        <v>1.8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646</v>
      </c>
      <c r="D14" s="25">
        <f t="shared" si="5"/>
        <v>708</v>
      </c>
      <c r="E14" s="25">
        <f t="shared" si="5"/>
        <v>508</v>
      </c>
      <c r="F14" s="25">
        <f t="shared" si="5"/>
        <v>850</v>
      </c>
      <c r="G14" s="25">
        <f t="shared" si="5"/>
        <v>811</v>
      </c>
      <c r="H14" s="25">
        <f t="shared" si="5"/>
        <v>564</v>
      </c>
      <c r="I14" s="25">
        <f t="shared" si="5"/>
        <v>1069</v>
      </c>
      <c r="J14" s="28">
        <f>SUM(C14:I14)</f>
        <v>5156</v>
      </c>
      <c r="K14" s="31"/>
      <c r="M14" s="1"/>
      <c r="N14" s="7"/>
      <c r="O14" s="25">
        <f t="shared" ref="O14:U14" si="6">SUM(O8:O13)</f>
        <v>4366</v>
      </c>
      <c r="P14" s="25">
        <f t="shared" si="6"/>
        <v>2268</v>
      </c>
      <c r="Q14" s="25">
        <f t="shared" si="6"/>
        <v>2028</v>
      </c>
      <c r="R14" s="25">
        <f t="shared" si="6"/>
        <v>1290</v>
      </c>
      <c r="S14" s="25">
        <f t="shared" si="6"/>
        <v>5646</v>
      </c>
      <c r="T14" s="25">
        <f t="shared" si="6"/>
        <v>4384</v>
      </c>
      <c r="U14" s="25">
        <f t="shared" si="6"/>
        <v>6549</v>
      </c>
      <c r="V14" s="28">
        <f>SUM(O14:U14)</f>
        <v>26531</v>
      </c>
      <c r="W14" s="31"/>
      <c r="Y14" s="36">
        <f>SUM(Y8:Y13)</f>
        <v>128.9</v>
      </c>
      <c r="Z14" s="37">
        <f>SUM(Z8:Z13)</f>
        <v>663.27499999999998</v>
      </c>
      <c r="AA14" s="38">
        <f>SUM(AA8:AA13)</f>
        <v>-534.375</v>
      </c>
    </row>
    <row r="15" spans="1:27" ht="15" thickBot="1" x14ac:dyDescent="0.4">
      <c r="A15" s="1"/>
      <c r="B15" s="20" t="s">
        <v>19</v>
      </c>
      <c r="C15" s="21">
        <f t="shared" ref="C15:J15" si="7">C14/40</f>
        <v>16.149999999999999</v>
      </c>
      <c r="D15" s="21">
        <f t="shared" si="7"/>
        <v>17.7</v>
      </c>
      <c r="E15" s="21">
        <f t="shared" si="7"/>
        <v>12.7</v>
      </c>
      <c r="F15" s="21">
        <f t="shared" si="7"/>
        <v>21.25</v>
      </c>
      <c r="G15" s="21">
        <f t="shared" si="7"/>
        <v>20.274999999999999</v>
      </c>
      <c r="H15" s="21">
        <f t="shared" si="7"/>
        <v>14.1</v>
      </c>
      <c r="I15" s="21">
        <f t="shared" si="7"/>
        <v>26.725000000000001</v>
      </c>
      <c r="J15" s="22">
        <f t="shared" si="7"/>
        <v>128.9</v>
      </c>
      <c r="K15" s="23"/>
      <c r="M15" s="1"/>
      <c r="N15" s="20" t="s">
        <v>19</v>
      </c>
      <c r="O15" s="21">
        <f t="shared" ref="O15:V15" si="8">O14/40</f>
        <v>109.15</v>
      </c>
      <c r="P15" s="21">
        <f t="shared" si="8"/>
        <v>56.7</v>
      </c>
      <c r="Q15" s="21">
        <f t="shared" si="8"/>
        <v>50.7</v>
      </c>
      <c r="R15" s="21">
        <f t="shared" si="8"/>
        <v>32.25</v>
      </c>
      <c r="S15" s="21">
        <f t="shared" si="8"/>
        <v>141.15</v>
      </c>
      <c r="T15" s="21">
        <f t="shared" si="8"/>
        <v>109.6</v>
      </c>
      <c r="U15" s="21">
        <f t="shared" si="8"/>
        <v>163.72499999999999</v>
      </c>
      <c r="V15" s="22">
        <f t="shared" si="8"/>
        <v>663.27499999999998</v>
      </c>
      <c r="W15" s="23"/>
      <c r="Y15" s="42">
        <f>Y14/40</f>
        <v>3.2225000000000001</v>
      </c>
      <c r="Z15" s="43">
        <f>Z14/40</f>
        <v>16.581875</v>
      </c>
      <c r="AA15" s="44">
        <f>AA14/40</f>
        <v>-13.359375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7685-68CE-4230-832D-5008B05982CE}">
  <dimension ref="A1:AA15"/>
  <sheetViews>
    <sheetView workbookViewId="0">
      <selection activeCell="Q17" sqref="Q17"/>
    </sheetView>
  </sheetViews>
  <sheetFormatPr defaultRowHeight="14.5" x14ac:dyDescent="0.35"/>
  <cols>
    <col min="1" max="1" width="5.6328125" customWidth="1"/>
    <col min="2" max="2" width="8.179687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10</v>
      </c>
      <c r="D8" s="11">
        <v>125</v>
      </c>
      <c r="E8" s="11">
        <v>100</v>
      </c>
      <c r="F8" s="11">
        <v>0</v>
      </c>
      <c r="G8" s="11">
        <v>40</v>
      </c>
      <c r="H8" s="11">
        <v>35</v>
      </c>
      <c r="I8" s="11">
        <v>25</v>
      </c>
      <c r="J8" s="15">
        <f>SUM(C8:I8)/40</f>
        <v>8.375</v>
      </c>
      <c r="K8" s="12">
        <v>10</v>
      </c>
      <c r="L8" s="13"/>
      <c r="M8" s="14"/>
      <c r="N8" s="7" t="s">
        <v>13</v>
      </c>
      <c r="O8" s="11">
        <v>10</v>
      </c>
      <c r="P8" s="11">
        <v>45</v>
      </c>
      <c r="Q8" s="11">
        <v>20</v>
      </c>
      <c r="R8" s="11">
        <v>0</v>
      </c>
      <c r="S8" s="11">
        <v>40</v>
      </c>
      <c r="T8" s="11">
        <v>25</v>
      </c>
      <c r="U8" s="11">
        <v>15</v>
      </c>
      <c r="V8" s="15">
        <f>SUM(O8:U8)/40</f>
        <v>3.875</v>
      </c>
      <c r="W8" s="12">
        <v>10</v>
      </c>
      <c r="Y8" s="39">
        <f>J8</f>
        <v>8.375</v>
      </c>
      <c r="Z8" s="40">
        <f>V8</f>
        <v>3.875</v>
      </c>
      <c r="AA8" s="41">
        <f>Y8-Z8</f>
        <v>4.5</v>
      </c>
    </row>
    <row r="9" spans="1:27" x14ac:dyDescent="0.35">
      <c r="A9" s="14"/>
      <c r="B9" s="7" t="s">
        <v>14</v>
      </c>
      <c r="C9" s="11">
        <v>60</v>
      </c>
      <c r="D9" s="11">
        <v>20</v>
      </c>
      <c r="E9" s="11">
        <v>20</v>
      </c>
      <c r="F9" s="11">
        <v>20</v>
      </c>
      <c r="G9" s="11">
        <v>82</v>
      </c>
      <c r="H9" s="11">
        <v>40</v>
      </c>
      <c r="I9" s="11">
        <v>40</v>
      </c>
      <c r="J9" s="15">
        <f t="shared" ref="J9:J13" si="0">SUM(C9:I9)/40</f>
        <v>7.05</v>
      </c>
      <c r="K9" s="12">
        <v>8</v>
      </c>
      <c r="L9" s="13"/>
      <c r="M9" s="14"/>
      <c r="N9" s="7" t="s">
        <v>15</v>
      </c>
      <c r="O9" s="11">
        <v>20</v>
      </c>
      <c r="P9" s="11">
        <v>20</v>
      </c>
      <c r="Q9" s="11">
        <v>20</v>
      </c>
      <c r="R9" s="11">
        <v>20</v>
      </c>
      <c r="S9" s="11">
        <v>82</v>
      </c>
      <c r="T9" s="11">
        <v>40</v>
      </c>
      <c r="U9" s="11">
        <v>40</v>
      </c>
      <c r="V9" s="15">
        <f t="shared" ref="V9:V13" si="1">SUM(O9:U9)/40</f>
        <v>6.05</v>
      </c>
      <c r="W9" s="12">
        <v>8</v>
      </c>
      <c r="Y9" s="39">
        <f t="shared" ref="Y9:Y13" si="2">J9</f>
        <v>7.05</v>
      </c>
      <c r="Z9" s="40">
        <f t="shared" ref="Z9:Z13" si="3">V9</f>
        <v>6.05</v>
      </c>
      <c r="AA9" s="41">
        <f t="shared" ref="AA9:AA13" si="4">Y9-Z9</f>
        <v>1</v>
      </c>
    </row>
    <row r="10" spans="1:27" x14ac:dyDescent="0.35">
      <c r="A10" s="14"/>
      <c r="B10" s="7" t="s">
        <v>16</v>
      </c>
      <c r="C10" s="11">
        <v>172</v>
      </c>
      <c r="D10" s="11">
        <v>0</v>
      </c>
      <c r="E10" s="11">
        <v>0</v>
      </c>
      <c r="F10" s="11">
        <v>0</v>
      </c>
      <c r="G10" s="11">
        <v>110</v>
      </c>
      <c r="H10" s="11">
        <v>60</v>
      </c>
      <c r="I10" s="11">
        <v>60</v>
      </c>
      <c r="J10" s="15">
        <f t="shared" si="0"/>
        <v>10.050000000000001</v>
      </c>
      <c r="K10" s="12">
        <v>8</v>
      </c>
      <c r="L10" s="13"/>
      <c r="M10" s="14"/>
      <c r="N10" s="7" t="s">
        <v>16</v>
      </c>
      <c r="O10" s="11">
        <v>92</v>
      </c>
      <c r="P10" s="11">
        <v>0</v>
      </c>
      <c r="Q10" s="11">
        <v>0</v>
      </c>
      <c r="R10" s="11">
        <v>0</v>
      </c>
      <c r="S10" s="11">
        <v>110</v>
      </c>
      <c r="T10" s="11">
        <v>60</v>
      </c>
      <c r="U10" s="11">
        <v>60</v>
      </c>
      <c r="V10" s="15">
        <f t="shared" si="1"/>
        <v>8.0500000000000007</v>
      </c>
      <c r="W10" s="12">
        <v>6</v>
      </c>
      <c r="Y10" s="39">
        <f t="shared" si="2"/>
        <v>10.050000000000001</v>
      </c>
      <c r="Z10" s="40">
        <f t="shared" si="3"/>
        <v>8.0500000000000007</v>
      </c>
      <c r="AA10" s="41">
        <f t="shared" si="4"/>
        <v>2</v>
      </c>
    </row>
    <row r="11" spans="1:27" x14ac:dyDescent="0.35">
      <c r="A11" s="16"/>
      <c r="B11" s="17" t="s">
        <v>24</v>
      </c>
      <c r="C11" s="11">
        <v>166</v>
      </c>
      <c r="D11" s="11">
        <v>47</v>
      </c>
      <c r="E11" s="11">
        <v>46</v>
      </c>
      <c r="F11" s="11">
        <v>47</v>
      </c>
      <c r="G11" s="11"/>
      <c r="H11" s="11"/>
      <c r="I11" s="11"/>
      <c r="J11" s="15">
        <f t="shared" si="0"/>
        <v>7.65</v>
      </c>
      <c r="K11" s="12">
        <v>9</v>
      </c>
      <c r="L11" s="13"/>
      <c r="M11" s="16"/>
      <c r="N11" s="17" t="s">
        <v>24</v>
      </c>
      <c r="O11" s="11">
        <v>130</v>
      </c>
      <c r="P11" s="11">
        <v>39</v>
      </c>
      <c r="Q11" s="11">
        <v>38</v>
      </c>
      <c r="R11" s="11">
        <v>39</v>
      </c>
      <c r="S11" s="11"/>
      <c r="T11" s="11"/>
      <c r="U11" s="11"/>
      <c r="V11" s="15">
        <f t="shared" si="1"/>
        <v>6.15</v>
      </c>
      <c r="W11" s="12">
        <v>6</v>
      </c>
      <c r="Y11" s="39">
        <f t="shared" si="2"/>
        <v>7.65</v>
      </c>
      <c r="Z11" s="40">
        <f t="shared" si="3"/>
        <v>6.15</v>
      </c>
      <c r="AA11" s="41">
        <f t="shared" si="4"/>
        <v>1.5</v>
      </c>
    </row>
    <row r="12" spans="1:27" x14ac:dyDescent="0.35">
      <c r="A12" s="16"/>
      <c r="B12" s="17" t="s">
        <v>17</v>
      </c>
      <c r="C12" s="11">
        <v>40</v>
      </c>
      <c r="D12" s="11">
        <v>40</v>
      </c>
      <c r="E12" s="11">
        <v>40</v>
      </c>
      <c r="F12" s="11">
        <v>40</v>
      </c>
      <c r="G12" s="11">
        <f>40+200</f>
        <v>240</v>
      </c>
      <c r="H12" s="11">
        <v>240</v>
      </c>
      <c r="I12" s="11">
        <v>240</v>
      </c>
      <c r="J12" s="15">
        <f t="shared" si="0"/>
        <v>22</v>
      </c>
      <c r="K12" s="12">
        <v>2</v>
      </c>
      <c r="L12" s="13"/>
      <c r="M12" s="16"/>
      <c r="N12" s="17" t="s">
        <v>18</v>
      </c>
      <c r="O12" s="11">
        <v>40</v>
      </c>
      <c r="P12" s="11">
        <v>80</v>
      </c>
      <c r="Q12" s="11">
        <v>80</v>
      </c>
      <c r="R12" s="11">
        <v>280</v>
      </c>
      <c r="S12" s="11">
        <v>120</v>
      </c>
      <c r="T12" s="11">
        <v>120</v>
      </c>
      <c r="U12" s="11">
        <v>200</v>
      </c>
      <c r="V12" s="15">
        <f t="shared" si="1"/>
        <v>23</v>
      </c>
      <c r="W12" s="12">
        <v>3</v>
      </c>
      <c r="Y12" s="39">
        <f t="shared" si="2"/>
        <v>22</v>
      </c>
      <c r="Z12" s="40">
        <f t="shared" si="3"/>
        <v>23</v>
      </c>
      <c r="AA12" s="41">
        <f t="shared" si="4"/>
        <v>-1</v>
      </c>
    </row>
    <row r="13" spans="1:27" x14ac:dyDescent="0.35">
      <c r="A13" s="16"/>
      <c r="B13" s="17" t="s">
        <v>37</v>
      </c>
      <c r="C13" s="11">
        <v>52</v>
      </c>
      <c r="D13" s="11">
        <v>4</v>
      </c>
      <c r="E13" s="11">
        <v>4</v>
      </c>
      <c r="F13" s="11">
        <v>4</v>
      </c>
      <c r="G13" s="11">
        <v>19</v>
      </c>
      <c r="H13" s="11">
        <v>14</v>
      </c>
      <c r="I13" s="11">
        <v>19</v>
      </c>
      <c r="J13" s="15">
        <f t="shared" si="0"/>
        <v>2.9</v>
      </c>
      <c r="K13" s="12">
        <v>3</v>
      </c>
      <c r="M13" s="16"/>
      <c r="N13" s="17" t="s">
        <v>38</v>
      </c>
      <c r="O13" s="11">
        <v>40</v>
      </c>
      <c r="P13" s="11">
        <v>0</v>
      </c>
      <c r="Q13" s="11">
        <v>0</v>
      </c>
      <c r="R13" s="11">
        <v>0</v>
      </c>
      <c r="S13" s="11">
        <v>15</v>
      </c>
      <c r="T13" s="11">
        <v>10</v>
      </c>
      <c r="U13" s="11">
        <v>15</v>
      </c>
      <c r="V13" s="15">
        <f t="shared" si="1"/>
        <v>2</v>
      </c>
      <c r="W13" s="12">
        <v>2</v>
      </c>
      <c r="Y13" s="39">
        <f t="shared" si="2"/>
        <v>2.9</v>
      </c>
      <c r="Z13" s="40">
        <f t="shared" si="3"/>
        <v>2</v>
      </c>
      <c r="AA13" s="41">
        <f t="shared" si="4"/>
        <v>0.89999999999999991</v>
      </c>
    </row>
    <row r="14" spans="1:27" x14ac:dyDescent="0.35">
      <c r="A14" s="1"/>
      <c r="B14" s="7"/>
      <c r="C14" s="25">
        <f t="shared" ref="C14:I14" si="5">SUM(C8:C13)</f>
        <v>500</v>
      </c>
      <c r="D14" s="25">
        <f t="shared" si="5"/>
        <v>236</v>
      </c>
      <c r="E14" s="25">
        <f t="shared" si="5"/>
        <v>210</v>
      </c>
      <c r="F14" s="25">
        <f t="shared" si="5"/>
        <v>111</v>
      </c>
      <c r="G14" s="25">
        <f t="shared" si="5"/>
        <v>491</v>
      </c>
      <c r="H14" s="25">
        <f t="shared" si="5"/>
        <v>389</v>
      </c>
      <c r="I14" s="25">
        <f t="shared" si="5"/>
        <v>384</v>
      </c>
      <c r="J14" s="28">
        <f>SUM(C14:I14)</f>
        <v>2321</v>
      </c>
      <c r="K14" s="31"/>
      <c r="M14" s="1"/>
      <c r="N14" s="7"/>
      <c r="O14" s="25">
        <f t="shared" ref="O14:U14" si="6">SUM(O8:O13)</f>
        <v>332</v>
      </c>
      <c r="P14" s="25">
        <f t="shared" si="6"/>
        <v>184</v>
      </c>
      <c r="Q14" s="25">
        <f t="shared" si="6"/>
        <v>158</v>
      </c>
      <c r="R14" s="25">
        <f t="shared" si="6"/>
        <v>339</v>
      </c>
      <c r="S14" s="25">
        <f t="shared" si="6"/>
        <v>367</v>
      </c>
      <c r="T14" s="25">
        <f t="shared" si="6"/>
        <v>255</v>
      </c>
      <c r="U14" s="25">
        <f t="shared" si="6"/>
        <v>330</v>
      </c>
      <c r="V14" s="28">
        <f>SUM(O14:U14)</f>
        <v>1965</v>
      </c>
      <c r="W14" s="31"/>
      <c r="Y14" s="36">
        <f>SUM(Y8:Y13)</f>
        <v>58.024999999999999</v>
      </c>
      <c r="Z14" s="37">
        <f>SUM(Z8:Z13)</f>
        <v>49.125</v>
      </c>
      <c r="AA14" s="38">
        <f>SUM(AA8:AA13)</f>
        <v>8.9</v>
      </c>
    </row>
    <row r="15" spans="1:27" ht="15" thickBot="1" x14ac:dyDescent="0.4">
      <c r="A15" s="1"/>
      <c r="B15" s="20" t="s">
        <v>19</v>
      </c>
      <c r="C15" s="21">
        <f t="shared" ref="C15:J15" si="7">C14/40</f>
        <v>12.5</v>
      </c>
      <c r="D15" s="21">
        <f t="shared" si="7"/>
        <v>5.9</v>
      </c>
      <c r="E15" s="21">
        <f t="shared" si="7"/>
        <v>5.25</v>
      </c>
      <c r="F15" s="21">
        <f t="shared" si="7"/>
        <v>2.7749999999999999</v>
      </c>
      <c r="G15" s="21">
        <f t="shared" si="7"/>
        <v>12.275</v>
      </c>
      <c r="H15" s="21">
        <f t="shared" si="7"/>
        <v>9.7249999999999996</v>
      </c>
      <c r="I15" s="21">
        <f t="shared" si="7"/>
        <v>9.6</v>
      </c>
      <c r="J15" s="22">
        <f t="shared" si="7"/>
        <v>58.024999999999999</v>
      </c>
      <c r="K15" s="23"/>
      <c r="M15" s="1"/>
      <c r="N15" s="20" t="s">
        <v>19</v>
      </c>
      <c r="O15" s="21">
        <f t="shared" ref="O15:V15" si="8">O14/40</f>
        <v>8.3000000000000007</v>
      </c>
      <c r="P15" s="21">
        <f t="shared" si="8"/>
        <v>4.5999999999999996</v>
      </c>
      <c r="Q15" s="21">
        <f t="shared" si="8"/>
        <v>3.95</v>
      </c>
      <c r="R15" s="21">
        <f t="shared" si="8"/>
        <v>8.4749999999999996</v>
      </c>
      <c r="S15" s="21">
        <f t="shared" si="8"/>
        <v>9.1750000000000007</v>
      </c>
      <c r="T15" s="21">
        <f t="shared" si="8"/>
        <v>6.375</v>
      </c>
      <c r="U15" s="21">
        <f t="shared" si="8"/>
        <v>8.25</v>
      </c>
      <c r="V15" s="22">
        <f t="shared" si="8"/>
        <v>49.125</v>
      </c>
      <c r="W15" s="23"/>
      <c r="Y15" s="42">
        <f>Y14/40</f>
        <v>1.4506250000000001</v>
      </c>
      <c r="Z15" s="43">
        <f>Z14/40</f>
        <v>1.2281249999999999</v>
      </c>
      <c r="AA15" s="44">
        <f>AA14/40</f>
        <v>0.2225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8549-5414-4AF3-BA9C-2F8578E10521}">
  <dimension ref="A1:AA15"/>
  <sheetViews>
    <sheetView workbookViewId="0">
      <selection activeCell="M7" sqref="M7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46"/>
      <c r="D8" s="46"/>
      <c r="E8" s="46"/>
      <c r="F8" s="46"/>
      <c r="G8" s="46"/>
      <c r="H8" s="46"/>
      <c r="I8" s="46"/>
      <c r="J8" s="15">
        <f>SUM(C8:I8)/40</f>
        <v>0</v>
      </c>
      <c r="K8" s="12"/>
      <c r="L8" s="13"/>
      <c r="M8" s="14"/>
      <c r="N8" s="7" t="s">
        <v>13</v>
      </c>
      <c r="O8" s="46"/>
      <c r="P8" s="46"/>
      <c r="Q8" s="46"/>
      <c r="R8" s="46"/>
      <c r="S8" s="46"/>
      <c r="T8" s="46"/>
      <c r="U8" s="46"/>
      <c r="V8" s="15">
        <f>SUM(O8:U8)/40</f>
        <v>0</v>
      </c>
      <c r="W8" s="12"/>
      <c r="Y8" s="39">
        <f>J8</f>
        <v>0</v>
      </c>
      <c r="Z8" s="40">
        <f>V8</f>
        <v>0</v>
      </c>
      <c r="AA8" s="41">
        <f>Y8-Z8</f>
        <v>0</v>
      </c>
    </row>
    <row r="9" spans="1:27" x14ac:dyDescent="0.35">
      <c r="A9" s="14"/>
      <c r="B9" s="7" t="s">
        <v>14</v>
      </c>
      <c r="C9" s="46"/>
      <c r="D9" s="46"/>
      <c r="E9" s="46"/>
      <c r="F9" s="46"/>
      <c r="G9" s="46"/>
      <c r="H9" s="46"/>
      <c r="I9" s="46"/>
      <c r="J9" s="15">
        <f t="shared" ref="J9:J12" si="0">SUM(C9:I9)/40</f>
        <v>0</v>
      </c>
      <c r="K9" s="12"/>
      <c r="L9" s="13"/>
      <c r="M9" s="14"/>
      <c r="N9" s="7" t="s">
        <v>15</v>
      </c>
      <c r="O9" s="46"/>
      <c r="P9" s="46"/>
      <c r="Q9" s="46"/>
      <c r="R9" s="46"/>
      <c r="S9" s="46"/>
      <c r="T9" s="46"/>
      <c r="U9" s="46"/>
      <c r="V9" s="15">
        <f t="shared" ref="V9:V12" si="1">SUM(O9:U9)/40</f>
        <v>0</v>
      </c>
      <c r="W9" s="12"/>
      <c r="Y9" s="39">
        <f t="shared" ref="Y9:Y13" si="2">J9</f>
        <v>0</v>
      </c>
      <c r="Z9" s="40">
        <f t="shared" ref="Z9:Z13" si="3">V9</f>
        <v>0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46"/>
      <c r="D10" s="46"/>
      <c r="E10" s="46"/>
      <c r="F10" s="46"/>
      <c r="G10" s="46"/>
      <c r="H10" s="46"/>
      <c r="I10" s="46"/>
      <c r="J10" s="15">
        <f t="shared" si="0"/>
        <v>0</v>
      </c>
      <c r="K10" s="12"/>
      <c r="L10" s="13"/>
      <c r="M10" s="14"/>
      <c r="N10" s="7" t="s">
        <v>16</v>
      </c>
      <c r="O10" s="46"/>
      <c r="P10" s="46"/>
      <c r="Q10" s="46"/>
      <c r="R10" s="46"/>
      <c r="S10" s="46"/>
      <c r="T10" s="46"/>
      <c r="U10" s="46"/>
      <c r="V10" s="15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24</v>
      </c>
      <c r="C11" s="46"/>
      <c r="D11" s="46"/>
      <c r="E11" s="46"/>
      <c r="F11" s="46"/>
      <c r="G11" s="46"/>
      <c r="H11" s="46"/>
      <c r="I11" s="46"/>
      <c r="J11" s="15">
        <f t="shared" si="0"/>
        <v>0</v>
      </c>
      <c r="K11" s="12"/>
      <c r="L11" s="13"/>
      <c r="M11" s="16"/>
      <c r="N11" s="17" t="s">
        <v>24</v>
      </c>
      <c r="O11" s="46"/>
      <c r="P11" s="46"/>
      <c r="Q11" s="46"/>
      <c r="R11" s="46"/>
      <c r="S11" s="46"/>
      <c r="T11" s="46"/>
      <c r="U11" s="46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17</v>
      </c>
      <c r="C12" s="46"/>
      <c r="D12" s="46"/>
      <c r="E12" s="46"/>
      <c r="F12" s="46"/>
      <c r="G12" s="46"/>
      <c r="H12" s="46"/>
      <c r="I12" s="46"/>
      <c r="J12" s="15">
        <f t="shared" si="0"/>
        <v>0</v>
      </c>
      <c r="K12" s="12"/>
      <c r="L12" s="13"/>
      <c r="M12" s="16"/>
      <c r="N12" s="17" t="s">
        <v>18</v>
      </c>
      <c r="O12" s="46"/>
      <c r="P12" s="46"/>
      <c r="Q12" s="46"/>
      <c r="R12" s="46"/>
      <c r="S12" s="46"/>
      <c r="T12" s="46"/>
      <c r="U12" s="46"/>
      <c r="V12" s="15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46"/>
      <c r="D13" s="46"/>
      <c r="E13" s="46"/>
      <c r="F13" s="46"/>
      <c r="G13" s="46"/>
      <c r="H13" s="46"/>
      <c r="I13" s="46"/>
      <c r="J13" s="15"/>
      <c r="K13" s="18"/>
      <c r="M13" s="16"/>
      <c r="N13" s="17"/>
      <c r="O13" s="46"/>
      <c r="P13" s="46"/>
      <c r="Q13" s="46"/>
      <c r="R13" s="46"/>
      <c r="S13" s="46"/>
      <c r="T13" s="46"/>
      <c r="U13" s="46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0</v>
      </c>
      <c r="D14" s="25">
        <f t="shared" si="5"/>
        <v>0</v>
      </c>
      <c r="E14" s="25">
        <f t="shared" si="5"/>
        <v>0</v>
      </c>
      <c r="F14" s="25">
        <f t="shared" si="5"/>
        <v>0</v>
      </c>
      <c r="G14" s="25">
        <f t="shared" si="5"/>
        <v>0</v>
      </c>
      <c r="H14" s="25">
        <f t="shared" si="5"/>
        <v>0</v>
      </c>
      <c r="I14" s="25">
        <f t="shared" si="5"/>
        <v>0</v>
      </c>
      <c r="J14" s="28">
        <f>SUM(C14:I14)</f>
        <v>0</v>
      </c>
      <c r="K14" s="31"/>
      <c r="M14" s="1"/>
      <c r="N14" s="7"/>
      <c r="O14" s="25">
        <f t="shared" ref="O14:U14" si="6">SUM(O8:O13)</f>
        <v>0</v>
      </c>
      <c r="P14" s="25">
        <f t="shared" si="6"/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</v>
      </c>
      <c r="U14" s="25">
        <f t="shared" si="6"/>
        <v>0</v>
      </c>
      <c r="V14" s="28">
        <f>SUM(O14:U14)</f>
        <v>0</v>
      </c>
      <c r="W14" s="31"/>
      <c r="Y14" s="36">
        <f>SUM(Y8:Y13)</f>
        <v>0</v>
      </c>
      <c r="Z14" s="37">
        <f>SUM(Z8:Z13)</f>
        <v>0</v>
      </c>
      <c r="AA14" s="38">
        <f>SUM(AA8:AA13)</f>
        <v>0</v>
      </c>
    </row>
    <row r="15" spans="1:27" ht="15" thickBot="1" x14ac:dyDescent="0.4">
      <c r="A15" s="1"/>
      <c r="B15" s="20" t="s">
        <v>19</v>
      </c>
      <c r="C15" s="21">
        <f t="shared" ref="C15:J15" si="7">C14/40</f>
        <v>0</v>
      </c>
      <c r="D15" s="21">
        <f t="shared" si="7"/>
        <v>0</v>
      </c>
      <c r="E15" s="21">
        <f t="shared" si="7"/>
        <v>0</v>
      </c>
      <c r="F15" s="21">
        <f t="shared" si="7"/>
        <v>0</v>
      </c>
      <c r="G15" s="21">
        <f t="shared" si="7"/>
        <v>0</v>
      </c>
      <c r="H15" s="21">
        <f t="shared" si="7"/>
        <v>0</v>
      </c>
      <c r="I15" s="21">
        <f t="shared" si="7"/>
        <v>0</v>
      </c>
      <c r="J15" s="22">
        <f t="shared" si="7"/>
        <v>0</v>
      </c>
      <c r="K15" s="23"/>
      <c r="M15" s="1"/>
      <c r="N15" s="20" t="s">
        <v>19</v>
      </c>
      <c r="O15" s="21">
        <f t="shared" ref="O15:V15" si="8">O14/40</f>
        <v>0</v>
      </c>
      <c r="P15" s="21">
        <f t="shared" si="8"/>
        <v>0</v>
      </c>
      <c r="Q15" s="21">
        <f t="shared" si="8"/>
        <v>0</v>
      </c>
      <c r="R15" s="21">
        <f t="shared" si="8"/>
        <v>0</v>
      </c>
      <c r="S15" s="21">
        <f t="shared" si="8"/>
        <v>0</v>
      </c>
      <c r="T15" s="21">
        <f t="shared" si="8"/>
        <v>0</v>
      </c>
      <c r="U15" s="21">
        <f t="shared" si="8"/>
        <v>0</v>
      </c>
      <c r="V15" s="22">
        <f t="shared" si="8"/>
        <v>0</v>
      </c>
      <c r="W15" s="23"/>
      <c r="Y15" s="42">
        <f>Y14/40</f>
        <v>0</v>
      </c>
      <c r="Z15" s="43">
        <f>Z14/40</f>
        <v>0</v>
      </c>
      <c r="AA15" s="44">
        <f>AA14/40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09FB-57DF-48A4-8BA9-78EADEE000FC}">
  <dimension ref="A1:AA15"/>
  <sheetViews>
    <sheetView workbookViewId="0">
      <selection activeCell="M7" sqref="M7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280</v>
      </c>
      <c r="D8" s="11">
        <v>80</v>
      </c>
      <c r="E8" s="11">
        <v>80</v>
      </c>
      <c r="F8" s="11">
        <v>0</v>
      </c>
      <c r="G8" s="11">
        <v>15</v>
      </c>
      <c r="H8" s="11">
        <v>10</v>
      </c>
      <c r="I8" s="11">
        <v>15</v>
      </c>
      <c r="J8" s="15">
        <f>SUM(C8:I8)/40</f>
        <v>12</v>
      </c>
      <c r="K8" s="12">
        <v>10</v>
      </c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9">
        <f>J8</f>
        <v>12</v>
      </c>
      <c r="Z8" s="40">
        <f>V8</f>
        <v>0</v>
      </c>
      <c r="AA8" s="41">
        <f>Y8-Z8</f>
        <v>12</v>
      </c>
    </row>
    <row r="9" spans="1:27" x14ac:dyDescent="0.35">
      <c r="A9" s="14"/>
      <c r="B9" s="7" t="s">
        <v>14</v>
      </c>
      <c r="C9" s="11">
        <v>72</v>
      </c>
      <c r="D9" s="11">
        <v>10</v>
      </c>
      <c r="E9" s="11">
        <v>27</v>
      </c>
      <c r="F9" s="11">
        <v>27</v>
      </c>
      <c r="G9" s="11">
        <v>107</v>
      </c>
      <c r="H9" s="11">
        <v>107</v>
      </c>
      <c r="I9" s="11">
        <v>207</v>
      </c>
      <c r="J9" s="15">
        <f t="shared" ref="J9:J13" si="0">SUM(C9:I9)/40</f>
        <v>13.925000000000001</v>
      </c>
      <c r="K9" s="12">
        <v>13</v>
      </c>
      <c r="L9" s="13"/>
      <c r="M9" s="14"/>
      <c r="N9" s="7" t="s">
        <v>15</v>
      </c>
      <c r="O9" s="11">
        <v>40</v>
      </c>
      <c r="P9" s="11">
        <v>7</v>
      </c>
      <c r="Q9" s="11">
        <v>27</v>
      </c>
      <c r="R9" s="11">
        <v>27</v>
      </c>
      <c r="S9" s="11">
        <v>87</v>
      </c>
      <c r="T9" s="11">
        <v>87</v>
      </c>
      <c r="U9" s="11">
        <v>167</v>
      </c>
      <c r="V9" s="15">
        <f t="shared" ref="V9:V12" si="1">SUM(O9:U9)/40</f>
        <v>11.05</v>
      </c>
      <c r="W9" s="12">
        <v>5</v>
      </c>
      <c r="Y9" s="39">
        <f t="shared" ref="Y9:Y13" si="2">J9</f>
        <v>13.925000000000001</v>
      </c>
      <c r="Z9" s="40">
        <f t="shared" ref="Z9:Z13" si="3">V9</f>
        <v>11.05</v>
      </c>
      <c r="AA9" s="41">
        <f t="shared" ref="AA9:AA13" si="4">Y9-Z9</f>
        <v>2.875</v>
      </c>
    </row>
    <row r="10" spans="1:27" x14ac:dyDescent="0.35">
      <c r="A10" s="14"/>
      <c r="B10" s="7" t="s">
        <v>16</v>
      </c>
      <c r="C10" s="11">
        <v>132</v>
      </c>
      <c r="D10" s="11">
        <v>0</v>
      </c>
      <c r="E10" s="11">
        <v>0</v>
      </c>
      <c r="F10" s="11">
        <v>0</v>
      </c>
      <c r="G10" s="11">
        <v>117</v>
      </c>
      <c r="H10" s="11">
        <v>135</v>
      </c>
      <c r="I10" s="11">
        <v>152</v>
      </c>
      <c r="J10" s="15">
        <f t="shared" si="0"/>
        <v>13.4</v>
      </c>
      <c r="K10" s="12">
        <v>10</v>
      </c>
      <c r="L10" s="13"/>
      <c r="M10" s="14"/>
      <c r="N10" s="7" t="s">
        <v>16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9">
        <f t="shared" si="2"/>
        <v>13.4</v>
      </c>
      <c r="Z10" s="40">
        <f t="shared" si="3"/>
        <v>0</v>
      </c>
      <c r="AA10" s="41">
        <f t="shared" si="4"/>
        <v>13.4</v>
      </c>
    </row>
    <row r="11" spans="1:27" x14ac:dyDescent="0.35">
      <c r="A11" s="16"/>
      <c r="B11" s="17" t="s">
        <v>24</v>
      </c>
      <c r="C11" s="11">
        <v>112</v>
      </c>
      <c r="D11" s="11">
        <v>0</v>
      </c>
      <c r="E11" s="11">
        <v>12</v>
      </c>
      <c r="F11" s="11">
        <v>0</v>
      </c>
      <c r="G11" s="11">
        <v>7</v>
      </c>
      <c r="H11" s="11">
        <v>7</v>
      </c>
      <c r="I11" s="11">
        <v>6</v>
      </c>
      <c r="J11" s="15">
        <f t="shared" si="0"/>
        <v>3.6</v>
      </c>
      <c r="K11" s="12">
        <v>3</v>
      </c>
      <c r="L11" s="13"/>
      <c r="M11" s="16"/>
      <c r="N11" s="17" t="s">
        <v>24</v>
      </c>
      <c r="O11" s="11">
        <v>112</v>
      </c>
      <c r="P11" s="11">
        <v>0</v>
      </c>
      <c r="Q11" s="11">
        <v>12</v>
      </c>
      <c r="R11" s="11">
        <v>0</v>
      </c>
      <c r="S11" s="11">
        <v>7</v>
      </c>
      <c r="T11" s="11">
        <v>7</v>
      </c>
      <c r="U11" s="11">
        <v>6</v>
      </c>
      <c r="V11" s="15">
        <f t="shared" si="1"/>
        <v>3.6</v>
      </c>
      <c r="W11" s="12">
        <v>3</v>
      </c>
      <c r="Y11" s="39">
        <f t="shared" si="2"/>
        <v>3.6</v>
      </c>
      <c r="Z11" s="40">
        <f t="shared" si="3"/>
        <v>3.6</v>
      </c>
      <c r="AA11" s="41">
        <f t="shared" si="4"/>
        <v>0</v>
      </c>
    </row>
    <row r="12" spans="1:27" x14ac:dyDescent="0.35">
      <c r="A12" s="16"/>
      <c r="B12" s="17" t="s">
        <v>38</v>
      </c>
      <c r="C12" s="11">
        <v>52</v>
      </c>
      <c r="D12" s="11">
        <v>10</v>
      </c>
      <c r="E12" s="11">
        <v>0</v>
      </c>
      <c r="F12" s="11">
        <v>0</v>
      </c>
      <c r="G12" s="11">
        <v>103</v>
      </c>
      <c r="H12" s="11">
        <v>73</v>
      </c>
      <c r="I12" s="11">
        <v>88</v>
      </c>
      <c r="J12" s="15">
        <f t="shared" si="0"/>
        <v>8.15</v>
      </c>
      <c r="K12" s="12">
        <v>8</v>
      </c>
      <c r="L12" s="13"/>
      <c r="M12" s="16"/>
      <c r="N12" s="17" t="s">
        <v>38</v>
      </c>
      <c r="O12" s="11">
        <v>40</v>
      </c>
      <c r="P12" s="11">
        <v>0</v>
      </c>
      <c r="Q12" s="11">
        <v>0</v>
      </c>
      <c r="R12" s="11">
        <v>0</v>
      </c>
      <c r="S12" s="11">
        <v>70</v>
      </c>
      <c r="T12" s="11">
        <v>60</v>
      </c>
      <c r="U12" s="11">
        <v>70</v>
      </c>
      <c r="V12" s="15">
        <f t="shared" si="1"/>
        <v>6</v>
      </c>
      <c r="W12" s="12">
        <v>4</v>
      </c>
      <c r="Y12" s="39">
        <f t="shared" si="2"/>
        <v>8.15</v>
      </c>
      <c r="Z12" s="40">
        <f t="shared" si="3"/>
        <v>6</v>
      </c>
      <c r="AA12" s="41">
        <f t="shared" si="4"/>
        <v>2.1500000000000004</v>
      </c>
    </row>
    <row r="13" spans="1:27" x14ac:dyDescent="0.35">
      <c r="A13" s="16"/>
      <c r="B13" s="17" t="s">
        <v>18</v>
      </c>
      <c r="C13" s="11">
        <f>80+40</f>
        <v>120</v>
      </c>
      <c r="D13" s="11">
        <f>120+120+40</f>
        <v>280</v>
      </c>
      <c r="E13" s="11">
        <f>120+80+20</f>
        <v>220</v>
      </c>
      <c r="F13" s="11">
        <f>120+40+20</f>
        <v>180</v>
      </c>
      <c r="G13" s="11">
        <f>120+440+20</f>
        <v>580</v>
      </c>
      <c r="H13" s="11">
        <f>120+200+40</f>
        <v>360</v>
      </c>
      <c r="I13" s="11">
        <f>120+80+20</f>
        <v>220</v>
      </c>
      <c r="J13" s="15">
        <f t="shared" si="0"/>
        <v>49</v>
      </c>
      <c r="K13" s="18">
        <v>3</v>
      </c>
      <c r="M13" s="16"/>
      <c r="N13" s="17" t="s">
        <v>18</v>
      </c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49</v>
      </c>
      <c r="Z13" s="40">
        <f t="shared" si="3"/>
        <v>0</v>
      </c>
      <c r="AA13" s="41">
        <f t="shared" si="4"/>
        <v>49</v>
      </c>
    </row>
    <row r="14" spans="1:27" x14ac:dyDescent="0.35">
      <c r="A14" s="1"/>
      <c r="B14" s="7"/>
      <c r="C14" s="25">
        <f t="shared" ref="C14:I14" si="5">SUM(C8:C13)</f>
        <v>768</v>
      </c>
      <c r="D14" s="25">
        <f t="shared" si="5"/>
        <v>380</v>
      </c>
      <c r="E14" s="25">
        <f t="shared" si="5"/>
        <v>339</v>
      </c>
      <c r="F14" s="25">
        <f t="shared" si="5"/>
        <v>207</v>
      </c>
      <c r="G14" s="25">
        <f t="shared" si="5"/>
        <v>929</v>
      </c>
      <c r="H14" s="25">
        <f t="shared" si="5"/>
        <v>692</v>
      </c>
      <c r="I14" s="25">
        <f t="shared" si="5"/>
        <v>688</v>
      </c>
      <c r="J14" s="28">
        <f>SUM(C14:I14)</f>
        <v>4003</v>
      </c>
      <c r="K14" s="31"/>
      <c r="M14" s="1"/>
      <c r="N14" s="7"/>
      <c r="O14" s="25">
        <f t="shared" ref="O14:U14" si="6">SUM(O8:O13)</f>
        <v>192</v>
      </c>
      <c r="P14" s="25">
        <f t="shared" si="6"/>
        <v>7</v>
      </c>
      <c r="Q14" s="25">
        <f t="shared" si="6"/>
        <v>39</v>
      </c>
      <c r="R14" s="25">
        <f t="shared" si="6"/>
        <v>27</v>
      </c>
      <c r="S14" s="25">
        <f t="shared" si="6"/>
        <v>164</v>
      </c>
      <c r="T14" s="25">
        <f t="shared" si="6"/>
        <v>154</v>
      </c>
      <c r="U14" s="25">
        <f t="shared" si="6"/>
        <v>243</v>
      </c>
      <c r="V14" s="28">
        <f>SUM(O14:U14)</f>
        <v>826</v>
      </c>
      <c r="W14" s="31"/>
      <c r="Y14" s="36">
        <f>SUM(Y8:Y13)</f>
        <v>100.075</v>
      </c>
      <c r="Z14" s="37">
        <f>SUM(Z8:Z13)</f>
        <v>20.65</v>
      </c>
      <c r="AA14" s="38">
        <f>SUM(AA8:AA13)</f>
        <v>79.424999999999997</v>
      </c>
    </row>
    <row r="15" spans="1:27" ht="15" thickBot="1" x14ac:dyDescent="0.4">
      <c r="A15" s="1"/>
      <c r="B15" s="20" t="s">
        <v>19</v>
      </c>
      <c r="C15" s="21">
        <f t="shared" ref="C15:J15" si="7">C14/40</f>
        <v>19.2</v>
      </c>
      <c r="D15" s="21">
        <f t="shared" si="7"/>
        <v>9.5</v>
      </c>
      <c r="E15" s="21">
        <f t="shared" si="7"/>
        <v>8.4749999999999996</v>
      </c>
      <c r="F15" s="21">
        <f t="shared" si="7"/>
        <v>5.1749999999999998</v>
      </c>
      <c r="G15" s="21">
        <f t="shared" si="7"/>
        <v>23.225000000000001</v>
      </c>
      <c r="H15" s="21">
        <f t="shared" si="7"/>
        <v>17.3</v>
      </c>
      <c r="I15" s="21">
        <f t="shared" si="7"/>
        <v>17.2</v>
      </c>
      <c r="J15" s="22">
        <f t="shared" si="7"/>
        <v>100.075</v>
      </c>
      <c r="K15" s="23"/>
      <c r="M15" s="1"/>
      <c r="N15" s="20" t="s">
        <v>19</v>
      </c>
      <c r="O15" s="21">
        <f t="shared" ref="O15:V15" si="8">O14/40</f>
        <v>4.8</v>
      </c>
      <c r="P15" s="21">
        <f t="shared" si="8"/>
        <v>0.17499999999999999</v>
      </c>
      <c r="Q15" s="21">
        <f t="shared" si="8"/>
        <v>0.97499999999999998</v>
      </c>
      <c r="R15" s="21">
        <f t="shared" si="8"/>
        <v>0.67500000000000004</v>
      </c>
      <c r="S15" s="21">
        <f t="shared" si="8"/>
        <v>4.0999999999999996</v>
      </c>
      <c r="T15" s="21">
        <f t="shared" si="8"/>
        <v>3.85</v>
      </c>
      <c r="U15" s="21">
        <f t="shared" si="8"/>
        <v>6.0750000000000002</v>
      </c>
      <c r="V15" s="22">
        <f t="shared" si="8"/>
        <v>20.65</v>
      </c>
      <c r="W15" s="23"/>
      <c r="Y15" s="42">
        <f>Y14/40</f>
        <v>2.5018750000000001</v>
      </c>
      <c r="Z15" s="43">
        <f>Z14/40</f>
        <v>0.51624999999999999</v>
      </c>
      <c r="AA15" s="44">
        <f>AA14/40</f>
        <v>1.985625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58E7-4F6C-46ED-9090-75BF8B81EBB6}">
  <dimension ref="A1:AA15"/>
  <sheetViews>
    <sheetView workbookViewId="0">
      <selection activeCell="R11" sqref="R11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46"/>
      <c r="D8" s="46"/>
      <c r="E8" s="46"/>
      <c r="F8" s="46"/>
      <c r="G8" s="46"/>
      <c r="H8" s="46"/>
      <c r="I8" s="46"/>
      <c r="J8" s="15">
        <f>SUM(C8:I8)/40</f>
        <v>0</v>
      </c>
      <c r="K8" s="12"/>
      <c r="L8" s="13"/>
      <c r="M8" s="14"/>
      <c r="N8" s="7" t="s">
        <v>13</v>
      </c>
      <c r="O8" s="46"/>
      <c r="P8" s="46"/>
      <c r="Q8" s="46"/>
      <c r="R8" s="46"/>
      <c r="S8" s="46"/>
      <c r="T8" s="46"/>
      <c r="U8" s="46"/>
      <c r="V8" s="15">
        <f>SUM(O8:U8)/40</f>
        <v>0</v>
      </c>
      <c r="W8" s="12"/>
      <c r="Y8" s="39">
        <f>J8</f>
        <v>0</v>
      </c>
      <c r="Z8" s="40">
        <f>V8</f>
        <v>0</v>
      </c>
      <c r="AA8" s="41">
        <f>Y8-Z8</f>
        <v>0</v>
      </c>
    </row>
    <row r="9" spans="1:27" x14ac:dyDescent="0.35">
      <c r="A9" s="14"/>
      <c r="B9" s="7" t="s">
        <v>14</v>
      </c>
      <c r="C9" s="46"/>
      <c r="D9" s="46"/>
      <c r="E9" s="46"/>
      <c r="F9" s="46"/>
      <c r="G9" s="46"/>
      <c r="H9" s="46"/>
      <c r="I9" s="46"/>
      <c r="J9" s="15">
        <f t="shared" ref="J9:J12" si="0">SUM(C9:I9)/40</f>
        <v>0</v>
      </c>
      <c r="K9" s="12"/>
      <c r="L9" s="13"/>
      <c r="M9" s="14"/>
      <c r="N9" s="7" t="s">
        <v>15</v>
      </c>
      <c r="O9" s="46"/>
      <c r="P9" s="46"/>
      <c r="Q9" s="46"/>
      <c r="R9" s="46"/>
      <c r="S9" s="46"/>
      <c r="T9" s="46"/>
      <c r="U9" s="46"/>
      <c r="V9" s="15">
        <f t="shared" ref="V9:V12" si="1">SUM(O9:U9)/40</f>
        <v>0</v>
      </c>
      <c r="W9" s="12"/>
      <c r="Y9" s="39">
        <f t="shared" ref="Y9:Y13" si="2">J9</f>
        <v>0</v>
      </c>
      <c r="Z9" s="40">
        <f t="shared" ref="Z9:Z13" si="3">V9</f>
        <v>0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46"/>
      <c r="D10" s="46"/>
      <c r="E10" s="46"/>
      <c r="F10" s="46"/>
      <c r="G10" s="46"/>
      <c r="H10" s="46"/>
      <c r="I10" s="46"/>
      <c r="J10" s="15">
        <f t="shared" si="0"/>
        <v>0</v>
      </c>
      <c r="K10" s="12"/>
      <c r="L10" s="13"/>
      <c r="M10" s="14"/>
      <c r="N10" s="7" t="s">
        <v>16</v>
      </c>
      <c r="O10" s="46"/>
      <c r="P10" s="46"/>
      <c r="Q10" s="46"/>
      <c r="R10" s="46"/>
      <c r="S10" s="46"/>
      <c r="T10" s="46"/>
      <c r="U10" s="46"/>
      <c r="V10" s="15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24</v>
      </c>
      <c r="C11" s="46"/>
      <c r="D11" s="46"/>
      <c r="E11" s="46"/>
      <c r="F11" s="46"/>
      <c r="G11" s="46"/>
      <c r="H11" s="46"/>
      <c r="I11" s="46"/>
      <c r="J11" s="15">
        <f t="shared" si="0"/>
        <v>0</v>
      </c>
      <c r="K11" s="12"/>
      <c r="L11" s="13"/>
      <c r="M11" s="16"/>
      <c r="N11" s="17" t="s">
        <v>24</v>
      </c>
      <c r="O11" s="46"/>
      <c r="P11" s="46"/>
      <c r="Q11" s="46"/>
      <c r="R11" s="46"/>
      <c r="S11" s="46"/>
      <c r="T11" s="46"/>
      <c r="U11" s="46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17</v>
      </c>
      <c r="C12" s="46"/>
      <c r="D12" s="46"/>
      <c r="E12" s="46"/>
      <c r="F12" s="46"/>
      <c r="G12" s="46"/>
      <c r="H12" s="46"/>
      <c r="I12" s="46"/>
      <c r="J12" s="15">
        <f t="shared" si="0"/>
        <v>0</v>
      </c>
      <c r="K12" s="12"/>
      <c r="L12" s="13"/>
      <c r="M12" s="16"/>
      <c r="N12" s="17" t="s">
        <v>18</v>
      </c>
      <c r="O12" s="46"/>
      <c r="P12" s="46"/>
      <c r="Q12" s="46"/>
      <c r="R12" s="46"/>
      <c r="S12" s="46"/>
      <c r="T12" s="46"/>
      <c r="U12" s="46"/>
      <c r="V12" s="15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46"/>
      <c r="D13" s="46"/>
      <c r="E13" s="46"/>
      <c r="F13" s="46"/>
      <c r="G13" s="46"/>
      <c r="H13" s="46"/>
      <c r="I13" s="46"/>
      <c r="J13" s="15"/>
      <c r="K13" s="18"/>
      <c r="M13" s="16"/>
      <c r="N13" s="17"/>
      <c r="O13" s="46"/>
      <c r="P13" s="46"/>
      <c r="Q13" s="46"/>
      <c r="R13" s="46"/>
      <c r="S13" s="46"/>
      <c r="T13" s="46"/>
      <c r="U13" s="46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0</v>
      </c>
      <c r="D14" s="25">
        <f t="shared" si="5"/>
        <v>0</v>
      </c>
      <c r="E14" s="25">
        <f t="shared" si="5"/>
        <v>0</v>
      </c>
      <c r="F14" s="25">
        <f t="shared" si="5"/>
        <v>0</v>
      </c>
      <c r="G14" s="25">
        <f t="shared" si="5"/>
        <v>0</v>
      </c>
      <c r="H14" s="25">
        <f t="shared" si="5"/>
        <v>0</v>
      </c>
      <c r="I14" s="25">
        <f t="shared" si="5"/>
        <v>0</v>
      </c>
      <c r="J14" s="28">
        <f>SUM(C14:I14)</f>
        <v>0</v>
      </c>
      <c r="K14" s="31"/>
      <c r="M14" s="1"/>
      <c r="N14" s="7"/>
      <c r="O14" s="25">
        <f t="shared" ref="O14:U14" si="6">SUM(O8:O13)</f>
        <v>0</v>
      </c>
      <c r="P14" s="25">
        <f t="shared" si="6"/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</v>
      </c>
      <c r="U14" s="25">
        <f t="shared" si="6"/>
        <v>0</v>
      </c>
      <c r="V14" s="28">
        <f>SUM(O14:U14)</f>
        <v>0</v>
      </c>
      <c r="W14" s="31"/>
      <c r="Y14" s="36">
        <f>SUM(Y8:Y13)</f>
        <v>0</v>
      </c>
      <c r="Z14" s="37">
        <f>SUM(Z8:Z13)</f>
        <v>0</v>
      </c>
      <c r="AA14" s="38">
        <f>SUM(AA8:AA13)</f>
        <v>0</v>
      </c>
    </row>
    <row r="15" spans="1:27" ht="15" thickBot="1" x14ac:dyDescent="0.4">
      <c r="A15" s="1"/>
      <c r="B15" s="20" t="s">
        <v>19</v>
      </c>
      <c r="C15" s="21">
        <f t="shared" ref="C15:J15" si="7">C14/40</f>
        <v>0</v>
      </c>
      <c r="D15" s="21">
        <f t="shared" si="7"/>
        <v>0</v>
      </c>
      <c r="E15" s="21">
        <f t="shared" si="7"/>
        <v>0</v>
      </c>
      <c r="F15" s="21">
        <f t="shared" si="7"/>
        <v>0</v>
      </c>
      <c r="G15" s="21">
        <f t="shared" si="7"/>
        <v>0</v>
      </c>
      <c r="H15" s="21">
        <f t="shared" si="7"/>
        <v>0</v>
      </c>
      <c r="I15" s="21">
        <f t="shared" si="7"/>
        <v>0</v>
      </c>
      <c r="J15" s="22">
        <f t="shared" si="7"/>
        <v>0</v>
      </c>
      <c r="K15" s="23"/>
      <c r="M15" s="1"/>
      <c r="N15" s="20" t="s">
        <v>19</v>
      </c>
      <c r="O15" s="21">
        <f t="shared" ref="O15:V15" si="8">O14/40</f>
        <v>0</v>
      </c>
      <c r="P15" s="21">
        <f t="shared" si="8"/>
        <v>0</v>
      </c>
      <c r="Q15" s="21">
        <f t="shared" si="8"/>
        <v>0</v>
      </c>
      <c r="R15" s="21">
        <f t="shared" si="8"/>
        <v>0</v>
      </c>
      <c r="S15" s="21">
        <f t="shared" si="8"/>
        <v>0</v>
      </c>
      <c r="T15" s="21">
        <f t="shared" si="8"/>
        <v>0</v>
      </c>
      <c r="U15" s="21">
        <f t="shared" si="8"/>
        <v>0</v>
      </c>
      <c r="V15" s="22">
        <f t="shared" si="8"/>
        <v>0</v>
      </c>
      <c r="W15" s="23"/>
      <c r="Y15" s="42">
        <f>Y14/40</f>
        <v>0</v>
      </c>
      <c r="Z15" s="43">
        <f>Z14/40</f>
        <v>0</v>
      </c>
      <c r="AA15" s="44">
        <f>AA14/40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237B-B436-499A-99A1-CE21BCFCEC29}">
  <dimension ref="A1:AA15"/>
  <sheetViews>
    <sheetView workbookViewId="0">
      <selection activeCell="O18" sqref="O18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440</v>
      </c>
      <c r="D8" s="11">
        <v>200</v>
      </c>
      <c r="E8" s="11">
        <v>140</v>
      </c>
      <c r="F8" s="11">
        <v>0</v>
      </c>
      <c r="G8" s="11">
        <v>180</v>
      </c>
      <c r="H8" s="11">
        <v>130</v>
      </c>
      <c r="I8" s="11">
        <v>175</v>
      </c>
      <c r="J8" s="15">
        <f>SUM(C8:I8)/40</f>
        <v>31.625</v>
      </c>
      <c r="K8" s="12">
        <v>15</v>
      </c>
      <c r="L8" s="13"/>
      <c r="M8" s="14"/>
      <c r="N8" s="7" t="s">
        <v>13</v>
      </c>
      <c r="O8" s="11">
        <f>160+40</f>
        <v>200</v>
      </c>
      <c r="P8" s="11">
        <v>120</v>
      </c>
      <c r="Q8" s="11">
        <v>120</v>
      </c>
      <c r="R8" s="11">
        <v>0</v>
      </c>
      <c r="S8" s="11">
        <v>170</v>
      </c>
      <c r="T8" s="11">
        <v>120</v>
      </c>
      <c r="U8" s="11">
        <v>160</v>
      </c>
      <c r="V8" s="15">
        <f>SUM(O8:U8)/40</f>
        <v>22.25</v>
      </c>
      <c r="W8" s="12">
        <v>9</v>
      </c>
      <c r="Y8" s="39">
        <f>J8</f>
        <v>31.625</v>
      </c>
      <c r="Z8" s="40">
        <f>V8</f>
        <v>22.25</v>
      </c>
      <c r="AA8" s="41">
        <f>Y8-Z8</f>
        <v>9.375</v>
      </c>
    </row>
    <row r="9" spans="1:27" x14ac:dyDescent="0.35">
      <c r="A9" s="14"/>
      <c r="B9" s="7" t="s">
        <v>14</v>
      </c>
      <c r="C9" s="11">
        <v>32</v>
      </c>
      <c r="D9" s="11">
        <v>55</v>
      </c>
      <c r="E9" s="11">
        <v>36</v>
      </c>
      <c r="F9" s="11">
        <v>41</v>
      </c>
      <c r="G9" s="11">
        <v>55</v>
      </c>
      <c r="H9" s="11">
        <v>45</v>
      </c>
      <c r="I9" s="11">
        <v>60</v>
      </c>
      <c r="J9" s="15">
        <f t="shared" ref="J9:J13" si="0">SUM(C9:I9)/40</f>
        <v>8.1</v>
      </c>
      <c r="K9" s="12">
        <v>9</v>
      </c>
      <c r="L9" s="13"/>
      <c r="M9" s="14"/>
      <c r="N9" s="7" t="s">
        <v>15</v>
      </c>
      <c r="O9" s="11">
        <f>32+40</f>
        <v>72</v>
      </c>
      <c r="P9" s="11">
        <f>35+7</f>
        <v>42</v>
      </c>
      <c r="Q9" s="11">
        <f>36+27</f>
        <v>63</v>
      </c>
      <c r="R9" s="11">
        <f>21+27</f>
        <v>48</v>
      </c>
      <c r="S9" s="11">
        <f>30+87</f>
        <v>117</v>
      </c>
      <c r="T9" s="11">
        <f>25+87</f>
        <v>112</v>
      </c>
      <c r="U9" s="11">
        <f>25+167</f>
        <v>192</v>
      </c>
      <c r="V9" s="15">
        <f t="shared" ref="V9:V13" si="1">SUM(O9:U9)/40</f>
        <v>16.149999999999999</v>
      </c>
      <c r="W9" s="12">
        <v>13</v>
      </c>
      <c r="Y9" s="39">
        <f t="shared" ref="Y9:Y13" si="2">J9</f>
        <v>8.1</v>
      </c>
      <c r="Z9" s="40">
        <f t="shared" ref="Z9:Z13" si="3">V9</f>
        <v>16.149999999999999</v>
      </c>
      <c r="AA9" s="41">
        <f t="shared" ref="AA9:AA13" si="4">Y9-Z9</f>
        <v>-8.0499999999999989</v>
      </c>
    </row>
    <row r="10" spans="1:27" x14ac:dyDescent="0.35">
      <c r="A10" s="14"/>
      <c r="B10" s="7" t="s">
        <v>16</v>
      </c>
      <c r="C10" s="11">
        <v>100</v>
      </c>
      <c r="D10" s="11">
        <v>10</v>
      </c>
      <c r="E10" s="11">
        <v>10</v>
      </c>
      <c r="F10" s="11">
        <v>0</v>
      </c>
      <c r="G10" s="11">
        <v>77</v>
      </c>
      <c r="H10" s="11">
        <v>125</v>
      </c>
      <c r="I10" s="11">
        <v>126</v>
      </c>
      <c r="J10" s="15">
        <f t="shared" si="0"/>
        <v>11.2</v>
      </c>
      <c r="K10" s="12">
        <v>5</v>
      </c>
      <c r="L10" s="13"/>
      <c r="M10" s="14"/>
      <c r="N10" s="7" t="s">
        <v>16</v>
      </c>
      <c r="O10" s="11">
        <v>40</v>
      </c>
      <c r="P10" s="11">
        <v>0</v>
      </c>
      <c r="Q10" s="11">
        <v>0</v>
      </c>
      <c r="R10" s="11">
        <v>0</v>
      </c>
      <c r="S10" s="11">
        <v>55</v>
      </c>
      <c r="T10" s="11">
        <v>95</v>
      </c>
      <c r="U10" s="11">
        <v>90</v>
      </c>
      <c r="V10" s="15">
        <f t="shared" si="1"/>
        <v>7</v>
      </c>
      <c r="W10" s="12">
        <v>3</v>
      </c>
      <c r="Y10" s="39">
        <f t="shared" si="2"/>
        <v>11.2</v>
      </c>
      <c r="Z10" s="40">
        <f t="shared" si="3"/>
        <v>7</v>
      </c>
      <c r="AA10" s="41">
        <f t="shared" si="4"/>
        <v>4.1999999999999993</v>
      </c>
    </row>
    <row r="11" spans="1:27" x14ac:dyDescent="0.35">
      <c r="A11" s="16"/>
      <c r="B11" s="17" t="s">
        <v>24</v>
      </c>
      <c r="C11" s="11">
        <v>120</v>
      </c>
      <c r="D11" s="11">
        <v>40</v>
      </c>
      <c r="E11" s="11">
        <v>40</v>
      </c>
      <c r="F11" s="11">
        <v>40</v>
      </c>
      <c r="G11" s="11">
        <v>55</v>
      </c>
      <c r="H11" s="11">
        <v>50</v>
      </c>
      <c r="I11" s="11">
        <v>55</v>
      </c>
      <c r="J11" s="15">
        <f t="shared" si="0"/>
        <v>10</v>
      </c>
      <c r="K11" s="12">
        <v>4</v>
      </c>
      <c r="L11" s="13"/>
      <c r="M11" s="16"/>
      <c r="N11" s="17" t="s">
        <v>24</v>
      </c>
      <c r="O11" s="11">
        <f>120+112</f>
        <v>232</v>
      </c>
      <c r="P11" s="11">
        <f>40+12</f>
        <v>52</v>
      </c>
      <c r="Q11" s="11">
        <v>40</v>
      </c>
      <c r="R11" s="11">
        <v>40</v>
      </c>
      <c r="S11" s="11">
        <f>55+7</f>
        <v>62</v>
      </c>
      <c r="T11" s="11">
        <f>50+7</f>
        <v>57</v>
      </c>
      <c r="U11" s="11">
        <f>55+6</f>
        <v>61</v>
      </c>
      <c r="V11" s="15">
        <f t="shared" si="1"/>
        <v>13.6</v>
      </c>
      <c r="W11" s="12">
        <v>12</v>
      </c>
      <c r="Y11" s="39">
        <f t="shared" si="2"/>
        <v>10</v>
      </c>
      <c r="Z11" s="40">
        <f t="shared" si="3"/>
        <v>13.6</v>
      </c>
      <c r="AA11" s="41">
        <f t="shared" si="4"/>
        <v>-3.5999999999999996</v>
      </c>
    </row>
    <row r="12" spans="1:27" x14ac:dyDescent="0.35">
      <c r="A12" s="16"/>
      <c r="B12" s="17" t="s">
        <v>34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34</v>
      </c>
      <c r="O12" s="11">
        <v>40</v>
      </c>
      <c r="P12" s="11">
        <v>0</v>
      </c>
      <c r="Q12" s="11">
        <v>0</v>
      </c>
      <c r="R12" s="11">
        <v>0</v>
      </c>
      <c r="S12" s="11">
        <v>70</v>
      </c>
      <c r="T12" s="11">
        <v>60</v>
      </c>
      <c r="U12" s="11">
        <v>70</v>
      </c>
      <c r="V12" s="15">
        <f t="shared" si="1"/>
        <v>6</v>
      </c>
      <c r="W12" s="12">
        <v>4</v>
      </c>
      <c r="Y12" s="39">
        <f t="shared" si="2"/>
        <v>0</v>
      </c>
      <c r="Z12" s="40">
        <f t="shared" si="3"/>
        <v>6</v>
      </c>
      <c r="AA12" s="41">
        <f t="shared" si="4"/>
        <v>-6</v>
      </c>
    </row>
    <row r="13" spans="1:27" x14ac:dyDescent="0.35">
      <c r="A13" s="16"/>
      <c r="B13" s="17" t="s">
        <v>39</v>
      </c>
      <c r="C13" s="11">
        <v>36</v>
      </c>
      <c r="D13" s="11">
        <v>0</v>
      </c>
      <c r="E13" s="11">
        <v>12</v>
      </c>
      <c r="F13" s="11">
        <v>0</v>
      </c>
      <c r="G13" s="11">
        <v>15</v>
      </c>
      <c r="H13" s="11">
        <v>0</v>
      </c>
      <c r="I13" s="11">
        <v>0</v>
      </c>
      <c r="J13" s="15">
        <f t="shared" si="0"/>
        <v>1.575</v>
      </c>
      <c r="K13" s="18">
        <v>5</v>
      </c>
      <c r="M13" s="16"/>
      <c r="N13" s="17" t="s">
        <v>39</v>
      </c>
      <c r="O13" s="11">
        <v>12</v>
      </c>
      <c r="P13" s="11">
        <v>0</v>
      </c>
      <c r="Q13" s="11">
        <v>12</v>
      </c>
      <c r="R13" s="11">
        <v>0</v>
      </c>
      <c r="S13" s="11">
        <v>15</v>
      </c>
      <c r="T13" s="11">
        <v>0</v>
      </c>
      <c r="U13" s="11">
        <v>0</v>
      </c>
      <c r="V13" s="15">
        <f t="shared" si="1"/>
        <v>0.97499999999999998</v>
      </c>
      <c r="W13" s="12">
        <v>3</v>
      </c>
      <c r="Y13" s="39">
        <f t="shared" si="2"/>
        <v>1.575</v>
      </c>
      <c r="Z13" s="40">
        <f t="shared" si="3"/>
        <v>0.97499999999999998</v>
      </c>
      <c r="AA13" s="41">
        <f t="shared" si="4"/>
        <v>0.6</v>
      </c>
    </row>
    <row r="14" spans="1:27" x14ac:dyDescent="0.35">
      <c r="A14" s="1"/>
      <c r="B14" s="7"/>
      <c r="C14" s="25">
        <f t="shared" ref="C14:I14" si="5">SUM(C8:C13)</f>
        <v>728</v>
      </c>
      <c r="D14" s="25">
        <f t="shared" si="5"/>
        <v>305</v>
      </c>
      <c r="E14" s="25">
        <f t="shared" si="5"/>
        <v>238</v>
      </c>
      <c r="F14" s="25">
        <f t="shared" si="5"/>
        <v>81</v>
      </c>
      <c r="G14" s="25">
        <f t="shared" si="5"/>
        <v>382</v>
      </c>
      <c r="H14" s="25">
        <f t="shared" si="5"/>
        <v>350</v>
      </c>
      <c r="I14" s="25">
        <f t="shared" si="5"/>
        <v>416</v>
      </c>
      <c r="J14" s="28">
        <f>SUM(C14:I14)</f>
        <v>2500</v>
      </c>
      <c r="K14" s="31"/>
      <c r="M14" s="1"/>
      <c r="N14" s="7"/>
      <c r="O14" s="25">
        <f t="shared" ref="O14:U14" si="6">SUM(O8:O13)</f>
        <v>596</v>
      </c>
      <c r="P14" s="25">
        <f t="shared" si="6"/>
        <v>214</v>
      </c>
      <c r="Q14" s="25">
        <f t="shared" si="6"/>
        <v>235</v>
      </c>
      <c r="R14" s="25">
        <f t="shared" si="6"/>
        <v>88</v>
      </c>
      <c r="S14" s="25">
        <f t="shared" si="6"/>
        <v>489</v>
      </c>
      <c r="T14" s="25">
        <f t="shared" si="6"/>
        <v>444</v>
      </c>
      <c r="U14" s="25">
        <f t="shared" si="6"/>
        <v>573</v>
      </c>
      <c r="V14" s="28">
        <f>SUM(O14:U14)</f>
        <v>2639</v>
      </c>
      <c r="W14" s="31"/>
      <c r="Y14" s="36">
        <f>SUM(Y8:Y13)</f>
        <v>62.5</v>
      </c>
      <c r="Z14" s="37">
        <f>SUM(Z8:Z13)</f>
        <v>65.974999999999994</v>
      </c>
      <c r="AA14" s="38">
        <f>SUM(AA8:AA13)</f>
        <v>-3.4749999999999992</v>
      </c>
    </row>
    <row r="15" spans="1:27" ht="15" thickBot="1" x14ac:dyDescent="0.4">
      <c r="A15" s="1"/>
      <c r="B15" s="20" t="s">
        <v>19</v>
      </c>
      <c r="C15" s="21">
        <f t="shared" ref="C15:J15" si="7">C14/40</f>
        <v>18.2</v>
      </c>
      <c r="D15" s="21">
        <f t="shared" si="7"/>
        <v>7.625</v>
      </c>
      <c r="E15" s="21">
        <f t="shared" si="7"/>
        <v>5.95</v>
      </c>
      <c r="F15" s="21">
        <f t="shared" si="7"/>
        <v>2.0249999999999999</v>
      </c>
      <c r="G15" s="21">
        <f t="shared" si="7"/>
        <v>9.5500000000000007</v>
      </c>
      <c r="H15" s="21">
        <f t="shared" si="7"/>
        <v>8.75</v>
      </c>
      <c r="I15" s="21">
        <f t="shared" si="7"/>
        <v>10.4</v>
      </c>
      <c r="J15" s="22">
        <f t="shared" si="7"/>
        <v>62.5</v>
      </c>
      <c r="K15" s="23"/>
      <c r="M15" s="1"/>
      <c r="N15" s="20" t="s">
        <v>19</v>
      </c>
      <c r="O15" s="21">
        <f t="shared" ref="O15:V15" si="8">O14/40</f>
        <v>14.9</v>
      </c>
      <c r="P15" s="21">
        <f t="shared" si="8"/>
        <v>5.35</v>
      </c>
      <c r="Q15" s="21">
        <f t="shared" si="8"/>
        <v>5.875</v>
      </c>
      <c r="R15" s="21">
        <f t="shared" si="8"/>
        <v>2.2000000000000002</v>
      </c>
      <c r="S15" s="21">
        <f t="shared" si="8"/>
        <v>12.225</v>
      </c>
      <c r="T15" s="21">
        <f t="shared" si="8"/>
        <v>11.1</v>
      </c>
      <c r="U15" s="21">
        <f t="shared" si="8"/>
        <v>14.324999999999999</v>
      </c>
      <c r="V15" s="22">
        <f t="shared" si="8"/>
        <v>65.974999999999994</v>
      </c>
      <c r="W15" s="23"/>
      <c r="Y15" s="42">
        <f>Y14/40</f>
        <v>1.5625</v>
      </c>
      <c r="Z15" s="43">
        <f>Z14/40</f>
        <v>1.6493749999999998</v>
      </c>
      <c r="AA15" s="44">
        <f>AA14/40</f>
        <v>-8.687499999999998E-2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E597-1A73-411F-A36C-51BC98AA4226}">
  <dimension ref="A1:AA15"/>
  <sheetViews>
    <sheetView workbookViewId="0">
      <selection activeCell="W12" sqref="W12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229</v>
      </c>
      <c r="D8" s="11">
        <v>8</v>
      </c>
      <c r="E8" s="11">
        <v>43</v>
      </c>
      <c r="F8" s="11">
        <v>0</v>
      </c>
      <c r="G8" s="11">
        <v>75</v>
      </c>
      <c r="H8" s="11">
        <v>53</v>
      </c>
      <c r="I8" s="11">
        <v>82</v>
      </c>
      <c r="J8" s="15">
        <f>SUM(C8:I8)/40</f>
        <v>12.25</v>
      </c>
      <c r="K8" s="12">
        <v>16</v>
      </c>
      <c r="L8" s="13"/>
      <c r="M8" s="14"/>
      <c r="N8" s="7" t="s">
        <v>13</v>
      </c>
      <c r="O8" s="11">
        <v>189</v>
      </c>
      <c r="P8" s="11">
        <v>8</v>
      </c>
      <c r="Q8" s="11">
        <v>43</v>
      </c>
      <c r="R8" s="11">
        <v>0</v>
      </c>
      <c r="S8" s="11">
        <v>60</v>
      </c>
      <c r="T8" s="11">
        <v>43</v>
      </c>
      <c r="U8" s="11">
        <v>67</v>
      </c>
      <c r="V8" s="15">
        <f>SUM(O8:U8)/40</f>
        <v>10.25</v>
      </c>
      <c r="W8" s="12">
        <v>15</v>
      </c>
      <c r="Y8" s="39">
        <f>J8</f>
        <v>12.25</v>
      </c>
      <c r="Z8" s="40">
        <f>V8</f>
        <v>10.25</v>
      </c>
      <c r="AA8" s="41">
        <f>Y8-Z8</f>
        <v>2</v>
      </c>
    </row>
    <row r="9" spans="1:27" x14ac:dyDescent="0.35">
      <c r="A9" s="14"/>
      <c r="B9" s="7" t="s">
        <v>14</v>
      </c>
      <c r="C9" s="11">
        <v>92</v>
      </c>
      <c r="D9" s="11">
        <v>82</v>
      </c>
      <c r="E9" s="11">
        <v>70</v>
      </c>
      <c r="F9" s="11">
        <v>62</v>
      </c>
      <c r="G9" s="11">
        <v>42</v>
      </c>
      <c r="H9" s="11">
        <v>32</v>
      </c>
      <c r="I9" s="11">
        <v>48</v>
      </c>
      <c r="J9" s="15">
        <f t="shared" ref="J9:J12" si="0">SUM(C9:I9)/40</f>
        <v>10.7</v>
      </c>
      <c r="K9" s="12">
        <v>10</v>
      </c>
      <c r="L9" s="13"/>
      <c r="M9" s="14"/>
      <c r="N9" s="7" t="s">
        <v>15</v>
      </c>
      <c r="O9" s="11">
        <v>92</v>
      </c>
      <c r="P9" s="11">
        <v>82</v>
      </c>
      <c r="Q9" s="11">
        <v>70</v>
      </c>
      <c r="R9" s="11">
        <v>62</v>
      </c>
      <c r="S9" s="11">
        <v>42</v>
      </c>
      <c r="T9" s="11">
        <v>32</v>
      </c>
      <c r="U9" s="11">
        <v>48</v>
      </c>
      <c r="V9" s="15">
        <f t="shared" ref="V9:V12" si="1">SUM(O9:U9)/40</f>
        <v>10.7</v>
      </c>
      <c r="W9" s="12">
        <v>10</v>
      </c>
      <c r="Y9" s="39">
        <f t="shared" ref="Y9:Y13" si="2">J9</f>
        <v>10.7</v>
      </c>
      <c r="Z9" s="40">
        <f t="shared" ref="Z9:Z13" si="3">V9</f>
        <v>10.7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11">
        <v>190</v>
      </c>
      <c r="D10" s="11">
        <v>20</v>
      </c>
      <c r="E10" s="11">
        <v>20</v>
      </c>
      <c r="F10" s="11">
        <v>0</v>
      </c>
      <c r="G10" s="11">
        <v>147</v>
      </c>
      <c r="H10" s="11">
        <v>156</v>
      </c>
      <c r="I10" s="11">
        <v>153</v>
      </c>
      <c r="J10" s="15">
        <f t="shared" si="0"/>
        <v>17.149999999999999</v>
      </c>
      <c r="K10" s="12">
        <v>10</v>
      </c>
      <c r="L10" s="13"/>
      <c r="M10" s="14"/>
      <c r="N10" s="7" t="s">
        <v>16</v>
      </c>
      <c r="O10" s="11">
        <v>110</v>
      </c>
      <c r="P10" s="11">
        <v>20</v>
      </c>
      <c r="Q10" s="11">
        <v>20</v>
      </c>
      <c r="R10" s="11">
        <v>0</v>
      </c>
      <c r="S10" s="11">
        <v>107</v>
      </c>
      <c r="T10" s="11">
        <v>110</v>
      </c>
      <c r="U10" s="11">
        <v>119</v>
      </c>
      <c r="V10" s="15">
        <f t="shared" si="1"/>
        <v>12.15</v>
      </c>
      <c r="W10" s="12">
        <v>9</v>
      </c>
      <c r="Y10" s="39">
        <f t="shared" si="2"/>
        <v>17.149999999999999</v>
      </c>
      <c r="Z10" s="40">
        <f t="shared" si="3"/>
        <v>12.15</v>
      </c>
      <c r="AA10" s="41">
        <f t="shared" si="4"/>
        <v>4.9999999999999982</v>
      </c>
    </row>
    <row r="11" spans="1:27" x14ac:dyDescent="0.35">
      <c r="A11" s="16"/>
      <c r="B11" s="17" t="s">
        <v>24</v>
      </c>
      <c r="C11" s="11">
        <v>5</v>
      </c>
      <c r="D11" s="11">
        <v>6</v>
      </c>
      <c r="E11" s="11">
        <v>6</v>
      </c>
      <c r="F11" s="11">
        <v>6</v>
      </c>
      <c r="G11" s="11">
        <v>6</v>
      </c>
      <c r="H11" s="11">
        <v>6</v>
      </c>
      <c r="I11" s="11">
        <v>6</v>
      </c>
      <c r="J11" s="15">
        <f t="shared" si="0"/>
        <v>1.0249999999999999</v>
      </c>
      <c r="K11" s="12">
        <v>2</v>
      </c>
      <c r="L11" s="13"/>
      <c r="M11" s="16"/>
      <c r="N11" s="17" t="s">
        <v>24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1.0249999999999999</v>
      </c>
      <c r="Z11" s="40">
        <f t="shared" si="3"/>
        <v>0</v>
      </c>
      <c r="AA11" s="41">
        <f t="shared" si="4"/>
        <v>1.0249999999999999</v>
      </c>
    </row>
    <row r="12" spans="1:27" x14ac:dyDescent="0.35">
      <c r="A12" s="16"/>
      <c r="B12" s="17" t="s">
        <v>17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18</v>
      </c>
      <c r="O12" s="11"/>
      <c r="P12" s="11">
        <v>280</v>
      </c>
      <c r="Q12" s="11">
        <v>288</v>
      </c>
      <c r="R12" s="11">
        <v>680</v>
      </c>
      <c r="S12" s="11">
        <v>440</v>
      </c>
      <c r="T12" s="11">
        <v>599</v>
      </c>
      <c r="U12" s="11">
        <v>600</v>
      </c>
      <c r="V12" s="15">
        <f t="shared" si="1"/>
        <v>72.174999999999997</v>
      </c>
      <c r="W12" s="12"/>
      <c r="Y12" s="39">
        <f t="shared" si="2"/>
        <v>0</v>
      </c>
      <c r="Z12" s="40">
        <f t="shared" si="3"/>
        <v>72.174999999999997</v>
      </c>
      <c r="AA12" s="41">
        <f t="shared" si="4"/>
        <v>-72.174999999999997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516</v>
      </c>
      <c r="D14" s="25">
        <f t="shared" si="5"/>
        <v>116</v>
      </c>
      <c r="E14" s="25">
        <f t="shared" si="5"/>
        <v>139</v>
      </c>
      <c r="F14" s="25">
        <f t="shared" si="5"/>
        <v>68</v>
      </c>
      <c r="G14" s="25">
        <f t="shared" si="5"/>
        <v>270</v>
      </c>
      <c r="H14" s="25">
        <f t="shared" si="5"/>
        <v>247</v>
      </c>
      <c r="I14" s="25">
        <f t="shared" si="5"/>
        <v>289</v>
      </c>
      <c r="J14" s="28">
        <f>SUM(C14:I14)</f>
        <v>1645</v>
      </c>
      <c r="K14" s="31"/>
      <c r="M14" s="1"/>
      <c r="N14" s="7"/>
      <c r="O14" s="25">
        <f t="shared" ref="O14:U14" si="6">SUM(O8:O13)</f>
        <v>391</v>
      </c>
      <c r="P14" s="25">
        <f t="shared" si="6"/>
        <v>390</v>
      </c>
      <c r="Q14" s="25">
        <f t="shared" si="6"/>
        <v>421</v>
      </c>
      <c r="R14" s="25">
        <f t="shared" si="6"/>
        <v>742</v>
      </c>
      <c r="S14" s="25">
        <f t="shared" si="6"/>
        <v>649</v>
      </c>
      <c r="T14" s="25">
        <f t="shared" si="6"/>
        <v>784</v>
      </c>
      <c r="U14" s="25">
        <f t="shared" si="6"/>
        <v>834</v>
      </c>
      <c r="V14" s="28">
        <f>SUM(O14:U14)</f>
        <v>4211</v>
      </c>
      <c r="W14" s="31"/>
      <c r="Y14" s="36">
        <f>SUM(Y8:Y13)</f>
        <v>41.124999999999993</v>
      </c>
      <c r="Z14" s="37">
        <f>SUM(Z8:Z13)</f>
        <v>105.27500000000001</v>
      </c>
      <c r="AA14" s="38">
        <f>SUM(AA8:AA13)</f>
        <v>-64.150000000000006</v>
      </c>
    </row>
    <row r="15" spans="1:27" ht="15" thickBot="1" x14ac:dyDescent="0.4">
      <c r="A15" s="1"/>
      <c r="B15" s="20" t="s">
        <v>19</v>
      </c>
      <c r="C15" s="21">
        <f t="shared" ref="C15:J15" si="7">C14/40</f>
        <v>12.9</v>
      </c>
      <c r="D15" s="21">
        <f t="shared" si="7"/>
        <v>2.9</v>
      </c>
      <c r="E15" s="21">
        <f t="shared" si="7"/>
        <v>3.4750000000000001</v>
      </c>
      <c r="F15" s="21">
        <f t="shared" si="7"/>
        <v>1.7</v>
      </c>
      <c r="G15" s="21">
        <f t="shared" si="7"/>
        <v>6.75</v>
      </c>
      <c r="H15" s="21">
        <f t="shared" si="7"/>
        <v>6.1749999999999998</v>
      </c>
      <c r="I15" s="21">
        <f t="shared" si="7"/>
        <v>7.2249999999999996</v>
      </c>
      <c r="J15" s="22">
        <f t="shared" si="7"/>
        <v>41.125</v>
      </c>
      <c r="K15" s="23"/>
      <c r="M15" s="1"/>
      <c r="N15" s="20" t="s">
        <v>19</v>
      </c>
      <c r="O15" s="21">
        <f t="shared" ref="O15:V15" si="8">O14/40</f>
        <v>9.7750000000000004</v>
      </c>
      <c r="P15" s="21">
        <f t="shared" si="8"/>
        <v>9.75</v>
      </c>
      <c r="Q15" s="21">
        <f t="shared" si="8"/>
        <v>10.525</v>
      </c>
      <c r="R15" s="21">
        <f t="shared" si="8"/>
        <v>18.55</v>
      </c>
      <c r="S15" s="21">
        <f t="shared" si="8"/>
        <v>16.225000000000001</v>
      </c>
      <c r="T15" s="21">
        <f t="shared" si="8"/>
        <v>19.600000000000001</v>
      </c>
      <c r="U15" s="21">
        <f t="shared" si="8"/>
        <v>20.85</v>
      </c>
      <c r="V15" s="22">
        <f t="shared" si="8"/>
        <v>105.27500000000001</v>
      </c>
      <c r="W15" s="23"/>
      <c r="Y15" s="42">
        <f>Y14/40</f>
        <v>1.0281249999999997</v>
      </c>
      <c r="Z15" s="43">
        <f>Z14/40</f>
        <v>2.631875</v>
      </c>
      <c r="AA15" s="44">
        <f>AA14/40</f>
        <v>-1.6037500000000002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4E2C-B3C5-473E-8709-91E86C4798CE}">
  <dimension ref="A1:AA23"/>
  <sheetViews>
    <sheetView workbookViewId="0">
      <selection activeCell="P19" sqref="P19"/>
    </sheetView>
  </sheetViews>
  <sheetFormatPr defaultRowHeight="14.5" x14ac:dyDescent="0.35"/>
  <cols>
    <col min="1" max="1" width="5.6328125" customWidth="1"/>
    <col min="2" max="2" width="8.5429687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8.5429687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234</v>
      </c>
      <c r="D8" s="11">
        <v>0</v>
      </c>
      <c r="E8" s="11">
        <v>0</v>
      </c>
      <c r="F8" s="11">
        <v>0</v>
      </c>
      <c r="G8" s="11">
        <v>74</v>
      </c>
      <c r="H8" s="11">
        <v>39</v>
      </c>
      <c r="I8" s="11">
        <v>169</v>
      </c>
      <c r="J8" s="15">
        <f>SUM(C8:I8)/40</f>
        <v>12.9</v>
      </c>
      <c r="K8" s="12">
        <v>15</v>
      </c>
      <c r="L8" s="13"/>
      <c r="M8" s="14"/>
      <c r="N8" s="7" t="s">
        <v>13</v>
      </c>
      <c r="O8" s="11">
        <v>254</v>
      </c>
      <c r="P8" s="11">
        <v>0</v>
      </c>
      <c r="Q8" s="11">
        <v>20</v>
      </c>
      <c r="R8" s="11">
        <v>0</v>
      </c>
      <c r="S8" s="11">
        <v>59</v>
      </c>
      <c r="T8" s="11">
        <v>24</v>
      </c>
      <c r="U8" s="11">
        <v>79</v>
      </c>
      <c r="V8" s="15">
        <f>SUM(O8:U8)/40</f>
        <v>10.9</v>
      </c>
      <c r="W8" s="12">
        <v>12</v>
      </c>
      <c r="Y8" s="39">
        <f>J8</f>
        <v>12.9</v>
      </c>
      <c r="Z8" s="40">
        <f>V8</f>
        <v>10.9</v>
      </c>
      <c r="AA8" s="41">
        <f>Y8-Z8</f>
        <v>2</v>
      </c>
    </row>
    <row r="9" spans="1:27" x14ac:dyDescent="0.35">
      <c r="A9" s="14"/>
      <c r="B9" s="7" t="s">
        <v>14</v>
      </c>
      <c r="C9" s="11">
        <v>80</v>
      </c>
      <c r="D9" s="11">
        <v>0</v>
      </c>
      <c r="E9" s="11">
        <v>40</v>
      </c>
      <c r="F9" s="11">
        <v>40</v>
      </c>
      <c r="G9" s="11">
        <v>53</v>
      </c>
      <c r="H9" s="11">
        <v>52</v>
      </c>
      <c r="I9" s="11">
        <v>55</v>
      </c>
      <c r="J9" s="15">
        <f t="shared" ref="J9:J12" si="0">SUM(C9:I9)/40</f>
        <v>8</v>
      </c>
      <c r="K9" s="12">
        <v>11</v>
      </c>
      <c r="L9" s="13"/>
      <c r="M9" s="14"/>
      <c r="N9" s="7" t="s">
        <v>15</v>
      </c>
      <c r="O9" s="11">
        <v>80</v>
      </c>
      <c r="P9" s="11">
        <v>0</v>
      </c>
      <c r="Q9" s="11">
        <v>40</v>
      </c>
      <c r="R9" s="11">
        <v>40</v>
      </c>
      <c r="S9" s="11">
        <f>53+80</f>
        <v>133</v>
      </c>
      <c r="T9" s="11">
        <f>52+80</f>
        <v>132</v>
      </c>
      <c r="U9" s="11">
        <f>55+80</f>
        <v>135</v>
      </c>
      <c r="V9" s="15">
        <f t="shared" ref="V9:V12" si="1">SUM(O9:U9)/40</f>
        <v>14</v>
      </c>
      <c r="W9" s="12">
        <v>11</v>
      </c>
      <c r="Y9" s="39">
        <f t="shared" ref="Y9:Y13" si="2">J9</f>
        <v>8</v>
      </c>
      <c r="Z9" s="40">
        <f t="shared" ref="Z9:Z13" si="3">V9</f>
        <v>14</v>
      </c>
      <c r="AA9" s="41">
        <f t="shared" ref="AA9:AA13" si="4">Y9-Z9</f>
        <v>-6</v>
      </c>
    </row>
    <row r="10" spans="1:27" x14ac:dyDescent="0.35">
      <c r="A10" s="14"/>
      <c r="B10" s="7" t="s">
        <v>16</v>
      </c>
      <c r="C10" s="11">
        <v>300</v>
      </c>
      <c r="D10" s="11">
        <v>0</v>
      </c>
      <c r="E10" s="11">
        <v>0</v>
      </c>
      <c r="F10" s="11">
        <v>0</v>
      </c>
      <c r="G10" s="11">
        <v>100</v>
      </c>
      <c r="H10" s="11">
        <v>94</v>
      </c>
      <c r="I10" s="11">
        <v>92</v>
      </c>
      <c r="J10" s="15">
        <f t="shared" si="0"/>
        <v>14.65</v>
      </c>
      <c r="K10" s="12">
        <v>11</v>
      </c>
      <c r="L10" s="13"/>
      <c r="M10" s="14"/>
      <c r="N10" s="7" t="s">
        <v>16</v>
      </c>
      <c r="O10" s="11">
        <v>220</v>
      </c>
      <c r="P10" s="11">
        <v>0</v>
      </c>
      <c r="Q10" s="11">
        <v>0</v>
      </c>
      <c r="R10" s="11">
        <v>0</v>
      </c>
      <c r="S10" s="11">
        <v>73</v>
      </c>
      <c r="T10" s="11">
        <v>67</v>
      </c>
      <c r="U10" s="11">
        <v>66</v>
      </c>
      <c r="V10" s="15">
        <f t="shared" si="1"/>
        <v>10.65</v>
      </c>
      <c r="W10" s="12">
        <v>7</v>
      </c>
      <c r="Y10" s="39">
        <f t="shared" si="2"/>
        <v>14.65</v>
      </c>
      <c r="Z10" s="40">
        <f t="shared" si="3"/>
        <v>10.65</v>
      </c>
      <c r="AA10" s="41">
        <f t="shared" si="4"/>
        <v>4</v>
      </c>
    </row>
    <row r="11" spans="1:27" x14ac:dyDescent="0.35">
      <c r="A11" s="16"/>
      <c r="B11" s="17" t="s">
        <v>24</v>
      </c>
      <c r="C11" s="11">
        <v>34</v>
      </c>
      <c r="D11" s="11">
        <v>43</v>
      </c>
      <c r="E11" s="11">
        <v>43</v>
      </c>
      <c r="F11" s="11">
        <v>43</v>
      </c>
      <c r="G11" s="11">
        <v>38</v>
      </c>
      <c r="H11" s="11">
        <v>35</v>
      </c>
      <c r="I11" s="11">
        <v>30</v>
      </c>
      <c r="J11" s="15">
        <f t="shared" si="0"/>
        <v>6.65</v>
      </c>
      <c r="K11" s="12">
        <v>9</v>
      </c>
      <c r="L11" s="13"/>
      <c r="M11" s="16"/>
      <c r="N11" s="17" t="s">
        <v>24</v>
      </c>
      <c r="O11" s="11">
        <v>33</v>
      </c>
      <c r="P11" s="11">
        <v>42</v>
      </c>
      <c r="Q11" s="11">
        <v>42</v>
      </c>
      <c r="R11" s="11">
        <v>42</v>
      </c>
      <c r="S11" s="11">
        <v>40</v>
      </c>
      <c r="T11" s="11">
        <v>37</v>
      </c>
      <c r="U11" s="11">
        <v>32</v>
      </c>
      <c r="V11" s="15">
        <f t="shared" si="1"/>
        <v>6.7</v>
      </c>
      <c r="W11" s="12">
        <v>9</v>
      </c>
      <c r="Y11" s="39">
        <f t="shared" si="2"/>
        <v>6.65</v>
      </c>
      <c r="Z11" s="40">
        <f t="shared" si="3"/>
        <v>6.7</v>
      </c>
      <c r="AA11" s="41">
        <f t="shared" si="4"/>
        <v>-4.9999999999999822E-2</v>
      </c>
    </row>
    <row r="12" spans="1:27" x14ac:dyDescent="0.35">
      <c r="A12" s="16"/>
      <c r="B12" s="17" t="s">
        <v>17</v>
      </c>
      <c r="C12" s="11"/>
      <c r="D12" s="11">
        <v>600</v>
      </c>
      <c r="E12" s="11">
        <v>600</v>
      </c>
      <c r="F12" s="11">
        <v>600</v>
      </c>
      <c r="G12" s="11">
        <v>600</v>
      </c>
      <c r="H12" s="11">
        <v>600</v>
      </c>
      <c r="I12" s="11">
        <v>600</v>
      </c>
      <c r="J12" s="15">
        <f t="shared" si="0"/>
        <v>90</v>
      </c>
      <c r="K12" s="12">
        <v>1</v>
      </c>
      <c r="L12" s="13"/>
      <c r="M12" s="16"/>
      <c r="N12" s="17" t="s">
        <v>38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9">
        <f t="shared" si="2"/>
        <v>90</v>
      </c>
      <c r="Z12" s="40">
        <f t="shared" si="3"/>
        <v>0</v>
      </c>
      <c r="AA12" s="41">
        <f t="shared" si="4"/>
        <v>90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648</v>
      </c>
      <c r="D14" s="25">
        <f t="shared" si="5"/>
        <v>643</v>
      </c>
      <c r="E14" s="25">
        <f t="shared" si="5"/>
        <v>683</v>
      </c>
      <c r="F14" s="25">
        <f t="shared" si="5"/>
        <v>683</v>
      </c>
      <c r="G14" s="25">
        <f t="shared" si="5"/>
        <v>865</v>
      </c>
      <c r="H14" s="25">
        <f t="shared" si="5"/>
        <v>820</v>
      </c>
      <c r="I14" s="25">
        <f t="shared" si="5"/>
        <v>946</v>
      </c>
      <c r="J14" s="28">
        <f>SUM(C14:I14)</f>
        <v>5288</v>
      </c>
      <c r="K14" s="31"/>
      <c r="M14" s="1"/>
      <c r="N14" s="7"/>
      <c r="O14" s="25">
        <f t="shared" ref="O14:U14" si="6">SUM(O8:O13)</f>
        <v>587</v>
      </c>
      <c r="P14" s="25">
        <f t="shared" si="6"/>
        <v>42</v>
      </c>
      <c r="Q14" s="25">
        <f t="shared" si="6"/>
        <v>102</v>
      </c>
      <c r="R14" s="25">
        <f t="shared" si="6"/>
        <v>82</v>
      </c>
      <c r="S14" s="25">
        <f t="shared" si="6"/>
        <v>305</v>
      </c>
      <c r="T14" s="25">
        <f t="shared" si="6"/>
        <v>260</v>
      </c>
      <c r="U14" s="25">
        <f t="shared" si="6"/>
        <v>312</v>
      </c>
      <c r="V14" s="28">
        <f>SUM(O14:U14)</f>
        <v>1690</v>
      </c>
      <c r="W14" s="31"/>
      <c r="Y14" s="36">
        <f>SUM(Y8:Y13)</f>
        <v>132.19999999999999</v>
      </c>
      <c r="Z14" s="37">
        <f>SUM(Z8:Z13)</f>
        <v>42.25</v>
      </c>
      <c r="AA14" s="38">
        <f>SUM(AA8:AA13)</f>
        <v>89.95</v>
      </c>
    </row>
    <row r="15" spans="1:27" ht="15" thickBot="1" x14ac:dyDescent="0.4">
      <c r="A15" s="1"/>
      <c r="B15" s="20" t="s">
        <v>19</v>
      </c>
      <c r="C15" s="21">
        <f t="shared" ref="C15:J15" si="7">C14/40</f>
        <v>16.2</v>
      </c>
      <c r="D15" s="21">
        <f t="shared" si="7"/>
        <v>16.074999999999999</v>
      </c>
      <c r="E15" s="21">
        <f t="shared" si="7"/>
        <v>17.074999999999999</v>
      </c>
      <c r="F15" s="21">
        <f t="shared" si="7"/>
        <v>17.074999999999999</v>
      </c>
      <c r="G15" s="21">
        <f t="shared" si="7"/>
        <v>21.625</v>
      </c>
      <c r="H15" s="21">
        <f t="shared" si="7"/>
        <v>20.5</v>
      </c>
      <c r="I15" s="21">
        <f t="shared" si="7"/>
        <v>23.65</v>
      </c>
      <c r="J15" s="22">
        <f t="shared" si="7"/>
        <v>132.19999999999999</v>
      </c>
      <c r="K15" s="23"/>
      <c r="M15" s="1"/>
      <c r="N15" s="20" t="s">
        <v>19</v>
      </c>
      <c r="O15" s="21">
        <f t="shared" ref="O15:V15" si="8">O14/40</f>
        <v>14.675000000000001</v>
      </c>
      <c r="P15" s="21">
        <f t="shared" si="8"/>
        <v>1.05</v>
      </c>
      <c r="Q15" s="21">
        <f t="shared" si="8"/>
        <v>2.5499999999999998</v>
      </c>
      <c r="R15" s="21">
        <f t="shared" si="8"/>
        <v>2.0499999999999998</v>
      </c>
      <c r="S15" s="21">
        <f t="shared" si="8"/>
        <v>7.625</v>
      </c>
      <c r="T15" s="21">
        <f t="shared" si="8"/>
        <v>6.5</v>
      </c>
      <c r="U15" s="21">
        <f t="shared" si="8"/>
        <v>7.8</v>
      </c>
      <c r="V15" s="22">
        <f t="shared" si="8"/>
        <v>42.25</v>
      </c>
      <c r="W15" s="23"/>
      <c r="Y15" s="42">
        <f>Y14/40</f>
        <v>3.3049999999999997</v>
      </c>
      <c r="Z15" s="43">
        <f>Z14/40</f>
        <v>1.0562499999999999</v>
      </c>
      <c r="AA15" s="44">
        <f>AA14/40</f>
        <v>2.2487500000000002</v>
      </c>
    </row>
    <row r="23" spans="10:10" x14ac:dyDescent="0.35">
      <c r="J23">
        <f>15*40</f>
        <v>600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2268-B5C0-4F7D-B124-8932172B8A1F}">
  <dimension ref="A1:AA27"/>
  <sheetViews>
    <sheetView workbookViewId="0">
      <selection activeCell="W13" sqref="W13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.08984375" bestFit="1" customWidth="1"/>
    <col min="16" max="16" width="4" bestFit="1" customWidth="1"/>
    <col min="17" max="17" width="3.36328125" bestFit="1" customWidth="1"/>
    <col min="18" max="18" width="3.1796875" bestFit="1" customWidth="1"/>
    <col min="19" max="19" width="4" bestFit="1" customWidth="1"/>
    <col min="20" max="20" width="3.7265625" bestFit="1" customWidth="1"/>
    <col min="21" max="21" width="3.2695312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222</v>
      </c>
      <c r="D8" s="11">
        <v>20</v>
      </c>
      <c r="E8" s="11">
        <v>20</v>
      </c>
      <c r="F8" s="11">
        <v>0</v>
      </c>
      <c r="G8" s="11">
        <v>114</v>
      </c>
      <c r="H8" s="11">
        <v>52</v>
      </c>
      <c r="I8" s="11">
        <v>84</v>
      </c>
      <c r="J8" s="15">
        <f>SUM(C8:I8)/40</f>
        <v>12.8</v>
      </c>
      <c r="K8" s="12">
        <v>9</v>
      </c>
      <c r="L8" s="13"/>
      <c r="M8" s="14"/>
      <c r="N8" s="7" t="s">
        <v>13</v>
      </c>
      <c r="O8" s="11">
        <v>98</v>
      </c>
      <c r="P8" s="11">
        <v>20</v>
      </c>
      <c r="Q8" s="11">
        <v>20</v>
      </c>
      <c r="R8" s="11">
        <v>0</v>
      </c>
      <c r="S8" s="11">
        <v>89</v>
      </c>
      <c r="T8" s="11">
        <v>32</v>
      </c>
      <c r="U8" s="11">
        <v>59</v>
      </c>
      <c r="V8" s="15">
        <f>SUM(O8:U8)/40</f>
        <v>7.95</v>
      </c>
      <c r="W8" s="12">
        <v>6</v>
      </c>
      <c r="Y8" s="39">
        <f>J8</f>
        <v>12.8</v>
      </c>
      <c r="Z8" s="40">
        <f>V8</f>
        <v>7.95</v>
      </c>
      <c r="AA8" s="41">
        <f>Y8-Z8</f>
        <v>4.8500000000000005</v>
      </c>
    </row>
    <row r="9" spans="1:27" x14ac:dyDescent="0.35">
      <c r="A9" s="14"/>
      <c r="B9" s="7" t="s">
        <v>14</v>
      </c>
      <c r="C9" s="11">
        <v>128</v>
      </c>
      <c r="D9" s="11">
        <v>73</v>
      </c>
      <c r="E9" s="11">
        <v>92</v>
      </c>
      <c r="F9" s="11">
        <v>32</v>
      </c>
      <c r="G9" s="11">
        <v>82</v>
      </c>
      <c r="H9" s="11">
        <v>26</v>
      </c>
      <c r="I9" s="11">
        <v>26</v>
      </c>
      <c r="J9" s="15">
        <f t="shared" ref="J9:J14" si="0">SUM(C9:I9)/40</f>
        <v>11.475</v>
      </c>
      <c r="K9" s="12">
        <v>10</v>
      </c>
      <c r="L9" s="13"/>
      <c r="M9" s="14"/>
      <c r="N9" s="7" t="s">
        <v>15</v>
      </c>
      <c r="O9" s="11">
        <v>72</v>
      </c>
      <c r="P9" s="11">
        <v>42</v>
      </c>
      <c r="Q9" s="11">
        <v>62</v>
      </c>
      <c r="R9" s="11">
        <v>32</v>
      </c>
      <c r="S9" s="11">
        <v>52</v>
      </c>
      <c r="T9" s="11">
        <v>36</v>
      </c>
      <c r="U9" s="11">
        <v>16</v>
      </c>
      <c r="V9" s="15">
        <f t="shared" ref="V9:V13" si="1">SUM(O9:U9)/40</f>
        <v>7.8</v>
      </c>
      <c r="W9" s="12">
        <v>7</v>
      </c>
      <c r="Y9" s="39">
        <f t="shared" ref="Y9:Y13" si="2">J9</f>
        <v>11.475</v>
      </c>
      <c r="Z9" s="40">
        <f t="shared" ref="Z9:Z13" si="3">V9</f>
        <v>7.8</v>
      </c>
      <c r="AA9" s="41">
        <f t="shared" ref="AA9:AA13" si="4">Y9-Z9</f>
        <v>3.6749999999999998</v>
      </c>
    </row>
    <row r="10" spans="1:27" x14ac:dyDescent="0.35">
      <c r="A10" s="14"/>
      <c r="B10" s="7" t="s">
        <v>16</v>
      </c>
      <c r="C10" s="11">
        <v>192</v>
      </c>
      <c r="D10" s="11"/>
      <c r="E10" s="11"/>
      <c r="F10" s="11"/>
      <c r="G10" s="11">
        <v>100</v>
      </c>
      <c r="H10" s="11">
        <v>0</v>
      </c>
      <c r="I10" s="11">
        <v>60</v>
      </c>
      <c r="J10" s="15">
        <f t="shared" si="0"/>
        <v>8.8000000000000007</v>
      </c>
      <c r="K10" s="12">
        <v>7</v>
      </c>
      <c r="L10" s="13"/>
      <c r="M10" s="14"/>
      <c r="N10" s="7" t="s">
        <v>16</v>
      </c>
      <c r="O10" s="11">
        <v>192</v>
      </c>
      <c r="P10" s="11">
        <v>0</v>
      </c>
      <c r="Q10" s="11">
        <v>0</v>
      </c>
      <c r="R10" s="11">
        <v>0</v>
      </c>
      <c r="S10" s="11">
        <v>100</v>
      </c>
      <c r="T10" s="11">
        <v>0</v>
      </c>
      <c r="U10" s="11">
        <v>60</v>
      </c>
      <c r="V10" s="15">
        <f t="shared" si="1"/>
        <v>8.8000000000000007</v>
      </c>
      <c r="W10" s="12">
        <v>7</v>
      </c>
      <c r="Y10" s="39">
        <f t="shared" si="2"/>
        <v>8.8000000000000007</v>
      </c>
      <c r="Z10" s="40">
        <f t="shared" si="3"/>
        <v>8.8000000000000007</v>
      </c>
      <c r="AA10" s="41">
        <f t="shared" si="4"/>
        <v>0</v>
      </c>
    </row>
    <row r="11" spans="1:27" x14ac:dyDescent="0.35">
      <c r="A11" s="16"/>
      <c r="B11" s="17" t="s">
        <v>40</v>
      </c>
      <c r="C11" s="11">
        <v>24</v>
      </c>
      <c r="D11" s="11"/>
      <c r="E11" s="11"/>
      <c r="F11" s="11"/>
      <c r="G11" s="11"/>
      <c r="H11" s="11"/>
      <c r="I11" s="11"/>
      <c r="J11" s="15">
        <f t="shared" si="0"/>
        <v>0.6</v>
      </c>
      <c r="K11" s="12">
        <v>2</v>
      </c>
      <c r="L11" s="13"/>
      <c r="M11" s="16"/>
      <c r="N11" s="17" t="s">
        <v>40</v>
      </c>
      <c r="O11" s="11">
        <v>24</v>
      </c>
      <c r="P11" s="11"/>
      <c r="Q11" s="11"/>
      <c r="R11" s="11"/>
      <c r="S11" s="11"/>
      <c r="T11" s="11"/>
      <c r="U11" s="11"/>
      <c r="V11" s="15">
        <f t="shared" si="1"/>
        <v>0.6</v>
      </c>
      <c r="W11" s="12"/>
      <c r="Y11" s="39">
        <f t="shared" si="2"/>
        <v>0.6</v>
      </c>
      <c r="Z11" s="40">
        <f t="shared" si="3"/>
        <v>0.6</v>
      </c>
      <c r="AA11" s="41">
        <f t="shared" si="4"/>
        <v>0</v>
      </c>
    </row>
    <row r="12" spans="1:27" x14ac:dyDescent="0.35">
      <c r="A12" s="16"/>
      <c r="B12" s="17" t="s">
        <v>39</v>
      </c>
      <c r="C12" s="11">
        <v>147</v>
      </c>
      <c r="D12" s="11">
        <v>15</v>
      </c>
      <c r="E12" s="11">
        <v>54</v>
      </c>
      <c r="F12" s="11">
        <v>15</v>
      </c>
      <c r="G12" s="11">
        <v>31</v>
      </c>
      <c r="H12" s="11">
        <v>10</v>
      </c>
      <c r="I12" s="11">
        <v>0</v>
      </c>
      <c r="J12" s="15">
        <f t="shared" si="0"/>
        <v>6.8</v>
      </c>
      <c r="K12" s="12">
        <v>10</v>
      </c>
      <c r="L12" s="13"/>
      <c r="M12" s="16"/>
      <c r="N12" s="17" t="s">
        <v>39</v>
      </c>
      <c r="O12" s="11">
        <v>40</v>
      </c>
      <c r="P12" s="11"/>
      <c r="Q12" s="11"/>
      <c r="R12" s="11"/>
      <c r="S12" s="11">
        <v>1</v>
      </c>
      <c r="T12" s="11">
        <v>1</v>
      </c>
      <c r="U12" s="11">
        <v>1</v>
      </c>
      <c r="V12" s="15">
        <f t="shared" si="1"/>
        <v>1.075</v>
      </c>
      <c r="W12" s="12">
        <v>4</v>
      </c>
      <c r="Y12" s="39">
        <f t="shared" si="2"/>
        <v>6.8</v>
      </c>
      <c r="Z12" s="40">
        <f t="shared" si="3"/>
        <v>1.075</v>
      </c>
      <c r="AA12" s="41">
        <f t="shared" si="4"/>
        <v>5.7249999999999996</v>
      </c>
    </row>
    <row r="13" spans="1:27" x14ac:dyDescent="0.35">
      <c r="A13" s="16"/>
      <c r="B13" s="17" t="s">
        <v>41</v>
      </c>
      <c r="C13" s="11">
        <v>40</v>
      </c>
      <c r="D13" s="11">
        <v>10</v>
      </c>
      <c r="E13" s="11">
        <v>20</v>
      </c>
      <c r="F13" s="11">
        <v>40</v>
      </c>
      <c r="G13" s="11">
        <v>1</v>
      </c>
      <c r="H13" s="11">
        <v>1</v>
      </c>
      <c r="I13" s="11">
        <v>1</v>
      </c>
      <c r="J13" s="15">
        <f t="shared" si="0"/>
        <v>2.8250000000000002</v>
      </c>
      <c r="K13" s="18">
        <v>3</v>
      </c>
      <c r="M13" s="16"/>
      <c r="N13" s="17" t="s">
        <v>41</v>
      </c>
      <c r="O13" s="11">
        <v>69</v>
      </c>
      <c r="P13" s="11">
        <v>0</v>
      </c>
      <c r="Q13" s="11">
        <v>22</v>
      </c>
      <c r="R13" s="11">
        <v>0</v>
      </c>
      <c r="S13" s="11">
        <v>23</v>
      </c>
      <c r="T13" s="11">
        <v>10</v>
      </c>
      <c r="U13" s="11">
        <v>20</v>
      </c>
      <c r="V13" s="15">
        <f t="shared" si="1"/>
        <v>3.6</v>
      </c>
      <c r="W13" s="18">
        <v>5</v>
      </c>
      <c r="Y13" s="39">
        <f t="shared" si="2"/>
        <v>2.8250000000000002</v>
      </c>
      <c r="Z13" s="40">
        <f t="shared" si="3"/>
        <v>3.6</v>
      </c>
      <c r="AA13" s="41">
        <f t="shared" si="4"/>
        <v>-0.77499999999999991</v>
      </c>
    </row>
    <row r="14" spans="1:27" x14ac:dyDescent="0.35">
      <c r="A14" s="16"/>
      <c r="B14" s="17" t="s">
        <v>17</v>
      </c>
      <c r="C14" s="11">
        <v>80</v>
      </c>
      <c r="D14" s="11">
        <v>320</v>
      </c>
      <c r="E14" s="11">
        <v>160</v>
      </c>
      <c r="F14" s="11">
        <v>600</v>
      </c>
      <c r="G14" s="11">
        <v>360</v>
      </c>
      <c r="H14" s="11">
        <v>160</v>
      </c>
      <c r="I14" s="11">
        <v>760</v>
      </c>
      <c r="J14" s="15">
        <f t="shared" si="0"/>
        <v>61</v>
      </c>
      <c r="K14" s="18">
        <v>6</v>
      </c>
      <c r="M14" s="16"/>
      <c r="N14" s="17" t="s">
        <v>17</v>
      </c>
      <c r="O14" s="11"/>
      <c r="P14" s="11">
        <v>160</v>
      </c>
      <c r="Q14" s="11">
        <v>120</v>
      </c>
      <c r="R14" s="11">
        <v>840</v>
      </c>
      <c r="S14" s="11">
        <v>319</v>
      </c>
      <c r="T14" s="11">
        <v>160</v>
      </c>
      <c r="U14" s="11">
        <v>680</v>
      </c>
      <c r="V14" s="15">
        <f>SUM(O14:U14)/40</f>
        <v>56.975000000000001</v>
      </c>
      <c r="W14" s="18"/>
      <c r="Y14" s="39">
        <f t="shared" ref="Y14" si="5">J14</f>
        <v>61</v>
      </c>
      <c r="Z14" s="40">
        <f t="shared" ref="Z14" si="6">V14</f>
        <v>56.975000000000001</v>
      </c>
      <c r="AA14" s="41">
        <f t="shared" ref="AA14" si="7">Y14-Z14</f>
        <v>4.0249999999999986</v>
      </c>
    </row>
    <row r="15" spans="1:27" x14ac:dyDescent="0.35">
      <c r="A15" s="1"/>
      <c r="B15" s="7"/>
      <c r="C15" s="25">
        <f t="shared" ref="C15:I15" si="8">SUM(C8:C14)</f>
        <v>833</v>
      </c>
      <c r="D15" s="25">
        <f t="shared" si="8"/>
        <v>438</v>
      </c>
      <c r="E15" s="25">
        <f t="shared" si="8"/>
        <v>346</v>
      </c>
      <c r="F15" s="25">
        <f t="shared" si="8"/>
        <v>687</v>
      </c>
      <c r="G15" s="25">
        <f t="shared" si="8"/>
        <v>688</v>
      </c>
      <c r="H15" s="25">
        <f t="shared" si="8"/>
        <v>249</v>
      </c>
      <c r="I15" s="25">
        <f t="shared" si="8"/>
        <v>931</v>
      </c>
      <c r="J15" s="28">
        <f>SUM(C15:I15)</f>
        <v>4172</v>
      </c>
      <c r="K15" s="31"/>
      <c r="M15" s="1"/>
      <c r="N15" s="7"/>
      <c r="O15" s="75">
        <f>SUM(O8:O14)</f>
        <v>495</v>
      </c>
      <c r="P15" s="75">
        <f t="shared" ref="P15:U15" si="9">SUM(P8:P14)</f>
        <v>222</v>
      </c>
      <c r="Q15" s="75">
        <f t="shared" si="9"/>
        <v>224</v>
      </c>
      <c r="R15" s="75">
        <f t="shared" si="9"/>
        <v>872</v>
      </c>
      <c r="S15" s="75">
        <f t="shared" si="9"/>
        <v>584</v>
      </c>
      <c r="T15" s="75">
        <f t="shared" si="9"/>
        <v>239</v>
      </c>
      <c r="U15" s="75">
        <f t="shared" si="9"/>
        <v>836</v>
      </c>
      <c r="V15" s="28">
        <f>SUM(O15:U15)</f>
        <v>3472</v>
      </c>
      <c r="W15" s="31"/>
      <c r="Y15" s="36">
        <f>SUM(Y8:Y13)</f>
        <v>43.300000000000004</v>
      </c>
      <c r="Z15" s="37">
        <f>SUM(Z8:Z13)</f>
        <v>29.825000000000003</v>
      </c>
      <c r="AA15" s="38">
        <f>SUM(AA8:AA13)</f>
        <v>13.475</v>
      </c>
    </row>
    <row r="16" spans="1:27" ht="15" thickBot="1" x14ac:dyDescent="0.4">
      <c r="A16" s="1"/>
      <c r="B16" s="20" t="s">
        <v>19</v>
      </c>
      <c r="C16" s="21">
        <f t="shared" ref="C16:J16" si="10">C15/40</f>
        <v>20.824999999999999</v>
      </c>
      <c r="D16" s="21">
        <f t="shared" si="10"/>
        <v>10.95</v>
      </c>
      <c r="E16" s="21">
        <f t="shared" si="10"/>
        <v>8.65</v>
      </c>
      <c r="F16" s="21">
        <f t="shared" si="10"/>
        <v>17.175000000000001</v>
      </c>
      <c r="G16" s="21">
        <f t="shared" si="10"/>
        <v>17.2</v>
      </c>
      <c r="H16" s="21">
        <f t="shared" si="10"/>
        <v>6.2249999999999996</v>
      </c>
      <c r="I16" s="21">
        <f t="shared" si="10"/>
        <v>23.274999999999999</v>
      </c>
      <c r="J16" s="22">
        <f t="shared" si="10"/>
        <v>104.3</v>
      </c>
      <c r="K16" s="23"/>
      <c r="M16" s="1"/>
      <c r="N16" s="20" t="s">
        <v>19</v>
      </c>
      <c r="O16" s="21">
        <f t="shared" ref="O16:V16" si="11">O15/40</f>
        <v>12.375</v>
      </c>
      <c r="P16" s="21">
        <f t="shared" si="11"/>
        <v>5.55</v>
      </c>
      <c r="Q16" s="21">
        <f t="shared" si="11"/>
        <v>5.6</v>
      </c>
      <c r="R16" s="21">
        <f t="shared" si="11"/>
        <v>21.8</v>
      </c>
      <c r="S16" s="21">
        <f t="shared" si="11"/>
        <v>14.6</v>
      </c>
      <c r="T16" s="21">
        <f t="shared" si="11"/>
        <v>5.9749999999999996</v>
      </c>
      <c r="U16" s="21">
        <f t="shared" si="11"/>
        <v>20.9</v>
      </c>
      <c r="V16" s="22">
        <f t="shared" si="11"/>
        <v>86.8</v>
      </c>
      <c r="W16" s="23"/>
      <c r="Y16" s="42">
        <f>Y15/40</f>
        <v>1.0825</v>
      </c>
      <c r="Z16" s="43">
        <f>Z15/40</f>
        <v>0.74562500000000009</v>
      </c>
      <c r="AA16" s="44">
        <f>AA15/40</f>
        <v>0.33687499999999998</v>
      </c>
    </row>
    <row r="20" spans="23:25" x14ac:dyDescent="0.35">
      <c r="X20">
        <v>20467</v>
      </c>
      <c r="Y20">
        <v>3323</v>
      </c>
    </row>
    <row r="21" spans="23:25" x14ac:dyDescent="0.35">
      <c r="X21">
        <v>20557</v>
      </c>
      <c r="Y21">
        <v>2515</v>
      </c>
    </row>
    <row r="22" spans="23:25" x14ac:dyDescent="0.35">
      <c r="X22">
        <v>18860</v>
      </c>
      <c r="Y22">
        <v>4805</v>
      </c>
    </row>
    <row r="23" spans="23:25" x14ac:dyDescent="0.35">
      <c r="X23" s="76">
        <f>SUM(X20:X22)</f>
        <v>59884</v>
      </c>
      <c r="Y23">
        <v>6272</v>
      </c>
    </row>
    <row r="24" spans="23:25" x14ac:dyDescent="0.35">
      <c r="Y24">
        <v>3136</v>
      </c>
    </row>
    <row r="25" spans="23:25" x14ac:dyDescent="0.35">
      <c r="Y25">
        <v>130</v>
      </c>
    </row>
    <row r="26" spans="23:25" x14ac:dyDescent="0.35">
      <c r="Y26">
        <f>SUM(Y20:Y25)</f>
        <v>20181</v>
      </c>
    </row>
    <row r="27" spans="23:25" x14ac:dyDescent="0.35">
      <c r="W27">
        <f>X23-Y26</f>
        <v>39703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0EF4-F35E-451F-BF84-5B668D1495CC}">
  <dimension ref="A1:AA15"/>
  <sheetViews>
    <sheetView tabSelected="1" workbookViewId="0">
      <selection activeCell="N18" sqref="N18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816406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>
        <v>172</v>
      </c>
      <c r="D8" s="11">
        <v>92</v>
      </c>
      <c r="E8" s="11">
        <v>72</v>
      </c>
      <c r="F8" s="11">
        <v>0</v>
      </c>
      <c r="G8" s="11">
        <v>95</v>
      </c>
      <c r="H8" s="11">
        <v>50</v>
      </c>
      <c r="I8" s="11">
        <v>99</v>
      </c>
      <c r="J8" s="15">
        <f>SUM(C8:I8)/40</f>
        <v>14.5</v>
      </c>
      <c r="K8" s="12">
        <v>11</v>
      </c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9">
        <f>J8</f>
        <v>14.5</v>
      </c>
      <c r="Z8" s="40">
        <f>V8</f>
        <v>0</v>
      </c>
      <c r="AA8" s="41">
        <f>Y8-Z8</f>
        <v>14.5</v>
      </c>
    </row>
    <row r="9" spans="1:27" x14ac:dyDescent="0.35">
      <c r="A9" s="14"/>
      <c r="B9" s="7" t="s">
        <v>14</v>
      </c>
      <c r="C9" s="11">
        <v>42</v>
      </c>
      <c r="D9" s="11">
        <v>40</v>
      </c>
      <c r="E9" s="11">
        <v>40</v>
      </c>
      <c r="F9" s="11">
        <v>40</v>
      </c>
      <c r="G9" s="11">
        <v>70</v>
      </c>
      <c r="H9" s="11">
        <v>50</v>
      </c>
      <c r="I9" s="11">
        <v>80</v>
      </c>
      <c r="J9" s="15">
        <f t="shared" ref="J9:J12" si="0">SUM(C9:I9)/40</f>
        <v>9.0500000000000007</v>
      </c>
      <c r="K9" s="12">
        <v>9</v>
      </c>
      <c r="L9" s="13"/>
      <c r="M9" s="14"/>
      <c r="N9" s="7" t="s">
        <v>15</v>
      </c>
      <c r="O9" s="11"/>
      <c r="P9" s="11"/>
      <c r="Q9" s="11"/>
      <c r="R9" s="11"/>
      <c r="S9" s="11"/>
      <c r="T9" s="11"/>
      <c r="U9" s="11"/>
      <c r="V9" s="15">
        <f t="shared" ref="V9:V12" si="1">SUM(O9:U9)/40</f>
        <v>0</v>
      </c>
      <c r="W9" s="12"/>
      <c r="Y9" s="39">
        <f t="shared" ref="Y9:Y13" si="2">J9</f>
        <v>9.0500000000000007</v>
      </c>
      <c r="Z9" s="40">
        <f t="shared" ref="Z9:Z13" si="3">V9</f>
        <v>0</v>
      </c>
      <c r="AA9" s="41">
        <f t="shared" ref="AA9:AA13" si="4">Y9-Z9</f>
        <v>9.0500000000000007</v>
      </c>
    </row>
    <row r="10" spans="1:27" x14ac:dyDescent="0.35">
      <c r="A10" s="14"/>
      <c r="B10" s="7" t="s">
        <v>16</v>
      </c>
      <c r="C10" s="11">
        <v>200</v>
      </c>
      <c r="D10" s="11"/>
      <c r="E10" s="11"/>
      <c r="F10" s="11"/>
      <c r="G10" s="11">
        <v>15</v>
      </c>
      <c r="H10" s="11">
        <v>15</v>
      </c>
      <c r="I10" s="11">
        <v>10</v>
      </c>
      <c r="J10" s="15">
        <f t="shared" si="0"/>
        <v>6</v>
      </c>
      <c r="K10" s="12">
        <v>5</v>
      </c>
      <c r="L10" s="13"/>
      <c r="M10" s="14"/>
      <c r="N10" s="7" t="s">
        <v>16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9">
        <f t="shared" si="2"/>
        <v>6</v>
      </c>
      <c r="Z10" s="40">
        <f t="shared" si="3"/>
        <v>0</v>
      </c>
      <c r="AA10" s="41">
        <f t="shared" si="4"/>
        <v>6</v>
      </c>
    </row>
    <row r="11" spans="1:27" x14ac:dyDescent="0.35">
      <c r="A11" s="16"/>
      <c r="B11" s="17" t="s">
        <v>42</v>
      </c>
      <c r="C11" s="11">
        <v>120</v>
      </c>
      <c r="D11" s="11">
        <v>147</v>
      </c>
      <c r="E11" s="11">
        <v>132</v>
      </c>
      <c r="F11" s="11">
        <v>77</v>
      </c>
      <c r="G11" s="11">
        <v>101</v>
      </c>
      <c r="H11" s="11">
        <v>30</v>
      </c>
      <c r="I11" s="11">
        <v>41</v>
      </c>
      <c r="J11" s="15">
        <f t="shared" si="0"/>
        <v>16.2</v>
      </c>
      <c r="K11" s="12">
        <v>7</v>
      </c>
      <c r="L11" s="13"/>
      <c r="M11" s="16"/>
      <c r="N11" s="17" t="s">
        <v>42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16.2</v>
      </c>
      <c r="Z11" s="40">
        <f t="shared" si="3"/>
        <v>0</v>
      </c>
      <c r="AA11" s="41">
        <f t="shared" si="4"/>
        <v>16.2</v>
      </c>
    </row>
    <row r="12" spans="1:27" x14ac:dyDescent="0.35">
      <c r="A12" s="16"/>
      <c r="B12" s="17" t="s">
        <v>43</v>
      </c>
      <c r="C12" s="11">
        <v>187</v>
      </c>
      <c r="D12" s="11">
        <v>10</v>
      </c>
      <c r="E12" s="11">
        <v>106</v>
      </c>
      <c r="F12" s="11">
        <v>15</v>
      </c>
      <c r="G12" s="11">
        <v>51</v>
      </c>
      <c r="H12" s="11">
        <v>46</v>
      </c>
      <c r="I12" s="11">
        <v>40</v>
      </c>
      <c r="J12" s="15">
        <f t="shared" si="0"/>
        <v>11.375</v>
      </c>
      <c r="K12" s="12">
        <v>11</v>
      </c>
      <c r="L12" s="13"/>
      <c r="M12" s="16"/>
      <c r="N12" s="17" t="s">
        <v>43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>
        <v>7</v>
      </c>
      <c r="Y12" s="39">
        <f t="shared" si="2"/>
        <v>11.375</v>
      </c>
      <c r="Z12" s="40">
        <f t="shared" si="3"/>
        <v>0</v>
      </c>
      <c r="AA12" s="41">
        <f t="shared" si="4"/>
        <v>11.375</v>
      </c>
    </row>
    <row r="13" spans="1:27" x14ac:dyDescent="0.35">
      <c r="A13" s="16"/>
      <c r="B13" s="17" t="s">
        <v>18</v>
      </c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 t="s">
        <v>18</v>
      </c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721</v>
      </c>
      <c r="D14" s="25">
        <f t="shared" si="5"/>
        <v>289</v>
      </c>
      <c r="E14" s="25">
        <f t="shared" si="5"/>
        <v>350</v>
      </c>
      <c r="F14" s="25">
        <f t="shared" si="5"/>
        <v>132</v>
      </c>
      <c r="G14" s="25">
        <f t="shared" si="5"/>
        <v>332</v>
      </c>
      <c r="H14" s="25">
        <f t="shared" si="5"/>
        <v>191</v>
      </c>
      <c r="I14" s="25">
        <f t="shared" si="5"/>
        <v>270</v>
      </c>
      <c r="J14" s="28">
        <f>SUM(C14:I14)</f>
        <v>2285</v>
      </c>
      <c r="K14" s="31"/>
      <c r="M14" s="1"/>
      <c r="N14" s="7"/>
      <c r="O14" s="25">
        <f t="shared" ref="O14:U14" si="6">SUM(O8:O13)</f>
        <v>0</v>
      </c>
      <c r="P14" s="25">
        <f t="shared" si="6"/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</v>
      </c>
      <c r="U14" s="25">
        <f t="shared" si="6"/>
        <v>0</v>
      </c>
      <c r="V14" s="28">
        <f>SUM(O14:U14)</f>
        <v>0</v>
      </c>
      <c r="W14" s="31"/>
      <c r="Y14" s="36">
        <f>SUM(Y8:Y13)</f>
        <v>57.125</v>
      </c>
      <c r="Z14" s="37">
        <f>SUM(Z8:Z13)</f>
        <v>0</v>
      </c>
      <c r="AA14" s="38">
        <f>SUM(AA8:AA13)</f>
        <v>57.125</v>
      </c>
    </row>
    <row r="15" spans="1:27" ht="15" thickBot="1" x14ac:dyDescent="0.4">
      <c r="A15" s="1"/>
      <c r="B15" s="20" t="s">
        <v>19</v>
      </c>
      <c r="C15" s="21">
        <f t="shared" ref="C15:J15" si="7">C14/40</f>
        <v>18.024999999999999</v>
      </c>
      <c r="D15" s="21">
        <f t="shared" si="7"/>
        <v>7.2249999999999996</v>
      </c>
      <c r="E15" s="21">
        <f t="shared" si="7"/>
        <v>8.75</v>
      </c>
      <c r="F15" s="21">
        <f t="shared" si="7"/>
        <v>3.3</v>
      </c>
      <c r="G15" s="21">
        <f t="shared" si="7"/>
        <v>8.3000000000000007</v>
      </c>
      <c r="H15" s="21">
        <f t="shared" si="7"/>
        <v>4.7750000000000004</v>
      </c>
      <c r="I15" s="21">
        <f t="shared" si="7"/>
        <v>6.75</v>
      </c>
      <c r="J15" s="22">
        <f t="shared" si="7"/>
        <v>57.125</v>
      </c>
      <c r="K15" s="23"/>
      <c r="M15" s="1"/>
      <c r="N15" s="20" t="s">
        <v>19</v>
      </c>
      <c r="O15" s="21">
        <f t="shared" ref="O15:V15" si="8">O14/40</f>
        <v>0</v>
      </c>
      <c r="P15" s="21">
        <f t="shared" si="8"/>
        <v>0</v>
      </c>
      <c r="Q15" s="21">
        <f t="shared" si="8"/>
        <v>0</v>
      </c>
      <c r="R15" s="21">
        <f t="shared" si="8"/>
        <v>0</v>
      </c>
      <c r="S15" s="21">
        <f t="shared" si="8"/>
        <v>0</v>
      </c>
      <c r="T15" s="21">
        <f t="shared" si="8"/>
        <v>0</v>
      </c>
      <c r="U15" s="21">
        <f t="shared" si="8"/>
        <v>0</v>
      </c>
      <c r="V15" s="22">
        <f t="shared" si="8"/>
        <v>0</v>
      </c>
      <c r="W15" s="23"/>
      <c r="Y15" s="42">
        <f>Y14/40</f>
        <v>1.4281250000000001</v>
      </c>
      <c r="Z15" s="43">
        <f>Z14/40</f>
        <v>0</v>
      </c>
      <c r="AA15" s="44">
        <f>AA14/40</f>
        <v>1.4281250000000001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9ECB-3983-42D8-9225-B9053A82A404}">
  <dimension ref="A1:AA15"/>
  <sheetViews>
    <sheetView workbookViewId="0">
      <selection activeCell="AC10" sqref="AC10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9">
        <f>J8</f>
        <v>0</v>
      </c>
      <c r="Z8" s="40">
        <f>V8</f>
        <v>0</v>
      </c>
      <c r="AA8" s="41">
        <f>Y8-Z8</f>
        <v>0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 t="shared" ref="J9:J12" si="0">SUM(C9:I9)/40</f>
        <v>0</v>
      </c>
      <c r="K9" s="12"/>
      <c r="L9" s="13"/>
      <c r="M9" s="14"/>
      <c r="N9" s="7" t="s">
        <v>15</v>
      </c>
      <c r="O9" s="11"/>
      <c r="P9" s="11"/>
      <c r="Q9" s="11"/>
      <c r="R9" s="11"/>
      <c r="S9" s="11"/>
      <c r="T9" s="11"/>
      <c r="U9" s="11"/>
      <c r="V9" s="15">
        <f t="shared" ref="V9:V12" si="1">SUM(O9:U9)/40</f>
        <v>0</v>
      </c>
      <c r="W9" s="12"/>
      <c r="Y9" s="39">
        <f t="shared" ref="Y9:Y13" si="2">J9</f>
        <v>0</v>
      </c>
      <c r="Z9" s="40">
        <f t="shared" ref="Z9:Z13" si="3">V9</f>
        <v>0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16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17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18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20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20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0</v>
      </c>
      <c r="D14" s="25">
        <f t="shared" si="5"/>
        <v>0</v>
      </c>
      <c r="E14" s="25">
        <f t="shared" si="5"/>
        <v>0</v>
      </c>
      <c r="F14" s="25">
        <f t="shared" si="5"/>
        <v>0</v>
      </c>
      <c r="G14" s="25">
        <f t="shared" si="5"/>
        <v>0</v>
      </c>
      <c r="H14" s="25">
        <f t="shared" si="5"/>
        <v>0</v>
      </c>
      <c r="I14" s="25">
        <f t="shared" si="5"/>
        <v>0</v>
      </c>
      <c r="J14" s="28">
        <f>SUM(C14:I14)</f>
        <v>0</v>
      </c>
      <c r="K14" s="31"/>
      <c r="M14" s="1"/>
      <c r="N14" s="7"/>
      <c r="O14" s="25">
        <f t="shared" ref="O14:U14" si="6">SUM(O8:O13)</f>
        <v>0</v>
      </c>
      <c r="P14" s="25">
        <f t="shared" si="6"/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</v>
      </c>
      <c r="U14" s="25">
        <f t="shared" si="6"/>
        <v>0</v>
      </c>
      <c r="V14" s="28">
        <f>SUM(O14:U14)</f>
        <v>0</v>
      </c>
      <c r="W14" s="31"/>
      <c r="Y14" s="36">
        <f>SUM(Y8:Y13)</f>
        <v>0</v>
      </c>
      <c r="Z14" s="37">
        <f>SUM(Z8:Z13)</f>
        <v>0</v>
      </c>
      <c r="AA14" s="38">
        <f>SUM(AA8:AA13)</f>
        <v>0</v>
      </c>
    </row>
    <row r="15" spans="1:27" ht="15" thickBot="1" x14ac:dyDescent="0.4">
      <c r="A15" s="1"/>
      <c r="B15" s="20" t="s">
        <v>19</v>
      </c>
      <c r="C15" s="21">
        <f t="shared" ref="C15:J15" si="7">C14/40</f>
        <v>0</v>
      </c>
      <c r="D15" s="21">
        <f t="shared" si="7"/>
        <v>0</v>
      </c>
      <c r="E15" s="21">
        <f t="shared" si="7"/>
        <v>0</v>
      </c>
      <c r="F15" s="21">
        <f t="shared" si="7"/>
        <v>0</v>
      </c>
      <c r="G15" s="21">
        <f t="shared" si="7"/>
        <v>0</v>
      </c>
      <c r="H15" s="21">
        <f t="shared" si="7"/>
        <v>0</v>
      </c>
      <c r="I15" s="21">
        <f t="shared" si="7"/>
        <v>0</v>
      </c>
      <c r="J15" s="22">
        <f t="shared" si="7"/>
        <v>0</v>
      </c>
      <c r="K15" s="23"/>
      <c r="M15" s="1"/>
      <c r="N15" s="20" t="s">
        <v>19</v>
      </c>
      <c r="O15" s="21">
        <f t="shared" ref="O15:V15" si="8">O14/40</f>
        <v>0</v>
      </c>
      <c r="P15" s="21">
        <f t="shared" si="8"/>
        <v>0</v>
      </c>
      <c r="Q15" s="21">
        <f t="shared" si="8"/>
        <v>0</v>
      </c>
      <c r="R15" s="21">
        <f t="shared" si="8"/>
        <v>0</v>
      </c>
      <c r="S15" s="21">
        <f t="shared" si="8"/>
        <v>0</v>
      </c>
      <c r="T15" s="21">
        <f t="shared" si="8"/>
        <v>0</v>
      </c>
      <c r="U15" s="21">
        <f t="shared" si="8"/>
        <v>0</v>
      </c>
      <c r="V15" s="22">
        <f t="shared" si="8"/>
        <v>0</v>
      </c>
      <c r="W15" s="23"/>
      <c r="Y15" s="42">
        <f>Y14/40</f>
        <v>0</v>
      </c>
      <c r="Z15" s="43">
        <f>Z14/40</f>
        <v>0</v>
      </c>
      <c r="AA15" s="44">
        <f>AA14/40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4740-B301-4AC2-BE07-AD027904CFB3}">
  <dimension ref="A1:AA15"/>
  <sheetViews>
    <sheetView workbookViewId="0">
      <selection activeCell="AC10" sqref="AC10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9">
        <f>J8</f>
        <v>0</v>
      </c>
      <c r="Z8" s="40">
        <f>V8</f>
        <v>0</v>
      </c>
      <c r="AA8" s="41">
        <f>Y8-Z8</f>
        <v>0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 t="shared" ref="J9:J12" si="0">SUM(C9:I9)/40</f>
        <v>0</v>
      </c>
      <c r="K9" s="12"/>
      <c r="L9" s="13"/>
      <c r="M9" s="14"/>
      <c r="N9" s="7" t="s">
        <v>15</v>
      </c>
      <c r="O9" s="11"/>
      <c r="P9" s="11"/>
      <c r="Q9" s="11"/>
      <c r="R9" s="11"/>
      <c r="S9" s="11"/>
      <c r="T9" s="11"/>
      <c r="U9" s="11"/>
      <c r="V9" s="15">
        <f t="shared" ref="V9:V12" si="1">SUM(O9:U9)/40</f>
        <v>0</v>
      </c>
      <c r="W9" s="12"/>
      <c r="Y9" s="39">
        <f t="shared" ref="Y9:Y13" si="2">J9</f>
        <v>0</v>
      </c>
      <c r="Z9" s="40">
        <f t="shared" ref="Z9:Z13" si="3">V9</f>
        <v>0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16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17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18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20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20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0</v>
      </c>
      <c r="D14" s="25">
        <f t="shared" si="5"/>
        <v>0</v>
      </c>
      <c r="E14" s="25">
        <f t="shared" si="5"/>
        <v>0</v>
      </c>
      <c r="F14" s="25">
        <f t="shared" si="5"/>
        <v>0</v>
      </c>
      <c r="G14" s="25">
        <f t="shared" si="5"/>
        <v>0</v>
      </c>
      <c r="H14" s="25">
        <f t="shared" si="5"/>
        <v>0</v>
      </c>
      <c r="I14" s="25">
        <f t="shared" si="5"/>
        <v>0</v>
      </c>
      <c r="J14" s="28">
        <f>SUM(C14:I14)</f>
        <v>0</v>
      </c>
      <c r="K14" s="31"/>
      <c r="M14" s="1"/>
      <c r="N14" s="7"/>
      <c r="O14" s="25">
        <f t="shared" ref="O14:U14" si="6">SUM(O8:O13)</f>
        <v>0</v>
      </c>
      <c r="P14" s="25">
        <f t="shared" si="6"/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</v>
      </c>
      <c r="U14" s="25">
        <f t="shared" si="6"/>
        <v>0</v>
      </c>
      <c r="V14" s="28">
        <f>SUM(O14:U14)</f>
        <v>0</v>
      </c>
      <c r="W14" s="31"/>
      <c r="Y14" s="36">
        <f>SUM(Y8:Y13)</f>
        <v>0</v>
      </c>
      <c r="Z14" s="37">
        <f>SUM(Z8:Z13)</f>
        <v>0</v>
      </c>
      <c r="AA14" s="38">
        <f>SUM(AA8:AA13)</f>
        <v>0</v>
      </c>
    </row>
    <row r="15" spans="1:27" ht="15" thickBot="1" x14ac:dyDescent="0.4">
      <c r="A15" s="1"/>
      <c r="B15" s="20" t="s">
        <v>19</v>
      </c>
      <c r="C15" s="21">
        <f t="shared" ref="C15:J15" si="7">C14/40</f>
        <v>0</v>
      </c>
      <c r="D15" s="21">
        <f t="shared" si="7"/>
        <v>0</v>
      </c>
      <c r="E15" s="21">
        <f t="shared" si="7"/>
        <v>0</v>
      </c>
      <c r="F15" s="21">
        <f t="shared" si="7"/>
        <v>0</v>
      </c>
      <c r="G15" s="21">
        <f t="shared" si="7"/>
        <v>0</v>
      </c>
      <c r="H15" s="21">
        <f t="shared" si="7"/>
        <v>0</v>
      </c>
      <c r="I15" s="21">
        <f t="shared" si="7"/>
        <v>0</v>
      </c>
      <c r="J15" s="22">
        <f t="shared" si="7"/>
        <v>0</v>
      </c>
      <c r="K15" s="23"/>
      <c r="M15" s="1"/>
      <c r="N15" s="20" t="s">
        <v>19</v>
      </c>
      <c r="O15" s="21">
        <f t="shared" ref="O15:V15" si="8">O14/40</f>
        <v>0</v>
      </c>
      <c r="P15" s="21">
        <f t="shared" si="8"/>
        <v>0</v>
      </c>
      <c r="Q15" s="21">
        <f t="shared" si="8"/>
        <v>0</v>
      </c>
      <c r="R15" s="21">
        <f t="shared" si="8"/>
        <v>0</v>
      </c>
      <c r="S15" s="21">
        <f t="shared" si="8"/>
        <v>0</v>
      </c>
      <c r="T15" s="21">
        <f t="shared" si="8"/>
        <v>0</v>
      </c>
      <c r="U15" s="21">
        <f t="shared" si="8"/>
        <v>0</v>
      </c>
      <c r="V15" s="22">
        <f t="shared" si="8"/>
        <v>0</v>
      </c>
      <c r="W15" s="23"/>
      <c r="Y15" s="42">
        <f>Y14/40</f>
        <v>0</v>
      </c>
      <c r="Z15" s="43">
        <f>Z14/40</f>
        <v>0</v>
      </c>
      <c r="AA15" s="44">
        <f>AA14/40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D980-13F5-4660-9608-17A818D5AFD2}">
  <dimension ref="A1:AA15"/>
  <sheetViews>
    <sheetView workbookViewId="0">
      <selection activeCell="AC10" sqref="AC10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9">
        <f>J8</f>
        <v>0</v>
      </c>
      <c r="Z8" s="40">
        <f>V8</f>
        <v>0</v>
      </c>
      <c r="AA8" s="41">
        <f>Y8-Z8</f>
        <v>0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 t="shared" ref="J9:J12" si="0">SUM(C9:I9)/40</f>
        <v>0</v>
      </c>
      <c r="K9" s="12"/>
      <c r="L9" s="13"/>
      <c r="M9" s="14"/>
      <c r="N9" s="7" t="s">
        <v>15</v>
      </c>
      <c r="O9" s="11"/>
      <c r="P9" s="11"/>
      <c r="Q9" s="11"/>
      <c r="R9" s="11"/>
      <c r="S9" s="11"/>
      <c r="T9" s="11"/>
      <c r="U9" s="11"/>
      <c r="V9" s="15">
        <f t="shared" ref="V9:V12" si="1">SUM(O9:U9)/40</f>
        <v>0</v>
      </c>
      <c r="W9" s="12"/>
      <c r="Y9" s="39">
        <f t="shared" ref="Y9:Y13" si="2">J9</f>
        <v>0</v>
      </c>
      <c r="Z9" s="40">
        <f t="shared" ref="Z9:Z13" si="3">V9</f>
        <v>0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16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17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18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20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20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0</v>
      </c>
      <c r="D14" s="25">
        <f t="shared" si="5"/>
        <v>0</v>
      </c>
      <c r="E14" s="25">
        <f t="shared" si="5"/>
        <v>0</v>
      </c>
      <c r="F14" s="25">
        <f t="shared" si="5"/>
        <v>0</v>
      </c>
      <c r="G14" s="25">
        <f t="shared" si="5"/>
        <v>0</v>
      </c>
      <c r="H14" s="25">
        <f t="shared" si="5"/>
        <v>0</v>
      </c>
      <c r="I14" s="25">
        <f t="shared" si="5"/>
        <v>0</v>
      </c>
      <c r="J14" s="28">
        <f>SUM(C14:I14)</f>
        <v>0</v>
      </c>
      <c r="K14" s="31"/>
      <c r="M14" s="1"/>
      <c r="N14" s="7"/>
      <c r="O14" s="25">
        <f t="shared" ref="O14:U14" si="6">SUM(O8:O13)</f>
        <v>0</v>
      </c>
      <c r="P14" s="25">
        <f t="shared" si="6"/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</v>
      </c>
      <c r="U14" s="25">
        <f t="shared" si="6"/>
        <v>0</v>
      </c>
      <c r="V14" s="28">
        <f>SUM(O14:U14)</f>
        <v>0</v>
      </c>
      <c r="W14" s="31"/>
      <c r="Y14" s="36">
        <f>SUM(Y8:Y13)</f>
        <v>0</v>
      </c>
      <c r="Z14" s="37">
        <f>SUM(Z8:Z13)</f>
        <v>0</v>
      </c>
      <c r="AA14" s="38">
        <f>SUM(AA8:AA13)</f>
        <v>0</v>
      </c>
    </row>
    <row r="15" spans="1:27" ht="15" thickBot="1" x14ac:dyDescent="0.4">
      <c r="A15" s="1"/>
      <c r="B15" s="20" t="s">
        <v>19</v>
      </c>
      <c r="C15" s="21">
        <f t="shared" ref="C15:J15" si="7">C14/40</f>
        <v>0</v>
      </c>
      <c r="D15" s="21">
        <f t="shared" si="7"/>
        <v>0</v>
      </c>
      <c r="E15" s="21">
        <f t="shared" si="7"/>
        <v>0</v>
      </c>
      <c r="F15" s="21">
        <f t="shared" si="7"/>
        <v>0</v>
      </c>
      <c r="G15" s="21">
        <f t="shared" si="7"/>
        <v>0</v>
      </c>
      <c r="H15" s="21">
        <f t="shared" si="7"/>
        <v>0</v>
      </c>
      <c r="I15" s="21">
        <f t="shared" si="7"/>
        <v>0</v>
      </c>
      <c r="J15" s="22">
        <f t="shared" si="7"/>
        <v>0</v>
      </c>
      <c r="K15" s="23"/>
      <c r="M15" s="1"/>
      <c r="N15" s="20" t="s">
        <v>19</v>
      </c>
      <c r="O15" s="21">
        <f t="shared" ref="O15:V15" si="8">O14/40</f>
        <v>0</v>
      </c>
      <c r="P15" s="21">
        <f t="shared" si="8"/>
        <v>0</v>
      </c>
      <c r="Q15" s="21">
        <f t="shared" si="8"/>
        <v>0</v>
      </c>
      <c r="R15" s="21">
        <f t="shared" si="8"/>
        <v>0</v>
      </c>
      <c r="S15" s="21">
        <f t="shared" si="8"/>
        <v>0</v>
      </c>
      <c r="T15" s="21">
        <f t="shared" si="8"/>
        <v>0</v>
      </c>
      <c r="U15" s="21">
        <f t="shared" si="8"/>
        <v>0</v>
      </c>
      <c r="V15" s="22">
        <f t="shared" si="8"/>
        <v>0</v>
      </c>
      <c r="W15" s="23"/>
      <c r="Y15" s="42">
        <f>Y14/40</f>
        <v>0</v>
      </c>
      <c r="Z15" s="43">
        <f>Z14/40</f>
        <v>0</v>
      </c>
      <c r="AA15" s="44">
        <f>AA14/40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2770-3894-49D3-936F-C905C6D666C9}">
  <dimension ref="A1:AA15"/>
  <sheetViews>
    <sheetView workbookViewId="0">
      <selection activeCell="AC10" sqref="AC10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9">
        <f>J8</f>
        <v>0</v>
      </c>
      <c r="Z8" s="40">
        <f>V8</f>
        <v>0</v>
      </c>
      <c r="AA8" s="41">
        <f>Y8-Z8</f>
        <v>0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 t="shared" ref="J9:J12" si="0">SUM(C9:I9)/40</f>
        <v>0</v>
      </c>
      <c r="K9" s="12"/>
      <c r="L9" s="13"/>
      <c r="M9" s="14"/>
      <c r="N9" s="7" t="s">
        <v>15</v>
      </c>
      <c r="O9" s="11"/>
      <c r="P9" s="11"/>
      <c r="Q9" s="11"/>
      <c r="R9" s="11"/>
      <c r="S9" s="11"/>
      <c r="T9" s="11"/>
      <c r="U9" s="11"/>
      <c r="V9" s="15">
        <f t="shared" ref="V9:V12" si="1">SUM(O9:U9)/40</f>
        <v>0</v>
      </c>
      <c r="W9" s="12"/>
      <c r="Y9" s="39">
        <f t="shared" ref="Y9:Y13" si="2">J9</f>
        <v>0</v>
      </c>
      <c r="Z9" s="40">
        <f t="shared" ref="Z9:Z13" si="3">V9</f>
        <v>0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16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17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18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20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20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0</v>
      </c>
      <c r="D14" s="25">
        <f t="shared" si="5"/>
        <v>0</v>
      </c>
      <c r="E14" s="25">
        <f t="shared" si="5"/>
        <v>0</v>
      </c>
      <c r="F14" s="25">
        <f t="shared" si="5"/>
        <v>0</v>
      </c>
      <c r="G14" s="25">
        <f t="shared" si="5"/>
        <v>0</v>
      </c>
      <c r="H14" s="25">
        <f t="shared" si="5"/>
        <v>0</v>
      </c>
      <c r="I14" s="25">
        <f t="shared" si="5"/>
        <v>0</v>
      </c>
      <c r="J14" s="28">
        <f>SUM(C14:I14)</f>
        <v>0</v>
      </c>
      <c r="K14" s="31"/>
      <c r="M14" s="1"/>
      <c r="N14" s="7"/>
      <c r="O14" s="25">
        <f t="shared" ref="O14:U14" si="6">SUM(O8:O13)</f>
        <v>0</v>
      </c>
      <c r="P14" s="25">
        <f t="shared" si="6"/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</v>
      </c>
      <c r="U14" s="25">
        <f t="shared" si="6"/>
        <v>0</v>
      </c>
      <c r="V14" s="28">
        <f>SUM(O14:U14)</f>
        <v>0</v>
      </c>
      <c r="W14" s="31"/>
      <c r="Y14" s="36">
        <f>SUM(Y8:Y13)</f>
        <v>0</v>
      </c>
      <c r="Z14" s="37">
        <f>SUM(Z8:Z13)</f>
        <v>0</v>
      </c>
      <c r="AA14" s="38">
        <f>SUM(AA8:AA13)</f>
        <v>0</v>
      </c>
    </row>
    <row r="15" spans="1:27" ht="15" thickBot="1" x14ac:dyDescent="0.4">
      <c r="A15" s="1"/>
      <c r="B15" s="20" t="s">
        <v>19</v>
      </c>
      <c r="C15" s="21">
        <f t="shared" ref="C15:J15" si="7">C14/40</f>
        <v>0</v>
      </c>
      <c r="D15" s="21">
        <f t="shared" si="7"/>
        <v>0</v>
      </c>
      <c r="E15" s="21">
        <f t="shared" si="7"/>
        <v>0</v>
      </c>
      <c r="F15" s="21">
        <f t="shared" si="7"/>
        <v>0</v>
      </c>
      <c r="G15" s="21">
        <f t="shared" si="7"/>
        <v>0</v>
      </c>
      <c r="H15" s="21">
        <f t="shared" si="7"/>
        <v>0</v>
      </c>
      <c r="I15" s="21">
        <f t="shared" si="7"/>
        <v>0</v>
      </c>
      <c r="J15" s="22">
        <f t="shared" si="7"/>
        <v>0</v>
      </c>
      <c r="K15" s="23"/>
      <c r="M15" s="1"/>
      <c r="N15" s="20" t="s">
        <v>19</v>
      </c>
      <c r="O15" s="21">
        <f t="shared" ref="O15:V15" si="8">O14/40</f>
        <v>0</v>
      </c>
      <c r="P15" s="21">
        <f t="shared" si="8"/>
        <v>0</v>
      </c>
      <c r="Q15" s="21">
        <f t="shared" si="8"/>
        <v>0</v>
      </c>
      <c r="R15" s="21">
        <f t="shared" si="8"/>
        <v>0</v>
      </c>
      <c r="S15" s="21">
        <f t="shared" si="8"/>
        <v>0</v>
      </c>
      <c r="T15" s="21">
        <f t="shared" si="8"/>
        <v>0</v>
      </c>
      <c r="U15" s="21">
        <f t="shared" si="8"/>
        <v>0</v>
      </c>
      <c r="V15" s="22">
        <f t="shared" si="8"/>
        <v>0</v>
      </c>
      <c r="W15" s="23"/>
      <c r="Y15" s="42">
        <f>Y14/40</f>
        <v>0</v>
      </c>
      <c r="Z15" s="43">
        <f>Z14/40</f>
        <v>0</v>
      </c>
      <c r="AA15" s="44">
        <f>AA14/40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0C44-2950-4D8E-9E22-FF4AAE187093}">
  <dimension ref="A1:AA15"/>
  <sheetViews>
    <sheetView workbookViewId="0">
      <selection activeCell="AC10" sqref="AC10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9">
        <f>J8</f>
        <v>0</v>
      </c>
      <c r="Z8" s="40">
        <f>V8</f>
        <v>0</v>
      </c>
      <c r="AA8" s="41">
        <f>Y8-Z8</f>
        <v>0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 t="shared" ref="J9:J12" si="0">SUM(C9:I9)/40</f>
        <v>0</v>
      </c>
      <c r="K9" s="12"/>
      <c r="L9" s="13"/>
      <c r="M9" s="14"/>
      <c r="N9" s="7" t="s">
        <v>15</v>
      </c>
      <c r="O9" s="11"/>
      <c r="P9" s="11"/>
      <c r="Q9" s="11"/>
      <c r="R9" s="11"/>
      <c r="S9" s="11"/>
      <c r="T9" s="11"/>
      <c r="U9" s="11"/>
      <c r="V9" s="15">
        <f t="shared" ref="V9:V12" si="1">SUM(O9:U9)/40</f>
        <v>0</v>
      </c>
      <c r="W9" s="12"/>
      <c r="Y9" s="39">
        <f t="shared" ref="Y9:Y13" si="2">J9</f>
        <v>0</v>
      </c>
      <c r="Z9" s="40">
        <f t="shared" ref="Z9:Z13" si="3">V9</f>
        <v>0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16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17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18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20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20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0</v>
      </c>
      <c r="D14" s="25">
        <f t="shared" si="5"/>
        <v>0</v>
      </c>
      <c r="E14" s="25">
        <f t="shared" si="5"/>
        <v>0</v>
      </c>
      <c r="F14" s="25">
        <f t="shared" si="5"/>
        <v>0</v>
      </c>
      <c r="G14" s="25">
        <f t="shared" si="5"/>
        <v>0</v>
      </c>
      <c r="H14" s="25">
        <f t="shared" si="5"/>
        <v>0</v>
      </c>
      <c r="I14" s="25">
        <f t="shared" si="5"/>
        <v>0</v>
      </c>
      <c r="J14" s="28">
        <f>SUM(C14:I14)</f>
        <v>0</v>
      </c>
      <c r="K14" s="31"/>
      <c r="M14" s="1"/>
      <c r="N14" s="7"/>
      <c r="O14" s="25">
        <f t="shared" ref="O14:U14" si="6">SUM(O8:O13)</f>
        <v>0</v>
      </c>
      <c r="P14" s="25">
        <f t="shared" si="6"/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</v>
      </c>
      <c r="U14" s="25">
        <f t="shared" si="6"/>
        <v>0</v>
      </c>
      <c r="V14" s="28">
        <f>SUM(O14:U14)</f>
        <v>0</v>
      </c>
      <c r="W14" s="31"/>
      <c r="Y14" s="36">
        <f>SUM(Y8:Y13)</f>
        <v>0</v>
      </c>
      <c r="Z14" s="37">
        <f>SUM(Z8:Z13)</f>
        <v>0</v>
      </c>
      <c r="AA14" s="38">
        <f>SUM(AA8:AA13)</f>
        <v>0</v>
      </c>
    </row>
    <row r="15" spans="1:27" ht="15" thickBot="1" x14ac:dyDescent="0.4">
      <c r="A15" s="1"/>
      <c r="B15" s="20" t="s">
        <v>19</v>
      </c>
      <c r="C15" s="21">
        <f t="shared" ref="C15:J15" si="7">C14/40</f>
        <v>0</v>
      </c>
      <c r="D15" s="21">
        <f t="shared" si="7"/>
        <v>0</v>
      </c>
      <c r="E15" s="21">
        <f t="shared" si="7"/>
        <v>0</v>
      </c>
      <c r="F15" s="21">
        <f t="shared" si="7"/>
        <v>0</v>
      </c>
      <c r="G15" s="21">
        <f t="shared" si="7"/>
        <v>0</v>
      </c>
      <c r="H15" s="21">
        <f t="shared" si="7"/>
        <v>0</v>
      </c>
      <c r="I15" s="21">
        <f t="shared" si="7"/>
        <v>0</v>
      </c>
      <c r="J15" s="22">
        <f t="shared" si="7"/>
        <v>0</v>
      </c>
      <c r="K15" s="23"/>
      <c r="M15" s="1"/>
      <c r="N15" s="20" t="s">
        <v>19</v>
      </c>
      <c r="O15" s="21">
        <f t="shared" ref="O15:V15" si="8">O14/40</f>
        <v>0</v>
      </c>
      <c r="P15" s="21">
        <f t="shared" si="8"/>
        <v>0</v>
      </c>
      <c r="Q15" s="21">
        <f t="shared" si="8"/>
        <v>0</v>
      </c>
      <c r="R15" s="21">
        <f t="shared" si="8"/>
        <v>0</v>
      </c>
      <c r="S15" s="21">
        <f t="shared" si="8"/>
        <v>0</v>
      </c>
      <c r="T15" s="21">
        <f t="shared" si="8"/>
        <v>0</v>
      </c>
      <c r="U15" s="21">
        <f t="shared" si="8"/>
        <v>0</v>
      </c>
      <c r="V15" s="22">
        <f t="shared" si="8"/>
        <v>0</v>
      </c>
      <c r="W15" s="23"/>
      <c r="Y15" s="42">
        <f>Y14/40</f>
        <v>0</v>
      </c>
      <c r="Z15" s="43">
        <f>Z14/40</f>
        <v>0</v>
      </c>
      <c r="AA15" s="44">
        <f>AA14/40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6109-5400-4343-A102-C2C414DDFBDF}">
  <dimension ref="A1:AA15"/>
  <sheetViews>
    <sheetView workbookViewId="0">
      <selection activeCell="AC10" sqref="AC10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9">
        <f>J8</f>
        <v>0</v>
      </c>
      <c r="Z8" s="40">
        <f>V8</f>
        <v>0</v>
      </c>
      <c r="AA8" s="41">
        <f>Y8-Z8</f>
        <v>0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 t="shared" ref="J9:J12" si="0">SUM(C9:I9)/40</f>
        <v>0</v>
      </c>
      <c r="K9" s="12"/>
      <c r="L9" s="13"/>
      <c r="M9" s="14"/>
      <c r="N9" s="7" t="s">
        <v>15</v>
      </c>
      <c r="O9" s="11"/>
      <c r="P9" s="11"/>
      <c r="Q9" s="11"/>
      <c r="R9" s="11"/>
      <c r="S9" s="11"/>
      <c r="T9" s="11"/>
      <c r="U9" s="11"/>
      <c r="V9" s="15">
        <f t="shared" ref="V9:V12" si="1">SUM(O9:U9)/40</f>
        <v>0</v>
      </c>
      <c r="W9" s="12"/>
      <c r="Y9" s="39">
        <f t="shared" ref="Y9:Y13" si="2">J9</f>
        <v>0</v>
      </c>
      <c r="Z9" s="40">
        <f t="shared" ref="Z9:Z13" si="3">V9</f>
        <v>0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16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17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18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20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20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0</v>
      </c>
      <c r="D14" s="25">
        <f t="shared" si="5"/>
        <v>0</v>
      </c>
      <c r="E14" s="25">
        <f t="shared" si="5"/>
        <v>0</v>
      </c>
      <c r="F14" s="25">
        <f t="shared" si="5"/>
        <v>0</v>
      </c>
      <c r="G14" s="25">
        <f t="shared" si="5"/>
        <v>0</v>
      </c>
      <c r="H14" s="25">
        <f t="shared" si="5"/>
        <v>0</v>
      </c>
      <c r="I14" s="25">
        <f t="shared" si="5"/>
        <v>0</v>
      </c>
      <c r="J14" s="28">
        <f>SUM(C14:I14)</f>
        <v>0</v>
      </c>
      <c r="K14" s="31"/>
      <c r="M14" s="1"/>
      <c r="N14" s="7"/>
      <c r="O14" s="25">
        <f t="shared" ref="O14:U14" si="6">SUM(O8:O13)</f>
        <v>0</v>
      </c>
      <c r="P14" s="25">
        <f t="shared" si="6"/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</v>
      </c>
      <c r="U14" s="25">
        <f t="shared" si="6"/>
        <v>0</v>
      </c>
      <c r="V14" s="28">
        <f>SUM(O14:U14)</f>
        <v>0</v>
      </c>
      <c r="W14" s="31"/>
      <c r="Y14" s="36">
        <f>SUM(Y8:Y13)</f>
        <v>0</v>
      </c>
      <c r="Z14" s="37">
        <f>SUM(Z8:Z13)</f>
        <v>0</v>
      </c>
      <c r="AA14" s="38">
        <f>SUM(AA8:AA13)</f>
        <v>0</v>
      </c>
    </row>
    <row r="15" spans="1:27" ht="15" thickBot="1" x14ac:dyDescent="0.4">
      <c r="A15" s="1"/>
      <c r="B15" s="20" t="s">
        <v>19</v>
      </c>
      <c r="C15" s="21">
        <f t="shared" ref="C15:J15" si="7">C14/40</f>
        <v>0</v>
      </c>
      <c r="D15" s="21">
        <f t="shared" si="7"/>
        <v>0</v>
      </c>
      <c r="E15" s="21">
        <f t="shared" si="7"/>
        <v>0</v>
      </c>
      <c r="F15" s="21">
        <f t="shared" si="7"/>
        <v>0</v>
      </c>
      <c r="G15" s="21">
        <f t="shared" si="7"/>
        <v>0</v>
      </c>
      <c r="H15" s="21">
        <f t="shared" si="7"/>
        <v>0</v>
      </c>
      <c r="I15" s="21">
        <f t="shared" si="7"/>
        <v>0</v>
      </c>
      <c r="J15" s="22">
        <f t="shared" si="7"/>
        <v>0</v>
      </c>
      <c r="K15" s="23"/>
      <c r="M15" s="1"/>
      <c r="N15" s="20" t="s">
        <v>19</v>
      </c>
      <c r="O15" s="21">
        <f t="shared" ref="O15:V15" si="8">O14/40</f>
        <v>0</v>
      </c>
      <c r="P15" s="21">
        <f t="shared" si="8"/>
        <v>0</v>
      </c>
      <c r="Q15" s="21">
        <f t="shared" si="8"/>
        <v>0</v>
      </c>
      <c r="R15" s="21">
        <f t="shared" si="8"/>
        <v>0</v>
      </c>
      <c r="S15" s="21">
        <f t="shared" si="8"/>
        <v>0</v>
      </c>
      <c r="T15" s="21">
        <f t="shared" si="8"/>
        <v>0</v>
      </c>
      <c r="U15" s="21">
        <f t="shared" si="8"/>
        <v>0</v>
      </c>
      <c r="V15" s="22">
        <f t="shared" si="8"/>
        <v>0</v>
      </c>
      <c r="W15" s="23"/>
      <c r="Y15" s="42">
        <f>Y14/40</f>
        <v>0</v>
      </c>
      <c r="Z15" s="43">
        <f>Z14/40</f>
        <v>0</v>
      </c>
      <c r="AA15" s="44">
        <f>AA14/40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9CC4-0AF4-4E7F-B044-5E07B86C5D3C}">
  <dimension ref="A1:AA15"/>
  <sheetViews>
    <sheetView workbookViewId="0">
      <selection activeCell="AC10" sqref="AC10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9">
        <f>J8</f>
        <v>0</v>
      </c>
      <c r="Z8" s="40">
        <f>V8</f>
        <v>0</v>
      </c>
      <c r="AA8" s="41">
        <f>Y8-Z8</f>
        <v>0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 t="shared" ref="J9:J12" si="0">SUM(C9:I9)/40</f>
        <v>0</v>
      </c>
      <c r="K9" s="12"/>
      <c r="L9" s="13"/>
      <c r="M9" s="14"/>
      <c r="N9" s="7" t="s">
        <v>15</v>
      </c>
      <c r="O9" s="11"/>
      <c r="P9" s="11"/>
      <c r="Q9" s="11"/>
      <c r="R9" s="11"/>
      <c r="S9" s="11"/>
      <c r="T9" s="11"/>
      <c r="U9" s="11"/>
      <c r="V9" s="15">
        <f t="shared" ref="V9:V12" si="1">SUM(O9:U9)/40</f>
        <v>0</v>
      </c>
      <c r="W9" s="12"/>
      <c r="Y9" s="39">
        <f t="shared" ref="Y9:Y13" si="2">J9</f>
        <v>0</v>
      </c>
      <c r="Z9" s="40">
        <f t="shared" ref="Z9:Z13" si="3">V9</f>
        <v>0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16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17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18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20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20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0</v>
      </c>
      <c r="D14" s="25">
        <f t="shared" si="5"/>
        <v>0</v>
      </c>
      <c r="E14" s="25">
        <f t="shared" si="5"/>
        <v>0</v>
      </c>
      <c r="F14" s="25">
        <f t="shared" si="5"/>
        <v>0</v>
      </c>
      <c r="G14" s="25">
        <f t="shared" si="5"/>
        <v>0</v>
      </c>
      <c r="H14" s="25">
        <f t="shared" si="5"/>
        <v>0</v>
      </c>
      <c r="I14" s="25">
        <f t="shared" si="5"/>
        <v>0</v>
      </c>
      <c r="J14" s="28">
        <f>SUM(C14:I14)</f>
        <v>0</v>
      </c>
      <c r="K14" s="31"/>
      <c r="M14" s="1"/>
      <c r="N14" s="7"/>
      <c r="O14" s="25">
        <f t="shared" ref="O14:U14" si="6">SUM(O8:O13)</f>
        <v>0</v>
      </c>
      <c r="P14" s="25">
        <f t="shared" si="6"/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</v>
      </c>
      <c r="U14" s="25">
        <f t="shared" si="6"/>
        <v>0</v>
      </c>
      <c r="V14" s="28">
        <f>SUM(O14:U14)</f>
        <v>0</v>
      </c>
      <c r="W14" s="31"/>
      <c r="Y14" s="36">
        <f>SUM(Y8:Y13)</f>
        <v>0</v>
      </c>
      <c r="Z14" s="37">
        <f>SUM(Z8:Z13)</f>
        <v>0</v>
      </c>
      <c r="AA14" s="38">
        <f>SUM(AA8:AA13)</f>
        <v>0</v>
      </c>
    </row>
    <row r="15" spans="1:27" ht="15" thickBot="1" x14ac:dyDescent="0.4">
      <c r="A15" s="1"/>
      <c r="B15" s="20" t="s">
        <v>19</v>
      </c>
      <c r="C15" s="21">
        <f t="shared" ref="C15:J15" si="7">C14/40</f>
        <v>0</v>
      </c>
      <c r="D15" s="21">
        <f t="shared" si="7"/>
        <v>0</v>
      </c>
      <c r="E15" s="21">
        <f t="shared" si="7"/>
        <v>0</v>
      </c>
      <c r="F15" s="21">
        <f t="shared" si="7"/>
        <v>0</v>
      </c>
      <c r="G15" s="21">
        <f t="shared" si="7"/>
        <v>0</v>
      </c>
      <c r="H15" s="21">
        <f t="shared" si="7"/>
        <v>0</v>
      </c>
      <c r="I15" s="21">
        <f t="shared" si="7"/>
        <v>0</v>
      </c>
      <c r="J15" s="22">
        <f t="shared" si="7"/>
        <v>0</v>
      </c>
      <c r="K15" s="23"/>
      <c r="M15" s="1"/>
      <c r="N15" s="20" t="s">
        <v>19</v>
      </c>
      <c r="O15" s="21">
        <f t="shared" ref="O15:V15" si="8">O14/40</f>
        <v>0</v>
      </c>
      <c r="P15" s="21">
        <f t="shared" si="8"/>
        <v>0</v>
      </c>
      <c r="Q15" s="21">
        <f t="shared" si="8"/>
        <v>0</v>
      </c>
      <c r="R15" s="21">
        <f t="shared" si="8"/>
        <v>0</v>
      </c>
      <c r="S15" s="21">
        <f t="shared" si="8"/>
        <v>0</v>
      </c>
      <c r="T15" s="21">
        <f t="shared" si="8"/>
        <v>0</v>
      </c>
      <c r="U15" s="21">
        <f t="shared" si="8"/>
        <v>0</v>
      </c>
      <c r="V15" s="22">
        <f t="shared" si="8"/>
        <v>0</v>
      </c>
      <c r="W15" s="23"/>
      <c r="Y15" s="42">
        <f>Y14/40</f>
        <v>0</v>
      </c>
      <c r="Z15" s="43">
        <f>Z14/40</f>
        <v>0</v>
      </c>
      <c r="AA15" s="44">
        <f>AA14/40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267E-9AB4-4A14-B158-934CAE66BC78}">
  <dimension ref="A1:AA15"/>
  <sheetViews>
    <sheetView workbookViewId="0">
      <selection activeCell="AC10" sqref="AC10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9">
        <f>J8</f>
        <v>0</v>
      </c>
      <c r="Z8" s="40">
        <f>V8</f>
        <v>0</v>
      </c>
      <c r="AA8" s="41">
        <f>Y8-Z8</f>
        <v>0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 t="shared" ref="J9:J12" si="0">SUM(C9:I9)/40</f>
        <v>0</v>
      </c>
      <c r="K9" s="12"/>
      <c r="L9" s="13"/>
      <c r="M9" s="14"/>
      <c r="N9" s="7" t="s">
        <v>15</v>
      </c>
      <c r="O9" s="11"/>
      <c r="P9" s="11"/>
      <c r="Q9" s="11"/>
      <c r="R9" s="11"/>
      <c r="S9" s="11"/>
      <c r="T9" s="11"/>
      <c r="U9" s="11"/>
      <c r="V9" s="15">
        <f t="shared" ref="V9:V12" si="1">SUM(O9:U9)/40</f>
        <v>0</v>
      </c>
      <c r="W9" s="12"/>
      <c r="Y9" s="39">
        <f t="shared" ref="Y9:Y13" si="2">J9</f>
        <v>0</v>
      </c>
      <c r="Z9" s="40">
        <f t="shared" ref="Z9:Z13" si="3">V9</f>
        <v>0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16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17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18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20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20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0</v>
      </c>
      <c r="D14" s="25">
        <f t="shared" si="5"/>
        <v>0</v>
      </c>
      <c r="E14" s="25">
        <f t="shared" si="5"/>
        <v>0</v>
      </c>
      <c r="F14" s="25">
        <f t="shared" si="5"/>
        <v>0</v>
      </c>
      <c r="G14" s="25">
        <f t="shared" si="5"/>
        <v>0</v>
      </c>
      <c r="H14" s="25">
        <f t="shared" si="5"/>
        <v>0</v>
      </c>
      <c r="I14" s="25">
        <f t="shared" si="5"/>
        <v>0</v>
      </c>
      <c r="J14" s="28">
        <f>SUM(C14:I14)</f>
        <v>0</v>
      </c>
      <c r="K14" s="31"/>
      <c r="M14" s="1"/>
      <c r="N14" s="7"/>
      <c r="O14" s="25">
        <f t="shared" ref="O14:U14" si="6">SUM(O8:O13)</f>
        <v>0</v>
      </c>
      <c r="P14" s="25">
        <f t="shared" si="6"/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</v>
      </c>
      <c r="U14" s="25">
        <f t="shared" si="6"/>
        <v>0</v>
      </c>
      <c r="V14" s="28">
        <f>SUM(O14:U14)</f>
        <v>0</v>
      </c>
      <c r="W14" s="31"/>
      <c r="Y14" s="36">
        <f>SUM(Y8:Y13)</f>
        <v>0</v>
      </c>
      <c r="Z14" s="37">
        <f>SUM(Z8:Z13)</f>
        <v>0</v>
      </c>
      <c r="AA14" s="38">
        <f>SUM(AA8:AA13)</f>
        <v>0</v>
      </c>
    </row>
    <row r="15" spans="1:27" ht="15" thickBot="1" x14ac:dyDescent="0.4">
      <c r="A15" s="1"/>
      <c r="B15" s="20" t="s">
        <v>19</v>
      </c>
      <c r="C15" s="21">
        <f t="shared" ref="C15:J15" si="7">C14/40</f>
        <v>0</v>
      </c>
      <c r="D15" s="21">
        <f t="shared" si="7"/>
        <v>0</v>
      </c>
      <c r="E15" s="21">
        <f t="shared" si="7"/>
        <v>0</v>
      </c>
      <c r="F15" s="21">
        <f t="shared" si="7"/>
        <v>0</v>
      </c>
      <c r="G15" s="21">
        <f t="shared" si="7"/>
        <v>0</v>
      </c>
      <c r="H15" s="21">
        <f t="shared" si="7"/>
        <v>0</v>
      </c>
      <c r="I15" s="21">
        <f t="shared" si="7"/>
        <v>0</v>
      </c>
      <c r="J15" s="22">
        <f t="shared" si="7"/>
        <v>0</v>
      </c>
      <c r="K15" s="23"/>
      <c r="M15" s="1"/>
      <c r="N15" s="20" t="s">
        <v>19</v>
      </c>
      <c r="O15" s="21">
        <f t="shared" ref="O15:V15" si="8">O14/40</f>
        <v>0</v>
      </c>
      <c r="P15" s="21">
        <f t="shared" si="8"/>
        <v>0</v>
      </c>
      <c r="Q15" s="21">
        <f t="shared" si="8"/>
        <v>0</v>
      </c>
      <c r="R15" s="21">
        <f t="shared" si="8"/>
        <v>0</v>
      </c>
      <c r="S15" s="21">
        <f t="shared" si="8"/>
        <v>0</v>
      </c>
      <c r="T15" s="21">
        <f t="shared" si="8"/>
        <v>0</v>
      </c>
      <c r="U15" s="21">
        <f t="shared" si="8"/>
        <v>0</v>
      </c>
      <c r="V15" s="22">
        <f t="shared" si="8"/>
        <v>0</v>
      </c>
      <c r="W15" s="23"/>
      <c r="Y15" s="42">
        <f>Y14/40</f>
        <v>0</v>
      </c>
      <c r="Z15" s="43">
        <f>Z14/40</f>
        <v>0</v>
      </c>
      <c r="AA15" s="44">
        <f>AA14/40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A1E7-4231-4CD7-B906-1741794EB6A0}">
  <dimension ref="A1:AA15"/>
  <sheetViews>
    <sheetView workbookViewId="0">
      <selection activeCell="AC10" sqref="AC10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78" t="s">
        <v>0</v>
      </c>
      <c r="C2" s="78"/>
      <c r="D2" s="78"/>
      <c r="E2" s="78"/>
      <c r="F2" s="78"/>
      <c r="G2" s="78"/>
      <c r="H2" s="78"/>
      <c r="I2" s="78"/>
      <c r="J2" s="78"/>
      <c r="M2" s="1"/>
      <c r="N2" s="78" t="s">
        <v>1</v>
      </c>
      <c r="O2" s="78"/>
      <c r="P2" s="78"/>
      <c r="Q2" s="78"/>
      <c r="R2" s="78"/>
      <c r="S2" s="78"/>
      <c r="T2" s="78"/>
      <c r="U2" s="78"/>
      <c r="V2" s="78"/>
    </row>
    <row r="3" spans="1:27" ht="14.5" customHeight="1" x14ac:dyDescent="0.35">
      <c r="A3" s="1"/>
      <c r="B3" s="78"/>
      <c r="C3" s="78"/>
      <c r="D3" s="78"/>
      <c r="E3" s="78"/>
      <c r="F3" s="78"/>
      <c r="G3" s="78"/>
      <c r="H3" s="78"/>
      <c r="I3" s="78"/>
      <c r="J3" s="78"/>
      <c r="M3" s="1"/>
      <c r="N3" s="78"/>
      <c r="O3" s="78"/>
      <c r="P3" s="78"/>
      <c r="Q3" s="78"/>
      <c r="R3" s="78"/>
      <c r="S3" s="78"/>
      <c r="T3" s="78"/>
      <c r="U3" s="78"/>
      <c r="V3" s="78"/>
      <c r="Y3" s="82" t="s">
        <v>21</v>
      </c>
      <c r="Z3" s="82"/>
      <c r="AA3" s="82"/>
    </row>
    <row r="4" spans="1:27" ht="14.5" customHeight="1" thickBot="1" x14ac:dyDescent="0.4">
      <c r="A4" s="1"/>
      <c r="B4" s="78"/>
      <c r="C4" s="78"/>
      <c r="D4" s="78"/>
      <c r="E4" s="78"/>
      <c r="F4" s="78"/>
      <c r="G4" s="78"/>
      <c r="H4" s="78"/>
      <c r="I4" s="78"/>
      <c r="J4" s="78"/>
      <c r="M4" s="1"/>
      <c r="N4" s="78"/>
      <c r="O4" s="78"/>
      <c r="P4" s="78"/>
      <c r="Q4" s="78"/>
      <c r="R4" s="78"/>
      <c r="S4" s="78"/>
      <c r="T4" s="78"/>
      <c r="U4" s="78"/>
      <c r="V4" s="78"/>
      <c r="Y4" s="82"/>
      <c r="Z4" s="82"/>
      <c r="AA4" s="82"/>
    </row>
    <row r="5" spans="1:27" ht="15" thickBot="1" x14ac:dyDescent="0.4">
      <c r="A5" s="1"/>
      <c r="B5" s="79"/>
      <c r="C5" s="79"/>
      <c r="D5" s="79"/>
      <c r="E5" s="79"/>
      <c r="F5" s="79"/>
      <c r="G5" s="79"/>
      <c r="H5" s="79"/>
      <c r="I5" s="79"/>
      <c r="J5" s="79"/>
      <c r="M5" s="1"/>
      <c r="N5" s="79"/>
      <c r="O5" s="79"/>
      <c r="P5" s="79"/>
      <c r="Q5" s="79"/>
      <c r="R5" s="79"/>
      <c r="S5" s="79"/>
      <c r="T5" s="79"/>
      <c r="U5" s="79"/>
      <c r="V5" s="79"/>
      <c r="Y5" s="32" t="s">
        <v>0</v>
      </c>
      <c r="Z5" s="4" t="s">
        <v>22</v>
      </c>
      <c r="AA5" s="5" t="s">
        <v>23</v>
      </c>
    </row>
    <row r="6" spans="1:27" x14ac:dyDescent="0.35">
      <c r="A6" s="1"/>
      <c r="B6" s="2"/>
      <c r="C6" s="3" t="s">
        <v>2</v>
      </c>
      <c r="D6" s="80" t="s">
        <v>3</v>
      </c>
      <c r="E6" s="80"/>
      <c r="F6" s="80"/>
      <c r="G6" s="80" t="s">
        <v>4</v>
      </c>
      <c r="H6" s="80"/>
      <c r="I6" s="80"/>
      <c r="J6" s="4"/>
      <c r="K6" s="5"/>
      <c r="M6" s="1"/>
      <c r="N6" s="2"/>
      <c r="O6" s="3" t="s">
        <v>2</v>
      </c>
      <c r="P6" s="80" t="s">
        <v>3</v>
      </c>
      <c r="Q6" s="80"/>
      <c r="R6" s="80"/>
      <c r="S6" s="80" t="s">
        <v>4</v>
      </c>
      <c r="T6" s="80"/>
      <c r="U6" s="80"/>
      <c r="V6" s="4"/>
      <c r="W6" s="5"/>
      <c r="Y6" s="33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3"/>
      <c r="Z7" s="15"/>
      <c r="AA7" s="18"/>
    </row>
    <row r="8" spans="1:27" x14ac:dyDescent="0.35">
      <c r="A8" s="14"/>
      <c r="B8" s="7" t="s">
        <v>13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9">
        <f>J8</f>
        <v>0</v>
      </c>
      <c r="Z8" s="40">
        <f>V8</f>
        <v>0</v>
      </c>
      <c r="AA8" s="41">
        <f>Y8-Z8</f>
        <v>0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 t="shared" ref="J9:J12" si="0">SUM(C9:I9)/40</f>
        <v>0</v>
      </c>
      <c r="K9" s="12"/>
      <c r="L9" s="13"/>
      <c r="M9" s="14"/>
      <c r="N9" s="7" t="s">
        <v>15</v>
      </c>
      <c r="O9" s="11"/>
      <c r="P9" s="11"/>
      <c r="Q9" s="11"/>
      <c r="R9" s="11"/>
      <c r="S9" s="11"/>
      <c r="T9" s="11"/>
      <c r="U9" s="11"/>
      <c r="V9" s="15">
        <f t="shared" ref="V9:V12" si="1">SUM(O9:U9)/40</f>
        <v>0</v>
      </c>
      <c r="W9" s="12"/>
      <c r="Y9" s="39">
        <f t="shared" ref="Y9:Y13" si="2">J9</f>
        <v>0</v>
      </c>
      <c r="Z9" s="40">
        <f t="shared" ref="Z9:Z13" si="3">V9</f>
        <v>0</v>
      </c>
      <c r="AA9" s="41">
        <f t="shared" ref="AA9:AA13" si="4">Y9-Z9</f>
        <v>0</v>
      </c>
    </row>
    <row r="10" spans="1:27" x14ac:dyDescent="0.35">
      <c r="A10" s="14"/>
      <c r="B10" s="7" t="s">
        <v>16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16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1:27" x14ac:dyDescent="0.35">
      <c r="A11" s="16"/>
      <c r="B11" s="17" t="s">
        <v>17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18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1:27" x14ac:dyDescent="0.35">
      <c r="A12" s="16"/>
      <c r="B12" s="17" t="s">
        <v>20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20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1:27" x14ac:dyDescent="0.35">
      <c r="A13" s="16"/>
      <c r="B13" s="17"/>
      <c r="C13" s="11"/>
      <c r="D13" s="11"/>
      <c r="E13" s="11"/>
      <c r="F13" s="11"/>
      <c r="G13" s="11"/>
      <c r="H13" s="11"/>
      <c r="I13" s="11"/>
      <c r="J13" s="15"/>
      <c r="K13" s="18"/>
      <c r="M13" s="16"/>
      <c r="N13" s="17"/>
      <c r="O13" s="11"/>
      <c r="P13" s="11"/>
      <c r="Q13" s="11"/>
      <c r="R13" s="11"/>
      <c r="S13" s="11"/>
      <c r="T13" s="11"/>
      <c r="U13" s="11"/>
      <c r="V13" s="15"/>
      <c r="W13" s="18"/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1:27" x14ac:dyDescent="0.35">
      <c r="A14" s="1"/>
      <c r="B14" s="7"/>
      <c r="C14" s="25">
        <f t="shared" ref="C14:I14" si="5">SUM(C8:C13)</f>
        <v>0</v>
      </c>
      <c r="D14" s="25">
        <f t="shared" si="5"/>
        <v>0</v>
      </c>
      <c r="E14" s="25">
        <f t="shared" si="5"/>
        <v>0</v>
      </c>
      <c r="F14" s="25">
        <f t="shared" si="5"/>
        <v>0</v>
      </c>
      <c r="G14" s="25">
        <f t="shared" si="5"/>
        <v>0</v>
      </c>
      <c r="H14" s="25">
        <f t="shared" si="5"/>
        <v>0</v>
      </c>
      <c r="I14" s="25">
        <f t="shared" si="5"/>
        <v>0</v>
      </c>
      <c r="J14" s="28">
        <f>SUM(C14:I14)</f>
        <v>0</v>
      </c>
      <c r="K14" s="31"/>
      <c r="M14" s="1"/>
      <c r="N14" s="7"/>
      <c r="O14" s="25">
        <f t="shared" ref="O14:U14" si="6">SUM(O8:O13)</f>
        <v>0</v>
      </c>
      <c r="P14" s="25">
        <f t="shared" si="6"/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</v>
      </c>
      <c r="U14" s="25">
        <f t="shared" si="6"/>
        <v>0</v>
      </c>
      <c r="V14" s="28">
        <f>SUM(O14:U14)</f>
        <v>0</v>
      </c>
      <c r="W14" s="31"/>
      <c r="Y14" s="36">
        <f>SUM(Y8:Y13)</f>
        <v>0</v>
      </c>
      <c r="Z14" s="37">
        <f>SUM(Z8:Z13)</f>
        <v>0</v>
      </c>
      <c r="AA14" s="38">
        <f>SUM(AA8:AA13)</f>
        <v>0</v>
      </c>
    </row>
    <row r="15" spans="1:27" ht="15" thickBot="1" x14ac:dyDescent="0.4">
      <c r="A15" s="1"/>
      <c r="B15" s="20" t="s">
        <v>19</v>
      </c>
      <c r="C15" s="21">
        <f t="shared" ref="C15:J15" si="7">C14/40</f>
        <v>0</v>
      </c>
      <c r="D15" s="21">
        <f t="shared" si="7"/>
        <v>0</v>
      </c>
      <c r="E15" s="21">
        <f t="shared" si="7"/>
        <v>0</v>
      </c>
      <c r="F15" s="21">
        <f t="shared" si="7"/>
        <v>0</v>
      </c>
      <c r="G15" s="21">
        <f t="shared" si="7"/>
        <v>0</v>
      </c>
      <c r="H15" s="21">
        <f t="shared" si="7"/>
        <v>0</v>
      </c>
      <c r="I15" s="21">
        <f t="shared" si="7"/>
        <v>0</v>
      </c>
      <c r="J15" s="22">
        <f t="shared" si="7"/>
        <v>0</v>
      </c>
      <c r="K15" s="23"/>
      <c r="M15" s="1"/>
      <c r="N15" s="20" t="s">
        <v>19</v>
      </c>
      <c r="O15" s="21">
        <f t="shared" ref="O15:V15" si="8">O14/40</f>
        <v>0</v>
      </c>
      <c r="P15" s="21">
        <f t="shared" si="8"/>
        <v>0</v>
      </c>
      <c r="Q15" s="21">
        <f t="shared" si="8"/>
        <v>0</v>
      </c>
      <c r="R15" s="21">
        <f t="shared" si="8"/>
        <v>0</v>
      </c>
      <c r="S15" s="21">
        <f t="shared" si="8"/>
        <v>0</v>
      </c>
      <c r="T15" s="21">
        <f t="shared" si="8"/>
        <v>0</v>
      </c>
      <c r="U15" s="21">
        <f t="shared" si="8"/>
        <v>0</v>
      </c>
      <c r="V15" s="22">
        <f t="shared" si="8"/>
        <v>0</v>
      </c>
      <c r="W15" s="23"/>
      <c r="Y15" s="42">
        <f>Y14/40</f>
        <v>0</v>
      </c>
      <c r="Z15" s="43">
        <f>Z14/40</f>
        <v>0</v>
      </c>
      <c r="AA15" s="44">
        <f>AA14/40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EC90-B3AB-443E-9C2F-99376CA7B8EA}">
  <dimension ref="B3:AA15"/>
  <sheetViews>
    <sheetView workbookViewId="0">
      <selection activeCell="AC10" sqref="AC10"/>
    </sheetView>
  </sheetViews>
  <sheetFormatPr defaultRowHeight="14.5" x14ac:dyDescent="0.35"/>
  <cols>
    <col min="1" max="1" width="5.6328125" customWidth="1"/>
    <col min="2" max="2" width="5.08984375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3" spans="2:27" ht="14.5" customHeight="1" x14ac:dyDescent="0.35">
      <c r="Y3" s="82" t="s">
        <v>21</v>
      </c>
      <c r="Z3" s="82"/>
      <c r="AA3" s="82"/>
    </row>
    <row r="4" spans="2:27" ht="14.5" customHeight="1" thickBot="1" x14ac:dyDescent="0.4">
      <c r="Y4" s="82"/>
      <c r="Z4" s="82"/>
      <c r="AA4" s="82"/>
    </row>
    <row r="5" spans="2:27" x14ac:dyDescent="0.35">
      <c r="Y5" s="32" t="s">
        <v>0</v>
      </c>
      <c r="Z5" s="4" t="s">
        <v>22</v>
      </c>
      <c r="AA5" s="5" t="s">
        <v>23</v>
      </c>
    </row>
    <row r="6" spans="2:27" x14ac:dyDescent="0.35">
      <c r="Y6" s="33"/>
      <c r="Z6" s="15"/>
      <c r="AA6" s="18"/>
    </row>
    <row r="7" spans="2:27" x14ac:dyDescent="0.35">
      <c r="Y7" s="33"/>
      <c r="Z7" s="15"/>
      <c r="AA7" s="18"/>
    </row>
    <row r="8" spans="2:27" x14ac:dyDescent="0.35">
      <c r="J8">
        <f>SUM(C8:I8)/40</f>
        <v>0</v>
      </c>
      <c r="V8">
        <f>SUM(O8:U8)/40</f>
        <v>0</v>
      </c>
      <c r="Y8" s="39">
        <f>J8</f>
        <v>0</v>
      </c>
      <c r="Z8" s="40">
        <f>V8</f>
        <v>0</v>
      </c>
      <c r="AA8" s="41">
        <f>Y8-Z8</f>
        <v>0</v>
      </c>
    </row>
    <row r="9" spans="2:27" x14ac:dyDescent="0.35">
      <c r="J9">
        <f t="shared" ref="J9:J12" si="0">SUM(C9:I9)/40</f>
        <v>0</v>
      </c>
      <c r="V9">
        <f t="shared" ref="V9:V12" si="1">SUM(O9:U9)/40</f>
        <v>0</v>
      </c>
      <c r="Y9" s="39">
        <f t="shared" ref="Y9:Y13" si="2">J9</f>
        <v>0</v>
      </c>
      <c r="Z9" s="40">
        <f t="shared" ref="Z9:Z13" si="3">V9</f>
        <v>0</v>
      </c>
      <c r="AA9" s="41">
        <f t="shared" ref="AA9:AA13" si="4">Y9-Z9</f>
        <v>0</v>
      </c>
    </row>
    <row r="10" spans="2:27" x14ac:dyDescent="0.35">
      <c r="J10">
        <f t="shared" si="0"/>
        <v>0</v>
      </c>
      <c r="V10">
        <f t="shared" si="1"/>
        <v>0</v>
      </c>
      <c r="Y10" s="39">
        <f t="shared" si="2"/>
        <v>0</v>
      </c>
      <c r="Z10" s="40">
        <f t="shared" si="3"/>
        <v>0</v>
      </c>
      <c r="AA10" s="41">
        <f t="shared" si="4"/>
        <v>0</v>
      </c>
    </row>
    <row r="11" spans="2:27" x14ac:dyDescent="0.35">
      <c r="J11">
        <f t="shared" si="0"/>
        <v>0</v>
      </c>
      <c r="V11">
        <f t="shared" si="1"/>
        <v>0</v>
      </c>
      <c r="Y11" s="39">
        <f t="shared" si="2"/>
        <v>0</v>
      </c>
      <c r="Z11" s="40">
        <f t="shared" si="3"/>
        <v>0</v>
      </c>
      <c r="AA11" s="41">
        <f t="shared" si="4"/>
        <v>0</v>
      </c>
    </row>
    <row r="12" spans="2:27" x14ac:dyDescent="0.35">
      <c r="B12" t="s">
        <v>20</v>
      </c>
      <c r="J12">
        <f t="shared" si="0"/>
        <v>0</v>
      </c>
      <c r="N12" t="s">
        <v>20</v>
      </c>
      <c r="V12">
        <f t="shared" si="1"/>
        <v>0</v>
      </c>
      <c r="Y12" s="39">
        <f t="shared" si="2"/>
        <v>0</v>
      </c>
      <c r="Z12" s="40">
        <f t="shared" si="3"/>
        <v>0</v>
      </c>
      <c r="AA12" s="41">
        <f t="shared" si="4"/>
        <v>0</v>
      </c>
    </row>
    <row r="13" spans="2:27" x14ac:dyDescent="0.35">
      <c r="Y13" s="39">
        <f t="shared" si="2"/>
        <v>0</v>
      </c>
      <c r="Z13" s="40">
        <f t="shared" si="3"/>
        <v>0</v>
      </c>
      <c r="AA13" s="41">
        <f t="shared" si="4"/>
        <v>0</v>
      </c>
    </row>
    <row r="14" spans="2:27" x14ac:dyDescent="0.35">
      <c r="C14" s="26">
        <f t="shared" ref="C14:I14" si="5">SUM(C8:C13)</f>
        <v>0</v>
      </c>
      <c r="D14" s="26">
        <f t="shared" si="5"/>
        <v>0</v>
      </c>
      <c r="E14" s="26">
        <f t="shared" si="5"/>
        <v>0</v>
      </c>
      <c r="F14" s="26">
        <f t="shared" si="5"/>
        <v>0</v>
      </c>
      <c r="G14" s="26">
        <f t="shared" si="5"/>
        <v>0</v>
      </c>
      <c r="H14" s="26">
        <f t="shared" si="5"/>
        <v>0</v>
      </c>
      <c r="I14" s="26">
        <f t="shared" si="5"/>
        <v>0</v>
      </c>
      <c r="J14" s="27">
        <f>SUM(C14:I14)</f>
        <v>0</v>
      </c>
      <c r="K14" s="30"/>
      <c r="O14" s="26">
        <f t="shared" ref="O14:U14" si="6">SUM(O8:O13)</f>
        <v>0</v>
      </c>
      <c r="P14" s="26">
        <f t="shared" si="6"/>
        <v>0</v>
      </c>
      <c r="Q14" s="26">
        <f t="shared" si="6"/>
        <v>0</v>
      </c>
      <c r="R14" s="26">
        <f t="shared" si="6"/>
        <v>0</v>
      </c>
      <c r="S14" s="26">
        <f t="shared" si="6"/>
        <v>0</v>
      </c>
      <c r="T14" s="26">
        <f t="shared" si="6"/>
        <v>0</v>
      </c>
      <c r="U14" s="26">
        <f t="shared" si="6"/>
        <v>0</v>
      </c>
      <c r="V14" s="27">
        <f>SUM(O14:U14)</f>
        <v>0</v>
      </c>
      <c r="W14" s="30"/>
      <c r="Y14" s="36">
        <f>SUM(Y8:Y13)</f>
        <v>0</v>
      </c>
      <c r="Z14" s="37">
        <f>SUM(Z8:Z13)</f>
        <v>0</v>
      </c>
      <c r="AA14" s="38">
        <f>SUM(AA8:AA13)</f>
        <v>0</v>
      </c>
    </row>
    <row r="15" spans="2:27" ht="15" thickBot="1" x14ac:dyDescent="0.4">
      <c r="C15">
        <f t="shared" ref="C15:J15" si="7">C14/40</f>
        <v>0</v>
      </c>
      <c r="D15">
        <f t="shared" si="7"/>
        <v>0</v>
      </c>
      <c r="E15">
        <f t="shared" si="7"/>
        <v>0</v>
      </c>
      <c r="F15">
        <f t="shared" si="7"/>
        <v>0</v>
      </c>
      <c r="G15">
        <f t="shared" si="7"/>
        <v>0</v>
      </c>
      <c r="H15">
        <f t="shared" si="7"/>
        <v>0</v>
      </c>
      <c r="I15">
        <f t="shared" si="7"/>
        <v>0</v>
      </c>
      <c r="J15">
        <f t="shared" si="7"/>
        <v>0</v>
      </c>
      <c r="O15">
        <f t="shared" ref="O15:V15" si="8">O14/40</f>
        <v>0</v>
      </c>
      <c r="P15">
        <f t="shared" si="8"/>
        <v>0</v>
      </c>
      <c r="Q15">
        <f t="shared" si="8"/>
        <v>0</v>
      </c>
      <c r="R15">
        <f t="shared" si="8"/>
        <v>0</v>
      </c>
      <c r="S15">
        <f t="shared" si="8"/>
        <v>0</v>
      </c>
      <c r="T15">
        <f t="shared" si="8"/>
        <v>0</v>
      </c>
      <c r="U15">
        <f t="shared" si="8"/>
        <v>0</v>
      </c>
      <c r="V15">
        <f t="shared" si="8"/>
        <v>0</v>
      </c>
      <c r="Y15" s="42">
        <f>Y14/40</f>
        <v>0</v>
      </c>
      <c r="Z15" s="43">
        <f>Z14/40</f>
        <v>0</v>
      </c>
      <c r="AA15" s="44">
        <f>AA14/40</f>
        <v>0</v>
      </c>
    </row>
  </sheetData>
  <mergeCells count="1">
    <mergeCell ref="Y3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2026-08-01T08:40:15Z</dcterms:created>
  <dcterms:modified xsi:type="dcterms:W3CDTF">2026-08-21T05:22:40Z</dcterms:modified>
</cp:coreProperties>
</file>