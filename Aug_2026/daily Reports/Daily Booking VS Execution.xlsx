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09A9C8E-4F7D-4227-892B-7C73506D3DAE}" xr6:coauthVersionLast="47" xr6:coauthVersionMax="47" xr10:uidLastSave="{00000000-0000-0000-0000-000000000000}"/>
  <bookViews>
    <workbookView xWindow="-110" yWindow="-110" windowWidth="19420" windowHeight="10420" tabRatio="860" activeTab="19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5" i="20" l="1"/>
  <c r="H15" i="20"/>
  <c r="G15" i="20"/>
  <c r="C15" i="20"/>
  <c r="F15" i="20"/>
  <c r="E15" i="20"/>
  <c r="D15" i="20"/>
  <c r="Z14" i="20" l="1"/>
  <c r="V12" i="20"/>
  <c r="V13" i="20"/>
  <c r="V14" i="20"/>
  <c r="J13" i="20"/>
  <c r="J14" i="20"/>
  <c r="Y14" i="20" s="1"/>
  <c r="AA14" i="20" s="1"/>
  <c r="J23" i="19"/>
  <c r="O8" i="17" l="1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21"/>
  <c r="AA15" i="22"/>
  <c r="AA15" i="23"/>
  <c r="AA15" i="24"/>
  <c r="AA15" i="25"/>
  <c r="AA15" i="26"/>
  <c r="AA15" i="27"/>
  <c r="AA15" i="28"/>
  <c r="AA15" i="29"/>
  <c r="AA15" i="30"/>
  <c r="AA15" i="31"/>
  <c r="Z15" i="9"/>
  <c r="Z15" i="14"/>
  <c r="Z15" i="16"/>
  <c r="Z15" i="19"/>
  <c r="Z15" i="21"/>
  <c r="Z15" i="22"/>
  <c r="Z15" i="23"/>
  <c r="Z15" i="24"/>
  <c r="Z15" i="25"/>
  <c r="Z15" i="26"/>
  <c r="Z15" i="27"/>
  <c r="Z15" i="28"/>
  <c r="Z15" i="29"/>
  <c r="Z15" i="30"/>
  <c r="Z15" i="31"/>
  <c r="Y15" i="9"/>
  <c r="Y15" i="14"/>
  <c r="Y15" i="16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9"/>
  <c r="AA14" i="14"/>
  <c r="AA14" i="16"/>
  <c r="AA14" i="21"/>
  <c r="AA14" i="22"/>
  <c r="AA14" i="23"/>
  <c r="AA14" i="24"/>
  <c r="AA14" i="25"/>
  <c r="AA14" i="26"/>
  <c r="AA14" i="27"/>
  <c r="AA14" i="28"/>
  <c r="AA14" i="29"/>
  <c r="AA14" i="30"/>
  <c r="AA14" i="31"/>
  <c r="Z14" i="9"/>
  <c r="Z14" i="14"/>
  <c r="Z14" i="16"/>
  <c r="Z14" i="19"/>
  <c r="Z14" i="21"/>
  <c r="Z14" i="22"/>
  <c r="Z14" i="23"/>
  <c r="Z14" i="24"/>
  <c r="Z14" i="25"/>
  <c r="Z14" i="26"/>
  <c r="Z14" i="27"/>
  <c r="Z14" i="28"/>
  <c r="Z14" i="29"/>
  <c r="Z14" i="30"/>
  <c r="Z14" i="31"/>
  <c r="Y14" i="9"/>
  <c r="Y14" i="14"/>
  <c r="Y14" i="16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3" i="18"/>
  <c r="AA13" i="19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11" i="18"/>
  <c r="Z13" i="18"/>
  <c r="Z9" i="19"/>
  <c r="Z10" i="19"/>
  <c r="Z11" i="19"/>
  <c r="Z12" i="19"/>
  <c r="Z13" i="19"/>
  <c r="Z10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13" i="19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P15" i="18" s="1"/>
  <c r="O14" i="18"/>
  <c r="O15" i="18" s="1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5" i="20"/>
  <c r="U16" i="20" s="1"/>
  <c r="T15" i="20"/>
  <c r="T16" i="20" s="1"/>
  <c r="S15" i="20"/>
  <c r="S16" i="20" s="1"/>
  <c r="R15" i="20"/>
  <c r="R16" i="20" s="1"/>
  <c r="Q15" i="20"/>
  <c r="Q16" i="20" s="1"/>
  <c r="P15" i="20"/>
  <c r="P16" i="20" s="1"/>
  <c r="O15" i="20"/>
  <c r="O16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2"/>
  <c r="I15" i="25"/>
  <c r="I15" i="26"/>
  <c r="I15" i="30"/>
  <c r="I15" i="1"/>
  <c r="H15" i="21"/>
  <c r="H15" i="22"/>
  <c r="H15" i="23"/>
  <c r="H15" i="25"/>
  <c r="H15" i="26"/>
  <c r="H15" i="27"/>
  <c r="H15" i="31"/>
  <c r="H15" i="1"/>
  <c r="G15" i="14"/>
  <c r="G15" i="16"/>
  <c r="G15" i="22"/>
  <c r="G15" i="24"/>
  <c r="G15" i="26"/>
  <c r="G15" i="27"/>
  <c r="G15" i="28"/>
  <c r="G15" i="30"/>
  <c r="G15" i="31"/>
  <c r="G15" i="1"/>
  <c r="F15" i="9"/>
  <c r="F15" i="16"/>
  <c r="F15" i="21"/>
  <c r="F15" i="23"/>
  <c r="F15" i="25"/>
  <c r="F15" i="27"/>
  <c r="F15" i="28"/>
  <c r="F15" i="29"/>
  <c r="F15" i="31"/>
  <c r="F15" i="1"/>
  <c r="E15" i="14"/>
  <c r="E15" i="16"/>
  <c r="E15" i="22"/>
  <c r="E15" i="24"/>
  <c r="E15" i="26"/>
  <c r="E15" i="28"/>
  <c r="E15" i="29"/>
  <c r="E15" i="30"/>
  <c r="E15" i="1"/>
  <c r="D15" i="9"/>
  <c r="D15" i="14"/>
  <c r="D15" i="23"/>
  <c r="D15" i="25"/>
  <c r="D15" i="27"/>
  <c r="D15" i="29"/>
  <c r="D15" i="30"/>
  <c r="D15" i="31"/>
  <c r="D15" i="1"/>
  <c r="C15" i="14"/>
  <c r="C15" i="16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6" i="20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5" i="19" s="1"/>
  <c r="H16" i="20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6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6" i="20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6" i="20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5" i="19" s="1"/>
  <c r="D16" i="20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5" i="19" s="1"/>
  <c r="C16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Z9" i="18" s="1"/>
  <c r="V10" i="18"/>
  <c r="Z10" i="18" s="1"/>
  <c r="V11" i="18"/>
  <c r="V12" i="18"/>
  <c r="Z12" i="18" s="1"/>
  <c r="AA12" i="18" s="1"/>
  <c r="V9" i="19"/>
  <c r="V10" i="19"/>
  <c r="V11" i="19"/>
  <c r="V12" i="19"/>
  <c r="V9" i="20"/>
  <c r="Z9" i="20" s="1"/>
  <c r="V10" i="20"/>
  <c r="V11" i="20"/>
  <c r="Z11" i="20" s="1"/>
  <c r="Z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Z8" i="18" s="1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J10" i="18"/>
  <c r="Y10" i="18" s="1"/>
  <c r="J11" i="18"/>
  <c r="Y11" i="18" s="1"/>
  <c r="AA11" i="18" s="1"/>
  <c r="J12" i="18"/>
  <c r="J9" i="19"/>
  <c r="Y9" i="19" s="1"/>
  <c r="AA9" i="19" s="1"/>
  <c r="J10" i="19"/>
  <c r="Y10" i="19" s="1"/>
  <c r="AA10" i="19" s="1"/>
  <c r="J11" i="19"/>
  <c r="Y11" i="19" s="1"/>
  <c r="AA11" i="19" s="1"/>
  <c r="J12" i="19"/>
  <c r="Y12" i="19" s="1"/>
  <c r="AA12" i="19" s="1"/>
  <c r="J9" i="20"/>
  <c r="Y9" i="20" s="1"/>
  <c r="AA9" i="20" s="1"/>
  <c r="J10" i="20"/>
  <c r="Y10" i="20" s="1"/>
  <c r="AA10" i="20" s="1"/>
  <c r="J11" i="20"/>
  <c r="Y11" i="20" s="1"/>
  <c r="J12" i="20"/>
  <c r="Y12" i="20" s="1"/>
  <c r="AA12" i="20" s="1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J8" i="19"/>
  <c r="Y8" i="19" s="1"/>
  <c r="J8" i="20"/>
  <c r="Y8" i="20" s="1"/>
  <c r="J8" i="21"/>
  <c r="J8" i="22"/>
  <c r="J8" i="23"/>
  <c r="J8" i="24"/>
  <c r="J8" i="25"/>
  <c r="J8" i="26"/>
  <c r="J8" i="27"/>
  <c r="J8" i="28"/>
  <c r="J8" i="29"/>
  <c r="J8" i="30"/>
  <c r="J8" i="31"/>
  <c r="J8" i="1"/>
  <c r="AA11" i="20" l="1"/>
  <c r="Y15" i="20"/>
  <c r="Y16" i="20" s="1"/>
  <c r="AA13" i="20"/>
  <c r="Z15" i="20"/>
  <c r="Z16" i="20" s="1"/>
  <c r="AA8" i="20"/>
  <c r="AA9" i="18"/>
  <c r="Z14" i="18"/>
  <c r="Z15" i="18" s="1"/>
  <c r="AA8" i="18"/>
  <c r="Y14" i="19"/>
  <c r="Y15" i="19" s="1"/>
  <c r="AA8" i="19"/>
  <c r="AA14" i="19" s="1"/>
  <c r="AA15" i="19" s="1"/>
  <c r="AA8" i="17"/>
  <c r="AA11" i="17"/>
  <c r="Z14" i="17"/>
  <c r="Z15" i="17" s="1"/>
  <c r="AA9" i="17"/>
  <c r="AA10" i="17"/>
  <c r="Y14" i="18"/>
  <c r="Y15" i="18" s="1"/>
  <c r="AA10" i="18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5" i="20"/>
  <c r="J16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5" i="20"/>
  <c r="V16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5" i="20" l="1"/>
  <c r="AA16" i="20" s="1"/>
  <c r="AA14" i="18"/>
  <c r="AA15" i="18" s="1"/>
  <c r="AA14" i="17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<sst xmlns="http://schemas.openxmlformats.org/spreadsheetml/2006/main" count="1350" uniqueCount="42">
  <si>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</si>
  <si>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</si>
  <si>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</si>
  <si>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</si>
  <si>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</si>
  <si>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</si>
  <si>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</si>
  <si>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</si>
  <si>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</si>
  <si>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</si>
  <si>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</si>
  <si>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</si>
  <si>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</si>
  <si>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</si>
  <si>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</si>
  <si>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</si>
  <si>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</si>
  <si>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</si>
  <si>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</si>
  <si>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</si>
  <si>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</si>
  <si>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</si>
  <si>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</si>
  <si>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</si>
  <si>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</si>
  <si>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</si>
  <si>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</si>
  <si>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</si>
  <si>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</si>
  <si>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</si>
  <si>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</si>
  <si>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</si>
  <si>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</si>
  <si>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</si>
  <si>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</si>
  <si>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</si>
  <si>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</si>
  <si>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</si>
  <si>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</si>
  <si>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</si>
  <si>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>Jabar</t>
  </si>
  <si>
    <t xml:space="preserve">Hasan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</si>
</sst>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75" t="s">
        <v>21</v>
      </c>
      <c r="Z3" s="75"/>
      <c r="AA3" s="75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75"/>
      <c r="Z4" s="75"/>
      <c r="AA4" s="75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9" t="s">
        <v>31</v>
      </c>
      <c r="M1" s="79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6" t="s">
        <v>0</v>
      </c>
      <c r="C2" s="76"/>
      <c r="D2" s="76"/>
      <c r="E2" s="76"/>
      <c r="F2" s="76"/>
      <c r="G2" s="76"/>
      <c r="H2" s="76"/>
      <c r="I2" s="76"/>
      <c r="J2" s="76"/>
      <c r="K2" s="47"/>
      <c r="L2" s="47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47"/>
      <c r="B3" s="76"/>
      <c r="C3" s="76"/>
      <c r="D3" s="76"/>
      <c r="E3" s="76"/>
      <c r="F3" s="76"/>
      <c r="G3" s="76"/>
      <c r="H3" s="76"/>
      <c r="I3" s="76"/>
      <c r="J3" s="76"/>
      <c r="K3" s="47"/>
      <c r="L3" s="47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47"/>
      <c r="B4" s="76"/>
      <c r="C4" s="76"/>
      <c r="D4" s="76"/>
      <c r="E4" s="76"/>
      <c r="F4" s="76"/>
      <c r="G4" s="76"/>
      <c r="H4" s="76"/>
      <c r="I4" s="76"/>
      <c r="J4" s="76"/>
      <c r="K4" s="47"/>
      <c r="L4" s="47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customHeight="1" thickBot="1" x14ac:dyDescent="0.4">
      <c r="A5" s="47"/>
      <c r="B5" s="77"/>
      <c r="C5" s="77"/>
      <c r="D5" s="77"/>
      <c r="E5" s="77"/>
      <c r="F5" s="77"/>
      <c r="G5" s="77"/>
      <c r="H5" s="77"/>
      <c r="I5" s="77"/>
      <c r="J5" s="77"/>
      <c r="K5" s="47"/>
      <c r="L5" s="4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1" t="s">
        <v>3</v>
      </c>
      <c r="E6" s="81"/>
      <c r="F6" s="81"/>
      <c r="G6" s="81" t="s">
        <v>4</v>
      </c>
      <c r="H6" s="81"/>
      <c r="I6" s="81"/>
      <c r="J6" s="50"/>
      <c r="K6" s="51"/>
      <c r="L6" s="47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9">
        <f t="shared" ref="Y9:Y13" si="2">J9</f>
        <v>13.925000000000001</v>
      </c>
      <c r="Z9" s="40">
        <f t="shared" ref="Z9:Z13" si="3">V9</f>
        <v>11.05</v>
      </c>
      <c r="AA9" s="41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9">
        <f t="shared" si="2"/>
        <v>3.6</v>
      </c>
      <c r="Z11" s="40">
        <f t="shared" si="3"/>
        <v>3.6</v>
      </c>
      <c r="AA11" s="41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8.15</v>
      </c>
      <c r="Z12" s="40">
        <f t="shared" si="3"/>
        <v>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8">
        <f>SUM(O14:U14)</f>
        <v>826</v>
      </c>
      <c r="W14" s="31"/>
      <c r="Y14" s="36">
        <f>SUM(Y8:Y13)</f>
        <v>100.075</v>
      </c>
      <c r="Z14" s="37">
        <f>SUM(Z8:Z13)</f>
        <v>20.65</v>
      </c>
      <c r="AA14" s="38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42">
        <f>Y14/40</f>
        <v>2.5018750000000001</v>
      </c>
      <c r="Z15" s="43">
        <f>Z14/40</f>
        <v>0.51624999999999999</v>
      </c>
      <c r="AA15" s="44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9">
        <f>J8</f>
        <v>31.625</v>
      </c>
      <c r="Z8" s="40">
        <f>V8</f>
        <v>22.25</v>
      </c>
      <c r="AA8" s="41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9">
        <f t="shared" ref="Y9:Y13" si="2">J9</f>
        <v>8.1</v>
      </c>
      <c r="Z9" s="40">
        <f t="shared" ref="Z9:Z13" si="3">V9</f>
        <v>16.149999999999999</v>
      </c>
      <c r="AA9" s="41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9">
        <f t="shared" si="2"/>
        <v>11.2</v>
      </c>
      <c r="Z10" s="40">
        <f t="shared" si="3"/>
        <v>7</v>
      </c>
      <c r="AA10" s="41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9">
        <f t="shared" si="2"/>
        <v>10</v>
      </c>
      <c r="Z11" s="40">
        <f t="shared" si="3"/>
        <v>13.6</v>
      </c>
      <c r="AA11" s="41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0</v>
      </c>
      <c r="Z12" s="40">
        <f t="shared" si="3"/>
        <v>6</v>
      </c>
      <c r="AA12" s="41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9">
        <f t="shared" si="2"/>
        <v>1.575</v>
      </c>
      <c r="Z13" s="40">
        <f t="shared" si="3"/>
        <v>0.97499999999999998</v>
      </c>
      <c r="AA13" s="41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8">
        <f>SUM(C14:I14)</f>
        <v>2500</v>
      </c>
      <c r="K14" s="31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8">
        <f>SUM(O14:U14)</f>
        <v>2639</v>
      </c>
      <c r="W14" s="31"/>
      <c r="Y14" s="36">
        <f>SUM(Y8:Y13)</f>
        <v>62.5</v>
      </c>
      <c r="Z14" s="37">
        <f>SUM(Z8:Z13)</f>
        <v>65.974999999999994</v>
      </c>
      <c r="AA14" s="38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42">
        <f>Y14/40</f>
        <v>1.5625</v>
      </c>
      <c r="Z15" s="43">
        <f>Z14/40</f>
        <v>1.6493749999999998</v>
      </c>
      <c r="AA15" s="44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>
        <v>189</v>
      </c>
      <c r="P8" s="11">
        <v>8</v>
      </c>
      <c r="Q8" s="11">
        <v>43</v>
      </c>
      <c r="R8" s="11">
        <v>0</v>
      </c>
      <c r="S8" s="11">
        <v>60</v>
      </c>
      <c r="T8" s="11">
        <v>43</v>
      </c>
      <c r="U8" s="11">
        <v>67</v>
      </c>
      <c r="V8" s="15">
        <f>SUM(O8:U8)/40</f>
        <v>10.25</v>
      </c>
      <c r="W8" s="12">
        <v>15</v>
      </c>
      <c r="Y8" s="39">
        <f>J8</f>
        <v>12.25</v>
      </c>
      <c r="Z8" s="40">
        <f>V8</f>
        <v>10.25</v>
      </c>
      <c r="AA8" s="41">
        <f>Y8-Z8</f>
        <v>2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>
        <v>92</v>
      </c>
      <c r="P9" s="11">
        <v>82</v>
      </c>
      <c r="Q9" s="11">
        <v>70</v>
      </c>
      <c r="R9" s="11">
        <v>62</v>
      </c>
      <c r="S9" s="11">
        <v>42</v>
      </c>
      <c r="T9" s="11">
        <v>32</v>
      </c>
      <c r="U9" s="11">
        <v>48</v>
      </c>
      <c r="V9" s="15">
        <f t="shared" ref="V9:V12" si="1">SUM(O9:U9)/40</f>
        <v>10.7</v>
      </c>
      <c r="W9" s="12">
        <v>10</v>
      </c>
      <c r="Y9" s="39">
        <f t="shared" ref="Y9:Y13" si="2">J9</f>
        <v>10.7</v>
      </c>
      <c r="Z9" s="40">
        <f t="shared" ref="Z9:Z13" si="3">V9</f>
        <v>10.7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>
        <v>110</v>
      </c>
      <c r="P10" s="11">
        <v>20</v>
      </c>
      <c r="Q10" s="11">
        <v>20</v>
      </c>
      <c r="R10" s="11">
        <v>0</v>
      </c>
      <c r="S10" s="11">
        <v>107</v>
      </c>
      <c r="T10" s="11">
        <v>110</v>
      </c>
      <c r="U10" s="11">
        <v>119</v>
      </c>
      <c r="V10" s="15">
        <f t="shared" si="1"/>
        <v>12.15</v>
      </c>
      <c r="W10" s="12">
        <v>9</v>
      </c>
      <c r="Y10" s="39">
        <f t="shared" si="2"/>
        <v>17.149999999999999</v>
      </c>
      <c r="Z10" s="40">
        <f t="shared" si="3"/>
        <v>12.15</v>
      </c>
      <c r="AA10" s="41">
        <f t="shared" si="4"/>
        <v>4.9999999999999982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1.0249999999999999</v>
      </c>
      <c r="Z11" s="40">
        <f t="shared" si="3"/>
        <v>0</v>
      </c>
      <c r="AA11" s="41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9">
        <f t="shared" si="2"/>
        <v>0</v>
      </c>
      <c r="Z12" s="40">
        <f t="shared" si="3"/>
        <v>72.174999999999997</v>
      </c>
      <c r="AA12" s="41">
        <f t="shared" si="4"/>
        <v>-72.174999999999997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8">
        <f>SUM(C14:I14)</f>
        <v>1645</v>
      </c>
      <c r="K14" s="31"/>
      <c r="M14" s="1"/>
      <c r="N14" s="7"/>
      <c r="O14" s="25">
        <f t="shared" ref="O14:U14" si="6">SUM(O8:O13)</f>
        <v>391</v>
      </c>
      <c r="P14" s="25">
        <f t="shared" si="6"/>
        <v>390</v>
      </c>
      <c r="Q14" s="25">
        <f t="shared" si="6"/>
        <v>421</v>
      </c>
      <c r="R14" s="25">
        <f t="shared" si="6"/>
        <v>742</v>
      </c>
      <c r="S14" s="25">
        <f t="shared" si="6"/>
        <v>649</v>
      </c>
      <c r="T14" s="25">
        <f t="shared" si="6"/>
        <v>784</v>
      </c>
      <c r="U14" s="25">
        <f t="shared" si="6"/>
        <v>834</v>
      </c>
      <c r="V14" s="28">
        <f>SUM(O14:U14)</f>
        <v>4211</v>
      </c>
      <c r="W14" s="31"/>
      <c r="Y14" s="36">
        <f>SUM(Y8:Y13)</f>
        <v>41.124999999999993</v>
      </c>
      <c r="Z14" s="37">
        <f>SUM(Z8:Z13)</f>
        <v>105.27500000000001</v>
      </c>
      <c r="AA14" s="38">
        <f>SUM(AA8:AA13)</f>
        <v>-64.150000000000006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9.7750000000000004</v>
      </c>
      <c r="P15" s="21">
        <f t="shared" si="8"/>
        <v>9.75</v>
      </c>
      <c r="Q15" s="21">
        <f t="shared" si="8"/>
        <v>10.525</v>
      </c>
      <c r="R15" s="21">
        <f t="shared" si="8"/>
        <v>18.55</v>
      </c>
      <c r="S15" s="21">
        <f t="shared" si="8"/>
        <v>16.225000000000001</v>
      </c>
      <c r="T15" s="21">
        <f t="shared" si="8"/>
        <v>19.600000000000001</v>
      </c>
      <c r="U15" s="21">
        <f t="shared" si="8"/>
        <v>20.85</v>
      </c>
      <c r="V15" s="22">
        <f t="shared" si="8"/>
        <v>105.27500000000001</v>
      </c>
      <c r="W15" s="23"/>
      <c r="Y15" s="42">
        <f>Y14/40</f>
        <v>1.0281249999999997</v>
      </c>
      <c r="Z15" s="43">
        <f>Z14/40</f>
        <v>2.631875</v>
      </c>
      <c r="AA15" s="44">
        <f>AA14/40</f>
        <v>-1.6037500000000002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3"/>
  <sheetViews>
    <sheetView workbookViewId="0">
      <selection activeCell="T22" sqref="T2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234</v>
      </c>
      <c r="D8" s="11">
        <v>0</v>
      </c>
      <c r="E8" s="11">
        <v>0</v>
      </c>
      <c r="F8" s="11">
        <v>0</v>
      </c>
      <c r="G8" s="11">
        <v>74</v>
      </c>
      <c r="H8" s="11">
        <v>39</v>
      </c>
      <c r="I8" s="11">
        <v>169</v>
      </c>
      <c r="J8" s="15">
        <f>SUM(C8:I8)/40</f>
        <v>12.9</v>
      </c>
      <c r="K8" s="12">
        <v>15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12.9</v>
      </c>
      <c r="Z8" s="40">
        <f>V8</f>
        <v>0</v>
      </c>
      <c r="AA8" s="41">
        <f>Y8-Z8</f>
        <v>12.9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40</v>
      </c>
      <c r="F9" s="11">
        <v>40</v>
      </c>
      <c r="G9" s="11">
        <v>53</v>
      </c>
      <c r="H9" s="11">
        <v>52</v>
      </c>
      <c r="I9" s="11">
        <v>55</v>
      </c>
      <c r="J9" s="15">
        <f t="shared" ref="J9:J12" si="0">SUM(C9:I9)/40</f>
        <v>8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8</v>
      </c>
      <c r="Z9" s="40">
        <f t="shared" ref="Z9:Z13" si="3">V9</f>
        <v>0</v>
      </c>
      <c r="AA9" s="41">
        <f t="shared" ref="AA9:AA13" si="4">Y9-Z9</f>
        <v>8</v>
      </c>
    </row>
    <row r="10" spans="1:27" x14ac:dyDescent="0.35">
      <c r="A10" s="14"/>
      <c r="B10" s="7" t="s">
        <v>16</v>
      </c>
      <c r="C10" s="11">
        <v>300</v>
      </c>
      <c r="D10" s="11">
        <v>0</v>
      </c>
      <c r="E10" s="11">
        <v>0</v>
      </c>
      <c r="F10" s="11">
        <v>0</v>
      </c>
      <c r="G10" s="11">
        <v>100</v>
      </c>
      <c r="H10" s="11">
        <v>94</v>
      </c>
      <c r="I10" s="11">
        <v>92</v>
      </c>
      <c r="J10" s="15">
        <f t="shared" si="0"/>
        <v>14.65</v>
      </c>
      <c r="K10" s="12">
        <v>11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14.65</v>
      </c>
      <c r="Z10" s="40">
        <f t="shared" si="3"/>
        <v>0</v>
      </c>
      <c r="AA10" s="41">
        <f t="shared" si="4"/>
        <v>14.65</v>
      </c>
    </row>
    <row r="11" spans="1:27" x14ac:dyDescent="0.35">
      <c r="A11" s="16"/>
      <c r="B11" s="17" t="s">
        <v>24</v>
      </c>
      <c r="C11" s="11">
        <v>34</v>
      </c>
      <c r="D11" s="11">
        <v>43</v>
      </c>
      <c r="E11" s="11">
        <v>43</v>
      </c>
      <c r="F11" s="11">
        <v>43</v>
      </c>
      <c r="G11" s="11">
        <v>38</v>
      </c>
      <c r="H11" s="11">
        <v>35</v>
      </c>
      <c r="I11" s="11">
        <v>30</v>
      </c>
      <c r="J11" s="15">
        <f t="shared" si="0"/>
        <v>6.65</v>
      </c>
      <c r="K11" s="12">
        <v>9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6.65</v>
      </c>
      <c r="Z11" s="40">
        <f t="shared" si="3"/>
        <v>0</v>
      </c>
      <c r="AA11" s="41">
        <f t="shared" si="4"/>
        <v>6.65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600</v>
      </c>
      <c r="F12" s="11">
        <v>600</v>
      </c>
      <c r="G12" s="11">
        <v>600</v>
      </c>
      <c r="H12" s="11">
        <v>600</v>
      </c>
      <c r="I12" s="11">
        <v>600</v>
      </c>
      <c r="J12" s="15">
        <f t="shared" si="0"/>
        <v>90</v>
      </c>
      <c r="K12" s="12">
        <v>1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90</v>
      </c>
      <c r="Z12" s="40">
        <f t="shared" si="3"/>
        <v>0</v>
      </c>
      <c r="AA12" s="41">
        <f t="shared" si="4"/>
        <v>90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648</v>
      </c>
      <c r="D14" s="25">
        <f t="shared" si="5"/>
        <v>643</v>
      </c>
      <c r="E14" s="25">
        <f t="shared" si="5"/>
        <v>683</v>
      </c>
      <c r="F14" s="25">
        <f t="shared" si="5"/>
        <v>683</v>
      </c>
      <c r="G14" s="25">
        <f t="shared" si="5"/>
        <v>865</v>
      </c>
      <c r="H14" s="25">
        <f t="shared" si="5"/>
        <v>820</v>
      </c>
      <c r="I14" s="25">
        <f t="shared" si="5"/>
        <v>946</v>
      </c>
      <c r="J14" s="28">
        <f>SUM(C14:I14)</f>
        <v>5288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132.19999999999999</v>
      </c>
      <c r="Z14" s="37">
        <f>SUM(Z8:Z13)</f>
        <v>0</v>
      </c>
      <c r="AA14" s="38">
        <f>SUM(AA8:AA13)</f>
        <v>132.19999999999999</v>
      </c>
    </row>
    <row r="15" spans="1:27" ht="15" thickBot="1" x14ac:dyDescent="0.4">
      <c r="A15" s="1"/>
      <c r="B15" s="20" t="s">
        <v>19</v>
      </c>
      <c r="C15" s="21">
        <f t="shared" ref="C15:J15" si="7">C14/40</f>
        <v>16.2</v>
      </c>
      <c r="D15" s="21">
        <f t="shared" si="7"/>
        <v>16.074999999999999</v>
      </c>
      <c r="E15" s="21">
        <f t="shared" si="7"/>
        <v>17.074999999999999</v>
      </c>
      <c r="F15" s="21">
        <f t="shared" si="7"/>
        <v>17.074999999999999</v>
      </c>
      <c r="G15" s="21">
        <f t="shared" si="7"/>
        <v>21.625</v>
      </c>
      <c r="H15" s="21">
        <f t="shared" si="7"/>
        <v>20.5</v>
      </c>
      <c r="I15" s="21">
        <f t="shared" si="7"/>
        <v>23.65</v>
      </c>
      <c r="J15" s="22">
        <f t="shared" si="7"/>
        <v>132.19999999999999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3.3049999999999997</v>
      </c>
      <c r="Z15" s="43">
        <f>Z14/40</f>
        <v>0</v>
      </c>
      <c r="AA15" s="44">
        <f>AA14/40</f>
        <v>3.3049999999999997</v>
      </c>
    </row>
    <row r="23" spans="10:10" x14ac:dyDescent="0.35">
      <c r="J23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6"/>
  <sheetViews>
    <sheetView tabSelected="1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222</v>
      </c>
      <c r="D8" s="11">
        <v>20</v>
      </c>
      <c r="E8" s="11">
        <v>20</v>
      </c>
      <c r="F8" s="11">
        <v>0</v>
      </c>
      <c r="G8" s="11">
        <v>114</v>
      </c>
      <c r="H8" s="11">
        <v>52</v>
      </c>
      <c r="I8" s="11">
        <v>84</v>
      </c>
      <c r="J8" s="15">
        <f>SUM(C8:I8)/40</f>
        <v>12.8</v>
      </c>
      <c r="K8" s="12">
        <v>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12.8</v>
      </c>
      <c r="Z8" s="40">
        <f>V8</f>
        <v>0</v>
      </c>
      <c r="AA8" s="41">
        <f>Y8-Z8</f>
        <v>12.8</v>
      </c>
    </row>
    <row r="9" spans="1:27" x14ac:dyDescent="0.35">
      <c r="A9" s="14"/>
      <c r="B9" s="7" t="s">
        <v>14</v>
      </c>
      <c r="C9" s="11">
        <v>128</v>
      </c>
      <c r="D9" s="11">
        <v>73</v>
      </c>
      <c r="E9" s="11">
        <v>92</v>
      </c>
      <c r="F9" s="11">
        <v>32</v>
      </c>
      <c r="G9" s="11">
        <v>82</v>
      </c>
      <c r="H9" s="11">
        <v>26</v>
      </c>
      <c r="I9" s="11">
        <v>26</v>
      </c>
      <c r="J9" s="15">
        <f t="shared" ref="J9:J14" si="0">SUM(C9:I9)/40</f>
        <v>11.475</v>
      </c>
      <c r="K9" s="12">
        <v>10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4" si="1">SUM(O9:U9)/40</f>
        <v>0</v>
      </c>
      <c r="W9" s="12"/>
      <c r="Y9" s="39">
        <f t="shared" ref="Y9:Y13" si="2">J9</f>
        <v>11.475</v>
      </c>
      <c r="Z9" s="40">
        <f t="shared" ref="Z9:Z13" si="3">V9</f>
        <v>0</v>
      </c>
      <c r="AA9" s="41">
        <f t="shared" ref="AA9:AA13" si="4">Y9-Z9</f>
        <v>11.475</v>
      </c>
    </row>
    <row r="10" spans="1:27" x14ac:dyDescent="0.35">
      <c r="A10" s="14"/>
      <c r="B10" s="7" t="s">
        <v>16</v>
      </c>
      <c r="C10" s="11">
        <v>192</v>
      </c>
      <c r="D10" s="11"/>
      <c r="E10" s="11"/>
      <c r="F10" s="11"/>
      <c r="G10" s="11">
        <v>100</v>
      </c>
      <c r="H10" s="11">
        <v>0</v>
      </c>
      <c r="I10" s="11">
        <v>60</v>
      </c>
      <c r="J10" s="15">
        <f t="shared" si="0"/>
        <v>8.8000000000000007</v>
      </c>
      <c r="K10" s="12">
        <v>7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8.8000000000000007</v>
      </c>
      <c r="Z10" s="40">
        <f t="shared" si="3"/>
        <v>0</v>
      </c>
      <c r="AA10" s="41">
        <f t="shared" si="4"/>
        <v>8.8000000000000007</v>
      </c>
    </row>
    <row r="11" spans="1:27" x14ac:dyDescent="0.35">
      <c r="A11" s="16"/>
      <c r="B11" s="17" t="s">
        <v>40</v>
      </c>
      <c r="C11" s="11">
        <v>24</v>
      </c>
      <c r="D11" s="11"/>
      <c r="E11" s="11"/>
      <c r="F11" s="11"/>
      <c r="G11" s="11"/>
      <c r="H11" s="11"/>
      <c r="I11" s="11"/>
      <c r="J11" s="15">
        <f t="shared" si="0"/>
        <v>0.6</v>
      </c>
      <c r="K11" s="12">
        <v>2</v>
      </c>
      <c r="L11" s="13"/>
      <c r="M11" s="16"/>
      <c r="N11" s="17" t="s">
        <v>40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0.6</v>
      </c>
      <c r="Z11" s="40">
        <f t="shared" si="3"/>
        <v>0</v>
      </c>
      <c r="AA11" s="41">
        <f t="shared" si="4"/>
        <v>0.6</v>
      </c>
    </row>
    <row r="12" spans="1:27" x14ac:dyDescent="0.35">
      <c r="A12" s="16"/>
      <c r="B12" s="17" t="s">
        <v>39</v>
      </c>
      <c r="C12" s="11">
        <v>147</v>
      </c>
      <c r="D12" s="11">
        <v>15</v>
      </c>
      <c r="E12" s="11">
        <v>54</v>
      </c>
      <c r="F12" s="11">
        <v>15</v>
      </c>
      <c r="G12" s="11">
        <v>31</v>
      </c>
      <c r="H12" s="11">
        <v>10</v>
      </c>
      <c r="I12" s="11">
        <v>0</v>
      </c>
      <c r="J12" s="15">
        <f t="shared" si="0"/>
        <v>6.8</v>
      </c>
      <c r="K12" s="12">
        <v>10</v>
      </c>
      <c r="L12" s="13"/>
      <c r="M12" s="16"/>
      <c r="N12" s="17" t="s">
        <v>39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6.8</v>
      </c>
      <c r="Z12" s="40">
        <f t="shared" si="3"/>
        <v>0</v>
      </c>
      <c r="AA12" s="41">
        <f t="shared" si="4"/>
        <v>6.8</v>
      </c>
    </row>
    <row r="13" spans="1:27" x14ac:dyDescent="0.35">
      <c r="A13" s="16"/>
      <c r="B13" s="17" t="s">
        <v>41</v>
      </c>
      <c r="C13" s="11">
        <v>40</v>
      </c>
      <c r="D13" s="11">
        <v>10</v>
      </c>
      <c r="E13" s="11">
        <v>20</v>
      </c>
      <c r="F13" s="11">
        <v>40</v>
      </c>
      <c r="G13" s="11">
        <v>1</v>
      </c>
      <c r="H13" s="11">
        <v>1</v>
      </c>
      <c r="I13" s="11">
        <v>1</v>
      </c>
      <c r="J13" s="15">
        <f t="shared" si="0"/>
        <v>2.8250000000000002</v>
      </c>
      <c r="K13" s="18">
        <v>3</v>
      </c>
      <c r="M13" s="16"/>
      <c r="N13" s="17" t="s">
        <v>41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8"/>
      <c r="Y13" s="39">
        <f t="shared" si="2"/>
        <v>2.8250000000000002</v>
      </c>
      <c r="Z13" s="40">
        <f t="shared" si="3"/>
        <v>0</v>
      </c>
      <c r="AA13" s="41">
        <f t="shared" si="4"/>
        <v>2.8250000000000002</v>
      </c>
    </row>
    <row r="14" spans="1:27" x14ac:dyDescent="0.35">
      <c r="A14" s="16"/>
      <c r="B14" s="17" t="s">
        <v>17</v>
      </c>
      <c r="C14" s="11">
        <v>80</v>
      </c>
      <c r="D14" s="11">
        <v>320</v>
      </c>
      <c r="E14" s="11">
        <v>160</v>
      </c>
      <c r="F14" s="11">
        <v>600</v>
      </c>
      <c r="G14" s="11">
        <v>360</v>
      </c>
      <c r="H14" s="11">
        <v>160</v>
      </c>
      <c r="I14" s="11">
        <v>760</v>
      </c>
      <c r="J14" s="15">
        <f t="shared" si="0"/>
        <v>61</v>
      </c>
      <c r="K14" s="18">
        <v>6</v>
      </c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8"/>
      <c r="Y14" s="39">
        <f t="shared" ref="Y14" si="5">J14</f>
        <v>61</v>
      </c>
      <c r="Z14" s="40">
        <f t="shared" ref="Z14" si="6">V14</f>
        <v>0</v>
      </c>
      <c r="AA14" s="41">
        <f t="shared" ref="AA14" si="7">Y14-Z14</f>
        <v>61</v>
      </c>
    </row>
    <row r="15" spans="1:27" x14ac:dyDescent="0.35">
      <c r="A15" s="1"/>
      <c r="B15" s="7"/>
      <c r="C15" s="25">
        <f>SUM(C8:C14)</f>
        <v>833</v>
      </c>
      <c r="D15" s="25">
        <f>SUM(D8:D14)</f>
        <v>438</v>
      </c>
      <c r="E15" s="25">
        <f>SUM(E8:E14)</f>
        <v>346</v>
      </c>
      <c r="F15" s="25">
        <f>SUM(F8:F14)</f>
        <v>687</v>
      </c>
      <c r="G15" s="25">
        <f>SUM(G8:G14)</f>
        <v>688</v>
      </c>
      <c r="H15" s="25">
        <f>SUM(H8:H14)</f>
        <v>249</v>
      </c>
      <c r="I15" s="25">
        <f>SUM(I8:I14)</f>
        <v>931</v>
      </c>
      <c r="J15" s="28">
        <f>SUM(C15:I15)</f>
        <v>4172</v>
      </c>
      <c r="K15" s="31"/>
      <c r="M15" s="1"/>
      <c r="N15" s="7"/>
      <c r="O15" s="25">
        <f t="shared" ref="O15:U15" si="8">SUM(O8:O13)</f>
        <v>0</v>
      </c>
      <c r="P15" s="25">
        <f t="shared" si="8"/>
        <v>0</v>
      </c>
      <c r="Q15" s="25">
        <f t="shared" si="8"/>
        <v>0</v>
      </c>
      <c r="R15" s="25">
        <f t="shared" si="8"/>
        <v>0</v>
      </c>
      <c r="S15" s="25">
        <f t="shared" si="8"/>
        <v>0</v>
      </c>
      <c r="T15" s="25">
        <f t="shared" si="8"/>
        <v>0</v>
      </c>
      <c r="U15" s="25">
        <f t="shared" si="8"/>
        <v>0</v>
      </c>
      <c r="V15" s="28">
        <f>SUM(O15:U15)</f>
        <v>0</v>
      </c>
      <c r="W15" s="31"/>
      <c r="Y15" s="36">
        <f>SUM(Y8:Y13)</f>
        <v>43.300000000000004</v>
      </c>
      <c r="Z15" s="37">
        <f>SUM(Z8:Z13)</f>
        <v>0</v>
      </c>
      <c r="AA15" s="38">
        <f>SUM(AA8:AA13)</f>
        <v>43.300000000000004</v>
      </c>
    </row>
    <row r="16" spans="1:27" ht="15" thickBot="1" x14ac:dyDescent="0.4">
      <c r="A16" s="1"/>
      <c r="B16" s="20" t="s">
        <v>19</v>
      </c>
      <c r="C16" s="21">
        <f t="shared" ref="C16:J16" si="9">C15/40</f>
        <v>20.824999999999999</v>
      </c>
      <c r="D16" s="21">
        <f t="shared" si="9"/>
        <v>10.95</v>
      </c>
      <c r="E16" s="21">
        <f t="shared" si="9"/>
        <v>8.65</v>
      </c>
      <c r="F16" s="21">
        <f t="shared" si="9"/>
        <v>17.175000000000001</v>
      </c>
      <c r="G16" s="21">
        <f t="shared" si="9"/>
        <v>17.2</v>
      </c>
      <c r="H16" s="21">
        <f t="shared" si="9"/>
        <v>6.2249999999999996</v>
      </c>
      <c r="I16" s="21">
        <f t="shared" si="9"/>
        <v>23.274999999999999</v>
      </c>
      <c r="J16" s="22">
        <f t="shared" si="9"/>
        <v>104.3</v>
      </c>
      <c r="K16" s="23"/>
      <c r="M16" s="1"/>
      <c r="N16" s="20" t="s">
        <v>19</v>
      </c>
      <c r="O16" s="21">
        <f t="shared" ref="O16:V16" si="10">O15/40</f>
        <v>0</v>
      </c>
      <c r="P16" s="21">
        <f t="shared" si="10"/>
        <v>0</v>
      </c>
      <c r="Q16" s="21">
        <f t="shared" si="10"/>
        <v>0</v>
      </c>
      <c r="R16" s="21">
        <f t="shared" si="10"/>
        <v>0</v>
      </c>
      <c r="S16" s="21">
        <f t="shared" si="10"/>
        <v>0</v>
      </c>
      <c r="T16" s="21">
        <f t="shared" si="10"/>
        <v>0</v>
      </c>
      <c r="U16" s="21">
        <f t="shared" si="10"/>
        <v>0</v>
      </c>
      <c r="V16" s="22">
        <f t="shared" si="10"/>
        <v>0</v>
      </c>
      <c r="W16" s="23"/>
      <c r="Y16" s="42">
        <f>Y15/40</f>
        <v>1.0825</v>
      </c>
      <c r="Z16" s="43">
        <f>Z15/40</f>
        <v>0</v>
      </c>
      <c r="AA16" s="44">
        <f>AA15/40</f>
        <v>1.0825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0" t="s">
        <v>21</v>
      </c>
      <c r="Z3" s="80"/>
      <c r="AA3" s="80"/>
    </row>
    <row r="4" spans="2:27" ht="14.5" customHeight="1" thickBot="1" x14ac:dyDescent="0.4">
      <c r="Y4" s="80"/>
      <c r="Z4" s="80"/>
      <c r="AA4" s="80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2026-08-19T12:29:05Z</dcterms:modified>
</cp:coreProperties>
</file>