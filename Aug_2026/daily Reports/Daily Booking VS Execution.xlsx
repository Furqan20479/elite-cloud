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F3CB54E-9CB8-4C8B-842E-7E2C339A4ED6}" xr6:coauthVersionLast="47" xr6:coauthVersionMax="47" xr10:uidLastSave="{00000000-0000-0000-0000-000000000000}"/>
  <bookViews>
    <workbookView xWindow="-110" yWindow="-110" windowWidth="19420" windowHeight="10420" tabRatio="860" activeTab="28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2" i="29" l="1"/>
  <c r="V13" i="29"/>
  <c r="V14" i="29"/>
  <c r="V15" i="29"/>
  <c r="V16" i="29"/>
  <c r="J12" i="29"/>
  <c r="J13" i="29"/>
  <c r="V13" i="25"/>
  <c r="O13" i="25"/>
  <c r="V13" i="27" l="1"/>
  <c r="Z13" i="27" s="1"/>
  <c r="J13" i="28" l="1"/>
  <c r="V13" i="24"/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6"/>
  <c r="AA15" i="30"/>
  <c r="AA15" i="31"/>
  <c r="Z15" i="9"/>
  <c r="Z15" i="14"/>
  <c r="Z15" i="16"/>
  <c r="Z15" i="23"/>
  <c r="Z15" i="26"/>
  <c r="Z15" i="30"/>
  <c r="Z15" i="31"/>
  <c r="Y15" i="9"/>
  <c r="Y15" i="14"/>
  <c r="Y15" i="16"/>
  <c r="Y15" i="23"/>
  <c r="Y15" i="26"/>
  <c r="Y15" i="30"/>
  <c r="Y15" i="31"/>
  <c r="Y15" i="1"/>
  <c r="AA14" i="9"/>
  <c r="AA14" i="14"/>
  <c r="AA14" i="16"/>
  <c r="AA14" i="23"/>
  <c r="AA14" i="26"/>
  <c r="AA14" i="30"/>
  <c r="AA14" i="31"/>
  <c r="Z14" i="9"/>
  <c r="Z14" i="14"/>
  <c r="Z14" i="16"/>
  <c r="Z14" i="23"/>
  <c r="Z14" i="26"/>
  <c r="Z14" i="30"/>
  <c r="Z14" i="31"/>
  <c r="Y14" i="9"/>
  <c r="Y14" i="14"/>
  <c r="Y14" i="16"/>
  <c r="Y14" i="23"/>
  <c r="Y14" i="26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13" i="25"/>
  <c r="AA9" i="26"/>
  <c r="AA10" i="26"/>
  <c r="AA11" i="26"/>
  <c r="AA12" i="26"/>
  <c r="AA13" i="26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3"/>
  <c r="AA8" i="26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13" i="22"/>
  <c r="Z9" i="23"/>
  <c r="Z10" i="23"/>
  <c r="Z11" i="23"/>
  <c r="Z12" i="23"/>
  <c r="Z13" i="23"/>
  <c r="Z13" i="24"/>
  <c r="AA13" i="24" s="1"/>
  <c r="Z13" i="25"/>
  <c r="Z9" i="26"/>
  <c r="Z10" i="26"/>
  <c r="Z11" i="26"/>
  <c r="Z12" i="26"/>
  <c r="Z13" i="26"/>
  <c r="Z16" i="27"/>
  <c r="Z13" i="28"/>
  <c r="Z16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23"/>
  <c r="Z8" i="26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13" i="24"/>
  <c r="Y12" i="25"/>
  <c r="Y13" i="25"/>
  <c r="Y9" i="26"/>
  <c r="Y10" i="26"/>
  <c r="Y11" i="26"/>
  <c r="Y12" i="26"/>
  <c r="Y13" i="26"/>
  <c r="Y16" i="27"/>
  <c r="AA16" i="27" s="1"/>
  <c r="Y13" i="28"/>
  <c r="AA13" i="28" s="1"/>
  <c r="Y16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3"/>
  <c r="Y8" i="25"/>
  <c r="Y8" i="26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P15" i="22" s="1"/>
  <c r="O14" i="22"/>
  <c r="O15" i="22" s="1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7" i="27"/>
  <c r="U18" i="27" s="1"/>
  <c r="T17" i="27"/>
  <c r="T18" i="27" s="1"/>
  <c r="S17" i="27"/>
  <c r="S18" i="27" s="1"/>
  <c r="R17" i="27"/>
  <c r="R18" i="27" s="1"/>
  <c r="Q17" i="27"/>
  <c r="Q18" i="27" s="1"/>
  <c r="P17" i="27"/>
  <c r="P18" i="27" s="1"/>
  <c r="O17" i="27"/>
  <c r="O18" i="27" s="1"/>
  <c r="U17" i="28"/>
  <c r="U18" i="28" s="1"/>
  <c r="T17" i="28"/>
  <c r="T18" i="28" s="1"/>
  <c r="S17" i="28"/>
  <c r="S18" i="28" s="1"/>
  <c r="R17" i="28"/>
  <c r="R18" i="28" s="1"/>
  <c r="Q17" i="28"/>
  <c r="Q18" i="28" s="1"/>
  <c r="P17" i="28"/>
  <c r="P18" i="28" s="1"/>
  <c r="O17" i="28"/>
  <c r="O18" i="28" s="1"/>
  <c r="U17" i="29"/>
  <c r="U18" i="29" s="1"/>
  <c r="T17" i="29"/>
  <c r="T18" i="29" s="1"/>
  <c r="S17" i="29"/>
  <c r="S18" i="29" s="1"/>
  <c r="R17" i="29"/>
  <c r="R18" i="29" s="1"/>
  <c r="Q17" i="29"/>
  <c r="Q18" i="29" s="1"/>
  <c r="P17" i="29"/>
  <c r="P18" i="29" s="1"/>
  <c r="O17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6"/>
  <c r="I15" i="30"/>
  <c r="I15" i="1"/>
  <c r="H15" i="23"/>
  <c r="H15" i="26"/>
  <c r="H15" i="31"/>
  <c r="H15" i="1"/>
  <c r="G15" i="14"/>
  <c r="G15" i="16"/>
  <c r="G15" i="26"/>
  <c r="G15" i="30"/>
  <c r="G15" i="31"/>
  <c r="G15" i="1"/>
  <c r="F15" i="9"/>
  <c r="F15" i="16"/>
  <c r="F15" i="23"/>
  <c r="F15" i="31"/>
  <c r="F15" i="1"/>
  <c r="E15" i="14"/>
  <c r="E15" i="16"/>
  <c r="E15" i="26"/>
  <c r="E15" i="30"/>
  <c r="E15" i="1"/>
  <c r="D15" i="9"/>
  <c r="D15" i="14"/>
  <c r="D15" i="23"/>
  <c r="D15" i="30"/>
  <c r="D15" i="31"/>
  <c r="D15" i="1"/>
  <c r="C15" i="14"/>
  <c r="C15" i="16"/>
  <c r="C15" i="23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5" i="25" s="1"/>
  <c r="I14" i="26"/>
  <c r="I17" i="27"/>
  <c r="I18" i="27" s="1"/>
  <c r="I17" i="28"/>
  <c r="I18" i="28" s="1"/>
  <c r="I17" i="29"/>
  <c r="I18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5" i="25" s="1"/>
  <c r="H14" i="26"/>
  <c r="H17" i="27"/>
  <c r="H18" i="27" s="1"/>
  <c r="H17" i="28"/>
  <c r="H18" i="28" s="1"/>
  <c r="H17" i="29"/>
  <c r="H18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5" i="24" s="1"/>
  <c r="G14" i="25"/>
  <c r="G15" i="25" s="1"/>
  <c r="G14" i="26"/>
  <c r="G17" i="27"/>
  <c r="G18" i="27" s="1"/>
  <c r="G17" i="28"/>
  <c r="G18" i="28" s="1"/>
  <c r="G17" i="29"/>
  <c r="G18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5" i="25" s="1"/>
  <c r="F14" i="26"/>
  <c r="F17" i="27"/>
  <c r="F18" i="27" s="1"/>
  <c r="F17" i="28"/>
  <c r="F18" i="28" s="1"/>
  <c r="F17" i="29"/>
  <c r="F18" i="29" s="1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5" i="24" s="1"/>
  <c r="E14" i="25"/>
  <c r="E15" i="25" s="1"/>
  <c r="E14" i="26"/>
  <c r="E17" i="27"/>
  <c r="E18" i="27" s="1"/>
  <c r="E17" i="28"/>
  <c r="E18" i="28" s="1"/>
  <c r="E17" i="29"/>
  <c r="E18" i="29" s="1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5" i="25" s="1"/>
  <c r="D14" i="26"/>
  <c r="D15" i="26" s="1"/>
  <c r="D17" i="27"/>
  <c r="D18" i="27" s="1"/>
  <c r="D17" i="28"/>
  <c r="D18" i="28" s="1"/>
  <c r="D17" i="29"/>
  <c r="D18" i="29" s="1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5" i="24" s="1"/>
  <c r="C14" i="25"/>
  <c r="C14" i="26"/>
  <c r="C15" i="26" s="1"/>
  <c r="C17" i="27"/>
  <c r="C17" i="28"/>
  <c r="C18" i="28" s="1"/>
  <c r="C17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Z9" i="22" s="1"/>
  <c r="V10" i="22"/>
  <c r="Z10" i="22" s="1"/>
  <c r="V11" i="22"/>
  <c r="Z11" i="22" s="1"/>
  <c r="V12" i="22"/>
  <c r="Z12" i="22" s="1"/>
  <c r="V9" i="23"/>
  <c r="V10" i="23"/>
  <c r="V11" i="23"/>
  <c r="V12" i="23"/>
  <c r="V9" i="24"/>
  <c r="Z9" i="24" s="1"/>
  <c r="V10" i="24"/>
  <c r="Z10" i="24" s="1"/>
  <c r="V11" i="24"/>
  <c r="Z11" i="24" s="1"/>
  <c r="V12" i="24"/>
  <c r="Z12" i="24" s="1"/>
  <c r="V9" i="25"/>
  <c r="Z9" i="25" s="1"/>
  <c r="V10" i="25"/>
  <c r="Z10" i="25" s="1"/>
  <c r="V11" i="25"/>
  <c r="Z11" i="25" s="1"/>
  <c r="V12" i="25"/>
  <c r="Z12" i="25" s="1"/>
  <c r="V9" i="26"/>
  <c r="V10" i="26"/>
  <c r="V11" i="26"/>
  <c r="V12" i="26"/>
  <c r="V9" i="27"/>
  <c r="Z9" i="27" s="1"/>
  <c r="V10" i="27"/>
  <c r="Z10" i="27" s="1"/>
  <c r="V11" i="27"/>
  <c r="Z11" i="27" s="1"/>
  <c r="V12" i="27"/>
  <c r="Z12" i="27" s="1"/>
  <c r="V9" i="28"/>
  <c r="Z9" i="28" s="1"/>
  <c r="V10" i="28"/>
  <c r="Z10" i="28" s="1"/>
  <c r="V11" i="28"/>
  <c r="Z11" i="28" s="1"/>
  <c r="V12" i="28"/>
  <c r="Z12" i="28" s="1"/>
  <c r="V9" i="29"/>
  <c r="Z9" i="29" s="1"/>
  <c r="V10" i="29"/>
  <c r="Z10" i="29" s="1"/>
  <c r="V11" i="29"/>
  <c r="Z11" i="29" s="1"/>
  <c r="Z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V8" i="24"/>
  <c r="Z8" i="24" s="1"/>
  <c r="V8" i="25"/>
  <c r="Z8" i="25" s="1"/>
  <c r="V8" i="26"/>
  <c r="V8" i="27"/>
  <c r="Z8" i="27" s="1"/>
  <c r="V8" i="28"/>
  <c r="Z8" i="28" s="1"/>
  <c r="V8" i="29"/>
  <c r="Z8" i="29" s="1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J10" i="22"/>
  <c r="Y10" i="22" s="1"/>
  <c r="J11" i="22"/>
  <c r="Y11" i="22" s="1"/>
  <c r="J12" i="22"/>
  <c r="Y12" i="22" s="1"/>
  <c r="J9" i="23"/>
  <c r="J10" i="23"/>
  <c r="J11" i="23"/>
  <c r="J12" i="23"/>
  <c r="J9" i="24"/>
  <c r="Y9" i="24" s="1"/>
  <c r="J10" i="24"/>
  <c r="Y10" i="24" s="1"/>
  <c r="J11" i="24"/>
  <c r="Y11" i="24" s="1"/>
  <c r="J12" i="24"/>
  <c r="Y12" i="24" s="1"/>
  <c r="J9" i="25"/>
  <c r="Y9" i="25" s="1"/>
  <c r="J10" i="25"/>
  <c r="Y10" i="25" s="1"/>
  <c r="J11" i="25"/>
  <c r="Y11" i="25" s="1"/>
  <c r="J12" i="25"/>
  <c r="J9" i="26"/>
  <c r="J10" i="26"/>
  <c r="J11" i="26"/>
  <c r="J12" i="26"/>
  <c r="J9" i="27"/>
  <c r="Y9" i="27" s="1"/>
  <c r="J10" i="27"/>
  <c r="Y10" i="27" s="1"/>
  <c r="J11" i="27"/>
  <c r="Y11" i="27" s="1"/>
  <c r="J12" i="27"/>
  <c r="Y12" i="27" s="1"/>
  <c r="J9" i="28"/>
  <c r="J10" i="28"/>
  <c r="Y10" i="28" s="1"/>
  <c r="J11" i="28"/>
  <c r="Y11" i="28" s="1"/>
  <c r="J12" i="28"/>
  <c r="Y12" i="28" s="1"/>
  <c r="J9" i="29"/>
  <c r="Y9" i="29" s="1"/>
  <c r="J10" i="29"/>
  <c r="Y10" i="29" s="1"/>
  <c r="J11" i="29"/>
  <c r="Y11" i="29" s="1"/>
  <c r="Y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J8" i="24"/>
  <c r="Y8" i="24" s="1"/>
  <c r="J8" i="25"/>
  <c r="J8" i="26"/>
  <c r="J8" i="27"/>
  <c r="Y8" i="27" s="1"/>
  <c r="J8" i="28"/>
  <c r="Y8" i="28" s="1"/>
  <c r="J8" i="29"/>
  <c r="Y8" i="29" s="1"/>
  <c r="J8" i="30"/>
  <c r="J8" i="31"/>
  <c r="J8" i="1"/>
  <c r="AA16" i="29" l="1"/>
  <c r="AA11" i="29"/>
  <c r="AA10" i="29"/>
  <c r="Z17" i="29"/>
  <c r="Z18" i="29" s="1"/>
  <c r="AA9" i="29"/>
  <c r="Y17" i="29"/>
  <c r="Y18" i="29" s="1"/>
  <c r="AA8" i="29"/>
  <c r="AA12" i="29"/>
  <c r="Y9" i="28"/>
  <c r="AA9" i="28" s="1"/>
  <c r="J18" i="28"/>
  <c r="Z17" i="28"/>
  <c r="Z18" i="28" s="1"/>
  <c r="AA8" i="28"/>
  <c r="AA11" i="28"/>
  <c r="AA12" i="28"/>
  <c r="AA10" i="28"/>
  <c r="Y17" i="28"/>
  <c r="Y18" i="28" s="1"/>
  <c r="AA9" i="25"/>
  <c r="AA11" i="25"/>
  <c r="AA11" i="27"/>
  <c r="Z17" i="27"/>
  <c r="Z18" i="27" s="1"/>
  <c r="AA10" i="27"/>
  <c r="AA9" i="27"/>
  <c r="AA12" i="27"/>
  <c r="AA8" i="27"/>
  <c r="Y17" i="27"/>
  <c r="Y18" i="27" s="1"/>
  <c r="AA12" i="25"/>
  <c r="Z14" i="25"/>
  <c r="Z15" i="25" s="1"/>
  <c r="AA10" i="25"/>
  <c r="AA10" i="24"/>
  <c r="AA9" i="24"/>
  <c r="AA11" i="24"/>
  <c r="Z14" i="24"/>
  <c r="Z15" i="24" s="1"/>
  <c r="AA12" i="24"/>
  <c r="Y14" i="25"/>
  <c r="Y15" i="25" s="1"/>
  <c r="AA8" i="25"/>
  <c r="AA8" i="24"/>
  <c r="Y14" i="24"/>
  <c r="Y15" i="24" s="1"/>
  <c r="AA10" i="22"/>
  <c r="AA8" i="22"/>
  <c r="AA11" i="22"/>
  <c r="Z14" i="22"/>
  <c r="Z15" i="22" s="1"/>
  <c r="AA9" i="22"/>
  <c r="AA8" i="21"/>
  <c r="Y14" i="22"/>
  <c r="Y15" i="22" s="1"/>
  <c r="AA12" i="22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7" i="29"/>
  <c r="J18" i="29" s="1"/>
  <c r="C18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7" i="27"/>
  <c r="J18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8" i="27"/>
  <c r="C15" i="11"/>
  <c r="C15" i="31"/>
  <c r="C15" i="15"/>
  <c r="J17" i="28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7" i="29"/>
  <c r="V18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7" i="27"/>
  <c r="V18" i="27" s="1"/>
  <c r="V14" i="23"/>
  <c r="V15" i="23" s="1"/>
  <c r="V14" i="19"/>
  <c r="V15" i="19" s="1"/>
  <c r="V14" i="15"/>
  <c r="V15" i="15" s="1"/>
  <c r="V14" i="11"/>
  <c r="V15" i="11" s="1"/>
  <c r="O15" i="6"/>
  <c r="O15" i="2"/>
  <c r="O18" i="29"/>
  <c r="V17" i="28"/>
  <c r="V18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7" i="29" l="1"/>
  <c r="AA18" i="29" s="1"/>
  <c r="AA17" i="28"/>
  <c r="AA18" i="28" s="1"/>
  <c r="AA17" i="27"/>
  <c r="AA18" i="27" s="1"/>
  <c r="AA14" i="25"/>
  <c r="AA15" i="25" s="1"/>
  <c r="AA14" i="24"/>
  <c r="AA15" i="24" s="1"/>
  <c r="AA14" i="22"/>
  <c r="AA15" i="22" s="1"/>
  <c r="AA14" i="2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<sst xmlns="http://schemas.openxmlformats.org/spreadsheetml/2006/main" count="1378" uniqueCount="52">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</sst>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5" fillId="0" borderId="6" xfId="0" applyFont="1" applyBorder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21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81" t="s">
        <v>31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7"/>
      <c r="L2" s="47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7"/>
      <c r="B3" s="78"/>
      <c r="C3" s="78"/>
      <c r="D3" s="78"/>
      <c r="E3" s="78"/>
      <c r="F3" s="78"/>
      <c r="G3" s="78"/>
      <c r="H3" s="78"/>
      <c r="I3" s="78"/>
      <c r="J3" s="78"/>
      <c r="K3" s="47"/>
      <c r="L3" s="47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47"/>
      <c r="B4" s="78"/>
      <c r="C4" s="78"/>
      <c r="D4" s="78"/>
      <c r="E4" s="78"/>
      <c r="F4" s="78"/>
      <c r="G4" s="78"/>
      <c r="H4" s="78"/>
      <c r="I4" s="78"/>
      <c r="J4" s="78"/>
      <c r="K4" s="47"/>
      <c r="L4" s="47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7"/>
      <c r="B5" s="79"/>
      <c r="C5" s="79"/>
      <c r="D5" s="79"/>
      <c r="E5" s="79"/>
      <c r="F5" s="79"/>
      <c r="G5" s="79"/>
      <c r="H5" s="79"/>
      <c r="I5" s="79"/>
      <c r="J5" s="79"/>
      <c r="K5" s="47"/>
      <c r="L5" s="47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3" t="s">
        <v>3</v>
      </c>
      <c r="E6" s="83"/>
      <c r="F6" s="83"/>
      <c r="G6" s="83" t="s">
        <v>4</v>
      </c>
      <c r="H6" s="83"/>
      <c r="I6" s="83"/>
      <c r="J6" s="50"/>
      <c r="K6" s="51"/>
      <c r="L6" s="47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9">
        <f>J8</f>
        <v>12.9</v>
      </c>
      <c r="Z8" s="40">
        <f>V8</f>
        <v>10.9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9">
        <f t="shared" ref="Y9:Y13" si="2">J9</f>
        <v>8</v>
      </c>
      <c r="Z9" s="40">
        <f t="shared" ref="Z9:Z13" si="3">V9</f>
        <v>14</v>
      </c>
      <c r="AA9" s="41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9">
        <f t="shared" si="2"/>
        <v>14.65</v>
      </c>
      <c r="Z10" s="40">
        <f t="shared" si="3"/>
        <v>10.65</v>
      </c>
      <c r="AA10" s="41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9">
        <f t="shared" si="2"/>
        <v>6.65</v>
      </c>
      <c r="Z11" s="40">
        <f t="shared" si="3"/>
        <v>6.7</v>
      </c>
      <c r="AA11" s="41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8">
        <f>SUM(O14:U14)</f>
        <v>1690</v>
      </c>
      <c r="W14" s="31"/>
      <c r="Y14" s="36">
        <f>SUM(Y8:Y13)</f>
        <v>132.19999999999999</v>
      </c>
      <c r="Z14" s="37">
        <f>SUM(Z8:Z13)</f>
        <v>42.25</v>
      </c>
      <c r="AA14" s="38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42">
        <f>Y14/40</f>
        <v>3.3049999999999997</v>
      </c>
      <c r="Z15" s="43">
        <f>Z14/40</f>
        <v>1.0562499999999999</v>
      </c>
      <c r="AA15" s="44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9">
        <f>J8</f>
        <v>12.8</v>
      </c>
      <c r="Z8" s="40">
        <f>V8</f>
        <v>7.95</v>
      </c>
      <c r="AA8" s="41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9">
        <f t="shared" ref="Y9:Y13" si="2">J9</f>
        <v>11.475</v>
      </c>
      <c r="Z9" s="40">
        <f t="shared" ref="Z9:Z13" si="3">V9</f>
        <v>7.8</v>
      </c>
      <c r="AA9" s="41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9">
        <f t="shared" si="2"/>
        <v>8.8000000000000007</v>
      </c>
      <c r="Z10" s="40">
        <f t="shared" si="3"/>
        <v>8.8000000000000007</v>
      </c>
      <c r="AA10" s="41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9">
        <f t="shared" si="2"/>
        <v>0.6</v>
      </c>
      <c r="Z11" s="40">
        <f t="shared" si="3"/>
        <v>0.6</v>
      </c>
      <c r="AA11" s="41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9">
        <f t="shared" si="2"/>
        <v>6.8</v>
      </c>
      <c r="Z12" s="40">
        <f t="shared" si="3"/>
        <v>1.075</v>
      </c>
      <c r="AA12" s="41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9">
        <f t="shared" si="2"/>
        <v>2.8250000000000002</v>
      </c>
      <c r="Z13" s="40">
        <f t="shared" si="3"/>
        <v>3.6</v>
      </c>
      <c r="AA13" s="41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9">
        <f t="shared" ref="Y14" si="5">J14</f>
        <v>61</v>
      </c>
      <c r="Z14" s="40">
        <f t="shared" ref="Z14" si="6">V14</f>
        <v>56.975000000000001</v>
      </c>
      <c r="AA14" s="41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8">
        <f>SUM(C15:I15)</f>
        <v>4172</v>
      </c>
      <c r="K15" s="31"/>
      <c r="M15" s="1"/>
      <c r="N15" s="7"/>
      <c r="O15" s="75">
        <f>SUM(O8:O14)</f>
        <v>495</v>
      </c>
      <c r="P15" s="75">
        <f t="shared" ref="P15:U15" si="9">SUM(P8:P14)</f>
        <v>222</v>
      </c>
      <c r="Q15" s="75">
        <f t="shared" si="9"/>
        <v>224</v>
      </c>
      <c r="R15" s="75">
        <f t="shared" si="9"/>
        <v>872</v>
      </c>
      <c r="S15" s="75">
        <f t="shared" si="9"/>
        <v>584</v>
      </c>
      <c r="T15" s="75">
        <f t="shared" si="9"/>
        <v>239</v>
      </c>
      <c r="U15" s="75">
        <f t="shared" si="9"/>
        <v>836</v>
      </c>
      <c r="V15" s="28">
        <f>SUM(O15:U15)</f>
        <v>3472</v>
      </c>
      <c r="W15" s="31"/>
      <c r="Y15" s="36">
        <f>SUM(Y8:Y13)</f>
        <v>43.300000000000004</v>
      </c>
      <c r="Z15" s="37">
        <f>SUM(Z8:Z13)</f>
        <v>29.825000000000003</v>
      </c>
      <c r="AA15" s="38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42">
        <f>Y15/40</f>
        <v>1.0825</v>
      </c>
      <c r="Z16" s="43">
        <f>Z15/40</f>
        <v>0.74562500000000009</v>
      </c>
      <c r="AA16" s="44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6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V19" sqref="V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9">
        <f>J8</f>
        <v>14.5</v>
      </c>
      <c r="Z8" s="40">
        <f>V8</f>
        <v>13</v>
      </c>
      <c r="AA8" s="41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9">
        <f t="shared" ref="Y9:Y13" si="2">J9</f>
        <v>9.0500000000000007</v>
      </c>
      <c r="Z9" s="40">
        <f t="shared" ref="Z9:Z13" si="3">V9</f>
        <v>9</v>
      </c>
      <c r="AA9" s="41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9">
        <f t="shared" si="2"/>
        <v>6</v>
      </c>
      <c r="Z10" s="40">
        <f t="shared" si="3"/>
        <v>6</v>
      </c>
      <c r="AA10" s="41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9">
        <f t="shared" si="2"/>
        <v>16.2</v>
      </c>
      <c r="Z11" s="40">
        <f t="shared" si="3"/>
        <v>15.2</v>
      </c>
      <c r="AA11" s="41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9">
        <f t="shared" si="2"/>
        <v>11.375</v>
      </c>
      <c r="Z12" s="40">
        <f t="shared" si="3"/>
        <v>9.2249999999999996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8">
        <f>SUM(C14:I14)</f>
        <v>2285</v>
      </c>
      <c r="K14" s="31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8">
        <f>SUM(O14:U14)</f>
        <v>2097</v>
      </c>
      <c r="W14" s="31"/>
      <c r="Y14" s="36">
        <f>SUM(Y8:Y13)</f>
        <v>57.125</v>
      </c>
      <c r="Z14" s="37">
        <f>SUM(Z8:Z13)</f>
        <v>52.425000000000004</v>
      </c>
      <c r="AA14" s="38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42">
        <f>Y14/40</f>
        <v>1.4281250000000001</v>
      </c>
      <c r="Z15" s="43">
        <f>Z14/40</f>
        <v>1.3106250000000002</v>
      </c>
      <c r="AA15" s="44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X3" sqref="X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>
        <v>0</v>
      </c>
      <c r="P8" s="11">
        <v>30</v>
      </c>
      <c r="Q8" s="11">
        <v>20</v>
      </c>
      <c r="R8" s="11">
        <v>10</v>
      </c>
      <c r="S8" s="11">
        <v>95</v>
      </c>
      <c r="T8" s="11">
        <v>55</v>
      </c>
      <c r="U8" s="11">
        <v>105</v>
      </c>
      <c r="V8" s="15">
        <f>SUM(O8:U8)/40</f>
        <v>7.875</v>
      </c>
      <c r="W8" s="12">
        <v>9</v>
      </c>
      <c r="Y8" s="39">
        <f>J8</f>
        <v>9.875</v>
      </c>
      <c r="Z8" s="40">
        <f>V8</f>
        <v>7.875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>
        <v>60</v>
      </c>
      <c r="P9" s="11">
        <v>45</v>
      </c>
      <c r="Q9" s="11">
        <v>35</v>
      </c>
      <c r="R9" s="11">
        <v>0</v>
      </c>
      <c r="S9" s="11">
        <v>80</v>
      </c>
      <c r="T9" s="11">
        <v>60</v>
      </c>
      <c r="U9" s="11">
        <v>60</v>
      </c>
      <c r="V9" s="15">
        <f t="shared" ref="V9:V12" si="1">SUM(O9:U9)/40</f>
        <v>8.5</v>
      </c>
      <c r="W9" s="12">
        <v>10</v>
      </c>
      <c r="Y9" s="39">
        <f t="shared" ref="Y9:Y13" si="2">J9</f>
        <v>12.5</v>
      </c>
      <c r="Z9" s="40">
        <f t="shared" ref="Z9:Z13" si="3">V9</f>
        <v>8.5</v>
      </c>
      <c r="AA9" s="41">
        <f t="shared" ref="AA9:AA13" si="4">Y9-Z9</f>
        <v>4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>
        <v>152</v>
      </c>
      <c r="P10" s="11">
        <v>11</v>
      </c>
      <c r="Q10" s="11">
        <v>11</v>
      </c>
      <c r="R10" s="11">
        <v>5</v>
      </c>
      <c r="S10" s="11">
        <v>6</v>
      </c>
      <c r="T10" s="11">
        <v>6</v>
      </c>
      <c r="U10" s="11">
        <v>6</v>
      </c>
      <c r="V10" s="15">
        <f t="shared" si="1"/>
        <v>4.9249999999999998</v>
      </c>
      <c r="W10" s="12">
        <v>8</v>
      </c>
      <c r="Y10" s="39">
        <f t="shared" si="2"/>
        <v>6.7249999999999996</v>
      </c>
      <c r="Z10" s="40">
        <f t="shared" si="3"/>
        <v>4.9249999999999998</v>
      </c>
      <c r="AA10" s="41">
        <f t="shared" si="4"/>
        <v>1.7999999999999998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>
        <v>18</v>
      </c>
      <c r="P11" s="11">
        <v>12</v>
      </c>
      <c r="Q11" s="11">
        <v>24</v>
      </c>
      <c r="R11" s="11">
        <v>12</v>
      </c>
      <c r="S11" s="11">
        <v>39</v>
      </c>
      <c r="T11" s="11">
        <v>28</v>
      </c>
      <c r="U11" s="11">
        <v>39</v>
      </c>
      <c r="V11" s="15">
        <f t="shared" si="1"/>
        <v>4.3</v>
      </c>
      <c r="W11" s="12">
        <v>4</v>
      </c>
      <c r="Y11" s="39">
        <f t="shared" si="2"/>
        <v>4.75</v>
      </c>
      <c r="Z11" s="40">
        <f t="shared" si="3"/>
        <v>4.3</v>
      </c>
      <c r="AA11" s="41">
        <f t="shared" si="4"/>
        <v>0.45000000000000018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>
        <v>3</v>
      </c>
      <c r="Y12" s="39">
        <f t="shared" si="2"/>
        <v>3.15</v>
      </c>
      <c r="Z12" s="40">
        <f t="shared" si="3"/>
        <v>2.7</v>
      </c>
      <c r="AA12" s="41">
        <f t="shared" si="4"/>
        <v>0.44999999999999973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141.75</v>
      </c>
      <c r="Z13" s="40">
        <f t="shared" si="3"/>
        <v>0</v>
      </c>
      <c r="AA13" s="41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8">
        <f>SUM(C14:I14)</f>
        <v>7150</v>
      </c>
      <c r="K14" s="31"/>
      <c r="M14" s="1"/>
      <c r="N14" s="7"/>
      <c r="O14" s="25">
        <f t="shared" ref="O14:U14" si="6">SUM(O8:O13)</f>
        <v>256</v>
      </c>
      <c r="P14" s="25">
        <f t="shared" si="6"/>
        <v>110</v>
      </c>
      <c r="Q14" s="25">
        <f t="shared" si="6"/>
        <v>110</v>
      </c>
      <c r="R14" s="25">
        <f t="shared" si="6"/>
        <v>39</v>
      </c>
      <c r="S14" s="25">
        <f t="shared" si="6"/>
        <v>240</v>
      </c>
      <c r="T14" s="25">
        <f t="shared" si="6"/>
        <v>155</v>
      </c>
      <c r="U14" s="25">
        <f t="shared" si="6"/>
        <v>222</v>
      </c>
      <c r="V14" s="28">
        <f>SUM(O14:U14)</f>
        <v>1132</v>
      </c>
      <c r="W14" s="31"/>
      <c r="Y14" s="36">
        <f>SUM(Y8:Y13)</f>
        <v>178.75</v>
      </c>
      <c r="Z14" s="37">
        <f>SUM(Z8:Z13)</f>
        <v>28.3</v>
      </c>
      <c r="AA14" s="38">
        <f>SUM(AA8:AA13)</f>
        <v>150.44999999999999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6.4</v>
      </c>
      <c r="P15" s="21">
        <f t="shared" si="8"/>
        <v>2.75</v>
      </c>
      <c r="Q15" s="21">
        <f t="shared" si="8"/>
        <v>2.75</v>
      </c>
      <c r="R15" s="21">
        <f t="shared" si="8"/>
        <v>0.97499999999999998</v>
      </c>
      <c r="S15" s="21">
        <f t="shared" si="8"/>
        <v>6</v>
      </c>
      <c r="T15" s="21">
        <f t="shared" si="8"/>
        <v>3.875</v>
      </c>
      <c r="U15" s="21">
        <f t="shared" si="8"/>
        <v>5.55</v>
      </c>
      <c r="V15" s="22">
        <f t="shared" si="8"/>
        <v>28.3</v>
      </c>
      <c r="W15" s="23"/>
      <c r="Y15" s="42">
        <f>Y14/40</f>
        <v>4.46875</v>
      </c>
      <c r="Z15" s="43">
        <f>Z14/40</f>
        <v>0.70750000000000002</v>
      </c>
      <c r="AA15" s="44">
        <f>AA14/40</f>
        <v>3.7612499999999995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B8" sqref="B8:B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44</v>
      </c>
      <c r="O8" s="11">
        <v>80</v>
      </c>
      <c r="P8" s="11">
        <v>39</v>
      </c>
      <c r="Q8" s="11">
        <v>0</v>
      </c>
      <c r="R8" s="11">
        <v>0</v>
      </c>
      <c r="S8" s="11">
        <v>115</v>
      </c>
      <c r="T8" s="11">
        <v>80</v>
      </c>
      <c r="U8" s="11">
        <v>190</v>
      </c>
      <c r="V8" s="15">
        <f>SUM(O8:U8)/40</f>
        <v>12.6</v>
      </c>
      <c r="W8" s="12">
        <v>14</v>
      </c>
      <c r="Y8" s="39">
        <f>J8</f>
        <v>0</v>
      </c>
      <c r="Z8" s="40">
        <f>V8</f>
        <v>12.6</v>
      </c>
      <c r="AA8" s="41">
        <f>Y8-Z8</f>
        <v>-12.6</v>
      </c>
    </row>
    <row r="9" spans="1:27" x14ac:dyDescent="0.35">
      <c r="A9" s="14"/>
      <c r="B9" s="7" t="s">
        <v>45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45</v>
      </c>
      <c r="O9" s="11">
        <v>160</v>
      </c>
      <c r="P9" s="11">
        <v>40</v>
      </c>
      <c r="Q9" s="11">
        <v>40</v>
      </c>
      <c r="R9" s="11">
        <v>40</v>
      </c>
      <c r="S9" s="11">
        <v>70</v>
      </c>
      <c r="T9" s="11">
        <v>58</v>
      </c>
      <c r="U9" s="11">
        <v>110</v>
      </c>
      <c r="V9" s="15">
        <f t="shared" ref="V9:V13" si="1">SUM(O9:U9)/40</f>
        <v>12.95</v>
      </c>
      <c r="W9" s="12">
        <v>14</v>
      </c>
      <c r="Y9" s="39">
        <f t="shared" ref="Y9:Y13" si="2">J9</f>
        <v>0</v>
      </c>
      <c r="Z9" s="40">
        <f t="shared" ref="Z9:Z13" si="3">V9</f>
        <v>12.95</v>
      </c>
      <c r="AA9" s="41">
        <f t="shared" ref="AA9:AA13" si="4">Y9-Z9</f>
        <v>-12.95</v>
      </c>
    </row>
    <row r="10" spans="1:27" x14ac:dyDescent="0.35">
      <c r="A10" s="14"/>
      <c r="B10" s="7" t="s">
        <v>46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46</v>
      </c>
      <c r="O10" s="11">
        <v>80</v>
      </c>
      <c r="P10" s="11">
        <v>12</v>
      </c>
      <c r="Q10" s="11">
        <v>0</v>
      </c>
      <c r="R10" s="11">
        <v>40</v>
      </c>
      <c r="S10" s="11">
        <v>100</v>
      </c>
      <c r="T10" s="11">
        <v>100</v>
      </c>
      <c r="U10" s="11">
        <v>60</v>
      </c>
      <c r="V10" s="15">
        <f t="shared" si="1"/>
        <v>9.8000000000000007</v>
      </c>
      <c r="W10" s="12">
        <v>6</v>
      </c>
      <c r="Y10" s="39">
        <f t="shared" si="2"/>
        <v>0</v>
      </c>
      <c r="Z10" s="40">
        <f t="shared" si="3"/>
        <v>9.8000000000000007</v>
      </c>
      <c r="AA10" s="41">
        <f t="shared" si="4"/>
        <v>-9.8000000000000007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>
        <v>64</v>
      </c>
      <c r="P11" s="11">
        <v>37</v>
      </c>
      <c r="Q11" s="11">
        <v>32</v>
      </c>
      <c r="R11" s="11">
        <v>47</v>
      </c>
      <c r="S11" s="11">
        <v>36</v>
      </c>
      <c r="T11" s="11">
        <v>37</v>
      </c>
      <c r="U11" s="11">
        <v>65</v>
      </c>
      <c r="V11" s="15">
        <f t="shared" si="1"/>
        <v>7.95</v>
      </c>
      <c r="W11" s="12">
        <v>4</v>
      </c>
      <c r="Y11" s="39">
        <f t="shared" si="2"/>
        <v>0</v>
      </c>
      <c r="Z11" s="40">
        <f t="shared" si="3"/>
        <v>7.95</v>
      </c>
      <c r="AA11" s="41">
        <f t="shared" si="4"/>
        <v>-7.95</v>
      </c>
    </row>
    <row r="12" spans="1:27" x14ac:dyDescent="0.35">
      <c r="A12" s="16"/>
      <c r="B12" s="17" t="s">
        <v>39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39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>
        <v>3</v>
      </c>
      <c r="Y12" s="39">
        <f t="shared" si="2"/>
        <v>0</v>
      </c>
      <c r="Z12" s="40">
        <f t="shared" si="3"/>
        <v>3.5</v>
      </c>
      <c r="AA12" s="41">
        <f t="shared" si="4"/>
        <v>-3.5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v>40</v>
      </c>
      <c r="P13" s="11">
        <v>199</v>
      </c>
      <c r="Q13" s="11">
        <v>200</v>
      </c>
      <c r="R13" s="11">
        <v>320</v>
      </c>
      <c r="S13" s="11">
        <v>280</v>
      </c>
      <c r="T13" s="11">
        <v>280</v>
      </c>
      <c r="U13" s="11">
        <v>300</v>
      </c>
      <c r="V13" s="15">
        <f t="shared" si="1"/>
        <v>40.475000000000001</v>
      </c>
      <c r="W13" s="12">
        <v>5</v>
      </c>
      <c r="Y13" s="39">
        <f t="shared" si="2"/>
        <v>0</v>
      </c>
      <c r="Z13" s="40">
        <f t="shared" si="3"/>
        <v>40.475000000000001</v>
      </c>
      <c r="AA13" s="41">
        <f t="shared" si="4"/>
        <v>-40.475000000000001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494</v>
      </c>
      <c r="P14" s="25">
        <f t="shared" si="6"/>
        <v>337</v>
      </c>
      <c r="Q14" s="25">
        <f t="shared" si="6"/>
        <v>292</v>
      </c>
      <c r="R14" s="25">
        <f t="shared" si="6"/>
        <v>447</v>
      </c>
      <c r="S14" s="25">
        <f t="shared" si="6"/>
        <v>621</v>
      </c>
      <c r="T14" s="25">
        <f t="shared" si="6"/>
        <v>565</v>
      </c>
      <c r="U14" s="25">
        <f t="shared" si="6"/>
        <v>735</v>
      </c>
      <c r="V14" s="28">
        <f>SUM(O14:U14)</f>
        <v>3491</v>
      </c>
      <c r="W14" s="31"/>
      <c r="Y14" s="36">
        <f>SUM(Y8:Y13)</f>
        <v>0</v>
      </c>
      <c r="Z14" s="37">
        <f>SUM(Z8:Z13)</f>
        <v>87.275000000000006</v>
      </c>
      <c r="AA14" s="38">
        <f>SUM(AA8:AA13)</f>
        <v>-87.275000000000006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12.35</v>
      </c>
      <c r="P15" s="21">
        <f t="shared" si="8"/>
        <v>8.4250000000000007</v>
      </c>
      <c r="Q15" s="21">
        <f t="shared" si="8"/>
        <v>7.3</v>
      </c>
      <c r="R15" s="21">
        <f t="shared" si="8"/>
        <v>11.175000000000001</v>
      </c>
      <c r="S15" s="21">
        <f t="shared" si="8"/>
        <v>15.525</v>
      </c>
      <c r="T15" s="21">
        <f t="shared" si="8"/>
        <v>14.125</v>
      </c>
      <c r="U15" s="21">
        <f t="shared" si="8"/>
        <v>18.375</v>
      </c>
      <c r="V15" s="22">
        <f t="shared" si="8"/>
        <v>87.275000000000006</v>
      </c>
      <c r="W15" s="23"/>
      <c r="Y15" s="42">
        <f>Y14/40</f>
        <v>0</v>
      </c>
      <c r="Z15" s="43">
        <f>Z14/40</f>
        <v>2.1818750000000002</v>
      </c>
      <c r="AA15" s="44">
        <f>AA14/40</f>
        <v>-2.1818750000000002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W16" sqref="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0</v>
      </c>
      <c r="F8" s="11">
        <v>0</v>
      </c>
      <c r="G8" s="11">
        <v>40</v>
      </c>
      <c r="H8" s="11">
        <v>40</v>
      </c>
      <c r="I8" s="11">
        <v>80</v>
      </c>
      <c r="J8" s="15">
        <f>SUM(C8:I8)/40</f>
        <v>9</v>
      </c>
      <c r="K8" s="12">
        <v>9</v>
      </c>
      <c r="L8" s="13"/>
      <c r="M8" s="14"/>
      <c r="N8" s="7" t="s">
        <v>13</v>
      </c>
      <c r="O8" s="11">
        <v>160</v>
      </c>
      <c r="P8" s="11">
        <v>40</v>
      </c>
      <c r="Q8" s="11">
        <v>0</v>
      </c>
      <c r="R8" s="11">
        <v>0</v>
      </c>
      <c r="S8" s="11">
        <v>40</v>
      </c>
      <c r="T8" s="11">
        <v>40</v>
      </c>
      <c r="U8" s="11">
        <v>80</v>
      </c>
      <c r="V8" s="15">
        <f>SUM(O8:U8)/40</f>
        <v>9</v>
      </c>
      <c r="W8" s="12">
        <v>9</v>
      </c>
      <c r="Y8" s="39">
        <f>J8</f>
        <v>9</v>
      </c>
      <c r="Z8" s="40">
        <f>V8</f>
        <v>9</v>
      </c>
      <c r="AA8" s="41">
        <f>Y8-Z8</f>
        <v>0</v>
      </c>
    </row>
    <row r="9" spans="1:27" x14ac:dyDescent="0.35">
      <c r="A9" s="14"/>
      <c r="B9" s="7" t="s">
        <v>45</v>
      </c>
      <c r="C9" s="11">
        <v>12</v>
      </c>
      <c r="D9" s="11">
        <v>42</v>
      </c>
      <c r="E9" s="11">
        <v>42</v>
      </c>
      <c r="F9" s="11">
        <v>40</v>
      </c>
      <c r="G9" s="11">
        <v>131</v>
      </c>
      <c r="H9" s="11">
        <v>99</v>
      </c>
      <c r="I9" s="11">
        <v>160</v>
      </c>
      <c r="J9" s="15">
        <f t="shared" ref="J9:J12" si="0">SUM(C9:I9)/40</f>
        <v>13.15</v>
      </c>
      <c r="K9" s="12">
        <v>15</v>
      </c>
      <c r="L9" s="13"/>
      <c r="M9" s="14"/>
      <c r="N9" s="7" t="s">
        <v>45</v>
      </c>
      <c r="O9" s="11">
        <v>12</v>
      </c>
      <c r="P9" s="11">
        <v>42</v>
      </c>
      <c r="Q9" s="11">
        <v>42</v>
      </c>
      <c r="R9" s="11">
        <v>40</v>
      </c>
      <c r="S9" s="11">
        <v>131</v>
      </c>
      <c r="T9" s="11">
        <v>99</v>
      </c>
      <c r="U9" s="11">
        <v>160</v>
      </c>
      <c r="V9" s="15">
        <f t="shared" ref="V9:V13" si="1">SUM(O9:U9)/40</f>
        <v>13.15</v>
      </c>
      <c r="W9" s="12">
        <v>15</v>
      </c>
      <c r="Y9" s="39">
        <f t="shared" ref="Y9:Y13" si="2">J9</f>
        <v>13.15</v>
      </c>
      <c r="Z9" s="40">
        <f t="shared" ref="Z9:Z13" si="3">V9</f>
        <v>13.15</v>
      </c>
      <c r="AA9" s="41">
        <f t="shared" ref="AA9:AA13" si="4">Y9-Z9</f>
        <v>0</v>
      </c>
    </row>
    <row r="10" spans="1:27" x14ac:dyDescent="0.35">
      <c r="A10" s="14"/>
      <c r="B10" s="7" t="s">
        <v>46</v>
      </c>
      <c r="C10" s="11">
        <v>104</v>
      </c>
      <c r="D10" s="11">
        <v>0</v>
      </c>
      <c r="E10" s="11">
        <v>0</v>
      </c>
      <c r="F10" s="11">
        <v>40</v>
      </c>
      <c r="G10" s="11">
        <v>73</v>
      </c>
      <c r="H10" s="11">
        <v>18</v>
      </c>
      <c r="I10" s="11">
        <v>25</v>
      </c>
      <c r="J10" s="15">
        <f t="shared" si="0"/>
        <v>6.5</v>
      </c>
      <c r="K10" s="12">
        <v>9</v>
      </c>
      <c r="L10" s="13"/>
      <c r="M10" s="14"/>
      <c r="N10" s="7" t="s">
        <v>46</v>
      </c>
      <c r="O10" s="11">
        <v>92</v>
      </c>
      <c r="P10" s="11">
        <v>0</v>
      </c>
      <c r="Q10" s="11">
        <v>0</v>
      </c>
      <c r="R10" s="11">
        <v>40</v>
      </c>
      <c r="S10" s="11">
        <v>73</v>
      </c>
      <c r="T10" s="11">
        <v>18</v>
      </c>
      <c r="U10" s="11">
        <v>25</v>
      </c>
      <c r="V10" s="15">
        <f t="shared" si="1"/>
        <v>6.2</v>
      </c>
      <c r="W10" s="12">
        <v>8</v>
      </c>
      <c r="Y10" s="39">
        <f t="shared" si="2"/>
        <v>6.5</v>
      </c>
      <c r="Z10" s="40">
        <f t="shared" si="3"/>
        <v>6.2</v>
      </c>
      <c r="AA10" s="41">
        <f t="shared" si="4"/>
        <v>0.29999999999999982</v>
      </c>
    </row>
    <row r="11" spans="1:27" x14ac:dyDescent="0.35">
      <c r="A11" s="16"/>
      <c r="B11" s="17" t="s">
        <v>24</v>
      </c>
      <c r="C11" s="11">
        <v>3</v>
      </c>
      <c r="D11" s="11">
        <v>6</v>
      </c>
      <c r="E11" s="11">
        <v>18</v>
      </c>
      <c r="F11" s="11">
        <v>0</v>
      </c>
      <c r="G11" s="11">
        <v>22</v>
      </c>
      <c r="H11" s="11">
        <v>10</v>
      </c>
      <c r="I11" s="11">
        <v>0</v>
      </c>
      <c r="J11" s="15">
        <f t="shared" si="0"/>
        <v>1.4750000000000001</v>
      </c>
      <c r="K11" s="12">
        <v>4</v>
      </c>
      <c r="L11" s="13"/>
      <c r="M11" s="16"/>
      <c r="N11" s="17" t="s">
        <v>24</v>
      </c>
      <c r="O11" s="11">
        <v>53</v>
      </c>
      <c r="P11" s="11">
        <v>22</v>
      </c>
      <c r="Q11" s="11">
        <v>21</v>
      </c>
      <c r="R11" s="11">
        <v>19</v>
      </c>
      <c r="S11" s="11">
        <v>15</v>
      </c>
      <c r="T11" s="11">
        <v>15</v>
      </c>
      <c r="U11" s="11">
        <v>15</v>
      </c>
      <c r="V11" s="15">
        <f t="shared" si="1"/>
        <v>4</v>
      </c>
      <c r="W11" s="12">
        <v>7</v>
      </c>
      <c r="Y11" s="39">
        <f t="shared" si="2"/>
        <v>1.4750000000000001</v>
      </c>
      <c r="Z11" s="40">
        <f t="shared" si="3"/>
        <v>4</v>
      </c>
      <c r="AA11" s="41">
        <f t="shared" si="4"/>
        <v>-2.5249999999999999</v>
      </c>
    </row>
    <row r="12" spans="1:27" x14ac:dyDescent="0.35">
      <c r="A12" s="16"/>
      <c r="B12" s="17" t="s">
        <v>39</v>
      </c>
      <c r="C12" s="11">
        <v>53</v>
      </c>
      <c r="D12" s="11">
        <v>22</v>
      </c>
      <c r="E12" s="11">
        <v>21</v>
      </c>
      <c r="F12" s="11">
        <v>19</v>
      </c>
      <c r="G12" s="11">
        <v>15</v>
      </c>
      <c r="H12" s="11">
        <v>15</v>
      </c>
      <c r="I12" s="11">
        <v>15</v>
      </c>
      <c r="J12" s="15">
        <f t="shared" si="0"/>
        <v>4</v>
      </c>
      <c r="K12" s="12">
        <v>7</v>
      </c>
      <c r="L12" s="13"/>
      <c r="M12" s="16"/>
      <c r="N12" s="17" t="s">
        <v>39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>
        <v>4</v>
      </c>
      <c r="Y12" s="39">
        <f t="shared" si="2"/>
        <v>4</v>
      </c>
      <c r="Z12" s="40">
        <f t="shared" si="3"/>
        <v>1.325</v>
      </c>
      <c r="AA12" s="41">
        <f t="shared" si="4"/>
        <v>2.6749999999999998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f>41+160</f>
        <v>201</v>
      </c>
      <c r="P13" s="11">
        <v>200</v>
      </c>
      <c r="Q13" s="11">
        <v>121</v>
      </c>
      <c r="R13" s="11">
        <v>440</v>
      </c>
      <c r="S13" s="11">
        <v>181</v>
      </c>
      <c r="T13" s="11">
        <v>140</v>
      </c>
      <c r="U13" s="11">
        <v>560</v>
      </c>
      <c r="V13" s="15">
        <f t="shared" si="1"/>
        <v>46.075000000000003</v>
      </c>
      <c r="W13" s="18">
        <v>6</v>
      </c>
      <c r="Y13" s="39">
        <f t="shared" si="2"/>
        <v>0</v>
      </c>
      <c r="Z13" s="40">
        <f t="shared" si="3"/>
        <v>46.075000000000003</v>
      </c>
      <c r="AA13" s="41">
        <f t="shared" si="4"/>
        <v>-46.075000000000003</v>
      </c>
    </row>
    <row r="14" spans="1:27" x14ac:dyDescent="0.35">
      <c r="A14" s="1"/>
      <c r="B14" s="7"/>
      <c r="C14" s="25">
        <f t="shared" ref="C14:I14" si="5">SUM(C8:C13)</f>
        <v>332</v>
      </c>
      <c r="D14" s="25">
        <f t="shared" si="5"/>
        <v>110</v>
      </c>
      <c r="E14" s="25">
        <f t="shared" si="5"/>
        <v>81</v>
      </c>
      <c r="F14" s="25">
        <f t="shared" si="5"/>
        <v>99</v>
      </c>
      <c r="G14" s="25">
        <f t="shared" si="5"/>
        <v>281</v>
      </c>
      <c r="H14" s="25">
        <f t="shared" si="5"/>
        <v>182</v>
      </c>
      <c r="I14" s="25">
        <f t="shared" si="5"/>
        <v>280</v>
      </c>
      <c r="J14" s="28">
        <f>SUM(C14:I14)</f>
        <v>1365</v>
      </c>
      <c r="K14" s="31"/>
      <c r="M14" s="1"/>
      <c r="N14" s="7"/>
      <c r="O14" s="25">
        <f t="shared" ref="O14:U14" si="6">SUM(O8:O13)</f>
        <v>521</v>
      </c>
      <c r="P14" s="25">
        <f t="shared" si="6"/>
        <v>310</v>
      </c>
      <c r="Q14" s="25">
        <f t="shared" si="6"/>
        <v>196</v>
      </c>
      <c r="R14" s="25">
        <f t="shared" si="6"/>
        <v>539</v>
      </c>
      <c r="S14" s="25">
        <f t="shared" si="6"/>
        <v>462</v>
      </c>
      <c r="T14" s="25">
        <f t="shared" si="6"/>
        <v>322</v>
      </c>
      <c r="U14" s="25">
        <f t="shared" si="6"/>
        <v>840</v>
      </c>
      <c r="V14" s="28">
        <f>SUM(O14:U14)</f>
        <v>3190</v>
      </c>
      <c r="W14" s="31"/>
      <c r="Y14" s="36">
        <f>SUM(Y8:Y13)</f>
        <v>34.125</v>
      </c>
      <c r="Z14" s="37">
        <f>SUM(Z8:Z13)</f>
        <v>79.75</v>
      </c>
      <c r="AA14" s="38">
        <f>SUM(AA8:AA13)</f>
        <v>-45.625</v>
      </c>
    </row>
    <row r="15" spans="1:27" ht="15" thickBot="1" x14ac:dyDescent="0.4">
      <c r="A15" s="1"/>
      <c r="B15" s="20" t="s">
        <v>19</v>
      </c>
      <c r="C15" s="21">
        <f t="shared" ref="C15:J15" si="7">C14/40</f>
        <v>8.3000000000000007</v>
      </c>
      <c r="D15" s="21">
        <f t="shared" si="7"/>
        <v>2.75</v>
      </c>
      <c r="E15" s="21">
        <f t="shared" si="7"/>
        <v>2.0249999999999999</v>
      </c>
      <c r="F15" s="21">
        <f t="shared" si="7"/>
        <v>2.4750000000000001</v>
      </c>
      <c r="G15" s="21">
        <f t="shared" si="7"/>
        <v>7.0250000000000004</v>
      </c>
      <c r="H15" s="21">
        <f t="shared" si="7"/>
        <v>4.55</v>
      </c>
      <c r="I15" s="21">
        <f t="shared" si="7"/>
        <v>7</v>
      </c>
      <c r="J15" s="22">
        <f t="shared" si="7"/>
        <v>34.125</v>
      </c>
      <c r="K15" s="23"/>
      <c r="M15" s="1"/>
      <c r="N15" s="20" t="s">
        <v>19</v>
      </c>
      <c r="O15" s="21">
        <f t="shared" ref="O15:V15" si="8">O14/40</f>
        <v>13.025</v>
      </c>
      <c r="P15" s="21">
        <f t="shared" si="8"/>
        <v>7.75</v>
      </c>
      <c r="Q15" s="21">
        <f t="shared" si="8"/>
        <v>4.9000000000000004</v>
      </c>
      <c r="R15" s="21">
        <f t="shared" si="8"/>
        <v>13.475</v>
      </c>
      <c r="S15" s="21">
        <f t="shared" si="8"/>
        <v>11.55</v>
      </c>
      <c r="T15" s="21">
        <f t="shared" si="8"/>
        <v>8.0500000000000007</v>
      </c>
      <c r="U15" s="21">
        <f t="shared" si="8"/>
        <v>21</v>
      </c>
      <c r="V15" s="22">
        <f t="shared" si="8"/>
        <v>79.75</v>
      </c>
      <c r="W15" s="23"/>
      <c r="Y15" s="42">
        <f>Y14/40</f>
        <v>0.85312500000000002</v>
      </c>
      <c r="Z15" s="43">
        <f>Z14/40</f>
        <v>1.9937499999999999</v>
      </c>
      <c r="AA15" s="44">
        <f>AA14/40</f>
        <v>-1.140625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8"/>
  <sheetViews>
    <sheetView workbookViewId="0">
      <selection activeCell="S19" sqref="S1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220</v>
      </c>
      <c r="D8" s="11">
        <v>20</v>
      </c>
      <c r="E8" s="11">
        <v>20</v>
      </c>
      <c r="F8" s="11">
        <v>40</v>
      </c>
      <c r="G8" s="11">
        <v>55</v>
      </c>
      <c r="H8" s="11">
        <v>10</v>
      </c>
      <c r="I8" s="11">
        <v>15</v>
      </c>
      <c r="J8" s="15">
        <f>SUM(C8:I8)/40</f>
        <v>9.5</v>
      </c>
      <c r="K8" s="12">
        <v>10</v>
      </c>
      <c r="L8" s="13"/>
      <c r="M8" s="14"/>
      <c r="N8" s="7" t="s">
        <v>44</v>
      </c>
      <c r="O8" s="11">
        <v>100</v>
      </c>
      <c r="P8" s="11">
        <v>20</v>
      </c>
      <c r="Q8" s="11">
        <v>20</v>
      </c>
      <c r="R8" s="11">
        <v>40</v>
      </c>
      <c r="S8" s="11">
        <v>55</v>
      </c>
      <c r="T8" s="11">
        <v>10</v>
      </c>
      <c r="U8" s="11">
        <v>15</v>
      </c>
      <c r="V8" s="15">
        <f>SUM(O8:U8)/40</f>
        <v>6.5</v>
      </c>
      <c r="W8" s="12">
        <v>10</v>
      </c>
      <c r="Y8" s="39">
        <f>J8</f>
        <v>9.5</v>
      </c>
      <c r="Z8" s="40">
        <f>V8</f>
        <v>6.5</v>
      </c>
      <c r="AA8" s="41">
        <f>Y8-Z8</f>
        <v>3</v>
      </c>
    </row>
    <row r="9" spans="1:27" x14ac:dyDescent="0.35">
      <c r="A9" s="14"/>
      <c r="B9" s="7" t="s">
        <v>45</v>
      </c>
      <c r="C9" s="11">
        <v>60</v>
      </c>
      <c r="D9" s="11">
        <v>15</v>
      </c>
      <c r="E9" s="11">
        <v>45</v>
      </c>
      <c r="F9" s="11">
        <v>80</v>
      </c>
      <c r="G9" s="11">
        <v>55</v>
      </c>
      <c r="H9" s="11">
        <v>55</v>
      </c>
      <c r="I9" s="11">
        <v>98</v>
      </c>
      <c r="J9" s="15">
        <f t="shared" ref="J9:J12" si="0">SUM(C9:I9)/40</f>
        <v>10.199999999999999</v>
      </c>
      <c r="K9" s="12">
        <v>5</v>
      </c>
      <c r="L9" s="13"/>
      <c r="M9" s="14"/>
      <c r="N9" s="7" t="s">
        <v>45</v>
      </c>
      <c r="O9" s="11">
        <v>40</v>
      </c>
      <c r="P9" s="11">
        <v>0</v>
      </c>
      <c r="Q9" s="11">
        <v>40</v>
      </c>
      <c r="R9" s="11">
        <v>40</v>
      </c>
      <c r="S9" s="11">
        <v>15</v>
      </c>
      <c r="T9" s="11">
        <v>15</v>
      </c>
      <c r="U9" s="11">
        <v>58</v>
      </c>
      <c r="V9" s="15">
        <f t="shared" ref="V9:V13" si="1">SUM(O9:U9)/40</f>
        <v>5.2</v>
      </c>
      <c r="W9" s="12">
        <v>3</v>
      </c>
      <c r="Y9" s="39">
        <f t="shared" ref="Y9:Y16" si="2">J9</f>
        <v>10.199999999999999</v>
      </c>
      <c r="Z9" s="40">
        <f t="shared" ref="Z9:Z16" si="3">V9</f>
        <v>5.2</v>
      </c>
      <c r="AA9" s="41">
        <f t="shared" ref="AA9:AA16" si="4">Y9-Z9</f>
        <v>4.9999999999999991</v>
      </c>
    </row>
    <row r="10" spans="1:27" x14ac:dyDescent="0.35">
      <c r="A10" s="14"/>
      <c r="B10" s="7" t="s">
        <v>46</v>
      </c>
      <c r="C10" s="11">
        <v>172</v>
      </c>
      <c r="D10" s="11">
        <v>12</v>
      </c>
      <c r="E10" s="11">
        <v>12</v>
      </c>
      <c r="F10" s="11">
        <v>16</v>
      </c>
      <c r="G10" s="11">
        <v>66</v>
      </c>
      <c r="H10" s="11">
        <v>63</v>
      </c>
      <c r="I10" s="11">
        <v>33</v>
      </c>
      <c r="J10" s="15">
        <f t="shared" si="0"/>
        <v>9.35</v>
      </c>
      <c r="K10" s="12">
        <v>8</v>
      </c>
      <c r="L10" s="13"/>
      <c r="M10" s="14"/>
      <c r="N10" s="7" t="s">
        <v>46</v>
      </c>
      <c r="O10" s="11">
        <v>160</v>
      </c>
      <c r="P10" s="11">
        <v>0</v>
      </c>
      <c r="Q10" s="11">
        <v>0</v>
      </c>
      <c r="R10" s="11">
        <v>0</v>
      </c>
      <c r="S10" s="11">
        <v>65</v>
      </c>
      <c r="T10" s="11">
        <v>63</v>
      </c>
      <c r="U10" s="11">
        <v>33</v>
      </c>
      <c r="V10" s="15">
        <f t="shared" si="1"/>
        <v>8.0250000000000004</v>
      </c>
      <c r="W10" s="12">
        <v>6</v>
      </c>
      <c r="Y10" s="39">
        <f t="shared" si="2"/>
        <v>9.35</v>
      </c>
      <c r="Z10" s="40">
        <f t="shared" si="3"/>
        <v>8.0250000000000004</v>
      </c>
      <c r="AA10" s="41">
        <f t="shared" si="4"/>
        <v>1.3249999999999993</v>
      </c>
    </row>
    <row r="11" spans="1:27" x14ac:dyDescent="0.35">
      <c r="A11" s="16"/>
      <c r="B11" s="17" t="s">
        <v>24</v>
      </c>
      <c r="C11" s="11">
        <v>70</v>
      </c>
      <c r="D11" s="11">
        <v>19</v>
      </c>
      <c r="E11" s="11">
        <v>10</v>
      </c>
      <c r="F11" s="11">
        <v>25</v>
      </c>
      <c r="G11" s="11">
        <v>21</v>
      </c>
      <c r="H11" s="11">
        <v>10</v>
      </c>
      <c r="I11" s="11">
        <v>21</v>
      </c>
      <c r="J11" s="15">
        <f t="shared" si="0"/>
        <v>4.4000000000000004</v>
      </c>
      <c r="K11" s="12">
        <v>6</v>
      </c>
      <c r="L11" s="13"/>
      <c r="M11" s="16"/>
      <c r="N11" s="17" t="s">
        <v>24</v>
      </c>
      <c r="O11" s="11">
        <v>58</v>
      </c>
      <c r="P11" s="11">
        <v>19</v>
      </c>
      <c r="Q11" s="11">
        <v>10</v>
      </c>
      <c r="R11" s="11">
        <v>25</v>
      </c>
      <c r="S11" s="11">
        <v>21</v>
      </c>
      <c r="T11" s="11">
        <v>10</v>
      </c>
      <c r="U11" s="11">
        <v>21</v>
      </c>
      <c r="V11" s="15">
        <f t="shared" si="1"/>
        <v>4.0999999999999996</v>
      </c>
      <c r="W11" s="12">
        <v>5</v>
      </c>
      <c r="Y11" s="39">
        <f t="shared" si="2"/>
        <v>4.4000000000000004</v>
      </c>
      <c r="Z11" s="40">
        <f t="shared" si="3"/>
        <v>4.0999999999999996</v>
      </c>
      <c r="AA11" s="41">
        <f t="shared" si="4"/>
        <v>0.30000000000000071</v>
      </c>
    </row>
    <row r="12" spans="1:27" x14ac:dyDescent="0.35">
      <c r="A12" s="16"/>
      <c r="B12" s="17" t="s">
        <v>39</v>
      </c>
      <c r="C12" s="11">
        <v>132</v>
      </c>
      <c r="D12" s="11">
        <v>12</v>
      </c>
      <c r="E12" s="11">
        <v>54</v>
      </c>
      <c r="F12" s="11">
        <v>0</v>
      </c>
      <c r="G12" s="11">
        <v>18</v>
      </c>
      <c r="H12" s="11">
        <v>24</v>
      </c>
      <c r="I12" s="11">
        <v>12</v>
      </c>
      <c r="J12" s="15">
        <f t="shared" si="0"/>
        <v>6.3</v>
      </c>
      <c r="K12" s="12">
        <v>7</v>
      </c>
      <c r="L12" s="13"/>
      <c r="M12" s="16"/>
      <c r="N12" s="17" t="s">
        <v>39</v>
      </c>
      <c r="O12" s="11">
        <v>140</v>
      </c>
      <c r="P12" s="11">
        <v>12</v>
      </c>
      <c r="Q12" s="11">
        <v>48</v>
      </c>
      <c r="R12" s="11">
        <v>0</v>
      </c>
      <c r="S12" s="11">
        <v>27</v>
      </c>
      <c r="T12" s="11">
        <v>27</v>
      </c>
      <c r="U12" s="11">
        <v>22</v>
      </c>
      <c r="V12" s="15">
        <f t="shared" si="1"/>
        <v>6.9</v>
      </c>
      <c r="W12" s="12">
        <v>5</v>
      </c>
      <c r="Y12" s="39">
        <f t="shared" si="2"/>
        <v>6.3</v>
      </c>
      <c r="Z12" s="40">
        <f t="shared" si="3"/>
        <v>6.9</v>
      </c>
      <c r="AA12" s="41">
        <f t="shared" si="4"/>
        <v>-0.60000000000000053</v>
      </c>
    </row>
    <row r="13" spans="1:27" x14ac:dyDescent="0.35">
      <c r="A13" s="16"/>
      <c r="B13" s="17" t="s">
        <v>48</v>
      </c>
      <c r="C13" s="11"/>
      <c r="D13" s="11"/>
      <c r="E13" s="11"/>
      <c r="F13" s="11"/>
      <c r="G13" s="11"/>
      <c r="H13" s="11"/>
      <c r="I13" s="11"/>
      <c r="J13" s="15">
        <v>9</v>
      </c>
      <c r="K13" s="12">
        <v>8</v>
      </c>
      <c r="L13" s="13"/>
      <c r="M13" s="16"/>
      <c r="N13" s="17" t="s">
        <v>17</v>
      </c>
      <c r="O13" s="11">
        <v>280</v>
      </c>
      <c r="P13" s="11">
        <v>720</v>
      </c>
      <c r="Q13" s="11">
        <v>1080</v>
      </c>
      <c r="R13" s="11">
        <v>1279</v>
      </c>
      <c r="S13" s="11">
        <v>1200</v>
      </c>
      <c r="T13" s="11">
        <v>1357</v>
      </c>
      <c r="U13" s="11">
        <v>2680</v>
      </c>
      <c r="V13" s="15">
        <f t="shared" si="1"/>
        <v>214.9</v>
      </c>
      <c r="W13" s="12">
        <v>7</v>
      </c>
      <c r="Y13" s="39"/>
      <c r="Z13" s="40">
        <f t="shared" si="3"/>
        <v>214.9</v>
      </c>
      <c r="AA13" s="41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2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13</v>
      </c>
      <c r="K15" s="12">
        <v>20</v>
      </c>
      <c r="L15" s="13"/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2"/>
      <c r="Y15" s="39"/>
      <c r="Z15" s="40"/>
      <c r="AA15" s="41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/>
      <c r="K16" s="18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/>
      <c r="W16" s="18"/>
      <c r="Y16" s="39">
        <f t="shared" si="2"/>
        <v>0</v>
      </c>
      <c r="Z16" s="40">
        <f t="shared" si="3"/>
        <v>0</v>
      </c>
      <c r="AA16" s="41">
        <f t="shared" si="4"/>
        <v>0</v>
      </c>
    </row>
    <row r="17" spans="1:27" x14ac:dyDescent="0.35">
      <c r="A17" s="1"/>
      <c r="B17" s="7"/>
      <c r="C17" s="25">
        <f t="shared" ref="C17:I17" si="5">SUM(C8:C16)</f>
        <v>654</v>
      </c>
      <c r="D17" s="25">
        <f t="shared" si="5"/>
        <v>78</v>
      </c>
      <c r="E17" s="25">
        <f t="shared" si="5"/>
        <v>141</v>
      </c>
      <c r="F17" s="25">
        <f t="shared" si="5"/>
        <v>161</v>
      </c>
      <c r="G17" s="25">
        <f t="shared" si="5"/>
        <v>215</v>
      </c>
      <c r="H17" s="25">
        <f t="shared" si="5"/>
        <v>162</v>
      </c>
      <c r="I17" s="25">
        <f t="shared" si="5"/>
        <v>179</v>
      </c>
      <c r="J17" s="28">
        <f>SUM(C17:I17)</f>
        <v>1590</v>
      </c>
      <c r="K17" s="31"/>
      <c r="M17" s="1"/>
      <c r="N17" s="7"/>
      <c r="O17" s="25">
        <f t="shared" ref="O17:U17" si="6">SUM(O8:O16)</f>
        <v>778</v>
      </c>
      <c r="P17" s="25">
        <f t="shared" si="6"/>
        <v>771</v>
      </c>
      <c r="Q17" s="25">
        <f t="shared" si="6"/>
        <v>1198</v>
      </c>
      <c r="R17" s="25">
        <f t="shared" si="6"/>
        <v>1384</v>
      </c>
      <c r="S17" s="25">
        <f t="shared" si="6"/>
        <v>1383</v>
      </c>
      <c r="T17" s="25">
        <f t="shared" si="6"/>
        <v>1482</v>
      </c>
      <c r="U17" s="25">
        <f t="shared" si="6"/>
        <v>2829</v>
      </c>
      <c r="V17" s="28">
        <f>SUM(O17:U17)</f>
        <v>9825</v>
      </c>
      <c r="W17" s="31"/>
      <c r="Y17" s="36">
        <f>SUM(Y8:Y16)</f>
        <v>39.749999999999993</v>
      </c>
      <c r="Z17" s="37">
        <f>SUM(Z8:Z16)</f>
        <v>245.625</v>
      </c>
      <c r="AA17" s="38">
        <f>SUM(AA8:AA16)</f>
        <v>9.0249999999999986</v>
      </c>
    </row>
    <row r="18" spans="1:27" ht="15" thickBot="1" x14ac:dyDescent="0.4">
      <c r="A18" s="1"/>
      <c r="B18" s="20" t="s">
        <v>19</v>
      </c>
      <c r="C18" s="21">
        <f t="shared" ref="C18:J18" si="7">C17/40</f>
        <v>16.350000000000001</v>
      </c>
      <c r="D18" s="21">
        <f t="shared" si="7"/>
        <v>1.95</v>
      </c>
      <c r="E18" s="21">
        <f t="shared" si="7"/>
        <v>3.5249999999999999</v>
      </c>
      <c r="F18" s="21">
        <f t="shared" si="7"/>
        <v>4.0250000000000004</v>
      </c>
      <c r="G18" s="21">
        <f t="shared" si="7"/>
        <v>5.375</v>
      </c>
      <c r="H18" s="21">
        <f t="shared" si="7"/>
        <v>4.05</v>
      </c>
      <c r="I18" s="21">
        <f t="shared" si="7"/>
        <v>4.4749999999999996</v>
      </c>
      <c r="J18" s="22">
        <f t="shared" si="7"/>
        <v>39.75</v>
      </c>
      <c r="K18" s="23"/>
      <c r="M18" s="1"/>
      <c r="N18" s="20" t="s">
        <v>19</v>
      </c>
      <c r="O18" s="21">
        <f t="shared" ref="O18:V18" si="8">O17/40</f>
        <v>19.45</v>
      </c>
      <c r="P18" s="21">
        <f t="shared" si="8"/>
        <v>19.274999999999999</v>
      </c>
      <c r="Q18" s="21">
        <f t="shared" si="8"/>
        <v>29.95</v>
      </c>
      <c r="R18" s="21">
        <f t="shared" si="8"/>
        <v>34.6</v>
      </c>
      <c r="S18" s="21">
        <f t="shared" si="8"/>
        <v>34.575000000000003</v>
      </c>
      <c r="T18" s="21">
        <f t="shared" si="8"/>
        <v>37.049999999999997</v>
      </c>
      <c r="U18" s="21">
        <f t="shared" si="8"/>
        <v>70.724999999999994</v>
      </c>
      <c r="V18" s="22">
        <f t="shared" si="8"/>
        <v>245.625</v>
      </c>
      <c r="W18" s="23"/>
      <c r="Y18" s="42">
        <f>Y17/40</f>
        <v>0.9937499999999998</v>
      </c>
      <c r="Z18" s="43">
        <f>Z17/40</f>
        <v>6.140625</v>
      </c>
      <c r="AA18" s="44">
        <f>AA17/40</f>
        <v>0.22562499999999996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8"/>
  <sheetViews>
    <sheetView workbookViewId="0">
      <selection activeCell="B8" sqref="B8:B16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50</v>
      </c>
      <c r="F8" s="11">
        <v>0</v>
      </c>
      <c r="G8" s="11">
        <v>193</v>
      </c>
      <c r="H8" s="11">
        <v>78</v>
      </c>
      <c r="I8" s="11">
        <v>253</v>
      </c>
      <c r="J8" s="15">
        <f>SUM(C8:I8)/40</f>
        <v>17.850000000000001</v>
      </c>
      <c r="K8" s="12">
        <v>20</v>
      </c>
      <c r="L8" s="13"/>
      <c r="M8" s="14"/>
      <c r="N8" s="7" t="s">
        <v>44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17.850000000000001</v>
      </c>
      <c r="Z8" s="40">
        <f>V8</f>
        <v>0</v>
      </c>
      <c r="AA8" s="41">
        <f>Y8-Z8</f>
        <v>17.850000000000001</v>
      </c>
    </row>
    <row r="9" spans="1:27" x14ac:dyDescent="0.35">
      <c r="A9" s="14"/>
      <c r="B9" s="7" t="s">
        <v>45</v>
      </c>
      <c r="C9" s="11">
        <v>16</v>
      </c>
      <c r="D9" s="11">
        <v>0</v>
      </c>
      <c r="E9" s="11">
        <v>0</v>
      </c>
      <c r="F9" s="11">
        <v>40</v>
      </c>
      <c r="G9" s="11">
        <v>40</v>
      </c>
      <c r="H9" s="11">
        <v>40</v>
      </c>
      <c r="I9" s="11">
        <v>40</v>
      </c>
      <c r="J9" s="15">
        <f t="shared" ref="J9:J13" si="0">SUM(C9:I9)/40</f>
        <v>4.4000000000000004</v>
      </c>
      <c r="K9" s="12">
        <v>4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4.4000000000000004</v>
      </c>
      <c r="Z9" s="40">
        <f t="shared" ref="Z9:Z13" si="3">V9</f>
        <v>0</v>
      </c>
      <c r="AA9" s="41">
        <f t="shared" ref="AA9:AA13" si="4">Y9-Z9</f>
        <v>4.4000000000000004</v>
      </c>
    </row>
    <row r="10" spans="1:27" x14ac:dyDescent="0.35">
      <c r="A10" s="14"/>
      <c r="B10" s="7" t="s">
        <v>46</v>
      </c>
      <c r="C10" s="11">
        <v>252</v>
      </c>
      <c r="D10" s="11">
        <v>10</v>
      </c>
      <c r="E10" s="11">
        <v>10</v>
      </c>
      <c r="F10" s="11">
        <v>0</v>
      </c>
      <c r="G10" s="11">
        <v>112</v>
      </c>
      <c r="H10" s="11">
        <v>100</v>
      </c>
      <c r="I10" s="11">
        <v>60</v>
      </c>
      <c r="J10" s="15">
        <f t="shared" si="0"/>
        <v>13.6</v>
      </c>
      <c r="K10" s="12">
        <v>8</v>
      </c>
      <c r="L10" s="13"/>
      <c r="M10" s="14"/>
      <c r="N10" s="7" t="s">
        <v>46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13.6</v>
      </c>
      <c r="Z10" s="40">
        <f t="shared" si="3"/>
        <v>0</v>
      </c>
      <c r="AA10" s="41">
        <f t="shared" si="4"/>
        <v>13.6</v>
      </c>
    </row>
    <row r="11" spans="1:27" x14ac:dyDescent="0.35">
      <c r="A11" s="16"/>
      <c r="B11" s="17" t="s">
        <v>24</v>
      </c>
      <c r="C11" s="11">
        <v>12</v>
      </c>
      <c r="D11" s="11">
        <v>27</v>
      </c>
      <c r="E11" s="11">
        <v>10</v>
      </c>
      <c r="F11" s="11">
        <v>27</v>
      </c>
      <c r="G11" s="11">
        <v>12</v>
      </c>
      <c r="H11" s="11">
        <v>0</v>
      </c>
      <c r="I11" s="11">
        <v>12</v>
      </c>
      <c r="J11" s="15">
        <f t="shared" si="0"/>
        <v>2.5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2.5</v>
      </c>
      <c r="Z11" s="40">
        <f t="shared" si="3"/>
        <v>0</v>
      </c>
      <c r="AA11" s="41">
        <f t="shared" si="4"/>
        <v>2.5</v>
      </c>
    </row>
    <row r="12" spans="1:27" x14ac:dyDescent="0.35">
      <c r="A12" s="16"/>
      <c r="B12" s="17" t="s">
        <v>39</v>
      </c>
      <c r="C12" s="11">
        <v>104</v>
      </c>
      <c r="D12" s="11">
        <v>0</v>
      </c>
      <c r="E12" s="11">
        <v>20</v>
      </c>
      <c r="F12" s="11">
        <v>12</v>
      </c>
      <c r="G12" s="11">
        <v>10</v>
      </c>
      <c r="H12" s="11">
        <v>0</v>
      </c>
      <c r="I12" s="11">
        <v>18</v>
      </c>
      <c r="J12" s="15">
        <f t="shared" si="0"/>
        <v>4.0999999999999996</v>
      </c>
      <c r="K12" s="12">
        <v>8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4.0999999999999996</v>
      </c>
      <c r="Z12" s="40">
        <f t="shared" si="3"/>
        <v>0</v>
      </c>
      <c r="AA12" s="41">
        <f t="shared" si="4"/>
        <v>4.0999999999999996</v>
      </c>
    </row>
    <row r="13" spans="1:27" x14ac:dyDescent="0.35">
      <c r="A13" s="16"/>
      <c r="B13" s="17" t="s">
        <v>17</v>
      </c>
      <c r="C13" s="11"/>
      <c r="D13" s="11">
        <v>120</v>
      </c>
      <c r="E13" s="11">
        <v>160</v>
      </c>
      <c r="F13" s="11">
        <v>760</v>
      </c>
      <c r="G13" s="11">
        <v>260</v>
      </c>
      <c r="H13" s="11">
        <v>100</v>
      </c>
      <c r="I13" s="11">
        <v>320</v>
      </c>
      <c r="J13" s="15">
        <f t="shared" si="0"/>
        <v>43</v>
      </c>
      <c r="K13" s="18">
        <v>2</v>
      </c>
      <c r="M13" s="16"/>
      <c r="N13" s="17" t="s">
        <v>17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43</v>
      </c>
      <c r="Z13" s="40">
        <f t="shared" si="3"/>
        <v>0</v>
      </c>
      <c r="AA13" s="41">
        <f t="shared" si="4"/>
        <v>43</v>
      </c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13</v>
      </c>
      <c r="K14" s="18">
        <v>10</v>
      </c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8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17</v>
      </c>
      <c r="K15" s="18">
        <v>13</v>
      </c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8"/>
      <c r="Y15" s="39"/>
      <c r="Z15" s="40"/>
      <c r="AA15" s="41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8">
        <v>8</v>
      </c>
      <c r="M16" s="16"/>
      <c r="N16" s="17"/>
      <c r="O16" s="11"/>
      <c r="P16" s="11"/>
      <c r="Q16" s="11"/>
      <c r="R16" s="11"/>
      <c r="S16" s="11"/>
      <c r="T16" s="11"/>
      <c r="U16" s="11"/>
      <c r="V16" s="15"/>
      <c r="W16" s="18"/>
      <c r="Y16" s="39"/>
      <c r="Z16" s="40"/>
      <c r="AA16" s="41"/>
    </row>
    <row r="17" spans="1:27" x14ac:dyDescent="0.35">
      <c r="A17" s="1"/>
      <c r="B17" s="7"/>
      <c r="C17" s="25">
        <f t="shared" ref="C17:I17" si="5">SUM(C8:C13)</f>
        <v>464</v>
      </c>
      <c r="D17" s="25">
        <f t="shared" si="5"/>
        <v>217</v>
      </c>
      <c r="E17" s="25">
        <f t="shared" si="5"/>
        <v>250</v>
      </c>
      <c r="F17" s="25">
        <f t="shared" si="5"/>
        <v>839</v>
      </c>
      <c r="G17" s="25">
        <f t="shared" si="5"/>
        <v>627</v>
      </c>
      <c r="H17" s="25">
        <f t="shared" si="5"/>
        <v>318</v>
      </c>
      <c r="I17" s="25">
        <f t="shared" si="5"/>
        <v>703</v>
      </c>
      <c r="J17" s="28">
        <f>SUM(C17:I17)</f>
        <v>3418</v>
      </c>
      <c r="K17" s="31"/>
      <c r="M17" s="1"/>
      <c r="N17" s="7"/>
      <c r="O17" s="25">
        <f t="shared" ref="O17:U17" si="6">SUM(O8:O13)</f>
        <v>0</v>
      </c>
      <c r="P17" s="25">
        <f t="shared" si="6"/>
        <v>0</v>
      </c>
      <c r="Q17" s="25">
        <f t="shared" si="6"/>
        <v>0</v>
      </c>
      <c r="R17" s="25">
        <f t="shared" si="6"/>
        <v>0</v>
      </c>
      <c r="S17" s="25">
        <f t="shared" si="6"/>
        <v>0</v>
      </c>
      <c r="T17" s="25">
        <f t="shared" si="6"/>
        <v>0</v>
      </c>
      <c r="U17" s="25">
        <f t="shared" si="6"/>
        <v>0</v>
      </c>
      <c r="V17" s="28">
        <f>SUM(O17:U17)</f>
        <v>0</v>
      </c>
      <c r="W17" s="31"/>
      <c r="Y17" s="36">
        <f>SUM(Y8:Y13)</f>
        <v>85.45</v>
      </c>
      <c r="Z17" s="37">
        <f>SUM(Z8:Z13)</f>
        <v>0</v>
      </c>
      <c r="AA17" s="38">
        <f>SUM(AA8:AA13)</f>
        <v>85.45</v>
      </c>
    </row>
    <row r="18" spans="1:27" ht="15" thickBot="1" x14ac:dyDescent="0.4">
      <c r="A18" s="1"/>
      <c r="B18" s="20" t="s">
        <v>19</v>
      </c>
      <c r="C18" s="21">
        <f t="shared" ref="C18:I18" si="7">C17/40</f>
        <v>11.6</v>
      </c>
      <c r="D18" s="21">
        <f t="shared" si="7"/>
        <v>5.4249999999999998</v>
      </c>
      <c r="E18" s="21">
        <f t="shared" si="7"/>
        <v>6.25</v>
      </c>
      <c r="F18" s="21">
        <f t="shared" si="7"/>
        <v>20.975000000000001</v>
      </c>
      <c r="G18" s="21">
        <f t="shared" si="7"/>
        <v>15.675000000000001</v>
      </c>
      <c r="H18" s="21">
        <f t="shared" si="7"/>
        <v>7.95</v>
      </c>
      <c r="I18" s="21">
        <f t="shared" si="7"/>
        <v>17.574999999999999</v>
      </c>
      <c r="J18" s="22">
        <f>SUM(J8:J16)</f>
        <v>122.45</v>
      </c>
      <c r="K18" s="23"/>
      <c r="M18" s="1"/>
      <c r="N18" s="20" t="s">
        <v>19</v>
      </c>
      <c r="O18" s="21">
        <f t="shared" ref="O18:V18" si="8">O17/40</f>
        <v>0</v>
      </c>
      <c r="P18" s="21">
        <f t="shared" si="8"/>
        <v>0</v>
      </c>
      <c r="Q18" s="21">
        <f t="shared" si="8"/>
        <v>0</v>
      </c>
      <c r="R18" s="21">
        <f t="shared" si="8"/>
        <v>0</v>
      </c>
      <c r="S18" s="21">
        <f t="shared" si="8"/>
        <v>0</v>
      </c>
      <c r="T18" s="21">
        <f t="shared" si="8"/>
        <v>0</v>
      </c>
      <c r="U18" s="21">
        <f t="shared" si="8"/>
        <v>0</v>
      </c>
      <c r="V18" s="22">
        <f t="shared" si="8"/>
        <v>0</v>
      </c>
      <c r="W18" s="23"/>
      <c r="Y18" s="42">
        <f>Y17/40</f>
        <v>2.13625</v>
      </c>
      <c r="Z18" s="43">
        <f>Z17/40</f>
        <v>0</v>
      </c>
      <c r="AA18" s="44">
        <f>AA17/40</f>
        <v>2.13625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8"/>
  <sheetViews>
    <sheetView tabSelected="1" workbookViewId="0">
      <selection activeCell="J1" sqref="J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60</v>
      </c>
      <c r="F8" s="11">
        <v>80</v>
      </c>
      <c r="G8" s="11">
        <v>55</v>
      </c>
      <c r="H8" s="11">
        <v>130</v>
      </c>
      <c r="I8" s="11">
        <v>135</v>
      </c>
      <c r="J8" s="15">
        <f>SUM(C8:I8)/40</f>
        <v>15</v>
      </c>
      <c r="K8" s="12">
        <v>18</v>
      </c>
      <c r="L8" s="13"/>
      <c r="M8" s="14"/>
      <c r="N8" s="7" t="s">
        <v>44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15</v>
      </c>
      <c r="Z8" s="40">
        <f>V8</f>
        <v>0</v>
      </c>
      <c r="AA8" s="41">
        <f>Y8-Z8</f>
        <v>15</v>
      </c>
    </row>
    <row r="9" spans="1:27" x14ac:dyDescent="0.35">
      <c r="A9" s="14"/>
      <c r="B9" s="7" t="s">
        <v>45</v>
      </c>
      <c r="C9" s="11">
        <v>40</v>
      </c>
      <c r="D9" s="11">
        <v>0</v>
      </c>
      <c r="E9" s="11">
        <v>40</v>
      </c>
      <c r="F9" s="11">
        <v>0</v>
      </c>
      <c r="G9" s="11">
        <v>100</v>
      </c>
      <c r="H9" s="11">
        <v>124</v>
      </c>
      <c r="I9" s="11">
        <v>256</v>
      </c>
      <c r="J9" s="15">
        <f t="shared" ref="J9:J16" si="0">SUM(C9:I9)/40</f>
        <v>14</v>
      </c>
      <c r="K9" s="12">
        <v>17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9">
        <f t="shared" ref="Y9:Y16" si="2">J9</f>
        <v>14</v>
      </c>
      <c r="Z9" s="40">
        <f t="shared" ref="Z9:Z16" si="3">V9</f>
        <v>0</v>
      </c>
      <c r="AA9" s="41">
        <f t="shared" ref="AA9:AA16" si="4">Y9-Z9</f>
        <v>14</v>
      </c>
    </row>
    <row r="10" spans="1:27" x14ac:dyDescent="0.35">
      <c r="A10" s="14"/>
      <c r="B10" s="7" t="s">
        <v>46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80</v>
      </c>
      <c r="D11" s="11">
        <v>0</v>
      </c>
      <c r="E11" s="11">
        <v>0</v>
      </c>
      <c r="F11" s="11">
        <v>0</v>
      </c>
      <c r="G11" s="11">
        <v>36</v>
      </c>
      <c r="H11" s="11">
        <v>52</v>
      </c>
      <c r="I11" s="11">
        <v>34</v>
      </c>
      <c r="J11" s="15">
        <f t="shared" si="0"/>
        <v>5.05</v>
      </c>
      <c r="K11" s="12">
        <v>5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5.05</v>
      </c>
      <c r="Z11" s="40">
        <f t="shared" si="3"/>
        <v>0</v>
      </c>
      <c r="AA11" s="41">
        <f t="shared" si="4"/>
        <v>5.05</v>
      </c>
    </row>
    <row r="12" spans="1:27" x14ac:dyDescent="0.35">
      <c r="A12" s="16"/>
      <c r="B12" s="17" t="s">
        <v>39</v>
      </c>
      <c r="C12" s="11">
        <v>164</v>
      </c>
      <c r="D12" s="11">
        <v>0</v>
      </c>
      <c r="E12" s="11">
        <v>92</v>
      </c>
      <c r="F12" s="11">
        <v>0</v>
      </c>
      <c r="G12" s="11">
        <v>40</v>
      </c>
      <c r="H12" s="11">
        <v>120</v>
      </c>
      <c r="I12" s="11">
        <v>80</v>
      </c>
      <c r="J12" s="15">
        <f t="shared" si="0"/>
        <v>12.4</v>
      </c>
      <c r="K12" s="12">
        <v>4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12.4</v>
      </c>
      <c r="Z12" s="40">
        <f t="shared" si="3"/>
        <v>0</v>
      </c>
      <c r="AA12" s="41">
        <f t="shared" si="4"/>
        <v>12.4</v>
      </c>
    </row>
    <row r="13" spans="1:27" x14ac:dyDescent="0.35">
      <c r="A13" s="16"/>
      <c r="B13" s="17" t="s">
        <v>17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17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9"/>
      <c r="Z13" s="40"/>
      <c r="AA13" s="41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18</v>
      </c>
      <c r="L14" s="13"/>
      <c r="M14" s="16"/>
      <c r="N14" s="17" t="s">
        <v>49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30</v>
      </c>
      <c r="K15" s="12">
        <v>15</v>
      </c>
      <c r="L15" s="13"/>
      <c r="M15" s="16"/>
      <c r="N15" s="17" t="s">
        <v>50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9"/>
      <c r="Z15" s="40"/>
      <c r="AA15" s="41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8">
        <v>8</v>
      </c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8"/>
      <c r="Y16" s="39">
        <f t="shared" si="2"/>
        <v>6</v>
      </c>
      <c r="Z16" s="40">
        <f t="shared" si="3"/>
        <v>0</v>
      </c>
      <c r="AA16" s="41">
        <f t="shared" si="4"/>
        <v>6</v>
      </c>
    </row>
    <row r="17" spans="1:27" x14ac:dyDescent="0.35">
      <c r="A17" s="1"/>
      <c r="B17" s="7"/>
      <c r="C17" s="25">
        <f t="shared" ref="C17:I17" si="5">SUM(C8:C16)</f>
        <v>364</v>
      </c>
      <c r="D17" s="25">
        <f t="shared" si="5"/>
        <v>60</v>
      </c>
      <c r="E17" s="25">
        <f t="shared" si="5"/>
        <v>192</v>
      </c>
      <c r="F17" s="25">
        <f t="shared" si="5"/>
        <v>80</v>
      </c>
      <c r="G17" s="25">
        <f t="shared" si="5"/>
        <v>231</v>
      </c>
      <c r="H17" s="25">
        <f t="shared" si="5"/>
        <v>426</v>
      </c>
      <c r="I17" s="25">
        <f t="shared" si="5"/>
        <v>505</v>
      </c>
      <c r="J17" s="28">
        <f>SUM(C17:I17)</f>
        <v>1858</v>
      </c>
      <c r="K17" s="31"/>
      <c r="M17" s="1"/>
      <c r="N17" s="7"/>
      <c r="O17" s="25">
        <f t="shared" ref="O17:U17" si="6">SUM(O8:O16)</f>
        <v>0</v>
      </c>
      <c r="P17" s="25">
        <f t="shared" si="6"/>
        <v>0</v>
      </c>
      <c r="Q17" s="25">
        <f t="shared" si="6"/>
        <v>0</v>
      </c>
      <c r="R17" s="25">
        <f t="shared" si="6"/>
        <v>0</v>
      </c>
      <c r="S17" s="25">
        <f t="shared" si="6"/>
        <v>0</v>
      </c>
      <c r="T17" s="25">
        <f t="shared" si="6"/>
        <v>0</v>
      </c>
      <c r="U17" s="25">
        <f t="shared" si="6"/>
        <v>0</v>
      </c>
      <c r="V17" s="28">
        <f>SUM(O17:U17)</f>
        <v>0</v>
      </c>
      <c r="W17" s="31"/>
      <c r="Y17" s="36">
        <f>SUM(Y8:Y16)</f>
        <v>52.449999999999996</v>
      </c>
      <c r="Z17" s="37">
        <f>SUM(Z8:Z16)</f>
        <v>0</v>
      </c>
      <c r="AA17" s="38">
        <f>SUM(AA8:AA16)</f>
        <v>52.449999999999996</v>
      </c>
    </row>
    <row r="18" spans="1:27" ht="15" thickBot="1" x14ac:dyDescent="0.4">
      <c r="A18" s="1"/>
      <c r="B18" s="20" t="s">
        <v>19</v>
      </c>
      <c r="C18" s="21">
        <f t="shared" ref="C18:J18" si="7">C17/40</f>
        <v>9.1</v>
      </c>
      <c r="D18" s="21">
        <f t="shared" si="7"/>
        <v>1.5</v>
      </c>
      <c r="E18" s="21">
        <f t="shared" si="7"/>
        <v>4.8</v>
      </c>
      <c r="F18" s="21">
        <f t="shared" si="7"/>
        <v>2</v>
      </c>
      <c r="G18" s="21">
        <f t="shared" si="7"/>
        <v>5.7750000000000004</v>
      </c>
      <c r="H18" s="21">
        <f t="shared" si="7"/>
        <v>10.65</v>
      </c>
      <c r="I18" s="21">
        <f t="shared" si="7"/>
        <v>12.625</v>
      </c>
      <c r="J18" s="22">
        <f t="shared" si="7"/>
        <v>46.45</v>
      </c>
      <c r="K18" s="23"/>
      <c r="M18" s="1" t="s">
        <v>51</v>
      </c>
      <c r="N18" s="20" t="s">
        <v>19</v>
      </c>
      <c r="O18" s="21">
        <f t="shared" ref="O18:V18" si="8">O17/40</f>
        <v>0</v>
      </c>
      <c r="P18" s="21">
        <f t="shared" si="8"/>
        <v>0</v>
      </c>
      <c r="Q18" s="21">
        <f t="shared" si="8"/>
        <v>0</v>
      </c>
      <c r="R18" s="21">
        <f t="shared" si="8"/>
        <v>0</v>
      </c>
      <c r="S18" s="21">
        <f t="shared" si="8"/>
        <v>0</v>
      </c>
      <c r="T18" s="21">
        <f t="shared" si="8"/>
        <v>0</v>
      </c>
      <c r="U18" s="21">
        <f t="shared" si="8"/>
        <v>0</v>
      </c>
      <c r="V18" s="22">
        <f t="shared" si="8"/>
        <v>0</v>
      </c>
      <c r="W18" s="23"/>
      <c r="Y18" s="42">
        <f>Y17/40</f>
        <v>1.3112499999999998</v>
      </c>
      <c r="Z18" s="43">
        <f>Z17/40</f>
        <v>0</v>
      </c>
      <c r="AA18" s="44">
        <f>AA17/40</f>
        <v>1.3112499999999998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2" t="s">
        <v>21</v>
      </c>
      <c r="Z3" s="82"/>
      <c r="AA3" s="82"/>
    </row>
    <row r="4" spans="2:27" ht="14.5" customHeight="1" thickBot="1" x14ac:dyDescent="0.4">
      <c r="Y4" s="82"/>
      <c r="Z4" s="82"/>
      <c r="AA4" s="82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2026-08-28T13:00:52Z</dcterms:modified>
</cp:coreProperties>
</file>