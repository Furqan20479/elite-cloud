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173D99A-F1A7-4932-9432-26E019E01B9E}" xr6:coauthVersionLast="47" xr6:coauthVersionMax="47" xr10:uidLastSave="{00000000-0000-0000-0000-000000000000}"/>
  <bookViews>
    <workbookView xWindow="-110" yWindow="-110" windowWidth="19420" windowHeight="10420" activeTab="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2" i="1" l="1"/>
  <c r="AA13" i="1"/>
  <c r="AA15" i="3"/>
  <c r="AA15" i="4"/>
  <c r="AA15" i="6"/>
  <c r="AA15" i="7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3"/>
  <c r="Z15" i="4"/>
  <c r="Z15" i="6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3"/>
  <c r="Y15" i="4"/>
  <c r="Y15" i="6"/>
  <c r="Y15" i="7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3"/>
  <c r="AA14" i="4"/>
  <c r="AA14" i="6"/>
  <c r="AA14" i="7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3"/>
  <c r="Z14" i="4"/>
  <c r="Z14" i="6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3"/>
  <c r="Y14" i="4"/>
  <c r="Y14" i="6"/>
  <c r="Y14" i="7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9" i="3"/>
  <c r="AA10" i="3"/>
  <c r="AA11" i="3"/>
  <c r="AA12" i="3"/>
  <c r="AA13" i="3"/>
  <c r="AA9" i="4"/>
  <c r="AA10" i="4"/>
  <c r="AA11" i="4"/>
  <c r="AA12" i="4"/>
  <c r="AA13" i="4"/>
  <c r="AA9" i="5"/>
  <c r="AA11" i="5"/>
  <c r="AA12" i="5"/>
  <c r="AA13" i="5"/>
  <c r="AA9" i="6"/>
  <c r="AA10" i="6"/>
  <c r="AA11" i="6"/>
  <c r="AA12" i="6"/>
  <c r="AA13" i="6"/>
  <c r="AA9" i="7"/>
  <c r="AA10" i="7"/>
  <c r="AA11" i="7"/>
  <c r="AA12" i="7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3"/>
  <c r="AA8" i="4"/>
  <c r="AA8" i="5"/>
  <c r="AA8" i="6"/>
  <c r="AA8" i="7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9" i="3"/>
  <c r="Z10" i="3"/>
  <c r="Z11" i="3"/>
  <c r="Z12" i="3"/>
  <c r="Z13" i="3"/>
  <c r="Z9" i="4"/>
  <c r="Z10" i="4"/>
  <c r="Z11" i="4"/>
  <c r="Z12" i="4"/>
  <c r="Z13" i="4"/>
  <c r="Z9" i="5"/>
  <c r="Z11" i="5"/>
  <c r="Z12" i="5"/>
  <c r="Z13" i="5"/>
  <c r="Z9" i="6"/>
  <c r="Z10" i="6"/>
  <c r="Z11" i="6"/>
  <c r="Z12" i="6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3"/>
  <c r="Z8" i="4"/>
  <c r="Z8" i="5"/>
  <c r="Z8" i="6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9" i="3"/>
  <c r="Y10" i="3"/>
  <c r="Y11" i="3"/>
  <c r="Y12" i="3"/>
  <c r="Y13" i="3"/>
  <c r="Y9" i="4"/>
  <c r="Y10" i="4"/>
  <c r="Y11" i="4"/>
  <c r="Y12" i="4"/>
  <c r="Y13" i="4"/>
  <c r="Y9" i="5"/>
  <c r="Y11" i="5"/>
  <c r="Y12" i="5"/>
  <c r="Y13" i="5"/>
  <c r="Y9" i="6"/>
  <c r="Y10" i="6"/>
  <c r="Y11" i="6"/>
  <c r="Y12" i="6"/>
  <c r="Y13" i="6"/>
  <c r="Y9" i="7"/>
  <c r="Y10" i="7"/>
  <c r="Y11" i="7"/>
  <c r="Y12" i="7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4"/>
  <c r="Y8" i="5"/>
  <c r="Y8" i="6"/>
  <c r="Y8" i="7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O15" i="3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4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6"/>
  <c r="I15" i="9"/>
  <c r="I15" i="10"/>
  <c r="I15" i="14"/>
  <c r="I15" i="17"/>
  <c r="I15" i="18"/>
  <c r="I15" i="22"/>
  <c r="I15" i="25"/>
  <c r="I15" i="26"/>
  <c r="I15" i="30"/>
  <c r="I15" i="1"/>
  <c r="H15" i="3"/>
  <c r="H15" i="7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4"/>
  <c r="G15" i="6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5"/>
  <c r="F15" i="7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6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3"/>
  <c r="D15" i="7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3"/>
  <c r="C15" i="4"/>
  <c r="C15" i="6"/>
  <c r="C15" i="7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4" i="4"/>
  <c r="H15" i="4" s="1"/>
  <c r="H14" i="5"/>
  <c r="H15" i="5" s="1"/>
  <c r="H14" i="6"/>
  <c r="H15" i="6" s="1"/>
  <c r="H14" i="7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4" i="5"/>
  <c r="G15" i="5" s="1"/>
  <c r="G14" i="6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4" i="6"/>
  <c r="F14" i="7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4" i="4"/>
  <c r="D15" i="4" s="1"/>
  <c r="D14" i="5"/>
  <c r="D15" i="5" s="1"/>
  <c r="D14" i="6"/>
  <c r="D15" i="6" s="1"/>
  <c r="D14" i="7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4" i="4"/>
  <c r="C14" i="5"/>
  <c r="C15" i="5" s="1"/>
  <c r="C14" i="6"/>
  <c r="C14" i="7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V10" i="3"/>
  <c r="V11" i="3"/>
  <c r="V12" i="3"/>
  <c r="V9" i="4"/>
  <c r="V10" i="4"/>
  <c r="V11" i="4"/>
  <c r="V12" i="4"/>
  <c r="V9" i="5"/>
  <c r="V10" i="5"/>
  <c r="Z10" i="5" s="1"/>
  <c r="V11" i="5"/>
  <c r="V12" i="5"/>
  <c r="V9" i="6"/>
  <c r="V10" i="6"/>
  <c r="V11" i="6"/>
  <c r="V12" i="6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V8" i="4"/>
  <c r="V8" i="5"/>
  <c r="V8" i="6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J10" i="3"/>
  <c r="J11" i="3"/>
  <c r="J12" i="3"/>
  <c r="J9" i="4"/>
  <c r="J10" i="4"/>
  <c r="J11" i="4"/>
  <c r="J12" i="4"/>
  <c r="J9" i="5"/>
  <c r="J10" i="5"/>
  <c r="Y10" i="5" s="1"/>
  <c r="Y14" i="5" s="1"/>
  <c r="Y15" i="5" s="1"/>
  <c r="J11" i="5"/>
  <c r="J12" i="5"/>
  <c r="J9" i="6"/>
  <c r="J10" i="6"/>
  <c r="J11" i="6"/>
  <c r="J12" i="6"/>
  <c r="J9" i="7"/>
  <c r="J10" i="7"/>
  <c r="J11" i="7"/>
  <c r="J12" i="7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J8" i="5"/>
  <c r="J8" i="6"/>
  <c r="J8" i="7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Y14" i="2" l="1"/>
  <c r="Y15" i="2" s="1"/>
  <c r="AA11" i="2"/>
  <c r="AA14" i="2" s="1"/>
  <c r="AA15" i="2" s="1"/>
  <c r="AA10" i="5"/>
  <c r="AA14" i="5" s="1"/>
  <c r="AA15" i="5" s="1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</calcChain>
</file>

<file path=xl/sharedStrings.xml><?xml version="1.0" encoding="utf-8"?>
<sst xmlns="http://schemas.openxmlformats.org/spreadsheetml/2006/main" count="1326" uniqueCount="24">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</sst>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M19" sqref="M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46" t="s">
        <v>21</v>
      </c>
      <c r="Z3" s="46"/>
      <c r="AA3" s="46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46"/>
      <c r="Z4" s="46"/>
      <c r="AA4" s="46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9.9</v>
      </c>
      <c r="Z8" s="40">
        <f>V8</f>
        <v>0</v>
      </c>
      <c r="AA8" s="41">
        <f>Y8-Z8</f>
        <v>9.9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15.8</v>
      </c>
      <c r="Z10" s="40">
        <f t="shared" si="3"/>
        <v>0</v>
      </c>
      <c r="AA10" s="41">
        <f t="shared" si="4"/>
        <v>15.8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132</v>
      </c>
      <c r="P14" s="24">
        <f t="shared" si="6"/>
        <v>35</v>
      </c>
      <c r="Q14" s="24">
        <f t="shared" si="6"/>
        <v>20</v>
      </c>
      <c r="R14" s="24">
        <f t="shared" si="6"/>
        <v>0</v>
      </c>
      <c r="S14" s="24">
        <f t="shared" si="6"/>
        <v>64</v>
      </c>
      <c r="T14" s="24">
        <f t="shared" si="6"/>
        <v>53</v>
      </c>
      <c r="U14" s="24">
        <f t="shared" si="6"/>
        <v>55</v>
      </c>
      <c r="V14" s="19">
        <f>SUM(O14:U14)</f>
        <v>359</v>
      </c>
      <c r="W14" s="29"/>
      <c r="Y14" s="34">
        <f>SUM(Y8:Y13)</f>
        <v>35.75</v>
      </c>
      <c r="Z14" s="35">
        <f>SUM(Z8:Z13)</f>
        <v>8.9749999999999996</v>
      </c>
      <c r="AA14" s="45">
        <f>SUM(AA8:AA13)</f>
        <v>26.775000000000002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3.3</v>
      </c>
      <c r="P15" s="21">
        <f t="shared" si="8"/>
        <v>0.875</v>
      </c>
      <c r="Q15" s="21">
        <f t="shared" si="8"/>
        <v>0.5</v>
      </c>
      <c r="R15" s="21">
        <f t="shared" si="8"/>
        <v>0</v>
      </c>
      <c r="S15" s="21">
        <f t="shared" si="8"/>
        <v>1.6</v>
      </c>
      <c r="T15" s="21">
        <f t="shared" si="8"/>
        <v>1.325</v>
      </c>
      <c r="U15" s="21">
        <f t="shared" si="8"/>
        <v>1.375</v>
      </c>
      <c r="V15" s="22">
        <f t="shared" si="8"/>
        <v>8.9749999999999996</v>
      </c>
      <c r="W15" s="23"/>
      <c r="Y15" s="42">
        <f>Y14/40</f>
        <v>0.89375000000000004</v>
      </c>
      <c r="Z15" s="43">
        <f>Z14/40</f>
        <v>0.22437499999999999</v>
      </c>
      <c r="AA15" s="44">
        <f>AA14/40</f>
        <v>0.66937500000000005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tabSelected="1" workbookViewId="0">
      <selection activeCell="K10" sqref="K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13.475</v>
      </c>
      <c r="Z9" s="40">
        <f t="shared" ref="Z9:Z13" si="3">V9</f>
        <v>0</v>
      </c>
      <c r="AA9" s="41">
        <f t="shared" ref="AA9:AA13" si="4">Y9-Z9</f>
        <v>13.475</v>
      </c>
    </row>
    <row r="10" spans="1:27" x14ac:dyDescent="0.35">
      <c r="A10" s="14"/>
      <c r="B10" s="7" t="s">
        <v>16</v>
      </c>
      <c r="C10" s="11">
        <v>150</v>
      </c>
      <c r="D10" s="11">
        <v>70</v>
      </c>
      <c r="E10" s="11">
        <v>90</v>
      </c>
      <c r="F10" s="11"/>
      <c r="G10" s="11">
        <v>120</v>
      </c>
      <c r="H10" s="11">
        <v>150</v>
      </c>
      <c r="I10" s="11">
        <v>100</v>
      </c>
      <c r="J10" s="15">
        <f t="shared" si="0"/>
        <v>17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17</v>
      </c>
      <c r="Z10" s="40">
        <f t="shared" si="3"/>
        <v>0</v>
      </c>
      <c r="AA10" s="41">
        <f t="shared" si="4"/>
        <v>17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30.475000000000001</v>
      </c>
      <c r="Z14" s="37">
        <f>SUM(Z8:Z13)</f>
        <v>0</v>
      </c>
      <c r="AA14" s="38">
        <f>SUM(AA8:AA13)</f>
        <v>30.475000000000001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0.76187500000000008</v>
      </c>
      <c r="Z15" s="43">
        <f>Z14/40</f>
        <v>0</v>
      </c>
      <c r="AA15" s="44">
        <f>AA14/40</f>
        <v>0.76187500000000008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7" t="s">
        <v>0</v>
      </c>
      <c r="C2" s="47"/>
      <c r="D2" s="47"/>
      <c r="E2" s="47"/>
      <c r="F2" s="47"/>
      <c r="G2" s="47"/>
      <c r="H2" s="47"/>
      <c r="I2" s="47"/>
      <c r="J2" s="47"/>
      <c r="M2" s="1"/>
      <c r="N2" s="47" t="s">
        <v>1</v>
      </c>
      <c r="O2" s="47"/>
      <c r="P2" s="47"/>
      <c r="Q2" s="47"/>
      <c r="R2" s="47"/>
      <c r="S2" s="47"/>
      <c r="T2" s="47"/>
      <c r="U2" s="47"/>
      <c r="V2" s="47"/>
    </row>
    <row r="3" spans="1:27" ht="14.5" customHeight="1" x14ac:dyDescent="0.35">
      <c r="A3" s="1"/>
      <c r="B3" s="47"/>
      <c r="C3" s="47"/>
      <c r="D3" s="47"/>
      <c r="E3" s="47"/>
      <c r="F3" s="47"/>
      <c r="G3" s="47"/>
      <c r="H3" s="47"/>
      <c r="I3" s="47"/>
      <c r="J3" s="47"/>
      <c r="M3" s="1"/>
      <c r="N3" s="47"/>
      <c r="O3" s="47"/>
      <c r="P3" s="47"/>
      <c r="Q3" s="47"/>
      <c r="R3" s="47"/>
      <c r="S3" s="47"/>
      <c r="T3" s="47"/>
      <c r="U3" s="47"/>
      <c r="V3" s="47"/>
      <c r="Y3" s="50" t="s">
        <v>21</v>
      </c>
      <c r="Z3" s="50"/>
      <c r="AA3" s="50"/>
    </row>
    <row r="4" spans="1:27" ht="14.5" customHeight="1" thickBot="1" x14ac:dyDescent="0.4">
      <c r="A4" s="1"/>
      <c r="B4" s="47"/>
      <c r="C4" s="47"/>
      <c r="D4" s="47"/>
      <c r="E4" s="47"/>
      <c r="F4" s="47"/>
      <c r="G4" s="47"/>
      <c r="H4" s="47"/>
      <c r="I4" s="47"/>
      <c r="J4" s="47"/>
      <c r="M4" s="1"/>
      <c r="N4" s="47"/>
      <c r="O4" s="47"/>
      <c r="P4" s="47"/>
      <c r="Q4" s="47"/>
      <c r="R4" s="47"/>
      <c r="S4" s="47"/>
      <c r="T4" s="47"/>
      <c r="U4" s="47"/>
      <c r="V4" s="47"/>
      <c r="Y4" s="50"/>
      <c r="Z4" s="50"/>
      <c r="AA4" s="50"/>
    </row>
    <row r="5" spans="1:27" ht="15" thickBot="1" x14ac:dyDescent="0.4">
      <c r="A5" s="1"/>
      <c r="B5" s="48"/>
      <c r="C5" s="48"/>
      <c r="D5" s="48"/>
      <c r="E5" s="48"/>
      <c r="F5" s="48"/>
      <c r="G5" s="48"/>
      <c r="H5" s="48"/>
      <c r="I5" s="48"/>
      <c r="J5" s="48"/>
      <c r="M5" s="1"/>
      <c r="N5" s="48"/>
      <c r="O5" s="48"/>
      <c r="P5" s="48"/>
      <c r="Q5" s="48"/>
      <c r="R5" s="48"/>
      <c r="S5" s="48"/>
      <c r="T5" s="48"/>
      <c r="U5" s="48"/>
      <c r="V5" s="4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49" t="s">
        <v>3</v>
      </c>
      <c r="E6" s="49"/>
      <c r="F6" s="49"/>
      <c r="G6" s="49" t="s">
        <v>4</v>
      </c>
      <c r="H6" s="49"/>
      <c r="I6" s="49"/>
      <c r="J6" s="4"/>
      <c r="K6" s="5"/>
      <c r="M6" s="1"/>
      <c r="N6" s="2"/>
      <c r="O6" s="3" t="s">
        <v>2</v>
      </c>
      <c r="P6" s="49" t="s">
        <v>3</v>
      </c>
      <c r="Q6" s="49"/>
      <c r="R6" s="49"/>
      <c r="S6" s="49" t="s">
        <v>4</v>
      </c>
      <c r="T6" s="49"/>
      <c r="U6" s="4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50" t="s">
        <v>21</v>
      </c>
      <c r="Z3" s="50"/>
      <c r="AA3" s="50"/>
    </row>
    <row r="4" spans="2:27" ht="14.5" customHeight="1" thickBot="1" x14ac:dyDescent="0.4">
      <c r="Y4" s="50"/>
      <c r="Z4" s="50"/>
      <c r="AA4" s="5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2026-08-01T11:57:30Z</dcterms:modified>
</cp:coreProperties>
</file>