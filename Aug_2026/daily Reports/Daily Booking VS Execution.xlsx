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00BDF89D-7505-485F-B0BE-C7DADC3AEC30}" xr6:coauthVersionLast="47" xr6:coauthVersionMax="47" xr10:uidLastSave="{00000000-0000-0000-0000-000000000000}"/>
  <bookViews>
    <workbookView xWindow="-110" yWindow="-110" windowWidth="19420" windowHeight="10420" activeTab="5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2" i="5" l="1"/>
  <c r="T12" i="5"/>
  <c r="R12" i="5"/>
  <c r="J9" i="4" l="1"/>
  <c r="AA12" i="1" l="1"/>
  <c r="AA13" i="1"/>
  <c r="AA15" i="7"/>
  <c r="AA15" i="8"/>
  <c r="AA15" i="9"/>
  <c r="AA15" i="10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6"/>
  <c r="Z15" i="7"/>
  <c r="Z15" i="8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7"/>
  <c r="Y15" i="8"/>
  <c r="Y15" i="9"/>
  <c r="Y15" i="10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7"/>
  <c r="AA14" i="8"/>
  <c r="AA14" i="9"/>
  <c r="AA14" i="10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6"/>
  <c r="Z14" i="7"/>
  <c r="Z14" i="8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7"/>
  <c r="Y14" i="8"/>
  <c r="Y14" i="9"/>
  <c r="Y14" i="10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6"/>
  <c r="AA9" i="7"/>
  <c r="AA10" i="7"/>
  <c r="AA11" i="7"/>
  <c r="AA12" i="7"/>
  <c r="AA13" i="7"/>
  <c r="AA9" i="8"/>
  <c r="AA10" i="8"/>
  <c r="AA11" i="8"/>
  <c r="AA12" i="8"/>
  <c r="AA13" i="8"/>
  <c r="AA9" i="9"/>
  <c r="AA10" i="9"/>
  <c r="AA11" i="9"/>
  <c r="AA12" i="9"/>
  <c r="AA13" i="9"/>
  <c r="AA9" i="10"/>
  <c r="AA10" i="10"/>
  <c r="AA11" i="10"/>
  <c r="AA12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7"/>
  <c r="AA8" i="8"/>
  <c r="AA8" i="9"/>
  <c r="AA8" i="10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9" i="6"/>
  <c r="Z10" i="6"/>
  <c r="Z11" i="6"/>
  <c r="Z12" i="6"/>
  <c r="Z13" i="6"/>
  <c r="Z9" i="7"/>
  <c r="Z10" i="7"/>
  <c r="Z11" i="7"/>
  <c r="Z12" i="7"/>
  <c r="Z13" i="7"/>
  <c r="Z9" i="8"/>
  <c r="Z10" i="8"/>
  <c r="Z11" i="8"/>
  <c r="Z12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5"/>
  <c r="Z8" i="6"/>
  <c r="Z8" i="7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9" i="7"/>
  <c r="Y10" i="7"/>
  <c r="Y11" i="7"/>
  <c r="Y12" i="7"/>
  <c r="Y13" i="7"/>
  <c r="Y9" i="8"/>
  <c r="Y10" i="8"/>
  <c r="Y11" i="8"/>
  <c r="Y12" i="8"/>
  <c r="Y13" i="8"/>
  <c r="Y9" i="9"/>
  <c r="Y10" i="9"/>
  <c r="Y11" i="9"/>
  <c r="Y12" i="9"/>
  <c r="Y13" i="9"/>
  <c r="Y9" i="10"/>
  <c r="Y10" i="10"/>
  <c r="Y11" i="10"/>
  <c r="Y12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7"/>
  <c r="Y8" i="8"/>
  <c r="Y8" i="9"/>
  <c r="Y8" i="10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0"/>
  <c r="I15" i="14"/>
  <c r="I15" i="17"/>
  <c r="I15" i="18"/>
  <c r="I15" i="22"/>
  <c r="I15" i="25"/>
  <c r="I15" i="26"/>
  <c r="I15" i="30"/>
  <c r="I15" i="1"/>
  <c r="H15" i="7"/>
  <c r="H15" i="10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8"/>
  <c r="G15" i="10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7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8"/>
  <c r="E15" i="10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7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7"/>
  <c r="C15" i="8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4" i="8"/>
  <c r="H15" i="8" s="1"/>
  <c r="H14" i="9"/>
  <c r="H15" i="9" s="1"/>
  <c r="H14" i="10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4" i="9"/>
  <c r="G15" i="9" s="1"/>
  <c r="G14" i="10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4" i="9"/>
  <c r="E15" i="9" s="1"/>
  <c r="E14" i="10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4" i="8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V10" i="6"/>
  <c r="V11" i="6"/>
  <c r="V12" i="6"/>
  <c r="V9" i="7"/>
  <c r="V10" i="7"/>
  <c r="V11" i="7"/>
  <c r="V12" i="7"/>
  <c r="V9" i="8"/>
  <c r="V10" i="8"/>
  <c r="V11" i="8"/>
  <c r="V12" i="8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V8" i="6"/>
  <c r="V8" i="7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AA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AA10" i="6" s="1"/>
  <c r="J11" i="6"/>
  <c r="Y11" i="6" s="1"/>
  <c r="AA11" i="6" s="1"/>
  <c r="J12" i="6"/>
  <c r="Y12" i="6" s="1"/>
  <c r="AA12" i="6" s="1"/>
  <c r="J9" i="7"/>
  <c r="J10" i="7"/>
  <c r="J11" i="7"/>
  <c r="J12" i="7"/>
  <c r="J9" i="8"/>
  <c r="J10" i="8"/>
  <c r="J11" i="8"/>
  <c r="J12" i="8"/>
  <c r="J9" i="9"/>
  <c r="J10" i="9"/>
  <c r="J11" i="9"/>
  <c r="J12" i="9"/>
  <c r="J9" i="10"/>
  <c r="J10" i="10"/>
  <c r="J11" i="10"/>
  <c r="J12" i="10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AA8" i="5" s="1"/>
  <c r="J8" i="6"/>
  <c r="Y8" i="6" s="1"/>
  <c r="AA8" i="6" s="1"/>
  <c r="J8" i="7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AA12" i="5" l="1"/>
  <c r="Y14" i="6"/>
  <c r="Y15" i="6" s="1"/>
  <c r="AA9" i="6"/>
  <c r="AA14" i="6" s="1"/>
  <c r="AA15" i="6" s="1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5" l="1"/>
  <c r="AA15" i="5" s="1"/>
  <c r="AA14" i="4"/>
  <c r="AA15" i="4" s="1"/>
</calcChain>
</file>

<file path=xl/sharedStrings.xml><?xml version="1.0" encoding="utf-8"?>
<sst xmlns="http://schemas.openxmlformats.org/spreadsheetml/2006/main" count="1326" uniqueCount="25">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</sst>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0" sqref="L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2" t="s">
        <v>21</v>
      </c>
      <c r="Z3" s="72"/>
      <c r="AA3" s="72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2"/>
      <c r="Z4" s="72"/>
      <c r="AA4" s="72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>
        <v>8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U14" sqref="U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U14" sqref="U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Q9" sqref="Q9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3" t="s">
        <v>0</v>
      </c>
      <c r="C2" s="73"/>
      <c r="D2" s="73"/>
      <c r="E2" s="73"/>
      <c r="F2" s="73"/>
      <c r="G2" s="73"/>
      <c r="H2" s="73"/>
      <c r="I2" s="73"/>
      <c r="J2" s="73"/>
      <c r="K2" s="47"/>
      <c r="L2" s="47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47"/>
      <c r="B3" s="73"/>
      <c r="C3" s="73"/>
      <c r="D3" s="73"/>
      <c r="E3" s="73"/>
      <c r="F3" s="73"/>
      <c r="G3" s="73"/>
      <c r="H3" s="73"/>
      <c r="I3" s="73"/>
      <c r="J3" s="73"/>
      <c r="K3" s="47"/>
      <c r="L3" s="47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47"/>
      <c r="B4" s="73"/>
      <c r="C4" s="73"/>
      <c r="D4" s="73"/>
      <c r="E4" s="73"/>
      <c r="F4" s="73"/>
      <c r="G4" s="73"/>
      <c r="H4" s="73"/>
      <c r="I4" s="73"/>
      <c r="J4" s="73"/>
      <c r="K4" s="47"/>
      <c r="L4" s="47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customHeight="1" thickBot="1" x14ac:dyDescent="0.4">
      <c r="A5" s="47"/>
      <c r="B5" s="74"/>
      <c r="C5" s="74"/>
      <c r="D5" s="74"/>
      <c r="E5" s="74"/>
      <c r="F5" s="74"/>
      <c r="G5" s="74"/>
      <c r="H5" s="74"/>
      <c r="I5" s="74"/>
      <c r="J5" s="74"/>
      <c r="K5" s="47"/>
      <c r="L5" s="47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77" t="s">
        <v>3</v>
      </c>
      <c r="E6" s="77"/>
      <c r="F6" s="77"/>
      <c r="G6" s="77" t="s">
        <v>4</v>
      </c>
      <c r="H6" s="77"/>
      <c r="I6" s="77"/>
      <c r="J6" s="50"/>
      <c r="K6" s="51"/>
      <c r="L6" s="47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32.5</v>
      </c>
      <c r="Z8" s="40">
        <f>V8</f>
        <v>0</v>
      </c>
      <c r="AA8" s="41">
        <f>Y8-Z8</f>
        <v>32.5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19.875</v>
      </c>
      <c r="Z9" s="40">
        <f t="shared" ref="Z9:Z13" si="3">V9</f>
        <v>0</v>
      </c>
      <c r="AA9" s="41">
        <f t="shared" ref="AA9:AA13" si="4">Y9-Z9</f>
        <v>19.875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15.55</v>
      </c>
      <c r="Z10" s="40">
        <f t="shared" si="3"/>
        <v>0</v>
      </c>
      <c r="AA10" s="41">
        <f t="shared" si="4"/>
        <v>15.55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0</v>
      </c>
      <c r="P14" s="25">
        <f t="shared" si="6"/>
        <v>120</v>
      </c>
      <c r="Q14" s="25">
        <f t="shared" si="6"/>
        <v>120</v>
      </c>
      <c r="R14" s="25">
        <f t="shared" si="6"/>
        <v>240</v>
      </c>
      <c r="S14" s="25">
        <f t="shared" si="6"/>
        <v>200</v>
      </c>
      <c r="T14" s="25">
        <f t="shared" si="6"/>
        <v>240</v>
      </c>
      <c r="U14" s="25">
        <f t="shared" si="6"/>
        <v>240</v>
      </c>
      <c r="V14" s="28">
        <f>SUM(O14:U14)</f>
        <v>1160</v>
      </c>
      <c r="W14" s="31"/>
      <c r="Y14" s="36">
        <f>SUM(Y8:Y13)</f>
        <v>89.424999999999997</v>
      </c>
      <c r="Z14" s="37">
        <f>SUM(Z8:Z13)</f>
        <v>29</v>
      </c>
      <c r="AA14" s="38">
        <f>SUM(AA8:AA13)</f>
        <v>60.424999999999997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0</v>
      </c>
      <c r="P15" s="21">
        <f t="shared" si="8"/>
        <v>3</v>
      </c>
      <c r="Q15" s="21">
        <f t="shared" si="8"/>
        <v>3</v>
      </c>
      <c r="R15" s="21">
        <f t="shared" si="8"/>
        <v>6</v>
      </c>
      <c r="S15" s="21">
        <f t="shared" si="8"/>
        <v>5</v>
      </c>
      <c r="T15" s="21">
        <f t="shared" si="8"/>
        <v>6</v>
      </c>
      <c r="U15" s="21">
        <f t="shared" si="8"/>
        <v>6</v>
      </c>
      <c r="V15" s="22">
        <f t="shared" si="8"/>
        <v>29</v>
      </c>
      <c r="W15" s="23"/>
      <c r="Y15" s="42">
        <f>Y14/40</f>
        <v>2.2356249999999998</v>
      </c>
      <c r="Z15" s="43">
        <f>Z14/40</f>
        <v>0.72499999999999998</v>
      </c>
      <c r="AA15" s="44">
        <f>AA14/40</f>
        <v>1.5106249999999999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tabSelected="1" workbookViewId="0">
      <selection activeCell="S17" sqref="S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15">
        <f>SUM(C8:I8)/40</f>
        <v>12.4</v>
      </c>
      <c r="K8" s="12">
        <v>16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12.4</v>
      </c>
      <c r="Z8" s="40">
        <f>V8</f>
        <v>0</v>
      </c>
      <c r="AA8" s="41">
        <f>Y8-Z8</f>
        <v>12.4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15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14.175000000000001</v>
      </c>
      <c r="Z9" s="40">
        <f t="shared" ref="Z9:Z13" si="3">V9</f>
        <v>0</v>
      </c>
      <c r="AA9" s="41">
        <f t="shared" ref="AA9:AA13" si="4">Y9-Z9</f>
        <v>14.175000000000001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15">
        <f t="shared" si="0"/>
        <v>8.4749999999999996</v>
      </c>
      <c r="K10" s="12">
        <v>7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8.4749999999999996</v>
      </c>
      <c r="Z10" s="40">
        <f t="shared" si="3"/>
        <v>0</v>
      </c>
      <c r="AA10" s="41">
        <f t="shared" si="4"/>
        <v>8.4749999999999996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15">
        <f t="shared" si="0"/>
        <v>3.55</v>
      </c>
      <c r="K11" s="12">
        <v>5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3.55</v>
      </c>
      <c r="Z11" s="40">
        <f t="shared" si="3"/>
        <v>0</v>
      </c>
      <c r="AA11" s="41">
        <f t="shared" si="4"/>
        <v>3.55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15">
        <f t="shared" si="0"/>
        <v>50</v>
      </c>
      <c r="K12" s="12">
        <v>3</v>
      </c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50</v>
      </c>
      <c r="Z12" s="40">
        <f t="shared" si="3"/>
        <v>0</v>
      </c>
      <c r="AA12" s="41">
        <f t="shared" si="4"/>
        <v>50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88.6</v>
      </c>
      <c r="Z14" s="37">
        <f>SUM(Z8:Z13)</f>
        <v>0</v>
      </c>
      <c r="AA14" s="38">
        <f>SUM(AA8:AA13)</f>
        <v>88.6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2.2149999999999999</v>
      </c>
      <c r="Z15" s="43">
        <f>Z14/40</f>
        <v>0</v>
      </c>
      <c r="AA15" s="44">
        <f>AA14/40</f>
        <v>2.2149999999999999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76" t="s">
        <v>21</v>
      </c>
      <c r="Z3" s="76"/>
      <c r="AA3" s="76"/>
    </row>
    <row r="4" spans="2:27" ht="14.5" customHeight="1" thickBot="1" x14ac:dyDescent="0.4">
      <c r="Y4" s="76"/>
      <c r="Z4" s="76"/>
      <c r="AA4" s="76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2026-08-05T12:49:29Z</dcterms:modified>
</cp:coreProperties>
</file>