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C73088AE-12D2-4E73-8B3E-04543CFCBBA7}" xr6:coauthVersionLast="47" xr6:coauthVersionMax="47" xr10:uidLastSave="{00000000-0000-0000-0000-000000000000}"/>
  <bookViews>
    <workbookView xWindow="-110" yWindow="-110" windowWidth="19420" windowHeight="10420" tabRatio="887" activeTab="1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" i="30" l="1"/>
  <c r="U10" i="30"/>
  <c r="U11" i="30"/>
  <c r="U12" i="30"/>
  <c r="U9" i="29"/>
  <c r="U10" i="29"/>
  <c r="U11" i="29"/>
  <c r="U12" i="29"/>
  <c r="U9" i="28"/>
  <c r="U10" i="28"/>
  <c r="U11" i="28"/>
  <c r="U12" i="28"/>
  <c r="U9" i="2"/>
  <c r="U10" i="2"/>
  <c r="U11" i="2"/>
  <c r="U12" i="2"/>
  <c r="U9" i="3"/>
  <c r="U10" i="3"/>
  <c r="U11" i="3"/>
  <c r="U12" i="3"/>
  <c r="U9" i="4"/>
  <c r="U10" i="4"/>
  <c r="U11" i="4"/>
  <c r="U12" i="4"/>
  <c r="U9" i="31"/>
  <c r="U10" i="31"/>
  <c r="U11" i="31"/>
  <c r="U12" i="31"/>
  <c r="J9" i="30"/>
  <c r="J10" i="30"/>
  <c r="J11" i="30"/>
  <c r="J12" i="30"/>
  <c r="J9" i="29"/>
  <c r="J10" i="29"/>
  <c r="J11" i="29"/>
  <c r="J12" i="29"/>
  <c r="J9" i="28"/>
  <c r="J10" i="28"/>
  <c r="J11" i="28"/>
  <c r="J12" i="28"/>
  <c r="J9" i="31"/>
  <c r="J10" i="31"/>
  <c r="J11" i="31"/>
  <c r="J12" i="31"/>
  <c r="V17" i="26" l="1"/>
  <c r="M14" i="26" l="1"/>
  <c r="N14" i="26"/>
  <c r="O14" i="26"/>
  <c r="P14" i="26"/>
  <c r="Q14" i="26"/>
  <c r="L14" i="26"/>
  <c r="R14" i="26" l="1"/>
  <c r="L11" i="24"/>
  <c r="M12" i="17" l="1"/>
  <c r="K13" i="10" l="1"/>
  <c r="K13" i="8" l="1"/>
  <c r="U13" i="29" l="1"/>
  <c r="J13" i="28"/>
  <c r="M13" i="28"/>
  <c r="U13" i="30" l="1"/>
  <c r="J13" i="30" l="1"/>
  <c r="M13" i="30"/>
  <c r="M9" i="29"/>
  <c r="M12" i="29"/>
  <c r="M9" i="28"/>
  <c r="M12" i="28"/>
  <c r="M9" i="2"/>
  <c r="M12" i="2"/>
  <c r="M9" i="3"/>
  <c r="M12" i="3"/>
  <c r="M9" i="4"/>
  <c r="M12" i="4"/>
  <c r="L10" i="6"/>
  <c r="L11" i="6"/>
  <c r="L12" i="6"/>
  <c r="L10" i="9"/>
  <c r="L11" i="9"/>
  <c r="L12" i="9"/>
  <c r="L10" i="16"/>
  <c r="L11" i="16"/>
  <c r="L12" i="16"/>
  <c r="L10" i="20"/>
  <c r="L11" i="20"/>
  <c r="L12" i="20"/>
  <c r="L10" i="21"/>
  <c r="L11" i="21"/>
  <c r="L12" i="21"/>
  <c r="M9" i="30"/>
  <c r="M12" i="30"/>
  <c r="T14" i="30" l="1"/>
  <c r="T17" i="30" s="1"/>
  <c r="S14" i="30"/>
  <c r="S15" i="30" s="1"/>
  <c r="S16" i="30" s="1"/>
  <c r="R14" i="30"/>
  <c r="R15" i="30" s="1"/>
  <c r="R16" i="30" s="1"/>
  <c r="Q14" i="30"/>
  <c r="P14" i="30"/>
  <c r="P17" i="30" s="1"/>
  <c r="O14" i="30"/>
  <c r="O15" i="30" s="1"/>
  <c r="O16" i="30" s="1"/>
  <c r="N14" i="30"/>
  <c r="U8" i="30"/>
  <c r="T14" i="29"/>
  <c r="T15" i="29" s="1"/>
  <c r="T16" i="29" s="1"/>
  <c r="S14" i="29"/>
  <c r="S15" i="29" s="1"/>
  <c r="S16" i="29" s="1"/>
  <c r="R14" i="29"/>
  <c r="R17" i="29" s="1"/>
  <c r="Q14" i="29"/>
  <c r="Q15" i="29" s="1"/>
  <c r="Q16" i="29" s="1"/>
  <c r="P14" i="29"/>
  <c r="P15" i="29" s="1"/>
  <c r="P16" i="29" s="1"/>
  <c r="O14" i="29"/>
  <c r="N14" i="29"/>
  <c r="N16" i="29" s="1"/>
  <c r="U8" i="29"/>
  <c r="T14" i="28"/>
  <c r="S14" i="28"/>
  <c r="S15" i="28" s="1"/>
  <c r="S16" i="28" s="1"/>
  <c r="R14" i="28"/>
  <c r="R15" i="28" s="1"/>
  <c r="R16" i="28" s="1"/>
  <c r="Q14" i="28"/>
  <c r="P14" i="28"/>
  <c r="P17" i="28" s="1"/>
  <c r="O14" i="28"/>
  <c r="O15" i="28" s="1"/>
  <c r="O16" i="28" s="1"/>
  <c r="N14" i="28"/>
  <c r="N16" i="28" s="1"/>
  <c r="U8" i="28"/>
  <c r="U17" i="2"/>
  <c r="T15" i="2"/>
  <c r="T16" i="2" s="1"/>
  <c r="S15" i="2"/>
  <c r="S16" i="2" s="1"/>
  <c r="R15" i="2"/>
  <c r="R16" i="2" s="1"/>
  <c r="Q15" i="2"/>
  <c r="Q16" i="2" s="1"/>
  <c r="P15" i="2"/>
  <c r="P16" i="2" s="1"/>
  <c r="O15" i="2"/>
  <c r="O16" i="2" s="1"/>
  <c r="N15" i="2"/>
  <c r="N16" i="2" s="1"/>
  <c r="U14" i="2"/>
  <c r="U8" i="2"/>
  <c r="U17" i="3"/>
  <c r="N16" i="3"/>
  <c r="T15" i="3"/>
  <c r="T16" i="3" s="1"/>
  <c r="S15" i="3"/>
  <c r="S16" i="3" s="1"/>
  <c r="R15" i="3"/>
  <c r="R16" i="3" s="1"/>
  <c r="Q15" i="3"/>
  <c r="Q16" i="3" s="1"/>
  <c r="P15" i="3"/>
  <c r="P16" i="3" s="1"/>
  <c r="O15" i="3"/>
  <c r="O16" i="3" s="1"/>
  <c r="U14" i="3"/>
  <c r="U8" i="3"/>
  <c r="T14" i="4"/>
  <c r="T17" i="4" s="1"/>
  <c r="S14" i="4"/>
  <c r="S17" i="4" s="1"/>
  <c r="R14" i="4"/>
  <c r="R15" i="4" s="1"/>
  <c r="R16" i="4" s="1"/>
  <c r="Q14" i="4"/>
  <c r="Q15" i="4" s="1"/>
  <c r="Q16" i="4" s="1"/>
  <c r="P14" i="4"/>
  <c r="O14" i="4"/>
  <c r="O17" i="4" s="1"/>
  <c r="N14" i="4"/>
  <c r="U8" i="4"/>
  <c r="R14" i="5"/>
  <c r="Q14" i="5"/>
  <c r="Q17" i="5" s="1"/>
  <c r="P14" i="5"/>
  <c r="P15" i="5" s="1"/>
  <c r="P16" i="5" s="1"/>
  <c r="O14" i="5"/>
  <c r="O15" i="5" s="1"/>
  <c r="O16" i="5" s="1"/>
  <c r="N14" i="5"/>
  <c r="M14" i="5"/>
  <c r="M17" i="5" s="1"/>
  <c r="L14" i="5"/>
  <c r="R14" i="6"/>
  <c r="R17" i="6" s="1"/>
  <c r="Q14" i="6"/>
  <c r="Q15" i="6" s="1"/>
  <c r="Q16" i="6" s="1"/>
  <c r="O14" i="6"/>
  <c r="N14" i="6"/>
  <c r="N17" i="6" s="1"/>
  <c r="M14" i="6"/>
  <c r="Q14" i="7"/>
  <c r="Q17" i="7" s="1"/>
  <c r="P14" i="7"/>
  <c r="P15" i="7" s="1"/>
  <c r="P16" i="7" s="1"/>
  <c r="N14" i="7"/>
  <c r="M14" i="7"/>
  <c r="M17" i="7" s="1"/>
  <c r="L14" i="7"/>
  <c r="O14" i="7"/>
  <c r="Q14" i="8"/>
  <c r="Q15" i="8" s="1"/>
  <c r="Q16" i="8" s="1"/>
  <c r="P14" i="8"/>
  <c r="P17" i="8" s="1"/>
  <c r="N14" i="8"/>
  <c r="N15" i="8" s="1"/>
  <c r="N16" i="8" s="1"/>
  <c r="M14" i="8"/>
  <c r="M17" i="8" s="1"/>
  <c r="L14" i="8"/>
  <c r="L16" i="8" s="1"/>
  <c r="R14" i="9"/>
  <c r="R17" i="9" s="1"/>
  <c r="Q14" i="9"/>
  <c r="Q15" i="9" s="1"/>
  <c r="Q16" i="9" s="1"/>
  <c r="O14" i="9"/>
  <c r="N14" i="9"/>
  <c r="N17" i="9" s="1"/>
  <c r="M14" i="9"/>
  <c r="Q14" i="10"/>
  <c r="Q17" i="10" s="1"/>
  <c r="P14" i="10"/>
  <c r="P17" i="10" s="1"/>
  <c r="O14" i="10"/>
  <c r="O15" i="10" s="1"/>
  <c r="O16" i="10" s="1"/>
  <c r="N14" i="10"/>
  <c r="M14" i="10"/>
  <c r="M17" i="10" s="1"/>
  <c r="L14" i="10"/>
  <c r="Q14" i="11"/>
  <c r="Q17" i="11" s="1"/>
  <c r="P14" i="11"/>
  <c r="P15" i="11" s="1"/>
  <c r="P16" i="11" s="1"/>
  <c r="N14" i="11"/>
  <c r="M14" i="11"/>
  <c r="M15" i="11" s="1"/>
  <c r="M16" i="11" s="1"/>
  <c r="L14" i="11"/>
  <c r="O14" i="11"/>
  <c r="Q14" i="12"/>
  <c r="Q15" i="12" s="1"/>
  <c r="Q16" i="12" s="1"/>
  <c r="P14" i="12"/>
  <c r="P17" i="12" s="1"/>
  <c r="N14" i="12"/>
  <c r="M14" i="12"/>
  <c r="M15" i="12" s="1"/>
  <c r="M16" i="12" s="1"/>
  <c r="L14" i="12"/>
  <c r="L16" i="12" s="1"/>
  <c r="R14" i="12"/>
  <c r="Q14" i="13"/>
  <c r="Q17" i="13" s="1"/>
  <c r="P14" i="13"/>
  <c r="P15" i="13" s="1"/>
  <c r="P16" i="13" s="1"/>
  <c r="N14" i="13"/>
  <c r="M14" i="13"/>
  <c r="M15" i="13" s="1"/>
  <c r="M16" i="13" s="1"/>
  <c r="L14" i="13"/>
  <c r="Q14" i="14"/>
  <c r="Q15" i="14" s="1"/>
  <c r="Q16" i="14" s="1"/>
  <c r="P14" i="14"/>
  <c r="P17" i="14" s="1"/>
  <c r="N14" i="14"/>
  <c r="N15" i="14" s="1"/>
  <c r="N16" i="14" s="1"/>
  <c r="M14" i="14"/>
  <c r="M17" i="14" s="1"/>
  <c r="L14" i="14"/>
  <c r="R14" i="14"/>
  <c r="Q14" i="15"/>
  <c r="Q17" i="15" s="1"/>
  <c r="P14" i="15"/>
  <c r="P17" i="15" s="1"/>
  <c r="N14" i="15"/>
  <c r="M14" i="15"/>
  <c r="M17" i="15" s="1"/>
  <c r="L14" i="15"/>
  <c r="L17" i="15" s="1"/>
  <c r="R14" i="16"/>
  <c r="R15" i="16" s="1"/>
  <c r="R16" i="16" s="1"/>
  <c r="Q14" i="16"/>
  <c r="Q17" i="16" s="1"/>
  <c r="O14" i="16"/>
  <c r="O15" i="16" s="1"/>
  <c r="O16" i="16" s="1"/>
  <c r="N14" i="16"/>
  <c r="N15" i="16" s="1"/>
  <c r="N16" i="16" s="1"/>
  <c r="M14" i="16"/>
  <c r="S14" i="16"/>
  <c r="Q14" i="17"/>
  <c r="Q17" i="17" s="1"/>
  <c r="P14" i="17"/>
  <c r="P15" i="17" s="1"/>
  <c r="P16" i="17" s="1"/>
  <c r="N14" i="17"/>
  <c r="M14" i="17"/>
  <c r="M17" i="17" s="1"/>
  <c r="L14" i="17"/>
  <c r="O14" i="17"/>
  <c r="Q14" i="18"/>
  <c r="Q15" i="18" s="1"/>
  <c r="Q16" i="18" s="1"/>
  <c r="P14" i="18"/>
  <c r="P15" i="18" s="1"/>
  <c r="P16" i="18" s="1"/>
  <c r="N14" i="18"/>
  <c r="N17" i="18" s="1"/>
  <c r="M14" i="18"/>
  <c r="M15" i="18" s="1"/>
  <c r="M16" i="18" s="1"/>
  <c r="L14" i="18"/>
  <c r="L17" i="18" s="1"/>
  <c r="R14" i="18"/>
  <c r="O14" i="18"/>
  <c r="Q14" i="19"/>
  <c r="Q17" i="19" s="1"/>
  <c r="P14" i="19"/>
  <c r="P17" i="19" s="1"/>
  <c r="N14" i="19"/>
  <c r="N15" i="19" s="1"/>
  <c r="N16" i="19" s="1"/>
  <c r="M14" i="19"/>
  <c r="L14" i="19"/>
  <c r="L16" i="19" s="1"/>
  <c r="R14" i="20"/>
  <c r="R17" i="20" s="1"/>
  <c r="Q14" i="20"/>
  <c r="Q15" i="20" s="1"/>
  <c r="Q16" i="20" s="1"/>
  <c r="O14" i="20"/>
  <c r="O17" i="20" s="1"/>
  <c r="N14" i="20"/>
  <c r="N15" i="20" s="1"/>
  <c r="N16" i="20" s="1"/>
  <c r="M14" i="20"/>
  <c r="R14" i="21"/>
  <c r="R15" i="21" s="1"/>
  <c r="R16" i="21" s="1"/>
  <c r="Q14" i="21"/>
  <c r="Q17" i="21" s="1"/>
  <c r="O14" i="21"/>
  <c r="O15" i="21" s="1"/>
  <c r="O16" i="21" s="1"/>
  <c r="N14" i="21"/>
  <c r="M14" i="21"/>
  <c r="M16" i="21" s="1"/>
  <c r="Q14" i="22"/>
  <c r="Q15" i="22" s="1"/>
  <c r="Q16" i="22" s="1"/>
  <c r="P14" i="22"/>
  <c r="P15" i="22" s="1"/>
  <c r="P16" i="22" s="1"/>
  <c r="N14" i="22"/>
  <c r="N17" i="22" s="1"/>
  <c r="M14" i="22"/>
  <c r="M15" i="22" s="1"/>
  <c r="M16" i="22" s="1"/>
  <c r="L14" i="22"/>
  <c r="L17" i="22" s="1"/>
  <c r="R14" i="22"/>
  <c r="O14" i="22"/>
  <c r="Q14" i="23"/>
  <c r="Q17" i="23" s="1"/>
  <c r="P14" i="23"/>
  <c r="P17" i="23" s="1"/>
  <c r="N14" i="23"/>
  <c r="N15" i="23" s="1"/>
  <c r="N16" i="23" s="1"/>
  <c r="M14" i="23"/>
  <c r="L14" i="23"/>
  <c r="L16" i="23" s="1"/>
  <c r="R14" i="23"/>
  <c r="O14" i="23"/>
  <c r="Q14" i="24"/>
  <c r="Q15" i="24" s="1"/>
  <c r="Q16" i="24" s="1"/>
  <c r="P14" i="24"/>
  <c r="P15" i="24" s="1"/>
  <c r="P16" i="24" s="1"/>
  <c r="N14" i="24"/>
  <c r="N17" i="24" s="1"/>
  <c r="M14" i="24"/>
  <c r="M15" i="24" s="1"/>
  <c r="M16" i="24" s="1"/>
  <c r="L14" i="24"/>
  <c r="L17" i="24" s="1"/>
  <c r="Q14" i="25"/>
  <c r="Q17" i="25" s="1"/>
  <c r="P14" i="25"/>
  <c r="P17" i="25" s="1"/>
  <c r="N14" i="25"/>
  <c r="N15" i="25" s="1"/>
  <c r="N16" i="25" s="1"/>
  <c r="M14" i="25"/>
  <c r="L14" i="25"/>
  <c r="L16" i="25" s="1"/>
  <c r="Q15" i="26"/>
  <c r="Q16" i="26" s="1"/>
  <c r="P15" i="26"/>
  <c r="P16" i="26" s="1"/>
  <c r="N17" i="26"/>
  <c r="M15" i="26"/>
  <c r="M16" i="26" s="1"/>
  <c r="L17" i="26"/>
  <c r="Q14" i="27"/>
  <c r="Q17" i="27" s="1"/>
  <c r="P14" i="27"/>
  <c r="P17" i="27" s="1"/>
  <c r="N14" i="27"/>
  <c r="N15" i="27" s="1"/>
  <c r="N16" i="27" s="1"/>
  <c r="M14" i="27"/>
  <c r="L14" i="27"/>
  <c r="L16" i="27" s="1"/>
  <c r="R14" i="27"/>
  <c r="O14" i="27"/>
  <c r="Q14" i="32"/>
  <c r="P14" i="32"/>
  <c r="P17" i="32" s="1"/>
  <c r="N14" i="32"/>
  <c r="N17" i="32" s="1"/>
  <c r="M14" i="32"/>
  <c r="M17" i="32" s="1"/>
  <c r="L14" i="32"/>
  <c r="L16" i="32" s="1"/>
  <c r="R14" i="32"/>
  <c r="O14" i="32"/>
  <c r="T14" i="31"/>
  <c r="T17" i="31" s="1"/>
  <c r="S14" i="31"/>
  <c r="S17" i="31" s="1"/>
  <c r="R14" i="31"/>
  <c r="R15" i="31" s="1"/>
  <c r="R16" i="31" s="1"/>
  <c r="Q14" i="31"/>
  <c r="Q15" i="31" s="1"/>
  <c r="Q16" i="31" s="1"/>
  <c r="P14" i="31"/>
  <c r="P17" i="31" s="1"/>
  <c r="O14" i="31"/>
  <c r="O17" i="31" s="1"/>
  <c r="N14" i="31"/>
  <c r="U8" i="31"/>
  <c r="N15" i="12" l="1"/>
  <c r="N16" i="12" s="1"/>
  <c r="P17" i="18"/>
  <c r="M15" i="15"/>
  <c r="M16" i="15" s="1"/>
  <c r="Q17" i="20"/>
  <c r="N17" i="16"/>
  <c r="N17" i="23"/>
  <c r="N15" i="22"/>
  <c r="N16" i="22" s="1"/>
  <c r="M15" i="14"/>
  <c r="M16" i="14" s="1"/>
  <c r="O17" i="5"/>
  <c r="S15" i="31"/>
  <c r="S16" i="31" s="1"/>
  <c r="Q17" i="31"/>
  <c r="R17" i="21"/>
  <c r="P17" i="26"/>
  <c r="Q15" i="15"/>
  <c r="Q16" i="15" s="1"/>
  <c r="Q17" i="14"/>
  <c r="R17" i="28"/>
  <c r="M17" i="11"/>
  <c r="M15" i="7"/>
  <c r="M16" i="7" s="1"/>
  <c r="Q17" i="4"/>
  <c r="P17" i="29"/>
  <c r="O14" i="25"/>
  <c r="P15" i="28"/>
  <c r="P16" i="28" s="1"/>
  <c r="N17" i="25"/>
  <c r="N15" i="24"/>
  <c r="N16" i="24" s="1"/>
  <c r="P14" i="16"/>
  <c r="O14" i="13"/>
  <c r="O14" i="12"/>
  <c r="S14" i="12" s="1"/>
  <c r="M17" i="12"/>
  <c r="M15" i="8"/>
  <c r="M16" i="8" s="1"/>
  <c r="P15" i="30"/>
  <c r="P16" i="30" s="1"/>
  <c r="P17" i="22"/>
  <c r="Q17" i="12"/>
  <c r="S14" i="20"/>
  <c r="R14" i="15"/>
  <c r="T14" i="6"/>
  <c r="T17" i="29"/>
  <c r="T15" i="30"/>
  <c r="T16" i="30" s="1"/>
  <c r="P17" i="24"/>
  <c r="U14" i="29"/>
  <c r="S17" i="29"/>
  <c r="R14" i="13"/>
  <c r="R15" i="20"/>
  <c r="R16" i="20" s="1"/>
  <c r="Q17" i="8"/>
  <c r="R17" i="30"/>
  <c r="N17" i="27"/>
  <c r="N15" i="26"/>
  <c r="N16" i="26" s="1"/>
  <c r="O17" i="21"/>
  <c r="O15" i="20"/>
  <c r="O16" i="20" s="1"/>
  <c r="O14" i="19"/>
  <c r="O14" i="14"/>
  <c r="M17" i="13"/>
  <c r="P14" i="9"/>
  <c r="O14" i="8"/>
  <c r="N17" i="28"/>
  <c r="U14" i="30"/>
  <c r="O15" i="31"/>
  <c r="O16" i="31" s="1"/>
  <c r="T14" i="20"/>
  <c r="R14" i="11"/>
  <c r="M15" i="10"/>
  <c r="M16" i="10" s="1"/>
  <c r="N15" i="9"/>
  <c r="N16" i="9" s="1"/>
  <c r="N17" i="30"/>
  <c r="U14" i="31"/>
  <c r="S14" i="23"/>
  <c r="P14" i="21"/>
  <c r="M17" i="20"/>
  <c r="N17" i="19"/>
  <c r="N15" i="18"/>
  <c r="N16" i="18" s="1"/>
  <c r="M15" i="17"/>
  <c r="M16" i="17" s="1"/>
  <c r="T14" i="9"/>
  <c r="N15" i="6"/>
  <c r="N16" i="6" s="1"/>
  <c r="M15" i="5"/>
  <c r="M16" i="5" s="1"/>
  <c r="O15" i="4"/>
  <c r="O16" i="4" s="1"/>
  <c r="Q15" i="21"/>
  <c r="Q16" i="21" s="1"/>
  <c r="N17" i="15"/>
  <c r="N15" i="15"/>
  <c r="N16" i="15" s="1"/>
  <c r="L17" i="14"/>
  <c r="S14" i="14"/>
  <c r="L16" i="14"/>
  <c r="P15" i="31"/>
  <c r="P16" i="31" s="1"/>
  <c r="T15" i="31"/>
  <c r="T16" i="31" s="1"/>
  <c r="N17" i="31"/>
  <c r="R17" i="31"/>
  <c r="S14" i="32"/>
  <c r="P15" i="32"/>
  <c r="P16" i="32" s="1"/>
  <c r="R14" i="25"/>
  <c r="P15" i="23"/>
  <c r="P16" i="23" s="1"/>
  <c r="S14" i="22"/>
  <c r="N17" i="21"/>
  <c r="N15" i="21"/>
  <c r="N16" i="21" s="1"/>
  <c r="P14" i="20"/>
  <c r="R14" i="19"/>
  <c r="R14" i="17"/>
  <c r="Q15" i="17"/>
  <c r="Q16" i="17" s="1"/>
  <c r="M17" i="16"/>
  <c r="T14" i="16"/>
  <c r="M17" i="27"/>
  <c r="M15" i="27"/>
  <c r="M16" i="27" s="1"/>
  <c r="M17" i="19"/>
  <c r="M15" i="19"/>
  <c r="M16" i="19" s="1"/>
  <c r="N16" i="31"/>
  <c r="Q15" i="32"/>
  <c r="Q16" i="32" s="1"/>
  <c r="Q17" i="32"/>
  <c r="M15" i="32"/>
  <c r="M16" i="32" s="1"/>
  <c r="L17" i="32"/>
  <c r="S14" i="27"/>
  <c r="P15" i="25"/>
  <c r="P16" i="25" s="1"/>
  <c r="R14" i="24"/>
  <c r="M17" i="23"/>
  <c r="M15" i="23"/>
  <c r="M16" i="23" s="1"/>
  <c r="S14" i="19"/>
  <c r="T17" i="28"/>
  <c r="T15" i="28"/>
  <c r="T16" i="28" s="1"/>
  <c r="N15" i="32"/>
  <c r="N16" i="32" s="1"/>
  <c r="P15" i="27"/>
  <c r="P16" i="27" s="1"/>
  <c r="M17" i="25"/>
  <c r="M15" i="25"/>
  <c r="M16" i="25" s="1"/>
  <c r="O14" i="24"/>
  <c r="S14" i="21"/>
  <c r="P15" i="19"/>
  <c r="P16" i="19" s="1"/>
  <c r="S14" i="18"/>
  <c r="N17" i="17"/>
  <c r="N15" i="17"/>
  <c r="N16" i="17" s="1"/>
  <c r="M16" i="16"/>
  <c r="O14" i="15"/>
  <c r="Q15" i="13"/>
  <c r="Q16" i="13" s="1"/>
  <c r="Q15" i="27"/>
  <c r="Q16" i="27" s="1"/>
  <c r="L16" i="26"/>
  <c r="M17" i="26"/>
  <c r="Q17" i="26"/>
  <c r="Q15" i="25"/>
  <c r="Q16" i="25" s="1"/>
  <c r="L16" i="24"/>
  <c r="M17" i="24"/>
  <c r="Q17" i="24"/>
  <c r="Q15" i="23"/>
  <c r="Q16" i="23" s="1"/>
  <c r="L16" i="22"/>
  <c r="M17" i="22"/>
  <c r="Q17" i="22"/>
  <c r="M16" i="20"/>
  <c r="N17" i="20"/>
  <c r="Q15" i="19"/>
  <c r="Q16" i="19" s="1"/>
  <c r="L16" i="18"/>
  <c r="M17" i="18"/>
  <c r="Q17" i="18"/>
  <c r="L17" i="17"/>
  <c r="P17" i="17"/>
  <c r="Q15" i="16"/>
  <c r="Q16" i="16" s="1"/>
  <c r="O17" i="16"/>
  <c r="R17" i="16"/>
  <c r="L16" i="15"/>
  <c r="N17" i="13"/>
  <c r="N15" i="13"/>
  <c r="N16" i="13" s="1"/>
  <c r="L17" i="12"/>
  <c r="R14" i="10"/>
  <c r="S14" i="9"/>
  <c r="N17" i="5"/>
  <c r="N15" i="5"/>
  <c r="N16" i="5" s="1"/>
  <c r="Q15" i="5"/>
  <c r="Q16" i="5" s="1"/>
  <c r="P17" i="4"/>
  <c r="P15" i="4"/>
  <c r="P16" i="4" s="1"/>
  <c r="S15" i="4"/>
  <c r="S16" i="4" s="1"/>
  <c r="Q17" i="28"/>
  <c r="Q15" i="28"/>
  <c r="Q16" i="28" s="1"/>
  <c r="L17" i="27"/>
  <c r="L17" i="25"/>
  <c r="L17" i="23"/>
  <c r="M17" i="21"/>
  <c r="L17" i="19"/>
  <c r="L16" i="17"/>
  <c r="N17" i="11"/>
  <c r="N15" i="11"/>
  <c r="N16" i="11" s="1"/>
  <c r="Q15" i="11"/>
  <c r="Q16" i="11" s="1"/>
  <c r="P15" i="10"/>
  <c r="P16" i="10" s="1"/>
  <c r="S14" i="15"/>
  <c r="P15" i="15"/>
  <c r="P16" i="15" s="1"/>
  <c r="S14" i="13"/>
  <c r="N17" i="10"/>
  <c r="N15" i="10"/>
  <c r="N16" i="10" s="1"/>
  <c r="O17" i="9"/>
  <c r="O15" i="9"/>
  <c r="O16" i="9" s="1"/>
  <c r="L17" i="8"/>
  <c r="S14" i="8"/>
  <c r="N17" i="7"/>
  <c r="N15" i="7"/>
  <c r="N16" i="7" s="1"/>
  <c r="Q15" i="7"/>
  <c r="Q16" i="7" s="1"/>
  <c r="O17" i="6"/>
  <c r="O15" i="6"/>
  <c r="O16" i="6" s="1"/>
  <c r="S14" i="5"/>
  <c r="U14" i="4"/>
  <c r="O17" i="29"/>
  <c r="O15" i="29"/>
  <c r="O16" i="29" s="1"/>
  <c r="R15" i="29"/>
  <c r="R16" i="29" s="1"/>
  <c r="Q17" i="30"/>
  <c r="Q15" i="30"/>
  <c r="Q16" i="30" s="1"/>
  <c r="P15" i="14"/>
  <c r="P16" i="14" s="1"/>
  <c r="N17" i="14"/>
  <c r="L17" i="13"/>
  <c r="P17" i="13"/>
  <c r="P15" i="12"/>
  <c r="P16" i="12" s="1"/>
  <c r="N17" i="12"/>
  <c r="L17" i="11"/>
  <c r="P17" i="11"/>
  <c r="Q15" i="10"/>
  <c r="Q16" i="10" s="1"/>
  <c r="L17" i="10"/>
  <c r="O17" i="10"/>
  <c r="R15" i="9"/>
  <c r="R16" i="9" s="1"/>
  <c r="M17" i="9"/>
  <c r="Q17" i="9"/>
  <c r="P15" i="8"/>
  <c r="P16" i="8" s="1"/>
  <c r="N17" i="8"/>
  <c r="L17" i="7"/>
  <c r="P17" i="7"/>
  <c r="R15" i="6"/>
  <c r="R16" i="6" s="1"/>
  <c r="M17" i="6"/>
  <c r="Q17" i="6"/>
  <c r="L17" i="5"/>
  <c r="P17" i="5"/>
  <c r="T15" i="4"/>
  <c r="T16" i="4" s="1"/>
  <c r="N17" i="4"/>
  <c r="R17" i="4"/>
  <c r="O17" i="28"/>
  <c r="S17" i="28"/>
  <c r="Q17" i="29"/>
  <c r="N16" i="30"/>
  <c r="O17" i="30"/>
  <c r="S17" i="30"/>
  <c r="L16" i="13"/>
  <c r="L16" i="11"/>
  <c r="L16" i="10"/>
  <c r="M16" i="9"/>
  <c r="L16" i="7"/>
  <c r="M16" i="6"/>
  <c r="L16" i="5"/>
  <c r="N16" i="4"/>
  <c r="U14" i="28"/>
  <c r="N17" i="29"/>
  <c r="S17" i="21" l="1"/>
  <c r="R17" i="24"/>
  <c r="U17" i="4"/>
  <c r="T17" i="20"/>
  <c r="S17" i="22"/>
  <c r="S17" i="32"/>
  <c r="U17" i="30"/>
  <c r="S17" i="18"/>
  <c r="S17" i="14"/>
  <c r="S17" i="23"/>
  <c r="R17" i="26"/>
  <c r="U17" i="28"/>
  <c r="R17" i="7"/>
  <c r="S17" i="8"/>
  <c r="S17" i="12"/>
  <c r="T17" i="16"/>
  <c r="R17" i="11"/>
  <c r="T17" i="6"/>
  <c r="R17" i="10"/>
  <c r="R17" i="25"/>
  <c r="S17" i="15"/>
  <c r="U17" i="29"/>
  <c r="S17" i="5"/>
  <c r="T17" i="9"/>
  <c r="S17" i="13"/>
  <c r="S17" i="19"/>
  <c r="S17" i="27"/>
  <c r="R17" i="17"/>
  <c r="U17" i="31"/>
  <c r="S14" i="24"/>
  <c r="S17" i="24" l="1"/>
  <c r="J8" i="30" l="1"/>
  <c r="J8" i="29"/>
  <c r="J8" i="28"/>
  <c r="J8" i="31"/>
  <c r="J17" i="2" l="1"/>
  <c r="J17" i="3"/>
  <c r="J14" i="2"/>
  <c r="J14" i="3"/>
  <c r="C16" i="3"/>
  <c r="E15" i="2"/>
  <c r="E16" i="2" s="1"/>
  <c r="F15" i="2"/>
  <c r="F16" i="2" s="1"/>
  <c r="G15" i="2"/>
  <c r="G16" i="2" s="1"/>
  <c r="H15" i="2"/>
  <c r="H16" i="2" s="1"/>
  <c r="I15" i="2"/>
  <c r="I16" i="2" s="1"/>
  <c r="E15" i="3"/>
  <c r="E16" i="3" s="1"/>
  <c r="F15" i="3"/>
  <c r="F16" i="3" s="1"/>
  <c r="G15" i="3"/>
  <c r="G16" i="3" s="1"/>
  <c r="H15" i="3"/>
  <c r="H16" i="3" s="1"/>
  <c r="I15" i="3"/>
  <c r="I16" i="3" s="1"/>
  <c r="D15" i="2"/>
  <c r="D16" i="2" s="1"/>
  <c r="D15" i="3"/>
  <c r="D16" i="3" s="1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H14" i="32" l="1"/>
  <c r="G14" i="32"/>
  <c r="F14" i="32"/>
  <c r="E14" i="32"/>
  <c r="D14" i="32"/>
  <c r="D15" i="32" s="1"/>
  <c r="D16" i="32" s="1"/>
  <c r="C14" i="32"/>
  <c r="I14" i="31"/>
  <c r="H14" i="31"/>
  <c r="G14" i="31"/>
  <c r="F14" i="31"/>
  <c r="E14" i="31"/>
  <c r="D14" i="31"/>
  <c r="C14" i="31"/>
  <c r="I14" i="30"/>
  <c r="H14" i="30"/>
  <c r="G14" i="30"/>
  <c r="F14" i="30"/>
  <c r="E14" i="30"/>
  <c r="D14" i="30"/>
  <c r="C14" i="30"/>
  <c r="I14" i="29"/>
  <c r="H14" i="29"/>
  <c r="G14" i="29"/>
  <c r="F14" i="29"/>
  <c r="E14" i="29"/>
  <c r="D14" i="29"/>
  <c r="C14" i="29"/>
  <c r="I14" i="28"/>
  <c r="H14" i="28"/>
  <c r="G14" i="28"/>
  <c r="F14" i="28"/>
  <c r="E14" i="28"/>
  <c r="D14" i="28"/>
  <c r="C14" i="28"/>
  <c r="H14" i="27"/>
  <c r="G14" i="27"/>
  <c r="F14" i="27"/>
  <c r="E14" i="27"/>
  <c r="D14" i="27"/>
  <c r="C14" i="27"/>
  <c r="H14" i="26"/>
  <c r="G14" i="26"/>
  <c r="F14" i="26"/>
  <c r="E14" i="26"/>
  <c r="D14" i="26"/>
  <c r="C14" i="26"/>
  <c r="H14" i="25"/>
  <c r="G14" i="25"/>
  <c r="F14" i="25"/>
  <c r="E14" i="25"/>
  <c r="D14" i="25"/>
  <c r="C14" i="25"/>
  <c r="H14" i="24"/>
  <c r="G14" i="24"/>
  <c r="F14" i="24"/>
  <c r="E14" i="24"/>
  <c r="D14" i="24"/>
  <c r="C14" i="24"/>
  <c r="H14" i="23"/>
  <c r="G14" i="23"/>
  <c r="F14" i="23"/>
  <c r="E14" i="23"/>
  <c r="D14" i="23"/>
  <c r="C14" i="23"/>
  <c r="H14" i="22"/>
  <c r="G14" i="22"/>
  <c r="F14" i="22"/>
  <c r="E14" i="22"/>
  <c r="D14" i="22"/>
  <c r="C14" i="22"/>
  <c r="I14" i="21"/>
  <c r="H14" i="21"/>
  <c r="H15" i="21" s="1"/>
  <c r="H16" i="21" s="1"/>
  <c r="G14" i="21"/>
  <c r="F14" i="21"/>
  <c r="F15" i="21" s="1"/>
  <c r="F16" i="21" s="1"/>
  <c r="E14" i="21"/>
  <c r="D14" i="21"/>
  <c r="C14" i="21"/>
  <c r="I14" i="20"/>
  <c r="H14" i="20"/>
  <c r="G14" i="20"/>
  <c r="F14" i="20"/>
  <c r="E14" i="20"/>
  <c r="D14" i="20"/>
  <c r="C14" i="20"/>
  <c r="H14" i="19"/>
  <c r="G14" i="19"/>
  <c r="F14" i="19"/>
  <c r="E14" i="19"/>
  <c r="D14" i="19"/>
  <c r="C14" i="19"/>
  <c r="H14" i="18"/>
  <c r="G14" i="18"/>
  <c r="F14" i="18"/>
  <c r="E14" i="18"/>
  <c r="D14" i="18"/>
  <c r="C14" i="18"/>
  <c r="I14" i="27" l="1"/>
  <c r="H17" i="27"/>
  <c r="H15" i="27"/>
  <c r="H16" i="27" s="1"/>
  <c r="H17" i="28"/>
  <c r="H15" i="28"/>
  <c r="H16" i="28" s="1"/>
  <c r="G17" i="29"/>
  <c r="G15" i="29"/>
  <c r="G16" i="29" s="1"/>
  <c r="I17" i="31"/>
  <c r="I15" i="31"/>
  <c r="I16" i="31" s="1"/>
  <c r="G17" i="32"/>
  <c r="G15" i="32"/>
  <c r="G16" i="32" s="1"/>
  <c r="G17" i="18"/>
  <c r="G15" i="18"/>
  <c r="G16" i="18" s="1"/>
  <c r="G17" i="22"/>
  <c r="G15" i="22"/>
  <c r="G16" i="22" s="1"/>
  <c r="I17" i="28"/>
  <c r="I15" i="28"/>
  <c r="I16" i="28" s="1"/>
  <c r="H17" i="29"/>
  <c r="H15" i="29"/>
  <c r="H16" i="29" s="1"/>
  <c r="G17" i="30"/>
  <c r="G15" i="30"/>
  <c r="G16" i="30" s="1"/>
  <c r="H17" i="32"/>
  <c r="H15" i="32"/>
  <c r="H16" i="32" s="1"/>
  <c r="H17" i="18"/>
  <c r="H15" i="18"/>
  <c r="H16" i="18" s="1"/>
  <c r="H17" i="22"/>
  <c r="H15" i="22"/>
  <c r="H16" i="22" s="1"/>
  <c r="G17" i="23"/>
  <c r="G15" i="23"/>
  <c r="G16" i="23" s="1"/>
  <c r="G17" i="26"/>
  <c r="G15" i="26"/>
  <c r="G16" i="26" s="1"/>
  <c r="I17" i="29"/>
  <c r="I15" i="29"/>
  <c r="I16" i="29" s="1"/>
  <c r="H17" i="30"/>
  <c r="H15" i="30"/>
  <c r="H16" i="30" s="1"/>
  <c r="G17" i="31"/>
  <c r="G15" i="31"/>
  <c r="G16" i="31" s="1"/>
  <c r="H17" i="23"/>
  <c r="H15" i="23"/>
  <c r="H16" i="23" s="1"/>
  <c r="H17" i="26"/>
  <c r="H15" i="26"/>
  <c r="H16" i="26" s="1"/>
  <c r="G17" i="27"/>
  <c r="G15" i="27"/>
  <c r="G16" i="27" s="1"/>
  <c r="G17" i="28"/>
  <c r="G15" i="28"/>
  <c r="G16" i="28" s="1"/>
  <c r="I17" i="30"/>
  <c r="I15" i="30"/>
  <c r="I16" i="30" s="1"/>
  <c r="H17" i="31"/>
  <c r="H15" i="31"/>
  <c r="H16" i="31" s="1"/>
  <c r="D17" i="23"/>
  <c r="D15" i="23"/>
  <c r="D16" i="23" s="1"/>
  <c r="D17" i="30"/>
  <c r="D15" i="30"/>
  <c r="D16" i="30" s="1"/>
  <c r="F17" i="22"/>
  <c r="F15" i="22"/>
  <c r="F16" i="22" s="1"/>
  <c r="E17" i="23"/>
  <c r="E15" i="23"/>
  <c r="E16" i="23" s="1"/>
  <c r="E17" i="26"/>
  <c r="E15" i="26"/>
  <c r="E16" i="26" s="1"/>
  <c r="D17" i="27"/>
  <c r="D15" i="27"/>
  <c r="D16" i="27" s="1"/>
  <c r="C17" i="28"/>
  <c r="C16" i="28"/>
  <c r="J14" i="28"/>
  <c r="F17" i="29"/>
  <c r="F15" i="29"/>
  <c r="F16" i="29" s="1"/>
  <c r="E17" i="30"/>
  <c r="E15" i="30"/>
  <c r="E16" i="30" s="1"/>
  <c r="D17" i="31"/>
  <c r="D15" i="31"/>
  <c r="D16" i="31" s="1"/>
  <c r="C17" i="32"/>
  <c r="I14" i="32"/>
  <c r="C16" i="32"/>
  <c r="E17" i="22"/>
  <c r="E15" i="22"/>
  <c r="E16" i="22" s="1"/>
  <c r="C17" i="27"/>
  <c r="C16" i="27"/>
  <c r="F17" i="28"/>
  <c r="F15" i="28"/>
  <c r="F16" i="28" s="1"/>
  <c r="E17" i="29"/>
  <c r="E15" i="29"/>
  <c r="E16" i="29" s="1"/>
  <c r="C17" i="31"/>
  <c r="C16" i="31"/>
  <c r="J14" i="31"/>
  <c r="C17" i="22"/>
  <c r="I14" i="22"/>
  <c r="C16" i="22"/>
  <c r="F17" i="23"/>
  <c r="F15" i="23"/>
  <c r="F16" i="23" s="1"/>
  <c r="F17" i="26"/>
  <c r="F15" i="26"/>
  <c r="F16" i="26" s="1"/>
  <c r="E17" i="27"/>
  <c r="E15" i="27"/>
  <c r="E16" i="27" s="1"/>
  <c r="D17" i="28"/>
  <c r="D15" i="28"/>
  <c r="D16" i="28" s="1"/>
  <c r="C17" i="29"/>
  <c r="J14" i="29"/>
  <c r="C16" i="29"/>
  <c r="F17" i="30"/>
  <c r="F15" i="30"/>
  <c r="F16" i="30" s="1"/>
  <c r="E17" i="31"/>
  <c r="E15" i="31"/>
  <c r="E16" i="31" s="1"/>
  <c r="D17" i="32"/>
  <c r="E17" i="18"/>
  <c r="E15" i="18"/>
  <c r="E16" i="18" s="1"/>
  <c r="D17" i="26"/>
  <c r="D15" i="26"/>
  <c r="D16" i="26" s="1"/>
  <c r="F17" i="32"/>
  <c r="F15" i="32"/>
  <c r="F16" i="32" s="1"/>
  <c r="F17" i="18"/>
  <c r="F15" i="18"/>
  <c r="F16" i="18" s="1"/>
  <c r="C17" i="18"/>
  <c r="C16" i="18"/>
  <c r="I14" i="18"/>
  <c r="D17" i="18"/>
  <c r="D15" i="18"/>
  <c r="D16" i="18" s="1"/>
  <c r="D17" i="22"/>
  <c r="D15" i="22"/>
  <c r="D16" i="22" s="1"/>
  <c r="C17" i="23"/>
  <c r="I14" i="23"/>
  <c r="C16" i="23"/>
  <c r="C17" i="26"/>
  <c r="I14" i="26"/>
  <c r="C16" i="26"/>
  <c r="F17" i="27"/>
  <c r="F15" i="27"/>
  <c r="F16" i="27" s="1"/>
  <c r="E17" i="28"/>
  <c r="E15" i="28"/>
  <c r="E16" i="28" s="1"/>
  <c r="D17" i="29"/>
  <c r="D15" i="29"/>
  <c r="D16" i="29" s="1"/>
  <c r="C17" i="30"/>
  <c r="J14" i="30"/>
  <c r="C16" i="30"/>
  <c r="F17" i="31"/>
  <c r="F15" i="31"/>
  <c r="F16" i="31" s="1"/>
  <c r="E17" i="32"/>
  <c r="E15" i="32"/>
  <c r="E16" i="32" s="1"/>
  <c r="F17" i="25"/>
  <c r="F15" i="25"/>
  <c r="F16" i="25" s="1"/>
  <c r="E17" i="25"/>
  <c r="E15" i="25"/>
  <c r="E16" i="25" s="1"/>
  <c r="D17" i="25"/>
  <c r="D15" i="25"/>
  <c r="D16" i="25" s="1"/>
  <c r="C17" i="25"/>
  <c r="C16" i="25"/>
  <c r="H17" i="25"/>
  <c r="H15" i="25"/>
  <c r="H16" i="25" s="1"/>
  <c r="G17" i="25"/>
  <c r="G15" i="25"/>
  <c r="G16" i="25" s="1"/>
  <c r="I14" i="25"/>
  <c r="E17" i="24"/>
  <c r="E15" i="24"/>
  <c r="E16" i="24" s="1"/>
  <c r="G17" i="24"/>
  <c r="G15" i="24"/>
  <c r="G16" i="24" s="1"/>
  <c r="F17" i="24"/>
  <c r="F15" i="24"/>
  <c r="F16" i="24" s="1"/>
  <c r="H17" i="24"/>
  <c r="H15" i="24"/>
  <c r="H16" i="24" s="1"/>
  <c r="C17" i="24"/>
  <c r="I14" i="24"/>
  <c r="C16" i="24"/>
  <c r="D17" i="24"/>
  <c r="D15" i="24"/>
  <c r="D16" i="24" s="1"/>
  <c r="F17" i="21"/>
  <c r="E17" i="21"/>
  <c r="E15" i="21"/>
  <c r="E16" i="21" s="1"/>
  <c r="D17" i="21"/>
  <c r="D15" i="21"/>
  <c r="D16" i="21" s="1"/>
  <c r="C17" i="21"/>
  <c r="C16" i="21"/>
  <c r="H17" i="21"/>
  <c r="G17" i="21"/>
  <c r="G15" i="21"/>
  <c r="G16" i="21" s="1"/>
  <c r="C17" i="20"/>
  <c r="C16" i="20"/>
  <c r="H17" i="20"/>
  <c r="H15" i="20"/>
  <c r="H16" i="20" s="1"/>
  <c r="G17" i="20"/>
  <c r="G15" i="20"/>
  <c r="G16" i="20" s="1"/>
  <c r="F17" i="20"/>
  <c r="F15" i="20"/>
  <c r="F16" i="20" s="1"/>
  <c r="E17" i="20"/>
  <c r="E15" i="20"/>
  <c r="E16" i="20" s="1"/>
  <c r="D17" i="20"/>
  <c r="D15" i="20"/>
  <c r="D16" i="20" s="1"/>
  <c r="C17" i="19"/>
  <c r="C16" i="19"/>
  <c r="H17" i="19"/>
  <c r="H15" i="19"/>
  <c r="H16" i="19" s="1"/>
  <c r="G17" i="19"/>
  <c r="G15" i="19"/>
  <c r="G16" i="19" s="1"/>
  <c r="F17" i="19"/>
  <c r="F15" i="19"/>
  <c r="F16" i="19" s="1"/>
  <c r="E17" i="19"/>
  <c r="E15" i="19"/>
  <c r="E16" i="19" s="1"/>
  <c r="D17" i="19"/>
  <c r="I14" i="19"/>
  <c r="D15" i="19"/>
  <c r="D16" i="19" s="1"/>
  <c r="H14" i="17"/>
  <c r="G14" i="17"/>
  <c r="F14" i="17"/>
  <c r="E14" i="17"/>
  <c r="D14" i="17"/>
  <c r="C14" i="17"/>
  <c r="I14" i="16"/>
  <c r="H14" i="16"/>
  <c r="G14" i="16"/>
  <c r="F14" i="16"/>
  <c r="E14" i="16"/>
  <c r="D14" i="16"/>
  <c r="C14" i="16"/>
  <c r="H14" i="15"/>
  <c r="G14" i="15"/>
  <c r="F14" i="15"/>
  <c r="E14" i="15"/>
  <c r="D14" i="15"/>
  <c r="C14" i="15"/>
  <c r="H14" i="14"/>
  <c r="G14" i="14"/>
  <c r="E14" i="14"/>
  <c r="D14" i="14"/>
  <c r="C14" i="14"/>
  <c r="H14" i="13"/>
  <c r="G14" i="13"/>
  <c r="F14" i="13"/>
  <c r="E14" i="13"/>
  <c r="D14" i="13"/>
  <c r="C14" i="13"/>
  <c r="H14" i="12"/>
  <c r="G14" i="12"/>
  <c r="F14" i="12"/>
  <c r="E14" i="12"/>
  <c r="D14" i="12"/>
  <c r="C14" i="12"/>
  <c r="H14" i="11"/>
  <c r="G14" i="11"/>
  <c r="F14" i="11"/>
  <c r="E14" i="11"/>
  <c r="D14" i="11"/>
  <c r="C14" i="11"/>
  <c r="H14" i="10"/>
  <c r="G14" i="10"/>
  <c r="F14" i="10"/>
  <c r="E14" i="10"/>
  <c r="D14" i="10"/>
  <c r="C14" i="10"/>
  <c r="I14" i="9"/>
  <c r="H14" i="9"/>
  <c r="G14" i="9"/>
  <c r="F14" i="9"/>
  <c r="E14" i="9"/>
  <c r="D14" i="9"/>
  <c r="C14" i="9"/>
  <c r="H14" i="8"/>
  <c r="G14" i="8"/>
  <c r="F14" i="8"/>
  <c r="E14" i="8"/>
  <c r="D14" i="8"/>
  <c r="C14" i="8"/>
  <c r="H14" i="7"/>
  <c r="G14" i="7"/>
  <c r="F14" i="7"/>
  <c r="E14" i="7"/>
  <c r="D14" i="7"/>
  <c r="C14" i="7"/>
  <c r="H14" i="6"/>
  <c r="G14" i="6"/>
  <c r="F14" i="6"/>
  <c r="E14" i="6"/>
  <c r="D14" i="6"/>
  <c r="C14" i="6"/>
  <c r="H14" i="5"/>
  <c r="G14" i="5"/>
  <c r="F14" i="5"/>
  <c r="E14" i="5"/>
  <c r="D14" i="5"/>
  <c r="C14" i="5"/>
  <c r="I17" i="26" l="1"/>
  <c r="D15" i="5"/>
  <c r="D16" i="5" s="1"/>
  <c r="I14" i="5"/>
  <c r="J17" i="30"/>
  <c r="G17" i="6"/>
  <c r="G15" i="6"/>
  <c r="G16" i="6" s="1"/>
  <c r="G17" i="7"/>
  <c r="G15" i="7"/>
  <c r="G16" i="7" s="1"/>
  <c r="G17" i="11"/>
  <c r="G15" i="11"/>
  <c r="G16" i="11" s="1"/>
  <c r="H17" i="6"/>
  <c r="H15" i="6"/>
  <c r="H16" i="6" s="1"/>
  <c r="H17" i="7"/>
  <c r="H15" i="7"/>
  <c r="H16" i="7" s="1"/>
  <c r="G17" i="8"/>
  <c r="G15" i="8"/>
  <c r="G16" i="8" s="1"/>
  <c r="H17" i="11"/>
  <c r="H15" i="11"/>
  <c r="H16" i="11" s="1"/>
  <c r="H17" i="8"/>
  <c r="H15" i="8"/>
  <c r="H16" i="8" s="1"/>
  <c r="G17" i="9"/>
  <c r="G15" i="9"/>
  <c r="G16" i="9" s="1"/>
  <c r="G17" i="5"/>
  <c r="G15" i="5"/>
  <c r="G16" i="5" s="1"/>
  <c r="H17" i="9"/>
  <c r="H15" i="9"/>
  <c r="H16" i="9" s="1"/>
  <c r="I17" i="18"/>
  <c r="J17" i="29"/>
  <c r="D17" i="6"/>
  <c r="D15" i="6"/>
  <c r="D16" i="6" s="1"/>
  <c r="D17" i="5"/>
  <c r="E17" i="6"/>
  <c r="E15" i="6"/>
  <c r="E16" i="6" s="1"/>
  <c r="E17" i="7"/>
  <c r="E15" i="7"/>
  <c r="E16" i="7" s="1"/>
  <c r="D17" i="8"/>
  <c r="D15" i="8"/>
  <c r="D16" i="8" s="1"/>
  <c r="C17" i="9"/>
  <c r="C16" i="9"/>
  <c r="E17" i="11"/>
  <c r="E15" i="11"/>
  <c r="E16" i="11" s="1"/>
  <c r="I17" i="23"/>
  <c r="I17" i="27"/>
  <c r="C17" i="5"/>
  <c r="C16" i="5"/>
  <c r="C17" i="8"/>
  <c r="I14" i="8"/>
  <c r="C16" i="8"/>
  <c r="D17" i="11"/>
  <c r="D15" i="11"/>
  <c r="D16" i="11" s="1"/>
  <c r="E17" i="5"/>
  <c r="E15" i="5"/>
  <c r="E16" i="5" s="1"/>
  <c r="F17" i="6"/>
  <c r="F15" i="6"/>
  <c r="F16" i="6" s="1"/>
  <c r="F17" i="7"/>
  <c r="F15" i="7"/>
  <c r="F16" i="7" s="1"/>
  <c r="E17" i="8"/>
  <c r="E15" i="8"/>
  <c r="E16" i="8" s="1"/>
  <c r="D17" i="9"/>
  <c r="D15" i="9"/>
  <c r="D16" i="9" s="1"/>
  <c r="F17" i="11"/>
  <c r="F15" i="11"/>
  <c r="F16" i="11" s="1"/>
  <c r="J17" i="31"/>
  <c r="I17" i="32"/>
  <c r="D17" i="7"/>
  <c r="D15" i="7"/>
  <c r="D16" i="7" s="1"/>
  <c r="F17" i="9"/>
  <c r="F15" i="9"/>
  <c r="F16" i="9" s="1"/>
  <c r="F17" i="5"/>
  <c r="F15" i="5"/>
  <c r="F16" i="5" s="1"/>
  <c r="C17" i="6"/>
  <c r="C16" i="6"/>
  <c r="C17" i="7"/>
  <c r="I14" i="7"/>
  <c r="C16" i="7"/>
  <c r="F17" i="8"/>
  <c r="F15" i="8"/>
  <c r="F16" i="8" s="1"/>
  <c r="E17" i="9"/>
  <c r="E15" i="9"/>
  <c r="E16" i="9" s="1"/>
  <c r="C17" i="11"/>
  <c r="C16" i="11"/>
  <c r="I14" i="11"/>
  <c r="I17" i="22"/>
  <c r="J17" i="28"/>
  <c r="I17" i="25"/>
  <c r="I17" i="24"/>
  <c r="I17" i="19"/>
  <c r="C17" i="16"/>
  <c r="C16" i="16"/>
  <c r="H17" i="16"/>
  <c r="H15" i="16"/>
  <c r="H16" i="16" s="1"/>
  <c r="G17" i="16"/>
  <c r="G15" i="16"/>
  <c r="G16" i="16" s="1"/>
  <c r="F17" i="16"/>
  <c r="F15" i="16"/>
  <c r="F16" i="16" s="1"/>
  <c r="E17" i="16"/>
  <c r="E15" i="16"/>
  <c r="E16" i="16" s="1"/>
  <c r="D17" i="16"/>
  <c r="D15" i="16"/>
  <c r="D16" i="16" s="1"/>
  <c r="C17" i="17"/>
  <c r="C16" i="17"/>
  <c r="H17" i="17"/>
  <c r="H15" i="17"/>
  <c r="H16" i="17" s="1"/>
  <c r="G17" i="17"/>
  <c r="G15" i="17"/>
  <c r="G16" i="17" s="1"/>
  <c r="F17" i="17"/>
  <c r="F15" i="17"/>
  <c r="F16" i="17" s="1"/>
  <c r="E17" i="17"/>
  <c r="E15" i="17"/>
  <c r="E16" i="17" s="1"/>
  <c r="D17" i="17"/>
  <c r="D15" i="17"/>
  <c r="D16" i="17" s="1"/>
  <c r="I14" i="17"/>
  <c r="C17" i="15"/>
  <c r="C16" i="15"/>
  <c r="H17" i="15"/>
  <c r="H15" i="15"/>
  <c r="H16" i="15" s="1"/>
  <c r="G17" i="15"/>
  <c r="G15" i="15"/>
  <c r="G16" i="15" s="1"/>
  <c r="F17" i="15"/>
  <c r="F15" i="15"/>
  <c r="F16" i="15" s="1"/>
  <c r="E17" i="15"/>
  <c r="E15" i="15"/>
  <c r="E16" i="15" s="1"/>
  <c r="D17" i="15"/>
  <c r="D15" i="15"/>
  <c r="D16" i="15" s="1"/>
  <c r="I14" i="15"/>
  <c r="C17" i="14"/>
  <c r="C16" i="14"/>
  <c r="H17" i="14"/>
  <c r="H15" i="14"/>
  <c r="H16" i="14" s="1"/>
  <c r="G17" i="14"/>
  <c r="G15" i="14"/>
  <c r="G16" i="14" s="1"/>
  <c r="F17" i="14"/>
  <c r="F15" i="14"/>
  <c r="F16" i="14" s="1"/>
  <c r="E17" i="14"/>
  <c r="E15" i="14"/>
  <c r="E16" i="14" s="1"/>
  <c r="D17" i="14"/>
  <c r="I14" i="14"/>
  <c r="D15" i="14"/>
  <c r="D16" i="14" s="1"/>
  <c r="H17" i="13"/>
  <c r="H15" i="13"/>
  <c r="H16" i="13" s="1"/>
  <c r="G17" i="13"/>
  <c r="G15" i="13"/>
  <c r="G16" i="13" s="1"/>
  <c r="C17" i="13"/>
  <c r="C16" i="13"/>
  <c r="I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H17" i="12"/>
  <c r="H15" i="12"/>
  <c r="H16" i="12" s="1"/>
  <c r="G17" i="12"/>
  <c r="G15" i="12"/>
  <c r="G16" i="12" s="1"/>
  <c r="F17" i="12"/>
  <c r="F15" i="12"/>
  <c r="F16" i="12" s="1"/>
  <c r="E17" i="12"/>
  <c r="E15" i="12"/>
  <c r="E16" i="12" s="1"/>
  <c r="D17" i="12"/>
  <c r="D15" i="12"/>
  <c r="D16" i="12" s="1"/>
  <c r="I14" i="12"/>
  <c r="C17" i="10"/>
  <c r="C16" i="10"/>
  <c r="H17" i="10"/>
  <c r="H15" i="10"/>
  <c r="H16" i="10" s="1"/>
  <c r="G17" i="10"/>
  <c r="G15" i="10"/>
  <c r="G16" i="10" s="1"/>
  <c r="F17" i="10"/>
  <c r="F15" i="10"/>
  <c r="F16" i="10" s="1"/>
  <c r="E17" i="10"/>
  <c r="E15" i="10"/>
  <c r="E16" i="10" s="1"/>
  <c r="D17" i="10"/>
  <c r="D15" i="10"/>
  <c r="D16" i="10" s="1"/>
  <c r="I14" i="10"/>
  <c r="I14" i="6"/>
  <c r="I14" i="4"/>
  <c r="H14" i="4"/>
  <c r="G14" i="4"/>
  <c r="F14" i="4"/>
  <c r="E14" i="4"/>
  <c r="D14" i="4"/>
  <c r="C14" i="4"/>
  <c r="I17" i="8" l="1"/>
  <c r="I17" i="7"/>
  <c r="I17" i="4"/>
  <c r="I15" i="4"/>
  <c r="I16" i="4" s="1"/>
  <c r="G17" i="4"/>
  <c r="G15" i="4"/>
  <c r="G16" i="4" s="1"/>
  <c r="H17" i="4"/>
  <c r="H15" i="4"/>
  <c r="H16" i="4" s="1"/>
  <c r="I17" i="11"/>
  <c r="E17" i="4"/>
  <c r="E15" i="4"/>
  <c r="E16" i="4" s="1"/>
  <c r="F17" i="4"/>
  <c r="F15" i="4"/>
  <c r="F16" i="4" s="1"/>
  <c r="D17" i="4"/>
  <c r="D15" i="4"/>
  <c r="D16" i="4" s="1"/>
  <c r="C17" i="4"/>
  <c r="J14" i="4"/>
  <c r="C16" i="4"/>
  <c r="I17" i="5"/>
  <c r="I17" i="17"/>
  <c r="I17" i="15"/>
  <c r="I17" i="14"/>
  <c r="I17" i="13"/>
  <c r="I17" i="12"/>
  <c r="I17" i="10"/>
  <c r="J17" i="4" l="1"/>
  <c r="I18" i="2"/>
  <c r="H18" i="2"/>
  <c r="G18" i="2"/>
  <c r="F18" i="2"/>
  <c r="E18" i="2"/>
  <c r="D18" i="2"/>
  <c r="C15" i="2"/>
  <c r="C16" i="2" s="1"/>
</calcChain>
</file>

<file path=xl/sharedStrings.xml><?xml version="1.0" encoding="utf-8"?>
<sst xmlns="http://schemas.openxmlformats.org/spreadsheetml/2006/main" count="1312" uniqueCount="43">
  <si>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</si>
  <si>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</si>
  <si>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</si>
  <si>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</si>
  <si>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</si>
  <si>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</si>
  <si>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</si>
  <si>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</si>
  <si>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</si>
  <si>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</si>
  <si>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>LEM</t>
  </si>
  <si>
    <t>CHK</t>
  </si>
  <si>
    <t>Meat</t>
  </si>
  <si>
    <t>Salman</t>
  </si>
  <si>
    <t xml:space="preserve">Zeshan </t>
  </si>
  <si>
    <t xml:space="preserve">Total </t>
  </si>
  <si>
    <t>Furqan</t>
  </si>
  <si>
    <t xml:space="preserve">Last Month </t>
  </si>
  <si>
    <t>Mubeen</t>
  </si>
  <si>
    <t>Saturday</t>
  </si>
  <si>
    <t>With FOC</t>
  </si>
  <si>
    <t>FOC</t>
  </si>
  <si>
    <t>SKU Wise</t>
  </si>
  <si>
    <t xml:space="preserve">Ctns </t>
  </si>
  <si>
    <t>Shops</t>
  </si>
  <si>
    <t>Ctns</t>
  </si>
  <si>
    <t>Executed</t>
  </si>
  <si>
    <t>Zeshan</t>
  </si>
  <si>
    <t>Umair</t>
  </si>
  <si>
    <t xml:space="preserve">Shakoor </t>
  </si>
  <si>
    <t>Bilal</t>
  </si>
  <si>
    <t>Booking</t>
  </si>
  <si>
    <t>Execution</t>
  </si>
  <si>
    <t>Shakoor</t>
  </si>
  <si>
    <t>CTNS</t>
  </si>
  <si>
    <t>70meat</t>
  </si>
  <si>
    <t>120lem</t>
  </si>
  <si>
    <t>M</t>
  </si>
  <si>
    <t>L</t>
  </si>
  <si>
    <t>c</t>
  </si>
  <si>
    <t>C</t>
  </si>
  <si>
    <t>LMT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</si>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</sst>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5" xfId="0" applyFont="1" applyFill="1" applyBorder="1"/>
    <xf numFmtId="0" fontId="2" fillId="0" borderId="27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6" borderId="15" xfId="0" applyFill="1" applyBorder="1"/>
    <xf numFmtId="0" fontId="1" fillId="0" borderId="28" xfId="0" applyFont="1" applyBorder="1"/>
    <xf numFmtId="0" fontId="0" fillId="0" borderId="28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6" borderId="0" xfId="0" applyFill="1"/>
    <xf numFmtId="0" fontId="2" fillId="6" borderId="2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zoomScale="115" zoomScaleNormal="115" workbookViewId="0">
      <selection activeCell="AA9" sqref="AA9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61" t="s">
        <v>0</v>
      </c>
      <c r="C2" s="62"/>
      <c r="D2" s="62"/>
      <c r="E2" s="62"/>
      <c r="F2" s="62"/>
      <c r="G2" s="62"/>
      <c r="H2" s="62"/>
      <c r="I2" s="62"/>
      <c r="J2" s="62"/>
      <c r="K2" s="63"/>
    </row>
    <row r="3" spans="1:11" x14ac:dyDescent="0.35">
      <c r="A3" s="1"/>
      <c r="B3" s="64"/>
      <c r="C3" s="65"/>
      <c r="D3" s="65"/>
      <c r="E3" s="65"/>
      <c r="F3" s="65"/>
      <c r="G3" s="65"/>
      <c r="H3" s="65"/>
      <c r="I3" s="65"/>
      <c r="J3" s="65"/>
      <c r="K3" s="66"/>
    </row>
    <row r="4" spans="1:11" x14ac:dyDescent="0.35">
      <c r="A4" s="1"/>
      <c r="B4" s="64"/>
      <c r="C4" s="65"/>
      <c r="D4" s="65"/>
      <c r="E4" s="65"/>
      <c r="F4" s="65"/>
      <c r="G4" s="65"/>
      <c r="H4" s="65"/>
      <c r="I4" s="65"/>
      <c r="J4" s="65"/>
      <c r="K4" s="66"/>
    </row>
    <row r="5" spans="1:11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J5" s="68"/>
      <c r="K5" s="69"/>
    </row>
    <row r="6" spans="1:11" ht="15" thickBot="1" x14ac:dyDescent="0.4">
      <c r="A6" s="1"/>
      <c r="B6" s="2"/>
      <c r="C6" s="3" t="s">
        <v>1</v>
      </c>
      <c r="D6" s="70" t="s">
        <v>2</v>
      </c>
      <c r="E6" s="71"/>
      <c r="F6" s="71"/>
      <c r="G6" s="72"/>
      <c r="H6" s="71" t="s">
        <v>3</v>
      </c>
      <c r="I6" s="71"/>
      <c r="J6" s="71"/>
      <c r="K6" s="72"/>
    </row>
    <row r="7" spans="1:11" x14ac:dyDescent="0.35">
      <c r="A7" s="4" t="s">
        <v>4</v>
      </c>
      <c r="B7" s="4" t="s">
        <v>5</v>
      </c>
      <c r="C7" s="5" t="s">
        <v>6</v>
      </c>
      <c r="D7" s="6" t="s">
        <v>12</v>
      </c>
      <c r="E7" s="7" t="s">
        <v>10</v>
      </c>
      <c r="F7" s="7" t="s">
        <v>11</v>
      </c>
      <c r="G7" s="8" t="s">
        <v>8</v>
      </c>
      <c r="H7" s="9" t="s">
        <v>12</v>
      </c>
      <c r="I7" s="7" t="s">
        <v>7</v>
      </c>
      <c r="J7" s="7" t="s">
        <v>11</v>
      </c>
      <c r="K7" s="8" t="s">
        <v>8</v>
      </c>
    </row>
    <row r="8" spans="1:11" x14ac:dyDescent="0.35">
      <c r="A8" s="27"/>
      <c r="B8" s="10" t="s">
        <v>17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16</v>
      </c>
    </row>
    <row r="23" spans="1:11" x14ac:dyDescent="0.35">
      <c r="B23" t="s">
        <v>28</v>
      </c>
    </row>
    <row r="24" spans="1:11" x14ac:dyDescent="0.35">
      <c r="B24" t="s">
        <v>27</v>
      </c>
    </row>
    <row r="25" spans="1:11" x14ac:dyDescent="0.35">
      <c r="B25" t="s">
        <v>13</v>
      </c>
    </row>
    <row r="26" spans="1:11" x14ac:dyDescent="0.35">
      <c r="B26" t="s">
        <v>18</v>
      </c>
    </row>
    <row r="27" spans="1:11" x14ac:dyDescent="0.35">
      <c r="B27" t="s">
        <v>29</v>
      </c>
    </row>
    <row r="28" spans="1:11" x14ac:dyDescent="0.35">
      <c r="B28" t="s">
        <v>30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V19"/>
  <sheetViews>
    <sheetView tabSelected="1" zoomScaleNormal="100" workbookViewId="0">
      <selection activeCell="Y8" sqref="Y8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90625" bestFit="1" customWidth="1"/>
    <col min="13" max="13" width="9.08984375" bestFit="1" customWidth="1"/>
    <col min="14" max="14" width="4" bestFit="1" customWidth="1"/>
    <col min="15" max="15" width="3.90625" bestFit="1" customWidth="1"/>
    <col min="16" max="16" width="3.26953125" bestFit="1" customWidth="1"/>
    <col min="17" max="17" width="3.08984375" bestFit="1" customWidth="1"/>
    <col min="18" max="18" width="3.90625" bestFit="1" customWidth="1"/>
    <col min="19" max="19" width="3.6328125" bestFit="1" customWidth="1"/>
    <col min="20" max="20" width="3.08984375" bestFit="1" customWidth="1"/>
  </cols>
  <sheetData>
    <row r="1" spans="1:22" ht="15" thickBot="1" x14ac:dyDescent="0.4">
      <c r="A1" s="49" t="s">
        <v>42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10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10" t="s">
        <v>14</v>
      </c>
      <c r="C8" s="12">
        <v>132</v>
      </c>
      <c r="D8" s="12">
        <v>12</v>
      </c>
      <c r="E8" s="12">
        <v>12</v>
      </c>
      <c r="F8" s="12">
        <v>0</v>
      </c>
      <c r="G8" s="12">
        <v>70</v>
      </c>
      <c r="H8" s="12">
        <v>80</v>
      </c>
      <c r="I8" s="12">
        <v>90</v>
      </c>
      <c r="J8">
        <f>SUM(C8:F8,G8,H8,I8)/40</f>
        <v>9.9</v>
      </c>
      <c r="K8" s="44">
        <v>8</v>
      </c>
      <c r="L8" s="27"/>
      <c r="M8" s="10" t="s">
        <v>14</v>
      </c>
      <c r="N8" s="12"/>
      <c r="O8" s="12"/>
      <c r="P8" s="12"/>
      <c r="Q8" s="12"/>
      <c r="R8" s="12"/>
      <c r="S8" s="12"/>
      <c r="T8" s="12"/>
      <c r="U8">
        <f>SUM(N8:Q8,R8,S8,T8)/40</f>
        <v>0</v>
      </c>
      <c r="V8" s="44"/>
    </row>
    <row r="9" spans="1:22" x14ac:dyDescent="0.35">
      <c r="A9" s="27"/>
      <c r="B9" s="10" t="s">
        <v>9</v>
      </c>
      <c r="C9" s="12">
        <v>152</v>
      </c>
      <c r="D9" s="12">
        <v>45</v>
      </c>
      <c r="E9" s="12">
        <v>30</v>
      </c>
      <c r="F9" s="12">
        <v>0</v>
      </c>
      <c r="G9" s="12">
        <v>67</v>
      </c>
      <c r="H9" s="12">
        <v>53</v>
      </c>
      <c r="I9" s="12">
        <v>55</v>
      </c>
      <c r="J9">
        <f t="shared" ref="J9:J12" si="0">SUM(C9:F9,G9,H9,I9)/40</f>
        <v>10.050000000000001</v>
      </c>
      <c r="K9" s="44">
        <v>7</v>
      </c>
      <c r="L9" s="27"/>
      <c r="M9" s="10" t="s">
        <v>13</v>
      </c>
      <c r="N9" s="12"/>
      <c r="O9" s="12"/>
      <c r="P9" s="12"/>
      <c r="Q9" s="12"/>
      <c r="R9" s="12"/>
      <c r="S9" s="12"/>
      <c r="T9" s="12"/>
      <c r="U9">
        <f t="shared" ref="U9:U12" si="1">SUM(N9:Q9,R9,S9,T9)/40</f>
        <v>0</v>
      </c>
      <c r="V9" s="44"/>
    </row>
    <row r="10" spans="1:22" x14ac:dyDescent="0.35">
      <c r="A10" s="27"/>
      <c r="B10" s="10" t="s">
        <v>28</v>
      </c>
      <c r="C10" s="12">
        <v>100</v>
      </c>
      <c r="D10" s="12">
        <v>40</v>
      </c>
      <c r="E10" s="12">
        <v>20</v>
      </c>
      <c r="F10" s="12">
        <v>0</v>
      </c>
      <c r="G10" s="12">
        <v>164</v>
      </c>
      <c r="H10" s="12">
        <v>164</v>
      </c>
      <c r="I10" s="12">
        <v>144</v>
      </c>
      <c r="J10">
        <f t="shared" si="0"/>
        <v>15.8</v>
      </c>
      <c r="K10" s="44">
        <v>8</v>
      </c>
      <c r="L10" s="27"/>
      <c r="M10" s="10" t="s">
        <v>28</v>
      </c>
      <c r="N10" s="12"/>
      <c r="O10" s="12"/>
      <c r="P10" s="12"/>
      <c r="Q10" s="12"/>
      <c r="R10" s="12"/>
      <c r="S10" s="12"/>
      <c r="T10" s="12"/>
      <c r="U10">
        <f t="shared" si="1"/>
        <v>0</v>
      </c>
      <c r="V10" s="44"/>
    </row>
    <row r="11" spans="1:22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12"/>
      <c r="J11">
        <f t="shared" si="0"/>
        <v>0</v>
      </c>
      <c r="K11" s="44"/>
      <c r="L11" s="11"/>
      <c r="M11" s="11" t="s">
        <v>33</v>
      </c>
      <c r="N11" s="12"/>
      <c r="O11" s="12"/>
      <c r="P11" s="12"/>
      <c r="Q11" s="12"/>
      <c r="R11" s="12"/>
      <c r="S11" s="12"/>
      <c r="T11" s="12"/>
      <c r="U11">
        <f t="shared" si="1"/>
        <v>0</v>
      </c>
      <c r="V11" s="41"/>
    </row>
    <row r="12" spans="1:22" x14ac:dyDescent="0.35">
      <c r="A12" s="11"/>
      <c r="B12" s="11"/>
      <c r="C12" s="12"/>
      <c r="D12" s="12"/>
      <c r="E12" s="12"/>
      <c r="F12" s="12"/>
      <c r="G12" s="12"/>
      <c r="H12" s="12"/>
      <c r="I12" s="12"/>
      <c r="J12">
        <f t="shared" si="0"/>
        <v>0</v>
      </c>
      <c r="K12" s="44"/>
      <c r="L12" s="11"/>
      <c r="M12" s="11"/>
      <c r="N12" s="12"/>
      <c r="O12" s="12"/>
      <c r="P12" s="12"/>
      <c r="Q12" s="12"/>
      <c r="R12" s="12"/>
      <c r="S12" s="12"/>
      <c r="T12" s="12"/>
      <c r="U12">
        <f t="shared" si="1"/>
        <v>0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12"/>
      <c r="R13" s="12"/>
      <c r="S13" s="12"/>
      <c r="T13" s="12"/>
    </row>
    <row r="14" spans="1:22" x14ac:dyDescent="0.35">
      <c r="A14" s="13"/>
      <c r="B14" s="10"/>
      <c r="C14" s="14">
        <f t="shared" ref="C14:I14" si="2">SUM(C8:C13)</f>
        <v>384</v>
      </c>
      <c r="D14" s="14">
        <f t="shared" si="2"/>
        <v>97</v>
      </c>
      <c r="E14" s="14">
        <f t="shared" si="2"/>
        <v>62</v>
      </c>
      <c r="F14" s="14">
        <f t="shared" si="2"/>
        <v>0</v>
      </c>
      <c r="G14" s="14">
        <f t="shared" si="2"/>
        <v>301</v>
      </c>
      <c r="H14" s="14">
        <f t="shared" si="2"/>
        <v>297</v>
      </c>
      <c r="I14" s="14">
        <f t="shared" si="2"/>
        <v>289</v>
      </c>
      <c r="J14" s="35">
        <f>C14+D14+E14+F14+G14+H14+I14</f>
        <v>1430</v>
      </c>
      <c r="L14" s="13"/>
      <c r="M14" s="10"/>
      <c r="N14" s="14">
        <f t="shared" ref="N14:T14" si="3">SUM(N8:N13)</f>
        <v>0</v>
      </c>
      <c r="O14" s="14">
        <f t="shared" si="3"/>
        <v>0</v>
      </c>
      <c r="P14" s="14">
        <f t="shared" si="3"/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35">
        <f>N14+O14+P14+Q14+R14+S14+T14</f>
        <v>0</v>
      </c>
    </row>
    <row r="15" spans="1:22" x14ac:dyDescent="0.35">
      <c r="A15" s="13"/>
      <c r="B15" s="10" t="s">
        <v>21</v>
      </c>
      <c r="C15" s="13"/>
      <c r="D15" s="13">
        <f>D14/20</f>
        <v>4.8499999999999996</v>
      </c>
      <c r="E15" s="13">
        <f t="shared" ref="E15:I15" si="4">E14/20</f>
        <v>3.1</v>
      </c>
      <c r="F15" s="13">
        <f t="shared" si="4"/>
        <v>0</v>
      </c>
      <c r="G15" s="13">
        <f t="shared" si="4"/>
        <v>15.05</v>
      </c>
      <c r="H15" s="13">
        <f t="shared" si="4"/>
        <v>14.85</v>
      </c>
      <c r="I15" s="13">
        <f t="shared" si="4"/>
        <v>14.45</v>
      </c>
      <c r="L15" s="13"/>
      <c r="M15" s="10" t="s">
        <v>21</v>
      </c>
      <c r="N15" s="13"/>
      <c r="O15" s="13">
        <f>O14/20</f>
        <v>0</v>
      </c>
      <c r="P15" s="13">
        <f t="shared" ref="P15:Q15" si="5">P14/20</f>
        <v>0</v>
      </c>
      <c r="Q15" s="13">
        <f t="shared" si="5"/>
        <v>0</v>
      </c>
      <c r="R15" s="13">
        <f t="shared" ref="R15:T15" si="6">R14/20</f>
        <v>0</v>
      </c>
      <c r="S15" s="13">
        <f t="shared" si="6"/>
        <v>0</v>
      </c>
      <c r="T15" s="13">
        <f t="shared" si="6"/>
        <v>0</v>
      </c>
    </row>
    <row r="16" spans="1:22" x14ac:dyDescent="0.35">
      <c r="A16" s="13"/>
      <c r="B16" s="10" t="s">
        <v>20</v>
      </c>
      <c r="C16" s="36">
        <f>C15+C14</f>
        <v>384</v>
      </c>
      <c r="D16" s="36">
        <f t="shared" ref="D16:I16" si="7">D15+D14</f>
        <v>101.85</v>
      </c>
      <c r="E16" s="36">
        <f t="shared" si="7"/>
        <v>65.099999999999994</v>
      </c>
      <c r="F16" s="36">
        <f t="shared" si="7"/>
        <v>0</v>
      </c>
      <c r="G16" s="36">
        <f t="shared" si="7"/>
        <v>316.05</v>
      </c>
      <c r="H16" s="36">
        <f t="shared" si="7"/>
        <v>311.85000000000002</v>
      </c>
      <c r="I16" s="36">
        <f t="shared" si="7"/>
        <v>303.45</v>
      </c>
      <c r="L16" s="13"/>
      <c r="M16" s="10" t="s">
        <v>20</v>
      </c>
      <c r="N16" s="36">
        <f>N15+N14</f>
        <v>0</v>
      </c>
      <c r="O16" s="36">
        <f t="shared" ref="O16:Q16" si="8">O15+O14</f>
        <v>0</v>
      </c>
      <c r="P16" s="36">
        <f t="shared" si="8"/>
        <v>0</v>
      </c>
      <c r="Q16" s="36">
        <f t="shared" si="8"/>
        <v>0</v>
      </c>
      <c r="R16" s="36">
        <f t="shared" ref="R16:T16" si="9">R15+R14</f>
        <v>0</v>
      </c>
      <c r="S16" s="36">
        <f t="shared" si="9"/>
        <v>0</v>
      </c>
      <c r="T16" s="36">
        <f t="shared" si="9"/>
        <v>0</v>
      </c>
    </row>
    <row r="17" spans="1:21" x14ac:dyDescent="0.35">
      <c r="A17" s="13"/>
      <c r="B17" s="39" t="s">
        <v>22</v>
      </c>
      <c r="C17" s="36">
        <f>C14/40</f>
        <v>9.6</v>
      </c>
      <c r="D17" s="36">
        <f t="shared" ref="D17:I17" si="10">D14/40</f>
        <v>2.4249999999999998</v>
      </c>
      <c r="E17" s="36">
        <f t="shared" si="10"/>
        <v>1.55</v>
      </c>
      <c r="F17" s="36">
        <f t="shared" si="10"/>
        <v>0</v>
      </c>
      <c r="G17" s="36">
        <f t="shared" si="10"/>
        <v>7.5250000000000004</v>
      </c>
      <c r="H17" s="36">
        <f t="shared" si="10"/>
        <v>7.4249999999999998</v>
      </c>
      <c r="I17" s="36">
        <f t="shared" si="10"/>
        <v>7.2249999999999996</v>
      </c>
      <c r="J17" s="35">
        <f>SUM(C17:I17)</f>
        <v>35.75</v>
      </c>
      <c r="L17" s="13"/>
      <c r="M17" s="39" t="s">
        <v>22</v>
      </c>
      <c r="N17" s="36">
        <f>N14/40</f>
        <v>0</v>
      </c>
      <c r="O17" s="36">
        <f t="shared" ref="O17:Q17" si="11">O14/40</f>
        <v>0</v>
      </c>
      <c r="P17" s="36">
        <f t="shared" si="11"/>
        <v>0</v>
      </c>
      <c r="Q17" s="36">
        <f t="shared" si="11"/>
        <v>0</v>
      </c>
      <c r="R17" s="36">
        <f t="shared" ref="R17:T17" si="12">R14/40</f>
        <v>0</v>
      </c>
      <c r="S17" s="36">
        <f t="shared" si="12"/>
        <v>0</v>
      </c>
      <c r="T17" s="36">
        <f t="shared" si="12"/>
        <v>0</v>
      </c>
      <c r="U17" s="35">
        <f>SUM(N17:T17)</f>
        <v>0</v>
      </c>
    </row>
    <row r="18" spans="1:21" ht="15" thickBot="1" x14ac:dyDescent="0.4">
      <c r="A18" s="51"/>
      <c r="B18" s="51"/>
      <c r="C18" s="52"/>
      <c r="D18" s="51"/>
      <c r="E18" s="51"/>
      <c r="F18" s="51"/>
      <c r="G18" s="51"/>
      <c r="H18" s="51"/>
      <c r="I18" s="51"/>
      <c r="J18" s="51"/>
      <c r="K18" s="51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V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5429687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10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K8" s="44"/>
      <c r="L8" s="27"/>
      <c r="M8" s="10" t="s">
        <v>14</v>
      </c>
      <c r="N8" s="12"/>
      <c r="O8" s="12"/>
      <c r="P8" s="12"/>
      <c r="Q8" s="12"/>
      <c r="R8" s="12"/>
      <c r="S8" s="12"/>
      <c r="T8" s="12"/>
      <c r="U8">
        <f>SUM(N8:Q8,R8,S8,T8)/40</f>
        <v>0</v>
      </c>
    </row>
    <row r="9" spans="1:22" x14ac:dyDescent="0.35">
      <c r="A9" s="27">
        <v>46175</v>
      </c>
      <c r="B9" s="10" t="s">
        <v>9</v>
      </c>
      <c r="C9" s="12"/>
      <c r="D9" s="12"/>
      <c r="E9" s="12"/>
      <c r="F9" s="12"/>
      <c r="G9" s="12"/>
      <c r="H9" s="12"/>
      <c r="I9" s="12"/>
      <c r="J9">
        <f t="shared" ref="J9:J12" si="0">SUM(C9:F9,G9,H9,I9)/40</f>
        <v>0</v>
      </c>
      <c r="K9" s="44"/>
      <c r="L9" s="27"/>
      <c r="M9" s="10" t="str">
        <f>B9</f>
        <v xml:space="preserve">Salman </v>
      </c>
      <c r="N9" s="12"/>
      <c r="O9" s="12"/>
      <c r="P9" s="12"/>
      <c r="Q9" s="12"/>
      <c r="R9" s="12"/>
      <c r="S9" s="12"/>
      <c r="T9" s="12"/>
      <c r="U9">
        <f t="shared" ref="U9:U12" si="1">SUM(N9:Q9,R9,S9,T9)/40</f>
        <v>0</v>
      </c>
      <c r="V9" s="44"/>
    </row>
    <row r="10" spans="1:22" x14ac:dyDescent="0.35">
      <c r="A10" s="27">
        <v>46175</v>
      </c>
      <c r="B10" s="10" t="s">
        <v>28</v>
      </c>
      <c r="C10" s="12"/>
      <c r="D10" s="12"/>
      <c r="E10" s="12"/>
      <c r="F10" s="12"/>
      <c r="G10" s="12"/>
      <c r="H10" s="12"/>
      <c r="I10" s="12"/>
      <c r="J10">
        <f t="shared" si="0"/>
        <v>0</v>
      </c>
      <c r="K10" s="44"/>
      <c r="L10" s="27">
        <v>46175</v>
      </c>
      <c r="M10" s="10" t="s">
        <v>28</v>
      </c>
      <c r="N10" s="12"/>
      <c r="O10" s="12"/>
      <c r="P10" s="12"/>
      <c r="Q10" s="12"/>
      <c r="R10" s="12"/>
      <c r="S10" s="12"/>
      <c r="T10" s="12"/>
      <c r="U10">
        <f t="shared" si="1"/>
        <v>0</v>
      </c>
      <c r="V10" s="44"/>
    </row>
    <row r="11" spans="1:22" x14ac:dyDescent="0.35">
      <c r="A11" s="27">
        <v>46175</v>
      </c>
      <c r="B11" s="11" t="s">
        <v>29</v>
      </c>
      <c r="C11" s="12"/>
      <c r="D11" s="12"/>
      <c r="E11" s="12"/>
      <c r="F11" s="12"/>
      <c r="G11" s="12"/>
      <c r="H11" s="12"/>
      <c r="I11" s="12"/>
      <c r="J11">
        <f t="shared" si="0"/>
        <v>0</v>
      </c>
      <c r="K11" s="44"/>
      <c r="L11" s="27">
        <v>46175</v>
      </c>
      <c r="M11" s="10" t="s">
        <v>33</v>
      </c>
      <c r="N11" s="12"/>
      <c r="O11" s="12"/>
      <c r="P11" s="12"/>
      <c r="Q11" s="12"/>
      <c r="R11" s="12"/>
      <c r="S11" s="12"/>
      <c r="T11" s="12"/>
      <c r="U11">
        <f t="shared" si="1"/>
        <v>0</v>
      </c>
      <c r="V11" s="44"/>
    </row>
    <row r="12" spans="1:22" x14ac:dyDescent="0.35">
      <c r="A12" s="27">
        <v>46175</v>
      </c>
      <c r="B12" s="54"/>
      <c r="C12" s="53"/>
      <c r="D12" s="53"/>
      <c r="E12" s="53"/>
      <c r="F12" s="53"/>
      <c r="G12" s="53"/>
      <c r="H12" s="53"/>
      <c r="I12" s="53"/>
      <c r="J12">
        <f t="shared" si="0"/>
        <v>0</v>
      </c>
      <c r="K12" s="44"/>
      <c r="L12" s="27">
        <v>46175</v>
      </c>
      <c r="M12" s="10">
        <f>B12</f>
        <v>0</v>
      </c>
      <c r="N12" s="12"/>
      <c r="O12" s="12"/>
      <c r="P12" s="12"/>
      <c r="Q12" s="12"/>
      <c r="R12" s="12"/>
      <c r="S12" s="12"/>
      <c r="T12" s="12"/>
      <c r="U12">
        <f t="shared" si="1"/>
        <v>0</v>
      </c>
      <c r="V12" s="44">
        <v>7</v>
      </c>
    </row>
    <row r="13" spans="1:22" x14ac:dyDescent="0.35">
      <c r="A13" s="27">
        <v>46175</v>
      </c>
      <c r="B13" s="11" t="s">
        <v>33</v>
      </c>
      <c r="C13" s="12"/>
      <c r="D13" s="12"/>
      <c r="E13" s="12"/>
      <c r="F13" s="12"/>
      <c r="G13" s="12"/>
      <c r="H13" s="12"/>
      <c r="I13" s="12"/>
      <c r="J13">
        <f>SUM(C13:F13,G13,H13,I13)/40</f>
        <v>0</v>
      </c>
      <c r="K13" s="44">
        <v>7</v>
      </c>
      <c r="L13" s="27">
        <v>46175</v>
      </c>
      <c r="M13" s="11" t="str">
        <f>B13</f>
        <v>Shakoor</v>
      </c>
      <c r="N13" s="12"/>
      <c r="O13" s="12"/>
      <c r="P13" s="12"/>
      <c r="Q13" s="12"/>
      <c r="R13" s="12"/>
      <c r="S13" s="12"/>
      <c r="T13" s="12"/>
      <c r="U13">
        <f>SUM(N13:Q13,R13,S13,T13)/40</f>
        <v>0</v>
      </c>
      <c r="V13" s="41">
        <v>4</v>
      </c>
    </row>
    <row r="14" spans="1:22" x14ac:dyDescent="0.35">
      <c r="A14" s="13"/>
      <c r="B14" s="10"/>
      <c r="C14" s="14">
        <f t="shared" ref="C14:I14" si="2">SUM(C8:C13)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0</v>
      </c>
      <c r="H14" s="14">
        <f t="shared" si="2"/>
        <v>0</v>
      </c>
      <c r="I14" s="14">
        <f t="shared" si="2"/>
        <v>0</v>
      </c>
      <c r="J14" s="35">
        <f>C14+D14+E14+F14+G14+H14+I14</f>
        <v>0</v>
      </c>
      <c r="L14" s="13"/>
      <c r="M14" s="10"/>
      <c r="N14" s="14">
        <f t="shared" ref="N14:T14" si="3">SUM(N8:N13)</f>
        <v>0</v>
      </c>
      <c r="O14" s="14">
        <f t="shared" si="3"/>
        <v>0</v>
      </c>
      <c r="P14" s="14">
        <f t="shared" si="3"/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35">
        <f>N14+O14+P14+Q14+R14+S14+T14</f>
        <v>0</v>
      </c>
    </row>
    <row r="15" spans="1:22" x14ac:dyDescent="0.35">
      <c r="A15" s="13"/>
      <c r="B15" s="10" t="s">
        <v>21</v>
      </c>
      <c r="C15" s="13"/>
      <c r="D15" s="13">
        <f>D14/20</f>
        <v>0</v>
      </c>
      <c r="E15" s="13">
        <f t="shared" ref="E15:I15" si="4">E14/20</f>
        <v>0</v>
      </c>
      <c r="F15" s="13">
        <f t="shared" si="4"/>
        <v>0</v>
      </c>
      <c r="G15" s="13">
        <f t="shared" si="4"/>
        <v>0</v>
      </c>
      <c r="H15" s="13">
        <f t="shared" si="4"/>
        <v>0</v>
      </c>
      <c r="I15" s="13">
        <f t="shared" si="4"/>
        <v>0</v>
      </c>
      <c r="L15" s="13"/>
      <c r="M15" s="10" t="s">
        <v>21</v>
      </c>
      <c r="N15" s="13"/>
      <c r="O15" s="13">
        <f>O14/20</f>
        <v>0</v>
      </c>
      <c r="P15" s="13">
        <f t="shared" ref="P15:Q15" si="5">P14/20</f>
        <v>0</v>
      </c>
      <c r="Q15" s="13">
        <f t="shared" si="5"/>
        <v>0</v>
      </c>
      <c r="R15" s="13">
        <f t="shared" ref="R15:T15" si="6">R14/20</f>
        <v>0</v>
      </c>
      <c r="S15" s="13">
        <f t="shared" si="6"/>
        <v>0</v>
      </c>
      <c r="T15" s="13">
        <f t="shared" si="6"/>
        <v>0</v>
      </c>
    </row>
    <row r="16" spans="1:22" x14ac:dyDescent="0.35">
      <c r="A16" s="13"/>
      <c r="B16" s="10" t="s">
        <v>20</v>
      </c>
      <c r="C16" s="36">
        <f>C15+C14</f>
        <v>0</v>
      </c>
      <c r="D16" s="36">
        <f t="shared" ref="D16:I16" si="7">D15+D14</f>
        <v>0</v>
      </c>
      <c r="E16" s="36">
        <f t="shared" si="7"/>
        <v>0</v>
      </c>
      <c r="F16" s="36">
        <f t="shared" si="7"/>
        <v>0</v>
      </c>
      <c r="G16" s="36">
        <f t="shared" si="7"/>
        <v>0</v>
      </c>
      <c r="H16" s="36">
        <f t="shared" si="7"/>
        <v>0</v>
      </c>
      <c r="I16" s="36">
        <f t="shared" si="7"/>
        <v>0</v>
      </c>
      <c r="L16" s="13"/>
      <c r="M16" s="10" t="s">
        <v>20</v>
      </c>
      <c r="N16" s="36">
        <f>N15+N14</f>
        <v>0</v>
      </c>
      <c r="O16" s="36">
        <f t="shared" ref="O16:Q16" si="8">O15+O14</f>
        <v>0</v>
      </c>
      <c r="P16" s="36">
        <f t="shared" si="8"/>
        <v>0</v>
      </c>
      <c r="Q16" s="36">
        <f t="shared" si="8"/>
        <v>0</v>
      </c>
      <c r="R16" s="36">
        <f t="shared" ref="R16:T16" si="9">R15+R14</f>
        <v>0</v>
      </c>
      <c r="S16" s="36">
        <f t="shared" si="9"/>
        <v>0</v>
      </c>
      <c r="T16" s="36">
        <f t="shared" si="9"/>
        <v>0</v>
      </c>
    </row>
    <row r="17" spans="1:21" x14ac:dyDescent="0.35">
      <c r="A17" s="13"/>
      <c r="B17" s="39" t="s">
        <v>22</v>
      </c>
      <c r="C17" s="36">
        <f>C14/40</f>
        <v>0</v>
      </c>
      <c r="D17" s="36">
        <f t="shared" ref="D17:I17" si="10">D14/40</f>
        <v>0</v>
      </c>
      <c r="E17" s="36">
        <f t="shared" si="10"/>
        <v>0</v>
      </c>
      <c r="F17" s="36">
        <f t="shared" si="10"/>
        <v>0</v>
      </c>
      <c r="G17" s="36">
        <f t="shared" si="10"/>
        <v>0</v>
      </c>
      <c r="H17" s="36">
        <f t="shared" si="10"/>
        <v>0</v>
      </c>
      <c r="I17" s="36">
        <f t="shared" si="10"/>
        <v>0</v>
      </c>
      <c r="J17" s="35">
        <f>SUM(C17:I17)</f>
        <v>0</v>
      </c>
      <c r="L17" s="13"/>
      <c r="M17" s="39" t="s">
        <v>22</v>
      </c>
      <c r="N17" s="36">
        <f>N14/40</f>
        <v>0</v>
      </c>
      <c r="O17" s="36">
        <f t="shared" ref="O17:Q17" si="11">O14/40</f>
        <v>0</v>
      </c>
      <c r="P17" s="36">
        <f t="shared" si="11"/>
        <v>0</v>
      </c>
      <c r="Q17" s="36">
        <f t="shared" si="11"/>
        <v>0</v>
      </c>
      <c r="R17" s="36">
        <f t="shared" ref="R17:T17" si="12">R14/40</f>
        <v>0</v>
      </c>
      <c r="S17" s="36">
        <f t="shared" si="12"/>
        <v>0</v>
      </c>
      <c r="T17" s="36">
        <f t="shared" si="12"/>
        <v>0</v>
      </c>
      <c r="U17" s="35">
        <f>SUM(N17:T17)</f>
        <v>0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V19"/>
  <sheetViews>
    <sheetView zoomScaleNormal="100" workbookViewId="0">
      <selection activeCell="V14" sqref="V14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10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K8" s="44"/>
      <c r="L8" s="27"/>
      <c r="M8" s="10" t="s">
        <v>14</v>
      </c>
      <c r="N8" s="12"/>
      <c r="O8" s="12"/>
      <c r="P8" s="12"/>
      <c r="Q8" s="12"/>
      <c r="R8" s="12"/>
      <c r="S8" s="12"/>
      <c r="T8" s="12"/>
      <c r="U8">
        <f>SUM(N8:Q8,R8,S8,T8)/40</f>
        <v>0</v>
      </c>
    </row>
    <row r="9" spans="1:22" x14ac:dyDescent="0.35">
      <c r="A9" s="27">
        <v>46176</v>
      </c>
      <c r="B9" s="10" t="s">
        <v>9</v>
      </c>
      <c r="C9" s="12"/>
      <c r="D9" s="12"/>
      <c r="E9" s="12"/>
      <c r="F9" s="12"/>
      <c r="G9" s="12"/>
      <c r="H9" s="12"/>
      <c r="I9" s="12"/>
      <c r="J9">
        <f t="shared" ref="J9:J12" si="0">SUM(C9:F9,G9,H9,I9)/40</f>
        <v>0</v>
      </c>
      <c r="K9" s="44"/>
      <c r="L9" s="27"/>
      <c r="M9" s="10" t="str">
        <f>B9</f>
        <v xml:space="preserve">Salman </v>
      </c>
      <c r="N9" s="12"/>
      <c r="O9" s="12"/>
      <c r="P9" s="12"/>
      <c r="Q9" s="12"/>
      <c r="R9" s="12"/>
      <c r="S9" s="12"/>
      <c r="T9" s="12"/>
      <c r="U9">
        <f t="shared" ref="U9:U12" si="1">SUM(N9:Q9,R9,S9,T9)/40</f>
        <v>0</v>
      </c>
      <c r="V9" s="44"/>
    </row>
    <row r="10" spans="1:22" x14ac:dyDescent="0.35">
      <c r="A10" s="27">
        <v>46176</v>
      </c>
      <c r="B10" s="10" t="s">
        <v>28</v>
      </c>
      <c r="C10" s="12"/>
      <c r="D10" s="12"/>
      <c r="E10" s="12"/>
      <c r="F10" s="12"/>
      <c r="G10" s="12"/>
      <c r="H10" s="12"/>
      <c r="I10" s="12"/>
      <c r="J10">
        <f t="shared" si="0"/>
        <v>0</v>
      </c>
      <c r="K10" s="44"/>
      <c r="L10" s="27">
        <v>46176</v>
      </c>
      <c r="M10" s="10" t="s">
        <v>28</v>
      </c>
      <c r="N10" s="12"/>
      <c r="O10" s="12"/>
      <c r="P10" s="12"/>
      <c r="Q10" s="12"/>
      <c r="R10" s="12"/>
      <c r="S10" s="12"/>
      <c r="T10" s="12"/>
      <c r="U10">
        <f t="shared" si="1"/>
        <v>0</v>
      </c>
      <c r="V10" s="44"/>
    </row>
    <row r="11" spans="1:22" x14ac:dyDescent="0.35">
      <c r="A11" s="27">
        <v>46176</v>
      </c>
      <c r="B11" s="11" t="s">
        <v>29</v>
      </c>
      <c r="C11" s="12"/>
      <c r="D11" s="12"/>
      <c r="E11" s="12"/>
      <c r="F11" s="12"/>
      <c r="G11" s="12"/>
      <c r="H11" s="12"/>
      <c r="I11" s="12"/>
      <c r="J11">
        <f t="shared" si="0"/>
        <v>0</v>
      </c>
      <c r="K11" s="41"/>
      <c r="L11" s="27">
        <v>46176</v>
      </c>
      <c r="M11" s="10" t="s">
        <v>33</v>
      </c>
      <c r="N11" s="12"/>
      <c r="O11" s="12"/>
      <c r="P11" s="12"/>
      <c r="Q11" s="12"/>
      <c r="R11" s="12"/>
      <c r="S11" s="12"/>
      <c r="T11" s="12"/>
      <c r="U11">
        <f t="shared" si="1"/>
        <v>0</v>
      </c>
    </row>
    <row r="12" spans="1:22" x14ac:dyDescent="0.35">
      <c r="A12" s="27">
        <v>46176</v>
      </c>
      <c r="B12" s="11"/>
      <c r="C12" s="12"/>
      <c r="D12" s="12"/>
      <c r="E12" s="12"/>
      <c r="F12" s="12"/>
      <c r="G12" s="12"/>
      <c r="H12" s="12"/>
      <c r="I12" s="12"/>
      <c r="J12">
        <f t="shared" si="0"/>
        <v>0</v>
      </c>
      <c r="K12" s="41"/>
      <c r="L12" s="27">
        <v>46176</v>
      </c>
      <c r="M12" s="10">
        <f>B12</f>
        <v>0</v>
      </c>
      <c r="N12" s="12"/>
      <c r="O12" s="12"/>
      <c r="P12" s="12"/>
      <c r="Q12" s="12"/>
      <c r="R12" s="12"/>
      <c r="S12" s="12"/>
      <c r="T12" s="12"/>
      <c r="U12">
        <f t="shared" si="1"/>
        <v>0</v>
      </c>
      <c r="V12" s="44">
        <v>1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27">
        <v>46176</v>
      </c>
      <c r="M13" s="11" t="s">
        <v>29</v>
      </c>
      <c r="N13" s="12"/>
      <c r="O13" s="12"/>
      <c r="P13" s="12"/>
      <c r="Q13" s="12"/>
      <c r="R13" s="12"/>
      <c r="S13" s="12"/>
      <c r="T13" s="12"/>
      <c r="U13">
        <f>SUM(N13:Q13,R13,S13,T13)/40</f>
        <v>0</v>
      </c>
      <c r="V13" s="44">
        <v>3</v>
      </c>
    </row>
    <row r="14" spans="1:22" x14ac:dyDescent="0.35">
      <c r="A14" s="13"/>
      <c r="B14" s="10"/>
      <c r="C14" s="14">
        <f t="shared" ref="C14:I14" si="2">SUM(C8:C13)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0</v>
      </c>
      <c r="H14" s="14">
        <f t="shared" si="2"/>
        <v>0</v>
      </c>
      <c r="I14" s="14">
        <f t="shared" si="2"/>
        <v>0</v>
      </c>
      <c r="J14" s="35">
        <f>C14+D14+E14+F14+G14+H14+I14</f>
        <v>0</v>
      </c>
      <c r="L14" s="13"/>
      <c r="M14" s="10"/>
      <c r="N14" s="14">
        <f t="shared" ref="N14:T14" si="3">SUM(N8:N13)</f>
        <v>0</v>
      </c>
      <c r="O14" s="14">
        <f t="shared" si="3"/>
        <v>0</v>
      </c>
      <c r="P14" s="14">
        <f t="shared" si="3"/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35">
        <f>N14+O14+P14+Q14+R14+S14+T14</f>
        <v>0</v>
      </c>
    </row>
    <row r="15" spans="1:22" x14ac:dyDescent="0.35">
      <c r="A15" s="13"/>
      <c r="B15" s="10" t="s">
        <v>21</v>
      </c>
      <c r="C15" s="13"/>
      <c r="D15" s="13">
        <f>D14/20</f>
        <v>0</v>
      </c>
      <c r="E15" s="13">
        <f t="shared" ref="E15:I15" si="4">E14/20</f>
        <v>0</v>
      </c>
      <c r="F15" s="13">
        <f t="shared" si="4"/>
        <v>0</v>
      </c>
      <c r="G15" s="13">
        <f t="shared" si="4"/>
        <v>0</v>
      </c>
      <c r="H15" s="13">
        <f t="shared" si="4"/>
        <v>0</v>
      </c>
      <c r="I15" s="13">
        <f t="shared" si="4"/>
        <v>0</v>
      </c>
      <c r="L15" s="13"/>
      <c r="M15" s="10" t="s">
        <v>21</v>
      </c>
      <c r="N15" s="13"/>
      <c r="O15" s="13">
        <f>O14/20</f>
        <v>0</v>
      </c>
      <c r="P15" s="13">
        <f t="shared" ref="P15:Q15" si="5">P14/20</f>
        <v>0</v>
      </c>
      <c r="Q15" s="13">
        <f t="shared" si="5"/>
        <v>0</v>
      </c>
      <c r="R15" s="13">
        <f t="shared" ref="R15:T15" si="6">R14/20</f>
        <v>0</v>
      </c>
      <c r="S15" s="13">
        <f t="shared" si="6"/>
        <v>0</v>
      </c>
      <c r="T15" s="13">
        <f t="shared" si="6"/>
        <v>0</v>
      </c>
    </row>
    <row r="16" spans="1:22" x14ac:dyDescent="0.35">
      <c r="A16" s="13"/>
      <c r="B16" s="10" t="s">
        <v>20</v>
      </c>
      <c r="C16" s="36">
        <f>C15+C14</f>
        <v>0</v>
      </c>
      <c r="D16" s="36">
        <f t="shared" ref="D16:I16" si="7">D15+D14</f>
        <v>0</v>
      </c>
      <c r="E16" s="36">
        <f t="shared" si="7"/>
        <v>0</v>
      </c>
      <c r="F16" s="36">
        <f t="shared" si="7"/>
        <v>0</v>
      </c>
      <c r="G16" s="36">
        <f t="shared" si="7"/>
        <v>0</v>
      </c>
      <c r="H16" s="36">
        <f t="shared" si="7"/>
        <v>0</v>
      </c>
      <c r="I16" s="36">
        <f t="shared" si="7"/>
        <v>0</v>
      </c>
      <c r="L16" s="13"/>
      <c r="M16" s="10" t="s">
        <v>20</v>
      </c>
      <c r="N16" s="36">
        <f>N15+N14</f>
        <v>0</v>
      </c>
      <c r="O16" s="36">
        <f t="shared" ref="O16:Q16" si="8">O15+O14</f>
        <v>0</v>
      </c>
      <c r="P16" s="36">
        <f t="shared" si="8"/>
        <v>0</v>
      </c>
      <c r="Q16" s="36">
        <f t="shared" si="8"/>
        <v>0</v>
      </c>
      <c r="R16" s="36">
        <f t="shared" ref="R16:T16" si="9">R15+R14</f>
        <v>0</v>
      </c>
      <c r="S16" s="36">
        <f t="shared" si="9"/>
        <v>0</v>
      </c>
      <c r="T16" s="36">
        <f t="shared" si="9"/>
        <v>0</v>
      </c>
    </row>
    <row r="17" spans="1:21" x14ac:dyDescent="0.35">
      <c r="A17" s="13"/>
      <c r="B17" s="39" t="s">
        <v>22</v>
      </c>
      <c r="C17" s="36">
        <f>C14/40</f>
        <v>0</v>
      </c>
      <c r="D17" s="36">
        <f t="shared" ref="D17:I17" si="10">D14/40</f>
        <v>0</v>
      </c>
      <c r="E17" s="36">
        <f t="shared" si="10"/>
        <v>0</v>
      </c>
      <c r="F17" s="36">
        <f t="shared" si="10"/>
        <v>0</v>
      </c>
      <c r="G17" s="36">
        <f t="shared" si="10"/>
        <v>0</v>
      </c>
      <c r="H17" s="36">
        <f t="shared" si="10"/>
        <v>0</v>
      </c>
      <c r="I17" s="36">
        <f t="shared" si="10"/>
        <v>0</v>
      </c>
      <c r="J17" s="35">
        <f>SUM(C17:I17)</f>
        <v>0</v>
      </c>
      <c r="L17" s="13"/>
      <c r="M17" s="39" t="s">
        <v>22</v>
      </c>
      <c r="N17" s="36">
        <f>N14/40</f>
        <v>0</v>
      </c>
      <c r="O17" s="36">
        <f t="shared" ref="O17:Q17" si="11">O14/40</f>
        <v>0</v>
      </c>
      <c r="P17" s="36">
        <f t="shared" si="11"/>
        <v>0</v>
      </c>
      <c r="Q17" s="36">
        <f t="shared" si="11"/>
        <v>0</v>
      </c>
      <c r="R17" s="36">
        <f t="shared" ref="R17:T17" si="12">R14/40</f>
        <v>0</v>
      </c>
      <c r="S17" s="36">
        <f t="shared" si="12"/>
        <v>0</v>
      </c>
      <c r="T17" s="36">
        <f t="shared" si="12"/>
        <v>0</v>
      </c>
      <c r="U17" s="35">
        <f>SUM(N17:T17)</f>
        <v>0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V19"/>
  <sheetViews>
    <sheetView zoomScaleNormal="100" workbookViewId="0">
      <selection activeCell="V14" sqref="V14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90625" bestFit="1" customWidth="1"/>
    <col min="13" max="13" width="8.08984375" bestFit="1" customWidth="1"/>
    <col min="14" max="14" width="4.26953125" bestFit="1" customWidth="1"/>
    <col min="15" max="15" width="3.90625" bestFit="1" customWidth="1"/>
    <col min="16" max="16" width="4.26953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10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K8" s="44"/>
      <c r="L8" s="27"/>
      <c r="M8" s="10" t="s">
        <v>14</v>
      </c>
      <c r="N8" s="12"/>
      <c r="O8" s="12"/>
      <c r="P8" s="12"/>
      <c r="Q8" s="12"/>
      <c r="R8" s="12"/>
      <c r="S8" s="12"/>
      <c r="T8" s="12"/>
      <c r="U8">
        <f>SUM(N8:Q8,R8,S8,T8)/40</f>
        <v>0</v>
      </c>
      <c r="V8" s="44"/>
    </row>
    <row r="9" spans="1:22" x14ac:dyDescent="0.35">
      <c r="A9" s="27">
        <v>46177</v>
      </c>
      <c r="B9" s="10" t="s">
        <v>9</v>
      </c>
      <c r="C9" s="12"/>
      <c r="D9" s="12"/>
      <c r="E9" s="12"/>
      <c r="F9" s="12"/>
      <c r="G9" s="12"/>
      <c r="H9" s="12"/>
      <c r="I9" s="12"/>
      <c r="J9">
        <f t="shared" ref="J9:J12" si="0">SUM(C9:F9,G9,H9,I9)/40</f>
        <v>0</v>
      </c>
      <c r="K9" s="44"/>
      <c r="L9" s="27"/>
      <c r="M9" s="10" t="str">
        <f>B9</f>
        <v xml:space="preserve">Salman </v>
      </c>
      <c r="N9" s="12"/>
      <c r="O9" s="12"/>
      <c r="P9" s="12"/>
      <c r="Q9" s="12"/>
      <c r="R9" s="12"/>
      <c r="S9" s="12"/>
      <c r="T9" s="12"/>
      <c r="U9">
        <f t="shared" ref="U9:U12" si="1">SUM(N9:Q9,R9,S9,T9)/40</f>
        <v>0</v>
      </c>
    </row>
    <row r="10" spans="1:22" x14ac:dyDescent="0.35">
      <c r="A10" s="27">
        <v>46177</v>
      </c>
      <c r="B10" s="10" t="s">
        <v>28</v>
      </c>
      <c r="C10" s="12"/>
      <c r="D10" s="12"/>
      <c r="E10" s="12"/>
      <c r="F10" s="12"/>
      <c r="G10" s="12"/>
      <c r="H10" s="12"/>
      <c r="I10" s="12"/>
      <c r="J10">
        <f t="shared" si="0"/>
        <v>0</v>
      </c>
      <c r="K10" s="44"/>
      <c r="L10" s="27">
        <v>46177</v>
      </c>
      <c r="M10" s="10" t="s">
        <v>28</v>
      </c>
      <c r="N10" s="12"/>
      <c r="O10" s="12"/>
      <c r="P10" s="12"/>
      <c r="Q10" s="12"/>
      <c r="R10" s="12"/>
      <c r="S10" s="12"/>
      <c r="T10" s="12"/>
      <c r="U10">
        <f t="shared" si="1"/>
        <v>0</v>
      </c>
      <c r="V10" s="44"/>
    </row>
    <row r="11" spans="1:22" x14ac:dyDescent="0.35">
      <c r="A11" s="27">
        <v>46177</v>
      </c>
      <c r="B11" s="11" t="s">
        <v>29</v>
      </c>
      <c r="C11" s="12"/>
      <c r="D11" s="12"/>
      <c r="E11" s="12"/>
      <c r="F11" s="12"/>
      <c r="G11" s="12"/>
      <c r="H11" s="12"/>
      <c r="I11" s="12"/>
      <c r="J11">
        <f t="shared" si="0"/>
        <v>0</v>
      </c>
      <c r="K11" s="41"/>
      <c r="L11" s="27">
        <v>46177</v>
      </c>
      <c r="M11" s="10" t="s">
        <v>33</v>
      </c>
      <c r="N11" s="12"/>
      <c r="O11" s="12"/>
      <c r="P11" s="12"/>
      <c r="Q11" s="12"/>
      <c r="R11" s="12"/>
      <c r="S11" s="12"/>
      <c r="T11" s="12"/>
      <c r="U11">
        <f t="shared" si="1"/>
        <v>0</v>
      </c>
      <c r="V11" s="44"/>
    </row>
    <row r="12" spans="1:22" x14ac:dyDescent="0.35">
      <c r="A12" s="11"/>
      <c r="B12" s="11"/>
      <c r="C12" s="12"/>
      <c r="D12" s="12"/>
      <c r="E12" s="12"/>
      <c r="F12" s="12"/>
      <c r="G12" s="12"/>
      <c r="H12" s="12"/>
      <c r="I12" s="12"/>
      <c r="J12">
        <f t="shared" si="0"/>
        <v>0</v>
      </c>
      <c r="K12" s="44"/>
      <c r="L12" s="11"/>
      <c r="M12" s="10">
        <f>B12</f>
        <v>0</v>
      </c>
      <c r="N12" s="12"/>
      <c r="O12" s="12"/>
      <c r="P12" s="12"/>
      <c r="Q12" s="12"/>
      <c r="R12" s="12"/>
      <c r="S12" s="12"/>
      <c r="T12" s="12"/>
      <c r="U12">
        <f t="shared" si="1"/>
        <v>0</v>
      </c>
      <c r="V12" s="44">
        <v>9</v>
      </c>
    </row>
    <row r="13" spans="1:22" x14ac:dyDescent="0.35">
      <c r="A13" s="11"/>
      <c r="B13" s="11" t="s">
        <v>29</v>
      </c>
      <c r="C13" s="12"/>
      <c r="D13" s="12"/>
      <c r="E13" s="12"/>
      <c r="F13" s="12"/>
      <c r="G13" s="12"/>
      <c r="H13" s="12"/>
      <c r="I13" s="12"/>
      <c r="J13">
        <f>SUM(C13:F13,G13,H13,I13)/40</f>
        <v>0</v>
      </c>
      <c r="K13" s="44">
        <v>3</v>
      </c>
      <c r="L13" s="11"/>
      <c r="M13" s="11" t="str">
        <f>B13</f>
        <v xml:space="preserve">Shakoor </v>
      </c>
      <c r="N13" s="12"/>
      <c r="O13" s="12"/>
      <c r="P13" s="12"/>
      <c r="Q13" s="12"/>
      <c r="R13" s="12"/>
      <c r="S13" s="12"/>
      <c r="T13" s="12"/>
    </row>
    <row r="14" spans="1:22" x14ac:dyDescent="0.35">
      <c r="A14" s="13"/>
      <c r="B14" s="10"/>
      <c r="C14" s="14">
        <f t="shared" ref="C14:I14" si="2">SUM(C8:C13)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0</v>
      </c>
      <c r="H14" s="14">
        <f t="shared" si="2"/>
        <v>0</v>
      </c>
      <c r="I14" s="14">
        <f t="shared" si="2"/>
        <v>0</v>
      </c>
      <c r="J14" s="35">
        <f>C14+D14+E14+F14+G14+H14+I14</f>
        <v>0</v>
      </c>
      <c r="L14" s="13"/>
      <c r="M14" s="10"/>
      <c r="N14" s="14">
        <f t="shared" ref="N14:T14" si="3">SUM(N8:N13)</f>
        <v>0</v>
      </c>
      <c r="O14" s="14">
        <f t="shared" si="3"/>
        <v>0</v>
      </c>
      <c r="P14" s="14">
        <f t="shared" si="3"/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35">
        <f>N14+O14+P14+Q14+R14+S14+T14</f>
        <v>0</v>
      </c>
    </row>
    <row r="15" spans="1:22" x14ac:dyDescent="0.35">
      <c r="A15" s="13"/>
      <c r="B15" s="10" t="s">
        <v>21</v>
      </c>
      <c r="C15" s="13"/>
      <c r="D15" s="13">
        <f>D14/20</f>
        <v>0</v>
      </c>
      <c r="E15" s="13">
        <f t="shared" ref="E15:I15" si="4">E14/20</f>
        <v>0</v>
      </c>
      <c r="F15" s="13">
        <f t="shared" si="4"/>
        <v>0</v>
      </c>
      <c r="G15" s="13">
        <f t="shared" si="4"/>
        <v>0</v>
      </c>
      <c r="H15" s="13">
        <f t="shared" si="4"/>
        <v>0</v>
      </c>
      <c r="I15" s="13">
        <f t="shared" si="4"/>
        <v>0</v>
      </c>
      <c r="L15" s="13"/>
      <c r="M15" s="10" t="s">
        <v>21</v>
      </c>
      <c r="N15" s="13"/>
      <c r="O15" s="13">
        <f>O14/20</f>
        <v>0</v>
      </c>
      <c r="P15" s="13">
        <f t="shared" ref="P15:Q15" si="5">P14/20</f>
        <v>0</v>
      </c>
      <c r="Q15" s="13">
        <f t="shared" si="5"/>
        <v>0</v>
      </c>
      <c r="R15" s="13">
        <f t="shared" ref="R15:T15" si="6">R14/20</f>
        <v>0</v>
      </c>
      <c r="S15" s="13">
        <f t="shared" si="6"/>
        <v>0</v>
      </c>
      <c r="T15" s="13">
        <f t="shared" si="6"/>
        <v>0</v>
      </c>
    </row>
    <row r="16" spans="1:22" x14ac:dyDescent="0.35">
      <c r="A16" s="13"/>
      <c r="B16" s="10" t="s">
        <v>20</v>
      </c>
      <c r="C16" s="36">
        <f>C15+C14</f>
        <v>0</v>
      </c>
      <c r="D16" s="36">
        <f t="shared" ref="D16:I16" si="7">D15+D14</f>
        <v>0</v>
      </c>
      <c r="E16" s="36">
        <f t="shared" si="7"/>
        <v>0</v>
      </c>
      <c r="F16" s="36">
        <f t="shared" si="7"/>
        <v>0</v>
      </c>
      <c r="G16" s="36">
        <f t="shared" si="7"/>
        <v>0</v>
      </c>
      <c r="H16" s="36">
        <f t="shared" si="7"/>
        <v>0</v>
      </c>
      <c r="I16" s="36">
        <f t="shared" si="7"/>
        <v>0</v>
      </c>
      <c r="L16" s="13"/>
      <c r="M16" s="10" t="s">
        <v>20</v>
      </c>
      <c r="N16" s="36">
        <f>N15+N14</f>
        <v>0</v>
      </c>
      <c r="O16" s="36">
        <f t="shared" ref="O16:Q16" si="8">O15+O14</f>
        <v>0</v>
      </c>
      <c r="P16" s="36">
        <f t="shared" si="8"/>
        <v>0</v>
      </c>
      <c r="Q16" s="36">
        <f t="shared" si="8"/>
        <v>0</v>
      </c>
      <c r="R16" s="36">
        <f t="shared" ref="R16:T16" si="9">R15+R14</f>
        <v>0</v>
      </c>
      <c r="S16" s="36">
        <f t="shared" si="9"/>
        <v>0</v>
      </c>
      <c r="T16" s="36">
        <f t="shared" si="9"/>
        <v>0</v>
      </c>
    </row>
    <row r="17" spans="1:21" x14ac:dyDescent="0.35">
      <c r="A17" s="13"/>
      <c r="B17" s="39" t="s">
        <v>22</v>
      </c>
      <c r="C17" s="36">
        <f>C14/40</f>
        <v>0</v>
      </c>
      <c r="D17" s="36">
        <f t="shared" ref="D17:I17" si="10">D14/40</f>
        <v>0</v>
      </c>
      <c r="E17" s="36">
        <f t="shared" si="10"/>
        <v>0</v>
      </c>
      <c r="F17" s="36">
        <f t="shared" si="10"/>
        <v>0</v>
      </c>
      <c r="G17" s="36">
        <f t="shared" si="10"/>
        <v>0</v>
      </c>
      <c r="H17" s="36">
        <f t="shared" si="10"/>
        <v>0</v>
      </c>
      <c r="I17" s="36">
        <f t="shared" si="10"/>
        <v>0</v>
      </c>
      <c r="J17" s="35">
        <f>SUM(C17:I17)</f>
        <v>0</v>
      </c>
      <c r="L17" s="13"/>
      <c r="M17" s="39" t="s">
        <v>22</v>
      </c>
      <c r="N17" s="36">
        <f>N14/40</f>
        <v>0</v>
      </c>
      <c r="O17" s="36">
        <f t="shared" ref="O17:Q17" si="11">O14/40</f>
        <v>0</v>
      </c>
      <c r="P17" s="36">
        <f t="shared" si="11"/>
        <v>0</v>
      </c>
      <c r="Q17" s="36">
        <f t="shared" si="11"/>
        <v>0</v>
      </c>
      <c r="R17" s="36">
        <f t="shared" ref="R17:T17" si="12">R14/40</f>
        <v>0</v>
      </c>
      <c r="S17" s="36">
        <f t="shared" si="12"/>
        <v>0</v>
      </c>
      <c r="T17" s="36">
        <f t="shared" si="12"/>
        <v>0</v>
      </c>
      <c r="U17" s="35">
        <f>SUM(N17:T17)</f>
        <v>0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V20"/>
  <sheetViews>
    <sheetView zoomScaleNormal="100" workbookViewId="0">
      <selection activeCell="V14" sqref="V14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3.36328125" bestFit="1" customWidth="1"/>
    <col min="8" max="8" width="3.6328125" bestFit="1" customWidth="1"/>
    <col min="9" max="9" width="4.2695312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ht="14.5" customHeight="1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4.5" customHeight="1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ht="14.5" customHeight="1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ht="15" customHeight="1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10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43" t="s">
        <v>14</v>
      </c>
      <c r="C8" s="29"/>
      <c r="D8" s="29"/>
      <c r="E8" s="29"/>
      <c r="F8" s="29"/>
      <c r="G8" s="29"/>
      <c r="H8" s="29"/>
      <c r="I8" s="29"/>
      <c r="L8" s="27"/>
      <c r="M8" s="43" t="s">
        <v>14</v>
      </c>
      <c r="N8" s="29"/>
      <c r="O8" s="29"/>
      <c r="P8" s="29"/>
      <c r="Q8" s="29"/>
      <c r="R8" s="29"/>
      <c r="S8" s="29"/>
      <c r="T8" s="29"/>
      <c r="U8">
        <f>SUM(N8:Q8,R8,S8,T8)/40</f>
        <v>0</v>
      </c>
    </row>
    <row r="9" spans="1:22" x14ac:dyDescent="0.35">
      <c r="A9" s="27">
        <v>46178</v>
      </c>
      <c r="B9" s="43" t="s">
        <v>9</v>
      </c>
      <c r="C9" s="29"/>
      <c r="D9" s="29"/>
      <c r="E9" s="29"/>
      <c r="F9" s="29"/>
      <c r="G9" s="29"/>
      <c r="H9" s="29"/>
      <c r="I9" s="29"/>
      <c r="K9" s="44"/>
      <c r="L9" s="27"/>
      <c r="M9" s="43" t="str">
        <f>B9</f>
        <v xml:space="preserve">Salman </v>
      </c>
      <c r="N9" s="29"/>
      <c r="O9" s="29"/>
      <c r="P9" s="29"/>
      <c r="Q9" s="29"/>
      <c r="R9" s="29"/>
      <c r="S9" s="29"/>
      <c r="T9" s="29"/>
      <c r="U9">
        <f t="shared" ref="U9:U12" si="0">SUM(N9:Q9,R9,S9,T9)/40</f>
        <v>0</v>
      </c>
    </row>
    <row r="10" spans="1:22" x14ac:dyDescent="0.35">
      <c r="A10" s="27">
        <v>46178</v>
      </c>
      <c r="B10" s="43" t="s">
        <v>28</v>
      </c>
      <c r="C10" s="29"/>
      <c r="D10" s="29"/>
      <c r="E10" s="29"/>
      <c r="F10" s="29"/>
      <c r="G10" s="29"/>
      <c r="H10" s="29"/>
      <c r="I10" s="29"/>
      <c r="K10" s="44"/>
      <c r="L10" s="27">
        <v>46178</v>
      </c>
      <c r="M10" s="43" t="s">
        <v>28</v>
      </c>
      <c r="N10" s="29"/>
      <c r="O10" s="29"/>
      <c r="P10" s="29"/>
      <c r="Q10" s="29"/>
      <c r="R10" s="29"/>
      <c r="S10" s="29"/>
      <c r="T10" s="29"/>
      <c r="U10">
        <f t="shared" si="0"/>
        <v>0</v>
      </c>
    </row>
    <row r="11" spans="1:22" x14ac:dyDescent="0.35">
      <c r="A11" s="11"/>
      <c r="B11" s="54" t="s">
        <v>29</v>
      </c>
      <c r="C11" s="29"/>
      <c r="D11" s="29"/>
      <c r="E11" s="29"/>
      <c r="F11" s="29"/>
      <c r="G11" s="29"/>
      <c r="H11" s="29"/>
      <c r="I11" s="29"/>
      <c r="K11" s="44"/>
      <c r="L11" s="11"/>
      <c r="M11" s="43" t="s">
        <v>33</v>
      </c>
      <c r="N11" s="29"/>
      <c r="O11" s="29"/>
      <c r="P11" s="29"/>
      <c r="Q11" s="29"/>
      <c r="R11" s="29"/>
      <c r="S11" s="29"/>
      <c r="T11" s="29"/>
      <c r="U11">
        <f t="shared" si="0"/>
        <v>0</v>
      </c>
    </row>
    <row r="12" spans="1:22" x14ac:dyDescent="0.35">
      <c r="A12" s="13"/>
      <c r="B12" s="54"/>
      <c r="C12" s="29"/>
      <c r="D12" s="29"/>
      <c r="E12" s="29"/>
      <c r="F12" s="29"/>
      <c r="G12" s="29"/>
      <c r="H12" s="29"/>
      <c r="I12" s="29"/>
      <c r="K12" s="44"/>
      <c r="L12" s="13"/>
      <c r="M12" s="43">
        <f>B12</f>
        <v>0</v>
      </c>
      <c r="N12" s="29"/>
      <c r="O12" s="29"/>
      <c r="P12" s="29"/>
      <c r="Q12" s="29"/>
      <c r="R12" s="29"/>
      <c r="S12" s="29"/>
      <c r="T12" s="29"/>
      <c r="U12">
        <f t="shared" si="0"/>
        <v>0</v>
      </c>
    </row>
    <row r="13" spans="1:22" x14ac:dyDescent="0.35">
      <c r="A13" s="13"/>
      <c r="B13" s="54"/>
      <c r="C13" s="29"/>
      <c r="D13" s="29"/>
      <c r="E13" s="29"/>
      <c r="F13" s="29"/>
      <c r="G13" s="29"/>
      <c r="H13" s="29"/>
      <c r="I13" s="29"/>
      <c r="L13" s="13"/>
      <c r="M13" s="54"/>
      <c r="N13" s="29"/>
      <c r="O13" s="29"/>
      <c r="P13" s="29"/>
      <c r="Q13" s="29"/>
      <c r="R13" s="29"/>
      <c r="S13" s="29"/>
      <c r="T13" s="29"/>
    </row>
    <row r="14" spans="1:22" x14ac:dyDescent="0.35">
      <c r="A14" s="13"/>
      <c r="B14" s="54"/>
      <c r="C14" s="29"/>
      <c r="D14" s="29"/>
      <c r="E14" s="29"/>
      <c r="F14" s="29"/>
      <c r="G14" s="29"/>
      <c r="H14" s="29"/>
      <c r="I14" s="29"/>
      <c r="J14" s="35">
        <f>C14+D14+E14+F14+G14+H14+I14</f>
        <v>0</v>
      </c>
      <c r="L14" s="13"/>
      <c r="M14" s="54"/>
      <c r="N14" s="29"/>
      <c r="O14" s="29"/>
      <c r="P14" s="29"/>
      <c r="Q14" s="29"/>
      <c r="R14" s="29"/>
      <c r="S14" s="29"/>
      <c r="T14" s="29"/>
      <c r="U14" s="35">
        <f>N14+O14+P14+Q14+R14+S14+T14</f>
        <v>0</v>
      </c>
    </row>
    <row r="15" spans="1:22" x14ac:dyDescent="0.35">
      <c r="A15" s="13"/>
      <c r="B15" s="10" t="s">
        <v>21</v>
      </c>
      <c r="C15" s="14">
        <f t="shared" ref="C15" si="1">SUM(C8:C14)</f>
        <v>0</v>
      </c>
      <c r="D15" s="14">
        <f>D14/20</f>
        <v>0</v>
      </c>
      <c r="E15" s="14">
        <f t="shared" ref="E15:I15" si="2">E14/20</f>
        <v>0</v>
      </c>
      <c r="F15" s="14">
        <f t="shared" si="2"/>
        <v>0</v>
      </c>
      <c r="G15" s="14">
        <f t="shared" si="2"/>
        <v>0</v>
      </c>
      <c r="H15" s="14">
        <f t="shared" si="2"/>
        <v>0</v>
      </c>
      <c r="I15" s="14">
        <f t="shared" si="2"/>
        <v>0</v>
      </c>
      <c r="L15" s="13"/>
      <c r="M15" s="10" t="s">
        <v>21</v>
      </c>
      <c r="N15" s="14">
        <f t="shared" ref="N15" si="3">SUM(N8:N14)</f>
        <v>0</v>
      </c>
      <c r="O15" s="14">
        <f>O14/20</f>
        <v>0</v>
      </c>
      <c r="P15" s="14">
        <f t="shared" ref="P15:Q15" si="4">P14/20</f>
        <v>0</v>
      </c>
      <c r="Q15" s="14">
        <f t="shared" si="4"/>
        <v>0</v>
      </c>
      <c r="R15" s="14">
        <f t="shared" ref="R15:T15" si="5">R14/20</f>
        <v>0</v>
      </c>
      <c r="S15" s="14">
        <f t="shared" si="5"/>
        <v>0</v>
      </c>
      <c r="T15" s="14">
        <f t="shared" si="5"/>
        <v>0</v>
      </c>
    </row>
    <row r="16" spans="1:22" x14ac:dyDescent="0.35">
      <c r="A16" s="13"/>
      <c r="B16" s="10" t="s">
        <v>20</v>
      </c>
      <c r="C16" s="13">
        <f>C15+C14</f>
        <v>0</v>
      </c>
      <c r="D16" s="13">
        <f t="shared" ref="D16:I16" si="6">D15+D14</f>
        <v>0</v>
      </c>
      <c r="E16" s="13">
        <f t="shared" si="6"/>
        <v>0</v>
      </c>
      <c r="F16" s="13">
        <f t="shared" si="6"/>
        <v>0</v>
      </c>
      <c r="G16" s="13">
        <f t="shared" si="6"/>
        <v>0</v>
      </c>
      <c r="H16" s="13">
        <f t="shared" si="6"/>
        <v>0</v>
      </c>
      <c r="I16" s="13">
        <f t="shared" si="6"/>
        <v>0</v>
      </c>
      <c r="L16" s="13"/>
      <c r="M16" s="10" t="s">
        <v>20</v>
      </c>
      <c r="N16" s="13">
        <f>N15+N14</f>
        <v>0</v>
      </c>
      <c r="O16" s="13">
        <f t="shared" ref="O16:Q16" si="7">O15+O14</f>
        <v>0</v>
      </c>
      <c r="P16" s="13">
        <f t="shared" si="7"/>
        <v>0</v>
      </c>
      <c r="Q16" s="13">
        <f t="shared" si="7"/>
        <v>0</v>
      </c>
      <c r="R16" s="13">
        <f t="shared" ref="R16:T16" si="8">R15+R14</f>
        <v>0</v>
      </c>
      <c r="S16" s="13">
        <f t="shared" si="8"/>
        <v>0</v>
      </c>
      <c r="T16" s="13">
        <f t="shared" si="8"/>
        <v>0</v>
      </c>
    </row>
    <row r="17" spans="1:21" x14ac:dyDescent="0.35">
      <c r="A17" s="13"/>
      <c r="B17" s="39" t="s">
        <v>22</v>
      </c>
      <c r="C17" s="36"/>
      <c r="D17" s="36"/>
      <c r="E17" s="36"/>
      <c r="F17" s="36"/>
      <c r="G17" s="36"/>
      <c r="H17" s="36"/>
      <c r="I17" s="36"/>
      <c r="J17" s="35">
        <f>SUM(C17:I17)</f>
        <v>0</v>
      </c>
      <c r="L17" s="13"/>
      <c r="M17" s="39" t="s">
        <v>22</v>
      </c>
      <c r="N17" s="36"/>
      <c r="O17" s="36"/>
      <c r="P17" s="36"/>
      <c r="Q17" s="36"/>
      <c r="R17" s="36"/>
      <c r="S17" s="36"/>
      <c r="T17" s="36"/>
      <c r="U17" s="35">
        <f>SUM(N17:T17)</f>
        <v>0</v>
      </c>
    </row>
    <row r="18" spans="1:21" x14ac:dyDescent="0.35">
      <c r="A18" s="1"/>
      <c r="B18" s="1"/>
      <c r="C18" s="41"/>
      <c r="D18" s="26">
        <f t="shared" ref="D18:I18" si="9">D15/40</f>
        <v>0</v>
      </c>
      <c r="E18" s="26">
        <f t="shared" si="9"/>
        <v>0</v>
      </c>
      <c r="F18" s="26">
        <f t="shared" si="9"/>
        <v>0</v>
      </c>
      <c r="G18" s="26">
        <f t="shared" si="9"/>
        <v>0</v>
      </c>
      <c r="H18" s="26">
        <f t="shared" si="9"/>
        <v>0</v>
      </c>
      <c r="I18" s="26">
        <f t="shared" si="9"/>
        <v>0</v>
      </c>
    </row>
    <row r="20" spans="1:21" x14ac:dyDescent="0.35">
      <c r="A20" s="1"/>
      <c r="B20" s="1"/>
      <c r="C20" s="26"/>
      <c r="D20" s="26"/>
      <c r="E20" s="26"/>
      <c r="F20" s="26"/>
      <c r="G20" s="26"/>
      <c r="H20" s="26"/>
      <c r="I20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V18"/>
  <sheetViews>
    <sheetView topLeftCell="B1" zoomScaleNormal="100" workbookViewId="0">
      <selection activeCell="V14" sqref="V14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3.54296875" bestFit="1" customWidth="1"/>
    <col min="8" max="9" width="4.2695312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6328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7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7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I8" s="12"/>
      <c r="J8">
        <v>0</v>
      </c>
      <c r="K8" s="44"/>
      <c r="L8" s="27"/>
      <c r="M8" s="10" t="s">
        <v>14</v>
      </c>
      <c r="N8" s="12"/>
      <c r="O8" s="12"/>
      <c r="P8" s="12"/>
      <c r="Q8" s="12"/>
      <c r="R8" s="12"/>
      <c r="S8" s="12"/>
      <c r="T8" s="12"/>
      <c r="U8">
        <f>SUM(N8:Q8,R8,S8,T8)/40</f>
        <v>0</v>
      </c>
    </row>
    <row r="9" spans="1:22" x14ac:dyDescent="0.35">
      <c r="A9" s="27">
        <v>46179</v>
      </c>
      <c r="B9" s="10" t="s">
        <v>9</v>
      </c>
      <c r="C9" s="12"/>
      <c r="D9" s="12"/>
      <c r="E9" s="12"/>
      <c r="F9" s="12"/>
      <c r="G9" s="12"/>
      <c r="H9" s="12"/>
      <c r="I9" s="12"/>
      <c r="J9">
        <v>0</v>
      </c>
      <c r="K9" s="44"/>
      <c r="L9" s="27"/>
      <c r="M9" s="10" t="str">
        <f>B9</f>
        <v xml:space="preserve">Salman </v>
      </c>
      <c r="N9" s="12"/>
      <c r="O9" s="12"/>
      <c r="P9" s="12"/>
      <c r="Q9" s="12"/>
      <c r="R9" s="12"/>
      <c r="S9" s="12"/>
      <c r="T9" s="12"/>
      <c r="U9">
        <f t="shared" ref="U9:U12" si="0">SUM(N9:Q9,R9,S9,T9)/40</f>
        <v>0</v>
      </c>
      <c r="V9" s="44"/>
    </row>
    <row r="10" spans="1:22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12"/>
      <c r="J10">
        <v>0</v>
      </c>
      <c r="K10" s="44"/>
      <c r="L10" s="27"/>
      <c r="M10" s="10" t="s">
        <v>28</v>
      </c>
      <c r="N10" s="12"/>
      <c r="O10" s="12"/>
      <c r="P10" s="12"/>
      <c r="Q10" s="12"/>
      <c r="R10" s="12"/>
      <c r="S10" s="12"/>
      <c r="T10" s="12"/>
      <c r="U10">
        <f t="shared" si="0"/>
        <v>0</v>
      </c>
      <c r="V10" s="44"/>
    </row>
    <row r="11" spans="1:22" x14ac:dyDescent="0.35">
      <c r="A11" s="10"/>
      <c r="B11" s="10" t="s">
        <v>29</v>
      </c>
      <c r="C11" s="12"/>
      <c r="D11" s="12"/>
      <c r="E11" s="12"/>
      <c r="F11" s="12"/>
      <c r="G11" s="12"/>
      <c r="H11" s="12"/>
      <c r="I11" s="12"/>
      <c r="J11">
        <v>0</v>
      </c>
      <c r="K11" s="44"/>
      <c r="L11" s="10"/>
      <c r="M11" s="10" t="s">
        <v>33</v>
      </c>
      <c r="N11" s="12"/>
      <c r="O11" s="12"/>
      <c r="P11" s="12"/>
      <c r="Q11" s="12"/>
      <c r="R11" s="12"/>
      <c r="S11" s="12"/>
      <c r="T11" s="12"/>
      <c r="U11">
        <f t="shared" si="0"/>
        <v>0</v>
      </c>
      <c r="V11" s="44"/>
    </row>
    <row r="12" spans="1:22" x14ac:dyDescent="0.35">
      <c r="A12" s="10"/>
      <c r="B12" s="10"/>
      <c r="C12" s="12"/>
      <c r="D12" s="12"/>
      <c r="E12" s="12"/>
      <c r="F12" s="12"/>
      <c r="G12" s="12"/>
      <c r="H12" s="12"/>
      <c r="I12" s="12"/>
      <c r="J12">
        <v>0</v>
      </c>
      <c r="K12" s="41"/>
      <c r="L12" s="10"/>
      <c r="M12" s="10">
        <f>B12</f>
        <v>0</v>
      </c>
      <c r="N12" s="12"/>
      <c r="O12" s="12"/>
      <c r="P12" s="12"/>
      <c r="Q12" s="12"/>
      <c r="R12" s="12"/>
      <c r="S12" s="12"/>
      <c r="T12" s="12"/>
      <c r="U12">
        <f t="shared" si="0"/>
        <v>0</v>
      </c>
      <c r="V12" s="44">
        <v>2</v>
      </c>
    </row>
    <row r="13" spans="1:22" x14ac:dyDescent="0.35">
      <c r="A13" s="13"/>
      <c r="B13" s="10"/>
      <c r="C13" s="14"/>
      <c r="D13" s="14"/>
      <c r="E13" s="14"/>
      <c r="F13" s="14"/>
      <c r="G13" s="14"/>
      <c r="H13" s="14"/>
      <c r="I13" s="14"/>
      <c r="L13" s="13"/>
      <c r="M13" s="10"/>
      <c r="N13" s="14"/>
      <c r="O13" s="14"/>
      <c r="P13" s="14"/>
      <c r="Q13" s="14"/>
      <c r="R13" s="14"/>
      <c r="S13" s="14"/>
      <c r="T13" s="14"/>
    </row>
    <row r="14" spans="1:22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35">
        <f>C14+D14+E14+F14+G14+H14+I14</f>
        <v>0</v>
      </c>
      <c r="L14" s="13"/>
      <c r="M14" s="10"/>
      <c r="N14" s="13"/>
      <c r="O14" s="13"/>
      <c r="P14" s="13"/>
      <c r="Q14" s="13"/>
      <c r="R14" s="13"/>
      <c r="S14" s="13"/>
      <c r="T14" s="13"/>
      <c r="U14" s="35">
        <f>N14+O14+P14+Q14+R14+S14+T14</f>
        <v>0</v>
      </c>
    </row>
    <row r="15" spans="1:22" x14ac:dyDescent="0.35">
      <c r="A15" s="13"/>
      <c r="B15" s="10" t="s">
        <v>21</v>
      </c>
      <c r="C15" s="36"/>
      <c r="D15" s="36">
        <f>D14/20</f>
        <v>0</v>
      </c>
      <c r="E15" s="36">
        <f t="shared" ref="E15:I15" si="1">E14/20</f>
        <v>0</v>
      </c>
      <c r="F15" s="36">
        <f t="shared" si="1"/>
        <v>0</v>
      </c>
      <c r="G15" s="36">
        <f t="shared" si="1"/>
        <v>0</v>
      </c>
      <c r="H15" s="36">
        <f t="shared" si="1"/>
        <v>0</v>
      </c>
      <c r="I15" s="36">
        <f t="shared" si="1"/>
        <v>0</v>
      </c>
      <c r="L15" s="13"/>
      <c r="M15" s="10" t="s">
        <v>21</v>
      </c>
      <c r="N15" s="36"/>
      <c r="O15" s="36">
        <f>O14/20</f>
        <v>0</v>
      </c>
      <c r="P15" s="36">
        <f t="shared" ref="P15:Q15" si="2">P14/20</f>
        <v>0</v>
      </c>
      <c r="Q15" s="36">
        <f t="shared" si="2"/>
        <v>0</v>
      </c>
      <c r="R15" s="36">
        <f t="shared" ref="R15:T15" si="3">R14/20</f>
        <v>0</v>
      </c>
      <c r="S15" s="36">
        <f t="shared" si="3"/>
        <v>0</v>
      </c>
      <c r="T15" s="36">
        <f t="shared" si="3"/>
        <v>0</v>
      </c>
    </row>
    <row r="16" spans="1:22" x14ac:dyDescent="0.35">
      <c r="A16" s="13"/>
      <c r="B16" s="13" t="s">
        <v>20</v>
      </c>
      <c r="C16" s="36">
        <f>C15+C14</f>
        <v>0</v>
      </c>
      <c r="D16" s="36">
        <f t="shared" ref="D16:I16" si="4">D15+D14</f>
        <v>0</v>
      </c>
      <c r="E16" s="36">
        <f t="shared" si="4"/>
        <v>0</v>
      </c>
      <c r="F16" s="36">
        <f t="shared" si="4"/>
        <v>0</v>
      </c>
      <c r="G16" s="36">
        <f t="shared" si="4"/>
        <v>0</v>
      </c>
      <c r="H16" s="36">
        <f t="shared" si="4"/>
        <v>0</v>
      </c>
      <c r="I16" s="36">
        <f t="shared" si="4"/>
        <v>0</v>
      </c>
      <c r="L16" s="13"/>
      <c r="M16" s="13" t="s">
        <v>20</v>
      </c>
      <c r="N16" s="36">
        <f>N15+N14</f>
        <v>0</v>
      </c>
      <c r="O16" s="36">
        <f t="shared" ref="O16:Q16" si="5">O15+O14</f>
        <v>0</v>
      </c>
      <c r="P16" s="36">
        <f t="shared" si="5"/>
        <v>0</v>
      </c>
      <c r="Q16" s="36">
        <f t="shared" si="5"/>
        <v>0</v>
      </c>
      <c r="R16" s="36">
        <f t="shared" ref="R16:T16" si="6">R15+R14</f>
        <v>0</v>
      </c>
      <c r="S16" s="36">
        <f t="shared" si="6"/>
        <v>0</v>
      </c>
      <c r="T16" s="36">
        <f t="shared" si="6"/>
        <v>0</v>
      </c>
    </row>
    <row r="17" spans="1:21" x14ac:dyDescent="0.35">
      <c r="A17" s="40"/>
      <c r="B17" s="39" t="s">
        <v>22</v>
      </c>
      <c r="C17" s="40"/>
      <c r="D17" s="40"/>
      <c r="E17" s="40"/>
      <c r="F17" s="40"/>
      <c r="G17" s="40"/>
      <c r="H17" s="40"/>
      <c r="I17" s="40"/>
      <c r="J17" s="35">
        <f>SUM(C17:I17)</f>
        <v>0</v>
      </c>
      <c r="L17" s="40"/>
      <c r="M17" s="39" t="s">
        <v>22</v>
      </c>
      <c r="N17" s="40"/>
      <c r="O17" s="40"/>
      <c r="P17" s="40"/>
      <c r="Q17" s="40"/>
      <c r="R17" s="40"/>
      <c r="S17" s="40"/>
      <c r="T17" s="40"/>
      <c r="U17" s="35">
        <f>SUM(N17:T17)</f>
        <v>0</v>
      </c>
    </row>
    <row r="18" spans="1:21" x14ac:dyDescent="0.35">
      <c r="C18" s="32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V19"/>
  <sheetViews>
    <sheetView topLeftCell="B1"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I2" s="62"/>
      <c r="L2" s="1"/>
      <c r="M2" s="61" t="s">
        <v>32</v>
      </c>
      <c r="N2" s="62"/>
      <c r="O2" s="62"/>
      <c r="P2" s="62"/>
      <c r="Q2" s="62"/>
      <c r="R2" s="62"/>
      <c r="S2" s="62"/>
      <c r="T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I3" s="65"/>
      <c r="L3" s="1"/>
      <c r="M3" s="64"/>
      <c r="N3" s="65"/>
      <c r="O3" s="65"/>
      <c r="P3" s="65"/>
      <c r="Q3" s="65"/>
      <c r="R3" s="65"/>
      <c r="S3" s="65"/>
      <c r="T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I4" s="65"/>
      <c r="L4" s="1"/>
      <c r="M4" s="64"/>
      <c r="N4" s="65"/>
      <c r="O4" s="65"/>
      <c r="P4" s="65"/>
      <c r="Q4" s="65"/>
      <c r="R4" s="65"/>
      <c r="S4" s="65"/>
      <c r="T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I5" s="68"/>
      <c r="L5" s="1"/>
      <c r="M5" s="67"/>
      <c r="N5" s="68"/>
      <c r="O5" s="68"/>
      <c r="P5" s="68"/>
      <c r="Q5" s="68"/>
      <c r="R5" s="68"/>
      <c r="S5" s="68"/>
      <c r="T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 t="s">
        <v>3</v>
      </c>
      <c r="H6" s="71"/>
      <c r="I6" s="71"/>
      <c r="L6" s="1"/>
      <c r="M6" s="2"/>
      <c r="N6" s="3" t="s">
        <v>1</v>
      </c>
      <c r="O6" s="70" t="s">
        <v>2</v>
      </c>
      <c r="P6" s="71"/>
      <c r="Q6" s="71"/>
      <c r="R6" s="71" t="s">
        <v>3</v>
      </c>
      <c r="S6" s="71"/>
      <c r="T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12</v>
      </c>
      <c r="H7" s="45" t="s">
        <v>7</v>
      </c>
      <c r="I7" s="45" t="s">
        <v>11</v>
      </c>
      <c r="J7" s="12" t="s">
        <v>25</v>
      </c>
      <c r="K7" s="12" t="s">
        <v>24</v>
      </c>
      <c r="L7" s="10" t="s">
        <v>4</v>
      </c>
      <c r="M7" s="10" t="s">
        <v>5</v>
      </c>
      <c r="N7" s="37" t="s">
        <v>6</v>
      </c>
      <c r="O7" s="55" t="s">
        <v>12</v>
      </c>
      <c r="P7" s="55" t="s">
        <v>10</v>
      </c>
      <c r="Q7" s="55" t="s">
        <v>11</v>
      </c>
      <c r="R7" s="45" t="s">
        <v>12</v>
      </c>
      <c r="S7" s="45" t="s">
        <v>7</v>
      </c>
      <c r="T7" s="45" t="s">
        <v>11</v>
      </c>
      <c r="U7" s="12" t="s">
        <v>25</v>
      </c>
      <c r="V7" s="12" t="s">
        <v>24</v>
      </c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I8" s="12"/>
      <c r="J8">
        <v>3.95</v>
      </c>
      <c r="L8" s="27"/>
      <c r="M8" s="10" t="s">
        <v>14</v>
      </c>
      <c r="N8" s="12"/>
      <c r="O8" s="12"/>
      <c r="P8" s="12"/>
      <c r="Q8" s="12"/>
      <c r="R8" s="12"/>
      <c r="S8" s="12"/>
      <c r="T8" s="12"/>
      <c r="U8">
        <f>SUM(N8:Q8,R8,S8,T8)/40</f>
        <v>0</v>
      </c>
      <c r="V8" s="44"/>
    </row>
    <row r="9" spans="1:22" x14ac:dyDescent="0.35">
      <c r="A9" s="27"/>
      <c r="B9" s="10" t="s">
        <v>9</v>
      </c>
      <c r="C9" s="12"/>
      <c r="D9" s="12"/>
      <c r="E9" s="12"/>
      <c r="F9" s="12"/>
      <c r="G9" s="12"/>
      <c r="H9" s="12"/>
      <c r="I9" s="12"/>
      <c r="J9">
        <v>3.95</v>
      </c>
      <c r="L9" s="27"/>
      <c r="M9" s="10" t="str">
        <f>B9</f>
        <v xml:space="preserve">Salman </v>
      </c>
      <c r="N9" s="12"/>
      <c r="O9" s="12"/>
      <c r="P9" s="12"/>
      <c r="Q9" s="12"/>
      <c r="R9" s="12"/>
      <c r="S9" s="12"/>
      <c r="T9" s="12"/>
      <c r="U9">
        <f t="shared" ref="U9:U12" si="0">SUM(N9:Q9,R9,S9,T9)/40</f>
        <v>0</v>
      </c>
      <c r="V9" s="44"/>
    </row>
    <row r="10" spans="1:22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12"/>
      <c r="J10">
        <v>3.95</v>
      </c>
      <c r="L10" s="27"/>
      <c r="M10" s="10" t="s">
        <v>28</v>
      </c>
      <c r="N10" s="12"/>
      <c r="O10" s="12"/>
      <c r="P10" s="12"/>
      <c r="Q10" s="12"/>
      <c r="R10" s="12"/>
      <c r="S10" s="12"/>
      <c r="T10" s="12"/>
      <c r="U10">
        <f t="shared" si="0"/>
        <v>0</v>
      </c>
      <c r="V10" s="44"/>
    </row>
    <row r="11" spans="1:22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12"/>
      <c r="J11">
        <v>3.95</v>
      </c>
      <c r="L11" s="11"/>
      <c r="M11" s="10" t="s">
        <v>33</v>
      </c>
      <c r="N11" s="12"/>
      <c r="O11" s="12"/>
      <c r="P11" s="12"/>
      <c r="Q11" s="12"/>
      <c r="R11" s="12"/>
      <c r="S11" s="12"/>
      <c r="T11" s="12"/>
      <c r="U11">
        <f t="shared" si="0"/>
        <v>0</v>
      </c>
      <c r="V11" s="44"/>
    </row>
    <row r="12" spans="1:22" x14ac:dyDescent="0.35">
      <c r="A12" s="11"/>
      <c r="B12" s="11"/>
      <c r="C12" s="12"/>
      <c r="D12" s="12"/>
      <c r="E12" s="12"/>
      <c r="F12" s="12"/>
      <c r="G12" s="12"/>
      <c r="H12" s="12"/>
      <c r="I12" s="12"/>
      <c r="J12">
        <v>3.95</v>
      </c>
      <c r="L12" s="11"/>
      <c r="M12" s="10">
        <f>B12</f>
        <v>0</v>
      </c>
      <c r="N12" s="12"/>
      <c r="O12" s="12"/>
      <c r="P12" s="12"/>
      <c r="Q12" s="12"/>
      <c r="R12" s="12"/>
      <c r="S12" s="12"/>
      <c r="T12" s="12"/>
      <c r="U12">
        <f t="shared" si="0"/>
        <v>0</v>
      </c>
      <c r="V12" s="41">
        <v>7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12"/>
      <c r="R13" s="12"/>
      <c r="S13" s="12"/>
      <c r="T13" s="12"/>
    </row>
    <row r="14" spans="1:22" x14ac:dyDescent="0.35">
      <c r="A14" s="13"/>
      <c r="B14" s="10"/>
      <c r="C14" s="14">
        <f t="shared" ref="C14:I14" si="1">SUM(C8:C13)</f>
        <v>0</v>
      </c>
      <c r="D14" s="14">
        <f t="shared" si="1"/>
        <v>0</v>
      </c>
      <c r="E14" s="14">
        <f t="shared" si="1"/>
        <v>0</v>
      </c>
      <c r="F14" s="14">
        <f t="shared" si="1"/>
        <v>0</v>
      </c>
      <c r="G14" s="14">
        <f t="shared" si="1"/>
        <v>0</v>
      </c>
      <c r="H14" s="14">
        <f t="shared" si="1"/>
        <v>0</v>
      </c>
      <c r="I14" s="14">
        <f t="shared" si="1"/>
        <v>0</v>
      </c>
      <c r="J14" s="35">
        <f>C14+D14+E14+F14+G14+H14+I14</f>
        <v>0</v>
      </c>
      <c r="L14" s="13"/>
      <c r="M14" s="10"/>
      <c r="N14" s="14">
        <f t="shared" ref="N14:T14" si="2">SUM(N8:N13)</f>
        <v>0</v>
      </c>
      <c r="O14" s="14">
        <f t="shared" si="2"/>
        <v>0</v>
      </c>
      <c r="P14" s="14">
        <f t="shared" si="2"/>
        <v>0</v>
      </c>
      <c r="Q14" s="14">
        <f t="shared" si="2"/>
        <v>0</v>
      </c>
      <c r="R14" s="14">
        <f t="shared" si="2"/>
        <v>0</v>
      </c>
      <c r="S14" s="14">
        <f t="shared" si="2"/>
        <v>0</v>
      </c>
      <c r="T14" s="14">
        <f t="shared" si="2"/>
        <v>0</v>
      </c>
      <c r="U14" s="35">
        <f>N14+O14+P14+Q14+R14+S14+T14</f>
        <v>0</v>
      </c>
    </row>
    <row r="15" spans="1:22" x14ac:dyDescent="0.35">
      <c r="A15" s="13"/>
      <c r="B15" s="10" t="s">
        <v>21</v>
      </c>
      <c r="C15" s="13"/>
      <c r="D15" s="13">
        <f>D14/20</f>
        <v>0</v>
      </c>
      <c r="E15" s="13">
        <f t="shared" ref="E15:I15" si="3">E14/20</f>
        <v>0</v>
      </c>
      <c r="F15" s="13">
        <f t="shared" si="3"/>
        <v>0</v>
      </c>
      <c r="G15" s="13">
        <f t="shared" si="3"/>
        <v>0</v>
      </c>
      <c r="H15" s="13">
        <f t="shared" si="3"/>
        <v>0</v>
      </c>
      <c r="I15" s="13">
        <f t="shared" si="3"/>
        <v>0</v>
      </c>
      <c r="L15" s="13"/>
      <c r="M15" s="10" t="s">
        <v>21</v>
      </c>
      <c r="N15" s="13"/>
      <c r="O15" s="13">
        <f>O14/20</f>
        <v>0</v>
      </c>
      <c r="P15" s="13">
        <f t="shared" ref="P15:Q15" si="4">P14/20</f>
        <v>0</v>
      </c>
      <c r="Q15" s="13">
        <f t="shared" si="4"/>
        <v>0</v>
      </c>
      <c r="R15" s="13">
        <f t="shared" ref="R15:T15" si="5">R14/20</f>
        <v>0</v>
      </c>
      <c r="S15" s="13">
        <f t="shared" si="5"/>
        <v>0</v>
      </c>
      <c r="T15" s="13">
        <f t="shared" si="5"/>
        <v>0</v>
      </c>
    </row>
    <row r="16" spans="1:22" x14ac:dyDescent="0.35">
      <c r="A16" s="13"/>
      <c r="B16" s="10" t="s">
        <v>20</v>
      </c>
      <c r="C16" s="36">
        <f>C15+C14</f>
        <v>0</v>
      </c>
      <c r="D16" s="36">
        <f t="shared" ref="D16:I16" si="6">D15+D14</f>
        <v>0</v>
      </c>
      <c r="E16" s="36">
        <f t="shared" si="6"/>
        <v>0</v>
      </c>
      <c r="F16" s="36">
        <f t="shared" si="6"/>
        <v>0</v>
      </c>
      <c r="G16" s="36">
        <f t="shared" si="6"/>
        <v>0</v>
      </c>
      <c r="H16" s="36">
        <f t="shared" si="6"/>
        <v>0</v>
      </c>
      <c r="I16" s="36">
        <f t="shared" si="6"/>
        <v>0</v>
      </c>
      <c r="L16" s="13"/>
      <c r="M16" s="10" t="s">
        <v>20</v>
      </c>
      <c r="N16" s="36">
        <f>N15+N14</f>
        <v>0</v>
      </c>
      <c r="O16" s="36">
        <f t="shared" ref="O16:Q16" si="7">O15+O14</f>
        <v>0</v>
      </c>
      <c r="P16" s="36">
        <f t="shared" si="7"/>
        <v>0</v>
      </c>
      <c r="Q16" s="36">
        <f t="shared" si="7"/>
        <v>0</v>
      </c>
      <c r="R16" s="36">
        <f t="shared" ref="R16:T16" si="8">R15+R14</f>
        <v>0</v>
      </c>
      <c r="S16" s="36">
        <f t="shared" si="8"/>
        <v>0</v>
      </c>
      <c r="T16" s="36">
        <f t="shared" si="8"/>
        <v>0</v>
      </c>
    </row>
    <row r="17" spans="1:21" x14ac:dyDescent="0.35">
      <c r="A17" s="13"/>
      <c r="B17" s="39" t="s">
        <v>22</v>
      </c>
      <c r="C17" s="36">
        <f>C14/40</f>
        <v>0</v>
      </c>
      <c r="D17" s="36">
        <f t="shared" ref="D17:I17" si="9">D14/40</f>
        <v>0</v>
      </c>
      <c r="E17" s="36">
        <f t="shared" si="9"/>
        <v>0</v>
      </c>
      <c r="F17" s="36">
        <f t="shared" si="9"/>
        <v>0</v>
      </c>
      <c r="G17" s="36">
        <f t="shared" si="9"/>
        <v>0</v>
      </c>
      <c r="H17" s="36">
        <f t="shared" si="9"/>
        <v>0</v>
      </c>
      <c r="I17" s="36">
        <f t="shared" si="9"/>
        <v>0</v>
      </c>
      <c r="J17" s="35">
        <f>SUM(C17:I17)</f>
        <v>0</v>
      </c>
      <c r="L17" s="13"/>
      <c r="M17" s="39" t="s">
        <v>22</v>
      </c>
      <c r="N17" s="36">
        <f>N14/40</f>
        <v>0</v>
      </c>
      <c r="O17" s="36">
        <f t="shared" ref="O17:Q17" si="10">O14/40</f>
        <v>0</v>
      </c>
      <c r="P17" s="36">
        <f t="shared" si="10"/>
        <v>0</v>
      </c>
      <c r="Q17" s="36">
        <f t="shared" si="10"/>
        <v>0</v>
      </c>
      <c r="R17" s="36">
        <f t="shared" ref="R17:T17" si="11">R14/40</f>
        <v>0</v>
      </c>
      <c r="S17" s="36">
        <f t="shared" si="11"/>
        <v>0</v>
      </c>
      <c r="T17" s="36">
        <f t="shared" si="11"/>
        <v>0</v>
      </c>
      <c r="U17" s="35">
        <f>SUM(N17:T17)</f>
        <v>0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7.08984375" customWidth="1"/>
    <col min="7" max="7" width="3.54296875" bestFit="1" customWidth="1"/>
    <col min="8" max="8" width="5.81640625" bestFit="1" customWidth="1"/>
    <col min="10" max="10" width="3.90625" bestFit="1" customWidth="1"/>
    <col min="11" max="11" width="6.453125" bestFit="1" customWidth="1"/>
    <col min="12" max="12" width="4" bestFit="1" customWidth="1"/>
    <col min="13" max="13" width="5" bestFit="1" customWidth="1"/>
    <col min="14" max="14" width="3.26953125" bestFit="1" customWidth="1"/>
    <col min="15" max="15" width="3.08984375" bestFit="1" customWidth="1"/>
    <col min="18" max="18" width="0" hidden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3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6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6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9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2"/>
      <c r="J6" s="1"/>
      <c r="K6" s="2"/>
      <c r="L6" s="3" t="s">
        <v>1</v>
      </c>
      <c r="M6" s="70" t="s">
        <v>2</v>
      </c>
      <c r="N6" s="71"/>
      <c r="O6" s="71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11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8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28"/>
      <c r="J8" s="27">
        <v>46181</v>
      </c>
      <c r="K8" s="10"/>
      <c r="L8" s="12"/>
      <c r="M8" s="12" t="s">
        <v>14</v>
      </c>
      <c r="N8" s="12"/>
      <c r="O8" s="12"/>
      <c r="P8" s="12"/>
      <c r="Q8" s="12"/>
      <c r="R8" s="28"/>
      <c r="T8" s="44"/>
    </row>
    <row r="9" spans="1:20" x14ac:dyDescent="0.35">
      <c r="A9" s="27">
        <v>46181</v>
      </c>
      <c r="B9" s="10" t="s">
        <v>9</v>
      </c>
      <c r="C9" s="12"/>
      <c r="D9" s="12"/>
      <c r="E9" s="12"/>
      <c r="F9" s="12"/>
      <c r="G9" s="12"/>
      <c r="H9" s="28"/>
      <c r="J9" s="27">
        <v>46181</v>
      </c>
      <c r="K9" s="10"/>
      <c r="L9" s="12"/>
      <c r="M9" s="12">
        <v>50</v>
      </c>
      <c r="N9" s="12"/>
      <c r="O9" s="12"/>
      <c r="P9" s="12"/>
      <c r="Q9" s="12"/>
      <c r="R9" s="28"/>
      <c r="T9" s="44"/>
    </row>
    <row r="10" spans="1:20" x14ac:dyDescent="0.35">
      <c r="A10" s="27">
        <v>46181</v>
      </c>
      <c r="B10" s="10" t="s">
        <v>28</v>
      </c>
      <c r="C10" s="12"/>
      <c r="D10" s="12"/>
      <c r="E10" s="12"/>
      <c r="F10" s="12"/>
      <c r="G10" s="12"/>
      <c r="H10" s="28"/>
      <c r="J10" s="27">
        <v>46181</v>
      </c>
      <c r="K10" s="10"/>
      <c r="L10" s="12">
        <v>40</v>
      </c>
      <c r="M10" s="12" t="s">
        <v>28</v>
      </c>
      <c r="N10" s="12"/>
      <c r="O10" s="12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28"/>
      <c r="J11" s="27">
        <v>46181</v>
      </c>
      <c r="K11" s="10"/>
      <c r="L11" s="12"/>
      <c r="M11" s="12" t="s">
        <v>33</v>
      </c>
      <c r="N11" s="12"/>
      <c r="O11" s="12"/>
      <c r="P11" s="12"/>
      <c r="Q11" s="12"/>
      <c r="R11" s="28"/>
    </row>
    <row r="12" spans="1:20" x14ac:dyDescent="0.35">
      <c r="A12" s="11"/>
      <c r="B12" s="11"/>
      <c r="C12" s="12"/>
      <c r="D12" s="12"/>
      <c r="E12" s="12"/>
      <c r="F12" s="12"/>
      <c r="G12" s="12"/>
      <c r="H12" s="28"/>
      <c r="J12" s="27">
        <v>46181</v>
      </c>
      <c r="K12" s="10"/>
      <c r="L12" s="12">
        <v>254</v>
      </c>
      <c r="M12" s="12">
        <v>0</v>
      </c>
      <c r="N12" s="12"/>
      <c r="O12" s="12"/>
      <c r="P12" s="12"/>
      <c r="Q12" s="12"/>
      <c r="R12" s="28"/>
      <c r="T12" s="44"/>
    </row>
    <row r="13" spans="1:20" x14ac:dyDescent="0.35">
      <c r="A13" s="11"/>
      <c r="B13" s="11"/>
      <c r="C13" s="12"/>
      <c r="D13" s="12"/>
      <c r="E13" s="12"/>
      <c r="F13" s="12"/>
      <c r="G13" s="12"/>
      <c r="H13" s="28"/>
      <c r="J13" s="11"/>
      <c r="K13" s="11"/>
      <c r="L13" s="12"/>
      <c r="M13" s="12"/>
      <c r="N13" s="12"/>
      <c r="O13" s="12"/>
      <c r="P13" s="12"/>
      <c r="Q13" s="12"/>
      <c r="R13" s="28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>
        <f>SUM(C14:H14)/40</f>
        <v>0</v>
      </c>
      <c r="J14" s="13"/>
      <c r="K14" s="10"/>
      <c r="L14" s="14">
        <f t="shared" ref="L14:R14" si="1">SUM(L8:L13)</f>
        <v>294</v>
      </c>
      <c r="M14" s="14">
        <f t="shared" si="1"/>
        <v>50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L14+M14+N14+O14+P14+Q14+#REF!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G15" si="2">E14/20</f>
        <v>0</v>
      </c>
      <c r="F15" s="13">
        <f t="shared" si="2"/>
        <v>0</v>
      </c>
      <c r="G15" s="13">
        <f t="shared" si="2"/>
        <v>0</v>
      </c>
      <c r="H15" s="13"/>
      <c r="J15" s="13"/>
      <c r="K15" s="10" t="s">
        <v>21</v>
      </c>
      <c r="L15" s="13"/>
      <c r="M15" s="13">
        <f>M14/20</f>
        <v>2.5</v>
      </c>
      <c r="N15" s="13">
        <f t="shared" ref="N15:O15" si="3">N14/20</f>
        <v>0</v>
      </c>
      <c r="O15" s="13">
        <f t="shared" si="3"/>
        <v>0</v>
      </c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G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/>
      <c r="J16" s="13"/>
      <c r="K16" s="10" t="s">
        <v>20</v>
      </c>
      <c r="L16" s="36">
        <f>L15+L14</f>
        <v>294</v>
      </c>
      <c r="M16" s="36">
        <f t="shared" ref="M16:O16" si="6">M15+M14</f>
        <v>52.5</v>
      </c>
      <c r="N16" s="36">
        <f t="shared" si="6"/>
        <v>0</v>
      </c>
      <c r="O16" s="36">
        <f t="shared" si="6"/>
        <v>0</v>
      </c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G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/>
      <c r="I17" s="35">
        <f>SUM(C17:G17)</f>
        <v>0</v>
      </c>
      <c r="J17" s="13"/>
      <c r="K17" s="39" t="s">
        <v>22</v>
      </c>
      <c r="L17" s="36">
        <f>L14/40</f>
        <v>7.35</v>
      </c>
      <c r="M17" s="36">
        <f t="shared" ref="M17:O17" si="9">M14/40</f>
        <v>1.25</v>
      </c>
      <c r="N17" s="36">
        <f t="shared" si="9"/>
        <v>0</v>
      </c>
      <c r="O17" s="36">
        <f t="shared" si="9"/>
        <v>0</v>
      </c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8.6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9" max="9" width="5.81640625" bestFit="1" customWidth="1"/>
    <col min="11" max="11" width="3.54296875" bestFit="1" customWidth="1"/>
    <col min="12" max="12" width="9.1796875" bestFit="1" customWidth="1"/>
    <col min="13" max="13" width="4" bestFit="1" customWidth="1"/>
    <col min="14" max="14" width="4.26953125" bestFit="1" customWidth="1"/>
    <col min="15" max="15" width="3.26953125" bestFit="1" customWidth="1"/>
    <col min="18" max="18" width="0" hidden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I2" s="63"/>
      <c r="K2" s="1"/>
      <c r="L2" s="61" t="s">
        <v>32</v>
      </c>
      <c r="M2" s="62"/>
      <c r="N2" s="62"/>
      <c r="O2" s="62"/>
      <c r="P2" s="62"/>
      <c r="Q2" s="62"/>
      <c r="R2" s="62"/>
      <c r="S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I3" s="66"/>
      <c r="K3" s="1"/>
      <c r="L3" s="64"/>
      <c r="M3" s="65"/>
      <c r="N3" s="65"/>
      <c r="O3" s="65"/>
      <c r="P3" s="65"/>
      <c r="Q3" s="65"/>
      <c r="R3" s="65"/>
      <c r="S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I4" s="66"/>
      <c r="K4" s="1"/>
      <c r="L4" s="64"/>
      <c r="M4" s="65"/>
      <c r="N4" s="65"/>
      <c r="O4" s="65"/>
      <c r="P4" s="65"/>
      <c r="Q4" s="65"/>
      <c r="R4" s="65"/>
      <c r="S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I5" s="69"/>
      <c r="K5" s="1"/>
      <c r="L5" s="67"/>
      <c r="M5" s="68"/>
      <c r="N5" s="68"/>
      <c r="O5" s="68"/>
      <c r="P5" s="68"/>
      <c r="Q5" s="68"/>
      <c r="R5" s="68"/>
      <c r="S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I6" s="72"/>
      <c r="K6" s="1"/>
      <c r="L6" s="2"/>
      <c r="M6" s="3" t="s">
        <v>1</v>
      </c>
      <c r="N6" s="70" t="s">
        <v>2</v>
      </c>
      <c r="O6" s="71"/>
      <c r="P6" s="72"/>
      <c r="Q6" s="71" t="s">
        <v>3</v>
      </c>
      <c r="R6" s="71"/>
      <c r="S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8</v>
      </c>
      <c r="J7" s="12" t="s">
        <v>24</v>
      </c>
      <c r="K7" s="10" t="s">
        <v>4</v>
      </c>
      <c r="L7" s="10" t="s">
        <v>5</v>
      </c>
      <c r="M7" s="56" t="s">
        <v>6</v>
      </c>
      <c r="N7" s="55" t="s">
        <v>12</v>
      </c>
      <c r="O7" s="55" t="s">
        <v>10</v>
      </c>
      <c r="P7" s="55" t="s">
        <v>11</v>
      </c>
      <c r="Q7" s="55" t="s">
        <v>12</v>
      </c>
      <c r="R7" s="45" t="s">
        <v>11</v>
      </c>
      <c r="S7" s="45" t="s">
        <v>11</v>
      </c>
      <c r="T7" s="45" t="s">
        <v>25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I8" s="30"/>
      <c r="J8" s="44">
        <v>4</v>
      </c>
      <c r="K8" s="27"/>
      <c r="L8" s="10"/>
      <c r="M8" s="12" t="s">
        <v>14</v>
      </c>
      <c r="N8" s="12"/>
      <c r="O8" s="12"/>
      <c r="P8" s="30"/>
      <c r="Q8" s="12"/>
      <c r="R8" s="12"/>
      <c r="S8" s="30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I9" s="30"/>
      <c r="J9" s="44">
        <v>4</v>
      </c>
      <c r="K9" s="27"/>
      <c r="L9" s="10"/>
      <c r="M9" s="12">
        <v>126</v>
      </c>
      <c r="N9" s="12"/>
      <c r="O9" s="12"/>
      <c r="P9" s="30"/>
      <c r="Q9" s="12"/>
      <c r="R9" s="12"/>
      <c r="S9" s="30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30"/>
      <c r="J10" s="44">
        <v>4</v>
      </c>
      <c r="K10" s="27"/>
      <c r="L10" s="10" t="str">
        <f>B10</f>
        <v>Umair</v>
      </c>
      <c r="M10" s="12" t="s">
        <v>28</v>
      </c>
      <c r="N10" s="12"/>
      <c r="O10" s="12"/>
      <c r="P10" s="30"/>
      <c r="Q10" s="12"/>
      <c r="R10" s="12"/>
      <c r="S10" s="30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30"/>
      <c r="J11" s="44">
        <v>4</v>
      </c>
      <c r="K11" s="11"/>
      <c r="L11" s="10" t="str">
        <f>B11</f>
        <v xml:space="preserve">Shakoor </v>
      </c>
      <c r="M11" s="12" t="s">
        <v>33</v>
      </c>
      <c r="N11" s="12"/>
      <c r="O11" s="12"/>
      <c r="P11" s="30"/>
      <c r="Q11" s="12"/>
      <c r="R11" s="12"/>
      <c r="S11" s="30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30"/>
      <c r="J12" s="44">
        <v>4</v>
      </c>
      <c r="K12" s="11"/>
      <c r="L12" s="10">
        <f>B12</f>
        <v>0</v>
      </c>
      <c r="M12" s="12"/>
      <c r="N12" s="12"/>
      <c r="O12" s="12"/>
      <c r="P12" s="30"/>
      <c r="Q12" s="12"/>
      <c r="R12" s="12"/>
      <c r="S12" s="30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30"/>
      <c r="K13" s="11"/>
      <c r="L13" s="11"/>
      <c r="M13" s="12"/>
      <c r="N13" s="12"/>
      <c r="O13" s="12"/>
      <c r="P13" s="30"/>
      <c r="Q13" s="12"/>
      <c r="R13" s="12"/>
      <c r="S13" s="30"/>
    </row>
    <row r="14" spans="1:20" x14ac:dyDescent="0.35">
      <c r="A14" s="13"/>
      <c r="B14" s="10" t="s">
        <v>15</v>
      </c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0">
        <f>SUM(G14:H14)/20</f>
        <v>0</v>
      </c>
      <c r="K14" s="13"/>
      <c r="L14" s="10" t="s">
        <v>15</v>
      </c>
      <c r="M14" s="14">
        <f t="shared" ref="M14:R14" si="1">SUM(M8:M13)</f>
        <v>126</v>
      </c>
      <c r="N14" s="14">
        <f t="shared" si="1"/>
        <v>0</v>
      </c>
      <c r="O14" s="14">
        <f t="shared" si="1"/>
        <v>0</v>
      </c>
      <c r="P14" s="31"/>
      <c r="Q14" s="14">
        <f t="shared" si="1"/>
        <v>0</v>
      </c>
      <c r="R14" s="14">
        <f t="shared" si="1"/>
        <v>0</v>
      </c>
      <c r="S14" s="30"/>
      <c r="T14" s="35" t="e">
        <f>M14+N14+O14+#REF!+Q14+#REF!+R14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I15" s="13"/>
      <c r="K15" s="13"/>
      <c r="L15" s="10" t="s">
        <v>21</v>
      </c>
      <c r="M15" s="13"/>
      <c r="N15" s="13">
        <f>N14/20</f>
        <v>0</v>
      </c>
      <c r="O15" s="13">
        <f t="shared" ref="O15" si="3">O14/20</f>
        <v>0</v>
      </c>
      <c r="P15" s="13"/>
      <c r="Q15" s="13">
        <f t="shared" ref="Q15:R15" si="4">Q14/20</f>
        <v>0</v>
      </c>
      <c r="R15" s="13">
        <f t="shared" si="4"/>
        <v>0</v>
      </c>
      <c r="S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I16" s="36"/>
      <c r="K16" s="13"/>
      <c r="L16" s="10" t="s">
        <v>20</v>
      </c>
      <c r="M16" s="36">
        <f>M15+M14</f>
        <v>126</v>
      </c>
      <c r="N16" s="36">
        <f t="shared" ref="N16:O16" si="6">N15+N14</f>
        <v>0</v>
      </c>
      <c r="O16" s="36">
        <f t="shared" si="6"/>
        <v>0</v>
      </c>
      <c r="P16" s="36"/>
      <c r="Q16" s="36">
        <f t="shared" ref="Q16:R16" si="7">Q15+Q14</f>
        <v>0</v>
      </c>
      <c r="R16" s="36">
        <f t="shared" si="7"/>
        <v>0</v>
      </c>
      <c r="S16" s="36"/>
    </row>
    <row r="17" spans="1:20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6"/>
      <c r="K17" s="13"/>
      <c r="L17" s="39" t="s">
        <v>22</v>
      </c>
      <c r="M17" s="36">
        <f>M14/40</f>
        <v>3.15</v>
      </c>
      <c r="N17" s="36">
        <f t="shared" ref="N17:O17" si="9">N14/40</f>
        <v>0</v>
      </c>
      <c r="O17" s="36">
        <f t="shared" si="9"/>
        <v>0</v>
      </c>
      <c r="P17" s="36"/>
      <c r="Q17" s="36">
        <f t="shared" ref="Q17:R17" si="10">Q14/40</f>
        <v>0</v>
      </c>
      <c r="R17" s="36">
        <f t="shared" si="10"/>
        <v>0</v>
      </c>
      <c r="S17" s="36"/>
      <c r="T17" s="35">
        <f>SUM(M17:R17)</f>
        <v>3.15</v>
      </c>
    </row>
    <row r="18" spans="1:20" x14ac:dyDescent="0.35">
      <c r="C18" s="32"/>
    </row>
    <row r="19" spans="1:20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L2:S5"/>
    <mergeCell ref="N6:P6"/>
    <mergeCell ref="Q6:S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5" bestFit="1" customWidth="1"/>
    <col min="14" max="14" width="4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3" t="s">
        <v>3</v>
      </c>
      <c r="Q6" s="74"/>
      <c r="R6" s="74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34</v>
      </c>
      <c r="T7" s="60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54</v>
      </c>
      <c r="N9" s="12"/>
      <c r="O9" s="28"/>
      <c r="P9" s="12"/>
      <c r="Q9" s="12"/>
      <c r="R9" s="57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/>
      <c r="M10" s="12" t="s">
        <v>28</v>
      </c>
      <c r="N10" s="12"/>
      <c r="O10" s="28"/>
      <c r="P10" s="12"/>
      <c r="Q10" s="12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198</v>
      </c>
      <c r="M11" s="12" t="s">
        <v>33</v>
      </c>
      <c r="N11" s="12"/>
      <c r="O11" s="28"/>
      <c r="P11" s="12"/>
      <c r="Q11" s="12"/>
      <c r="R11" s="57"/>
      <c r="T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/>
      <c r="N12" s="12"/>
      <c r="O12" s="28"/>
      <c r="P12" s="12"/>
      <c r="Q12" s="12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Q14" si="1">SUM(L8:L13)</f>
        <v>198</v>
      </c>
      <c r="M14" s="14">
        <f t="shared" si="1"/>
        <v>54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35"/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2.7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198</v>
      </c>
      <c r="M16" s="36">
        <f t="shared" ref="M16:N16" si="6">M15+M14</f>
        <v>56.7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</row>
    <row r="17" spans="1:18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4.95</v>
      </c>
      <c r="M17" s="36">
        <f t="shared" ref="M17:N17" si="9">M14/40</f>
        <v>1.35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5">
        <f>SUM(L17:Q17)</f>
        <v>6.3000000000000007</v>
      </c>
    </row>
    <row r="18" spans="1:18" x14ac:dyDescent="0.35">
      <c r="C18" s="32"/>
    </row>
    <row r="19" spans="1:18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O6"/>
    <mergeCell ref="P6:R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U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5" bestFit="1" customWidth="1"/>
    <col min="14" max="14" width="4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  <c r="R8" s="28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82</v>
      </c>
      <c r="N9" s="12"/>
      <c r="O9" s="28"/>
      <c r="P9" s="12"/>
      <c r="Q9" s="12"/>
      <c r="R9" s="28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100</v>
      </c>
      <c r="M10" s="12" t="s">
        <v>28</v>
      </c>
      <c r="N10" s="12"/>
      <c r="O10" s="28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140</v>
      </c>
      <c r="M11" s="12" t="s">
        <v>33</v>
      </c>
      <c r="N11" s="12"/>
      <c r="O11" s="28"/>
      <c r="P11" s="12"/>
      <c r="Q11" s="12"/>
      <c r="R11" s="28"/>
      <c r="T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/>
      <c r="N12" s="12"/>
      <c r="O12" s="28"/>
      <c r="P12" s="12"/>
      <c r="Q12" s="12"/>
      <c r="R12" s="28"/>
    </row>
    <row r="13" spans="1:20" x14ac:dyDescent="0.35">
      <c r="A13" s="11"/>
      <c r="B13" s="11" t="s">
        <v>29</v>
      </c>
      <c r="C13" s="12"/>
      <c r="D13" s="12"/>
      <c r="E13" s="12"/>
      <c r="F13" s="12"/>
      <c r="G13" s="12"/>
      <c r="H13" s="12"/>
      <c r="J13" s="11"/>
      <c r="K13" s="11" t="str">
        <f>B13</f>
        <v xml:space="preserve">Shakoor </v>
      </c>
      <c r="L13" s="12"/>
      <c r="M13" s="12"/>
      <c r="N13" s="12"/>
      <c r="O13" s="28"/>
      <c r="P13" s="12"/>
      <c r="Q13" s="12"/>
      <c r="R13" s="28"/>
      <c r="T13" s="41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Q14" si="1">SUM(L8:L13)</f>
        <v>240</v>
      </c>
      <c r="M14" s="14">
        <f t="shared" si="1"/>
        <v>82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/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4.0999999999999996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240</v>
      </c>
      <c r="M16" s="36">
        <f t="shared" ref="M16:N16" si="6">M15+M14</f>
        <v>86.1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21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6</v>
      </c>
      <c r="M17" s="36">
        <f t="shared" ref="M17:N17" si="9">M14/40</f>
        <v>2.0499999999999998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8.0500000000000007</v>
      </c>
    </row>
    <row r="18" spans="1:21" x14ac:dyDescent="0.35">
      <c r="C18" s="32"/>
      <c r="U18">
        <v>40</v>
      </c>
    </row>
    <row r="19" spans="1:21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9" max="9" width="5.81640625" bestFit="1" customWidth="1"/>
    <col min="11" max="11" width="3.54296875" bestFit="1" customWidth="1"/>
    <col min="12" max="12" width="6.453125" bestFit="1" customWidth="1"/>
    <col min="13" max="13" width="4" bestFit="1" customWidth="1"/>
    <col min="14" max="14" width="3.90625" bestFit="1" customWidth="1"/>
    <col min="15" max="15" width="3.26953125" bestFit="1" customWidth="1"/>
    <col min="18" max="18" width="0" hidden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I1" s="1"/>
      <c r="J1" t="s">
        <v>19</v>
      </c>
      <c r="K1" s="1"/>
      <c r="L1" s="1"/>
      <c r="M1" s="1"/>
      <c r="N1" s="1"/>
      <c r="O1" s="1"/>
      <c r="P1" s="1"/>
      <c r="Q1" s="1"/>
      <c r="R1" s="1"/>
      <c r="S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I2" s="63"/>
      <c r="K2" s="1"/>
      <c r="L2" s="61" t="s">
        <v>32</v>
      </c>
      <c r="M2" s="62"/>
      <c r="N2" s="62"/>
      <c r="O2" s="62"/>
      <c r="P2" s="62"/>
      <c r="Q2" s="62"/>
      <c r="R2" s="62"/>
      <c r="S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I3" s="66"/>
      <c r="K3" s="1"/>
      <c r="L3" s="64"/>
      <c r="M3" s="65"/>
      <c r="N3" s="65"/>
      <c r="O3" s="65"/>
      <c r="P3" s="65"/>
      <c r="Q3" s="65"/>
      <c r="R3" s="65"/>
      <c r="S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I4" s="66"/>
      <c r="K4" s="1"/>
      <c r="L4" s="64"/>
      <c r="M4" s="65"/>
      <c r="N4" s="65"/>
      <c r="O4" s="65"/>
      <c r="P4" s="65"/>
      <c r="Q4" s="65"/>
      <c r="R4" s="65"/>
      <c r="S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I5" s="69"/>
      <c r="K5" s="1"/>
      <c r="L5" s="67"/>
      <c r="M5" s="68"/>
      <c r="N5" s="68"/>
      <c r="O5" s="68"/>
      <c r="P5" s="68"/>
      <c r="Q5" s="68"/>
      <c r="R5" s="68"/>
      <c r="S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I6" s="72"/>
      <c r="K6" s="1"/>
      <c r="L6" s="2"/>
      <c r="M6" s="3" t="s">
        <v>1</v>
      </c>
      <c r="N6" s="70" t="s">
        <v>2</v>
      </c>
      <c r="O6" s="71"/>
      <c r="P6" s="72"/>
      <c r="Q6" s="71" t="s">
        <v>3</v>
      </c>
      <c r="R6" s="71"/>
      <c r="S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8</v>
      </c>
      <c r="J7" s="12" t="s">
        <v>24</v>
      </c>
      <c r="K7" s="10" t="s">
        <v>4</v>
      </c>
      <c r="L7" s="10" t="s">
        <v>5</v>
      </c>
      <c r="M7" s="56" t="s">
        <v>6</v>
      </c>
      <c r="N7" s="55" t="s">
        <v>12</v>
      </c>
      <c r="O7" s="55" t="s">
        <v>10</v>
      </c>
      <c r="P7" s="55" t="s">
        <v>8</v>
      </c>
      <c r="Q7" s="55" t="s">
        <v>12</v>
      </c>
      <c r="R7" s="45" t="s">
        <v>11</v>
      </c>
      <c r="S7" s="45" t="s">
        <v>8</v>
      </c>
      <c r="T7" s="45" t="s">
        <v>25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I8" s="28"/>
      <c r="K8" s="27"/>
      <c r="L8" s="10"/>
      <c r="M8" s="12" t="s">
        <v>14</v>
      </c>
      <c r="N8" s="12"/>
      <c r="O8" s="12"/>
      <c r="P8" s="28"/>
      <c r="Q8" s="12"/>
      <c r="R8" s="12"/>
      <c r="S8" s="28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I9" s="28"/>
      <c r="K9" s="27"/>
      <c r="L9" s="10"/>
      <c r="M9" s="12"/>
      <c r="N9" s="12"/>
      <c r="O9" s="12"/>
      <c r="P9" s="28"/>
      <c r="Q9" s="12"/>
      <c r="R9" s="12"/>
      <c r="S9" s="28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28"/>
      <c r="K10" s="27"/>
      <c r="L10" s="10" t="str">
        <f>B10</f>
        <v>Umair</v>
      </c>
      <c r="M10" s="12" t="s">
        <v>28</v>
      </c>
      <c r="N10" s="12"/>
      <c r="O10" s="12"/>
      <c r="P10" s="28"/>
      <c r="Q10" s="12"/>
      <c r="R10" s="12"/>
      <c r="S10" s="28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28"/>
      <c r="K11" s="11"/>
      <c r="L11" s="10" t="str">
        <f>B11</f>
        <v xml:space="preserve">Shakoor </v>
      </c>
      <c r="M11" s="12" t="s">
        <v>33</v>
      </c>
      <c r="N11" s="12"/>
      <c r="O11" s="12"/>
      <c r="P11" s="28"/>
      <c r="Q11" s="12"/>
      <c r="R11" s="12"/>
      <c r="S11" s="28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28"/>
      <c r="K12" s="11"/>
      <c r="L12" s="10">
        <f>B12</f>
        <v>0</v>
      </c>
      <c r="M12" s="12"/>
      <c r="N12" s="12"/>
      <c r="O12" s="12"/>
      <c r="P12" s="28"/>
      <c r="Q12" s="12"/>
      <c r="R12" s="12"/>
      <c r="S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28"/>
      <c r="K13" s="11"/>
      <c r="L13" s="11"/>
      <c r="M13" s="12"/>
      <c r="N13" s="12"/>
      <c r="O13" s="12"/>
      <c r="P13" s="28"/>
      <c r="Q13" s="12"/>
      <c r="R13" s="12"/>
      <c r="S13" s="28"/>
    </row>
    <row r="14" spans="1:20" x14ac:dyDescent="0.35">
      <c r="A14" s="13"/>
      <c r="B14" s="10" t="s">
        <v>15</v>
      </c>
      <c r="C14" s="33">
        <f t="shared" ref="C14:I14" si="0">SUM(C8:C13)</f>
        <v>0</v>
      </c>
      <c r="D14" s="33">
        <f t="shared" si="0"/>
        <v>0</v>
      </c>
      <c r="E14" s="33">
        <f t="shared" si="0"/>
        <v>0</v>
      </c>
      <c r="F14" s="33">
        <f t="shared" si="0"/>
        <v>0</v>
      </c>
      <c r="G14" s="33">
        <f t="shared" si="0"/>
        <v>0</v>
      </c>
      <c r="H14" s="33">
        <f t="shared" si="0"/>
        <v>0</v>
      </c>
      <c r="I14" s="33">
        <f t="shared" si="0"/>
        <v>0</v>
      </c>
      <c r="K14" s="13"/>
      <c r="L14" s="10" t="s">
        <v>15</v>
      </c>
      <c r="M14" s="33">
        <f t="shared" ref="M14:S14" si="1">SUM(M8:M13)</f>
        <v>0</v>
      </c>
      <c r="N14" s="33">
        <f t="shared" si="1"/>
        <v>0</v>
      </c>
      <c r="O14" s="33">
        <f t="shared" si="1"/>
        <v>0</v>
      </c>
      <c r="P14" s="33">
        <f t="shared" si="1"/>
        <v>0</v>
      </c>
      <c r="Q14" s="33">
        <f t="shared" si="1"/>
        <v>0</v>
      </c>
      <c r="R14" s="33">
        <f t="shared" si="1"/>
        <v>0</v>
      </c>
      <c r="S14" s="33">
        <f t="shared" si="1"/>
        <v>0</v>
      </c>
      <c r="T14" s="34" t="e">
        <f>M14+N14+O14+#REF!+Q14+#REF!+R14</f>
        <v>#REF!</v>
      </c>
    </row>
    <row r="15" spans="1:20" x14ac:dyDescent="0.35">
      <c r="A15" s="13"/>
      <c r="B15" s="10" t="s">
        <v>21</v>
      </c>
      <c r="C15" s="30"/>
      <c r="D15" s="30">
        <f>D14/20</f>
        <v>0</v>
      </c>
      <c r="E15" s="30">
        <f t="shared" ref="E15:H15" si="2">E14/20</f>
        <v>0</v>
      </c>
      <c r="F15" s="30">
        <f t="shared" si="2"/>
        <v>0</v>
      </c>
      <c r="G15" s="30">
        <f t="shared" si="2"/>
        <v>0</v>
      </c>
      <c r="H15" s="30">
        <f t="shared" si="2"/>
        <v>0</v>
      </c>
      <c r="I15" s="30"/>
      <c r="K15" s="13"/>
      <c r="L15" s="10" t="s">
        <v>21</v>
      </c>
      <c r="M15" s="30"/>
      <c r="N15" s="30">
        <f>N14/20</f>
        <v>0</v>
      </c>
      <c r="O15" s="30">
        <f t="shared" ref="O15" si="3">O14/20</f>
        <v>0</v>
      </c>
      <c r="P15" s="30"/>
      <c r="Q15" s="30">
        <f t="shared" ref="Q15:R15" si="4">Q14/20</f>
        <v>0</v>
      </c>
      <c r="R15" s="30">
        <f t="shared" si="4"/>
        <v>0</v>
      </c>
      <c r="S15" s="30"/>
    </row>
    <row r="16" spans="1:20" x14ac:dyDescent="0.35">
      <c r="A16" s="13"/>
      <c r="B16" s="10" t="s">
        <v>20</v>
      </c>
      <c r="C16" s="38">
        <f>C15+C14</f>
        <v>0</v>
      </c>
      <c r="D16" s="38">
        <f t="shared" ref="D16:H16" si="5">D15+D14</f>
        <v>0</v>
      </c>
      <c r="E16" s="38">
        <f t="shared" si="5"/>
        <v>0</v>
      </c>
      <c r="F16" s="38">
        <f t="shared" si="5"/>
        <v>0</v>
      </c>
      <c r="G16" s="38">
        <f t="shared" si="5"/>
        <v>0</v>
      </c>
      <c r="H16" s="38">
        <f t="shared" si="5"/>
        <v>0</v>
      </c>
      <c r="I16" s="38"/>
      <c r="K16" s="13"/>
      <c r="L16" s="10" t="s">
        <v>20</v>
      </c>
      <c r="M16" s="38">
        <f>M15+M14</f>
        <v>0</v>
      </c>
      <c r="N16" s="38">
        <f t="shared" ref="N16:O16" si="6">N15+N14</f>
        <v>0</v>
      </c>
      <c r="O16" s="38">
        <f t="shared" si="6"/>
        <v>0</v>
      </c>
      <c r="P16" s="38"/>
      <c r="Q16" s="38">
        <f t="shared" ref="Q16:R16" si="7">Q15+Q14</f>
        <v>0</v>
      </c>
      <c r="R16" s="38">
        <f t="shared" si="7"/>
        <v>0</v>
      </c>
      <c r="S16" s="38"/>
    </row>
    <row r="17" spans="1:20" x14ac:dyDescent="0.35">
      <c r="A17" s="13"/>
      <c r="B17" s="10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6"/>
      <c r="K17" s="13"/>
      <c r="L17" s="10" t="s">
        <v>22</v>
      </c>
      <c r="M17" s="36">
        <f>M14/40</f>
        <v>0</v>
      </c>
      <c r="N17" s="36">
        <f t="shared" ref="N17:O17" si="9">N14/40</f>
        <v>0</v>
      </c>
      <c r="O17" s="36">
        <f t="shared" si="9"/>
        <v>0</v>
      </c>
      <c r="P17" s="36"/>
      <c r="Q17" s="36">
        <f t="shared" ref="Q17:R17" si="10">Q14/40</f>
        <v>0</v>
      </c>
      <c r="R17" s="36">
        <f t="shared" si="10"/>
        <v>0</v>
      </c>
      <c r="S17" s="36"/>
      <c r="T17" s="34">
        <f>SUM(M17:R17)</f>
        <v>0</v>
      </c>
    </row>
    <row r="18" spans="1:20" x14ac:dyDescent="0.35">
      <c r="C18" s="32"/>
    </row>
    <row r="19" spans="1:20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L2:S5"/>
    <mergeCell ref="N6:P6"/>
    <mergeCell ref="Q6:S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V19"/>
  <sheetViews>
    <sheetView topLeftCell="B1"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7" width="4.36328125" bestFit="1" customWidth="1"/>
    <col min="8" max="8" width="3.90625" bestFit="1" customWidth="1"/>
    <col min="10" max="10" width="3.54296875" bestFit="1" customWidth="1"/>
    <col min="11" max="11" width="6.453125" bestFit="1" customWidth="1"/>
    <col min="12" max="12" width="4" bestFit="1" customWidth="1"/>
    <col min="13" max="14" width="4.26953125" bestFit="1" customWidth="1"/>
    <col min="15" max="15" width="3.90625" bestFit="1" customWidth="1"/>
    <col min="17" max="17" width="0" hidden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1" t="s">
        <v>3</v>
      </c>
      <c r="P6" s="71"/>
      <c r="Q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12</v>
      </c>
      <c r="P7" s="55" t="s">
        <v>7</v>
      </c>
      <c r="Q7" s="55" t="s">
        <v>11</v>
      </c>
      <c r="R7" s="45" t="s">
        <v>25</v>
      </c>
      <c r="S7" s="45" t="s">
        <v>24</v>
      </c>
      <c r="T7" s="59"/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12"/>
      <c r="P8" s="12"/>
      <c r="Q8" s="12"/>
    </row>
    <row r="9" spans="1:22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/>
      <c r="N9" s="12"/>
      <c r="O9" s="12"/>
      <c r="P9" s="12"/>
      <c r="Q9" s="12"/>
    </row>
    <row r="10" spans="1:22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155</v>
      </c>
      <c r="M10" s="12" t="s">
        <v>28</v>
      </c>
      <c r="N10" s="12"/>
      <c r="O10" s="12"/>
      <c r="P10" s="12"/>
      <c r="Q10" s="12"/>
      <c r="S10" s="44"/>
    </row>
    <row r="11" spans="1:22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182</v>
      </c>
      <c r="M11" s="12" t="s">
        <v>33</v>
      </c>
      <c r="N11" s="12"/>
      <c r="O11" s="12"/>
      <c r="P11" s="12"/>
      <c r="Q11" s="12"/>
      <c r="S11" s="44"/>
    </row>
    <row r="12" spans="1:22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>
        <v>240</v>
      </c>
      <c r="M12" s="12">
        <v>140</v>
      </c>
      <c r="N12" s="12"/>
      <c r="O12" s="12"/>
      <c r="P12" s="12"/>
      <c r="Q12" s="12"/>
      <c r="S12" s="44"/>
      <c r="V12">
        <v>240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42"/>
      <c r="J13" s="11"/>
      <c r="K13" s="11">
        <f>B13</f>
        <v>0</v>
      </c>
      <c r="L13" s="12"/>
      <c r="M13" s="12"/>
      <c r="N13" s="12"/>
      <c r="O13" s="12"/>
      <c r="P13" s="12"/>
      <c r="Q13" s="12"/>
      <c r="R13" s="42"/>
      <c r="V13">
        <v>140</v>
      </c>
    </row>
    <row r="14" spans="1:22" x14ac:dyDescent="0.35">
      <c r="A14" s="13"/>
      <c r="B14" s="10" t="s">
        <v>15</v>
      </c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 t="s">
        <v>15</v>
      </c>
      <c r="L14" s="14">
        <f t="shared" ref="L14:Q14" si="1">SUM(L8:L13)</f>
        <v>577</v>
      </c>
      <c r="M14" s="14">
        <f t="shared" si="1"/>
        <v>140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35" t="e">
        <f>L14+M14+N14+#REF!+O14+P14+Q14</f>
        <v>#REF!</v>
      </c>
      <c r="T14">
        <v>2440</v>
      </c>
      <c r="V14">
        <v>280</v>
      </c>
    </row>
    <row r="15" spans="1:22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7</v>
      </c>
      <c r="N15" s="13">
        <f t="shared" ref="N15" si="3">N14/20</f>
        <v>0</v>
      </c>
      <c r="O15" s="13">
        <f t="shared" ref="O15:Q15" si="4">O14/20</f>
        <v>0</v>
      </c>
      <c r="P15" s="13">
        <f t="shared" si="4"/>
        <v>0</v>
      </c>
      <c r="Q15" s="13">
        <f t="shared" si="4"/>
        <v>0</v>
      </c>
      <c r="V15">
        <v>500</v>
      </c>
    </row>
    <row r="16" spans="1:22" x14ac:dyDescent="0.35">
      <c r="A16" s="13"/>
      <c r="B16" s="10" t="s">
        <v>20</v>
      </c>
      <c r="C16" s="36">
        <f>C15+C14</f>
        <v>0</v>
      </c>
      <c r="D16" s="38">
        <f t="shared" ref="D16:H16" si="5">D15+D14</f>
        <v>0</v>
      </c>
      <c r="E16" s="38">
        <f t="shared" si="5"/>
        <v>0</v>
      </c>
      <c r="F16" s="38">
        <f t="shared" si="5"/>
        <v>0</v>
      </c>
      <c r="G16" s="38">
        <f t="shared" si="5"/>
        <v>0</v>
      </c>
      <c r="H16" s="38">
        <f t="shared" si="5"/>
        <v>0</v>
      </c>
      <c r="I16" s="42" t="s">
        <v>23</v>
      </c>
      <c r="J16" s="13"/>
      <c r="K16" s="10" t="s">
        <v>20</v>
      </c>
      <c r="L16" s="36">
        <f>L15+L14</f>
        <v>577</v>
      </c>
      <c r="M16" s="38">
        <f t="shared" ref="M16:N16" si="6">M15+M14</f>
        <v>147</v>
      </c>
      <c r="N16" s="38">
        <f t="shared" si="6"/>
        <v>0</v>
      </c>
      <c r="O16" s="38">
        <f t="shared" ref="O16:Q16" si="7">O15+O14</f>
        <v>0</v>
      </c>
      <c r="P16" s="38">
        <f t="shared" si="7"/>
        <v>0</v>
      </c>
      <c r="Q16" s="38">
        <f t="shared" si="7"/>
        <v>0</v>
      </c>
      <c r="R16" s="42" t="s">
        <v>23</v>
      </c>
      <c r="V16">
        <v>320</v>
      </c>
    </row>
    <row r="17" spans="1:22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14.425000000000001</v>
      </c>
      <c r="M17" s="36">
        <f t="shared" ref="M17:N17" si="9">M14/40</f>
        <v>3.5</v>
      </c>
      <c r="N17" s="36">
        <f t="shared" si="9"/>
        <v>0</v>
      </c>
      <c r="O17" s="36">
        <f t="shared" ref="O17:Q17" si="10">O14/40</f>
        <v>0</v>
      </c>
      <c r="P17" s="36">
        <f t="shared" si="10"/>
        <v>0</v>
      </c>
      <c r="Q17" s="36">
        <f t="shared" si="10"/>
        <v>0</v>
      </c>
      <c r="R17" s="35">
        <f>SUM(L17:Q17)</f>
        <v>17.925000000000001</v>
      </c>
      <c r="V17">
        <v>480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N6"/>
    <mergeCell ref="O6:Q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25</v>
      </c>
      <c r="S7" s="45" t="s">
        <v>24</v>
      </c>
      <c r="T7" s="59"/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12"/>
      <c r="P8" s="12"/>
      <c r="Q8" s="12"/>
      <c r="S8" s="44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41</v>
      </c>
      <c r="N9" s="12"/>
      <c r="O9" s="12"/>
      <c r="P9" s="12"/>
      <c r="Q9" s="12"/>
      <c r="S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80</v>
      </c>
      <c r="M10" s="12" t="s">
        <v>28</v>
      </c>
      <c r="N10" s="12"/>
      <c r="O10" s="12"/>
      <c r="P10" s="12"/>
      <c r="Q10" s="12"/>
      <c r="S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307</v>
      </c>
      <c r="M11" s="12" t="s">
        <v>33</v>
      </c>
      <c r="N11" s="12"/>
      <c r="O11" s="12"/>
      <c r="P11" s="12"/>
      <c r="Q11" s="12"/>
      <c r="S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>
        <v>120</v>
      </c>
      <c r="N12" s="12"/>
      <c r="O12" s="12"/>
      <c r="P12" s="12"/>
      <c r="Q12" s="12"/>
      <c r="S12" s="44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12"/>
      <c r="P13" s="12"/>
      <c r="Q13" s="12"/>
    </row>
    <row r="14" spans="1:20" x14ac:dyDescent="0.35">
      <c r="A14" s="13"/>
      <c r="B14" s="10"/>
      <c r="C14" s="36">
        <f t="shared" ref="C14:H14" si="0">SUM(C8:C13)</f>
        <v>0</v>
      </c>
      <c r="D14" s="36">
        <f t="shared" si="0"/>
        <v>0</v>
      </c>
      <c r="E14" s="36">
        <f t="shared" si="0"/>
        <v>0</v>
      </c>
      <c r="F14" s="36">
        <f t="shared" si="0"/>
        <v>0</v>
      </c>
      <c r="G14" s="36">
        <f t="shared" si="0"/>
        <v>0</v>
      </c>
      <c r="H14" s="36">
        <f t="shared" si="0"/>
        <v>0</v>
      </c>
      <c r="I14" s="35" t="e">
        <f>C14+D14+E14+F14+#REF!+G14+H14</f>
        <v>#REF!</v>
      </c>
      <c r="J14" s="13"/>
      <c r="K14" s="10"/>
      <c r="L14" s="36">
        <f t="shared" ref="L14:Q14" si="1">SUM(L8:L13)</f>
        <v>387</v>
      </c>
      <c r="M14" s="36">
        <f t="shared" si="1"/>
        <v>161</v>
      </c>
      <c r="N14" s="36">
        <f t="shared" si="1"/>
        <v>0</v>
      </c>
      <c r="O14" s="36">
        <f t="shared" si="1"/>
        <v>0</v>
      </c>
      <c r="P14" s="36">
        <f t="shared" si="1"/>
        <v>0</v>
      </c>
      <c r="Q14" s="36">
        <f t="shared" si="1"/>
        <v>0</v>
      </c>
      <c r="R14" s="58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8.0500000000000007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387</v>
      </c>
      <c r="M16" s="36">
        <f t="shared" ref="M16:N16" si="6">M15+M14</f>
        <v>169.05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</row>
    <row r="17" spans="1:18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9.6750000000000007</v>
      </c>
      <c r="M17" s="36">
        <f t="shared" ref="M17:N17" si="9">M14/40</f>
        <v>4.0250000000000004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5">
        <f>SUM(L17:Q17)</f>
        <v>13.700000000000001</v>
      </c>
    </row>
    <row r="18" spans="1:18" x14ac:dyDescent="0.35">
      <c r="C18" s="32"/>
    </row>
    <row r="19" spans="1:18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O6"/>
    <mergeCell ref="P6:Q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4.26953125" bestFit="1" customWidth="1"/>
    <col min="14" max="14" width="3.5429687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  <c r="R8" s="28"/>
      <c r="T8" s="44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112</v>
      </c>
      <c r="N9" s="12"/>
      <c r="O9" s="28"/>
      <c r="P9" s="12"/>
      <c r="Q9" s="12"/>
      <c r="R9" s="28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162</v>
      </c>
      <c r="M10" s="12" t="s">
        <v>28</v>
      </c>
      <c r="N10" s="12"/>
      <c r="O10" s="28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72</v>
      </c>
      <c r="M11" s="12" t="s">
        <v>33</v>
      </c>
      <c r="N11" s="12"/>
      <c r="O11" s="28"/>
      <c r="P11" s="12"/>
      <c r="Q11" s="12"/>
      <c r="R11" s="28"/>
      <c r="T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>
        <v>1000</v>
      </c>
      <c r="N12" s="12"/>
      <c r="O12" s="28"/>
      <c r="P12" s="12"/>
      <c r="Q12" s="12"/>
      <c r="R12" s="28"/>
      <c r="T12" s="44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  <c r="R13" s="28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234</v>
      </c>
      <c r="M14" s="14">
        <f t="shared" si="1"/>
        <v>1112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>
        <f>SUM(L14:R14)</f>
        <v>1346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55.6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234</v>
      </c>
      <c r="M16" s="36">
        <f t="shared" ref="M16:N16" si="6">M15+M14</f>
        <v>1167.5999999999999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5.85</v>
      </c>
      <c r="M17" s="36">
        <f t="shared" ref="M17:N17" si="9">M14/40</f>
        <v>27.8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33.65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4" width="4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  <c r="R8" s="28"/>
      <c r="T8" s="44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60</v>
      </c>
      <c r="N9" s="12"/>
      <c r="O9" s="28"/>
      <c r="P9" s="12"/>
      <c r="Q9" s="12"/>
      <c r="R9" s="28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20</v>
      </c>
      <c r="M10" s="12" t="s">
        <v>28</v>
      </c>
      <c r="N10" s="12"/>
      <c r="O10" s="28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/>
      <c r="M11" s="12" t="s">
        <v>33</v>
      </c>
      <c r="N11" s="12"/>
      <c r="O11" s="28"/>
      <c r="P11" s="12"/>
      <c r="Q11" s="12"/>
      <c r="R11" s="28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/>
      <c r="N12" s="12"/>
      <c r="O12" s="28"/>
      <c r="P12" s="12"/>
      <c r="Q12" s="12"/>
      <c r="R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  <c r="R13" s="28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20</v>
      </c>
      <c r="M14" s="14">
        <f t="shared" si="1"/>
        <v>60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3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20</v>
      </c>
      <c r="M16" s="36">
        <f t="shared" ref="M16:N16" si="6">M15+M14</f>
        <v>63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0.5</v>
      </c>
      <c r="M17" s="36">
        <f t="shared" ref="M17:N17" si="9">M14/40</f>
        <v>1.5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2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542968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4" width="4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I8" s="12"/>
      <c r="J8" s="27"/>
      <c r="K8" s="10"/>
      <c r="L8" s="12"/>
      <c r="M8" s="12" t="s">
        <v>14</v>
      </c>
      <c r="N8" s="12"/>
      <c r="O8" s="28"/>
      <c r="P8" s="12"/>
      <c r="Q8" s="12"/>
      <c r="R8" s="28"/>
      <c r="S8" s="45"/>
      <c r="T8" s="57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I9" s="12"/>
      <c r="J9" s="27"/>
      <c r="K9" s="10"/>
      <c r="L9" s="12"/>
      <c r="M9" s="12">
        <v>40</v>
      </c>
      <c r="N9" s="12"/>
      <c r="O9" s="28"/>
      <c r="P9" s="12"/>
      <c r="Q9" s="12"/>
      <c r="R9" s="28"/>
      <c r="S9" s="45"/>
      <c r="T9" s="57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12"/>
      <c r="J10" s="27"/>
      <c r="K10" s="10"/>
      <c r="L10" s="12">
        <v>222</v>
      </c>
      <c r="M10" s="12" t="s">
        <v>28</v>
      </c>
      <c r="N10" s="12"/>
      <c r="O10" s="28"/>
      <c r="P10" s="12"/>
      <c r="Q10" s="12"/>
      <c r="R10" s="28"/>
      <c r="S10" s="45"/>
      <c r="T10" s="57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12"/>
      <c r="J11" s="27"/>
      <c r="K11" s="10"/>
      <c r="L11" s="12">
        <v>460</v>
      </c>
      <c r="M11" s="12" t="s">
        <v>33</v>
      </c>
      <c r="N11" s="12"/>
      <c r="O11" s="28"/>
      <c r="P11" s="12"/>
      <c r="Q11" s="12"/>
      <c r="R11" s="28"/>
      <c r="S11" s="45"/>
      <c r="T11" s="41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27"/>
      <c r="K12" s="10"/>
      <c r="L12" s="12"/>
      <c r="M12" s="12"/>
      <c r="N12" s="12"/>
      <c r="O12" s="28"/>
      <c r="P12" s="12"/>
      <c r="Q12" s="12"/>
      <c r="R12" s="28"/>
      <c r="S12" s="45"/>
      <c r="T12" s="41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40"/>
      <c r="J13" s="11"/>
      <c r="K13" s="11"/>
      <c r="L13" s="12"/>
      <c r="M13" s="12"/>
      <c r="N13" s="12"/>
      <c r="O13" s="28"/>
      <c r="P13" s="12"/>
      <c r="Q13" s="12"/>
      <c r="R13" s="28"/>
      <c r="S13" s="40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v>1960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682</v>
      </c>
      <c r="M14" s="14">
        <f t="shared" si="1"/>
        <v>40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98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2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2058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682</v>
      </c>
      <c r="M16" s="36">
        <f t="shared" ref="M16:N16" si="6">M15+M14</f>
        <v>42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49</v>
      </c>
      <c r="G17" s="36">
        <f t="shared" si="8"/>
        <v>0</v>
      </c>
      <c r="H17" s="36">
        <f t="shared" si="8"/>
        <v>0</v>
      </c>
      <c r="I17" s="35">
        <f>SUM(C17:H17)</f>
        <v>49</v>
      </c>
      <c r="J17" s="13"/>
      <c r="K17" s="39" t="s">
        <v>22</v>
      </c>
      <c r="L17" s="36">
        <f>L14/40</f>
        <v>17.05</v>
      </c>
      <c r="M17" s="36">
        <f t="shared" ref="M17:N17" si="9">M14/40</f>
        <v>1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18.05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9.54296875" bestFit="1" customWidth="1"/>
    <col min="12" max="12" width="4" bestFit="1" customWidth="1"/>
    <col min="13" max="13" width="5" bestFit="1" customWidth="1"/>
    <col min="14" max="14" width="4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I8" s="44"/>
      <c r="J8" s="27"/>
      <c r="K8" s="10"/>
      <c r="L8" s="12"/>
      <c r="M8" s="12" t="s">
        <v>14</v>
      </c>
      <c r="N8" s="12"/>
      <c r="O8" s="28"/>
      <c r="P8" s="12"/>
      <c r="Q8" s="12"/>
      <c r="R8" s="28"/>
      <c r="T8" s="44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I9" s="44"/>
      <c r="J9" s="27"/>
      <c r="K9" s="10"/>
      <c r="L9" s="12"/>
      <c r="M9" s="12">
        <v>20</v>
      </c>
      <c r="N9" s="12"/>
      <c r="O9" s="28"/>
      <c r="P9" s="12"/>
      <c r="Q9" s="12"/>
      <c r="R9" s="28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44"/>
      <c r="J10" s="27"/>
      <c r="K10" s="10"/>
      <c r="L10" s="12">
        <v>74</v>
      </c>
      <c r="M10" s="12" t="s">
        <v>28</v>
      </c>
      <c r="N10" s="12"/>
      <c r="O10" s="28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44"/>
      <c r="J11" s="27"/>
      <c r="K11" s="10"/>
      <c r="L11" s="12">
        <v>60</v>
      </c>
      <c r="M11" s="12" t="s">
        <v>33</v>
      </c>
      <c r="N11" s="12"/>
      <c r="O11" s="28"/>
      <c r="P11" s="12"/>
      <c r="Q11" s="12"/>
      <c r="R11" s="28"/>
      <c r="T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44"/>
      <c r="J12" s="27"/>
      <c r="K12" s="10"/>
      <c r="L12" s="12"/>
      <c r="M12" s="12"/>
      <c r="N12" s="12"/>
      <c r="O12" s="28"/>
      <c r="P12" s="12"/>
      <c r="Q12" s="12"/>
      <c r="R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44"/>
      <c r="J13" s="11"/>
      <c r="K13" s="11"/>
      <c r="L13" s="12"/>
      <c r="M13" s="12"/>
      <c r="N13" s="12"/>
      <c r="O13" s="28"/>
      <c r="P13" s="12"/>
      <c r="Q13" s="12"/>
      <c r="R13" s="28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134</v>
      </c>
      <c r="M14" s="14">
        <f t="shared" si="1"/>
        <v>20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1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134</v>
      </c>
      <c r="M16" s="36">
        <f t="shared" ref="M16:N16" si="6">M15+M14</f>
        <v>21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3.35</v>
      </c>
      <c r="M17" s="36">
        <f t="shared" ref="M17:N17" si="9">M14/40</f>
        <v>0.5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3.85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9" max="9" width="5.81640625" bestFit="1" customWidth="1"/>
    <col min="11" max="11" width="3.54296875" bestFit="1" customWidth="1"/>
    <col min="12" max="12" width="6.453125" bestFit="1" customWidth="1"/>
    <col min="13" max="13" width="4" bestFit="1" customWidth="1"/>
    <col min="14" max="14" width="4.26953125" bestFit="1" customWidth="1"/>
    <col min="15" max="15" width="3.26953125" bestFit="1" customWidth="1"/>
    <col min="18" max="18" width="0" hidden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I2" s="63"/>
      <c r="K2" s="1"/>
      <c r="L2" s="61" t="s">
        <v>32</v>
      </c>
      <c r="M2" s="62"/>
      <c r="N2" s="62"/>
      <c r="O2" s="62"/>
      <c r="P2" s="62"/>
      <c r="Q2" s="62"/>
      <c r="R2" s="62"/>
      <c r="S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I3" s="66"/>
      <c r="K3" s="1"/>
      <c r="L3" s="64"/>
      <c r="M3" s="65"/>
      <c r="N3" s="65"/>
      <c r="O3" s="65"/>
      <c r="P3" s="65"/>
      <c r="Q3" s="65"/>
      <c r="R3" s="65"/>
      <c r="S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I4" s="66"/>
      <c r="K4" s="1"/>
      <c r="L4" s="64"/>
      <c r="M4" s="65"/>
      <c r="N4" s="65"/>
      <c r="O4" s="65"/>
      <c r="P4" s="65"/>
      <c r="Q4" s="65"/>
      <c r="R4" s="65"/>
      <c r="S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I5" s="69"/>
      <c r="K5" s="1"/>
      <c r="L5" s="67"/>
      <c r="M5" s="68"/>
      <c r="N5" s="68"/>
      <c r="O5" s="68"/>
      <c r="P5" s="68"/>
      <c r="Q5" s="68"/>
      <c r="R5" s="68"/>
      <c r="S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I6" s="72"/>
      <c r="K6" s="1"/>
      <c r="L6" s="2"/>
      <c r="M6" s="3" t="s">
        <v>1</v>
      </c>
      <c r="N6" s="70" t="s">
        <v>2</v>
      </c>
      <c r="O6" s="71"/>
      <c r="P6" s="72"/>
      <c r="Q6" s="71" t="s">
        <v>3</v>
      </c>
      <c r="R6" s="71"/>
      <c r="S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8</v>
      </c>
      <c r="J7" s="12" t="s">
        <v>24</v>
      </c>
      <c r="K7" s="10" t="s">
        <v>4</v>
      </c>
      <c r="L7" s="10" t="s">
        <v>5</v>
      </c>
      <c r="M7" s="56" t="s">
        <v>6</v>
      </c>
      <c r="N7" s="55" t="s">
        <v>12</v>
      </c>
      <c r="O7" s="55" t="s">
        <v>10</v>
      </c>
      <c r="P7" s="55" t="s">
        <v>8</v>
      </c>
      <c r="Q7" s="55" t="s">
        <v>12</v>
      </c>
      <c r="R7" s="45" t="s">
        <v>11</v>
      </c>
      <c r="S7" s="45" t="s">
        <v>8</v>
      </c>
      <c r="T7" s="45" t="s">
        <v>25</v>
      </c>
    </row>
    <row r="8" spans="1:20" x14ac:dyDescent="0.35">
      <c r="A8" s="27"/>
      <c r="B8" s="10" t="s">
        <v>14</v>
      </c>
      <c r="C8" s="29"/>
      <c r="D8" s="29"/>
      <c r="E8" s="29"/>
      <c r="F8" s="29"/>
      <c r="G8" s="29"/>
      <c r="H8" s="29"/>
      <c r="I8" s="28"/>
      <c r="J8" t="s">
        <v>26</v>
      </c>
      <c r="K8" s="27"/>
      <c r="L8" s="10"/>
      <c r="M8" s="29" t="s">
        <v>14</v>
      </c>
      <c r="N8" s="29"/>
      <c r="O8" s="29"/>
      <c r="P8" s="29"/>
      <c r="Q8" s="29"/>
      <c r="R8" s="12"/>
      <c r="S8" s="28"/>
    </row>
    <row r="9" spans="1:20" x14ac:dyDescent="0.35">
      <c r="A9" s="27"/>
      <c r="B9" s="10" t="s">
        <v>9</v>
      </c>
      <c r="C9" s="29"/>
      <c r="D9" s="29"/>
      <c r="E9" s="29"/>
      <c r="F9" s="29"/>
      <c r="G9" s="29"/>
      <c r="H9" s="29"/>
      <c r="I9" s="28"/>
      <c r="J9" t="s">
        <v>26</v>
      </c>
      <c r="K9" s="27"/>
      <c r="L9" s="10"/>
      <c r="M9" s="29"/>
      <c r="N9" s="29"/>
      <c r="O9" s="29"/>
      <c r="P9" s="29"/>
      <c r="Q9" s="29"/>
      <c r="R9" s="12"/>
      <c r="S9" s="28"/>
    </row>
    <row r="10" spans="1:20" x14ac:dyDescent="0.35">
      <c r="A10" s="27"/>
      <c r="B10" s="10" t="s">
        <v>28</v>
      </c>
      <c r="C10" s="29"/>
      <c r="D10" s="29"/>
      <c r="E10" s="29"/>
      <c r="F10" s="29"/>
      <c r="G10" s="29"/>
      <c r="H10" s="29"/>
      <c r="I10" s="28"/>
      <c r="J10" t="s">
        <v>26</v>
      </c>
      <c r="K10" s="27"/>
      <c r="L10" s="10" t="str">
        <f>B10</f>
        <v>Umair</v>
      </c>
      <c r="M10" s="29" t="s">
        <v>28</v>
      </c>
      <c r="N10" s="29"/>
      <c r="O10" s="29"/>
      <c r="P10" s="29"/>
      <c r="Q10" s="29"/>
      <c r="R10" s="12"/>
      <c r="S10" s="28"/>
    </row>
    <row r="11" spans="1:20" x14ac:dyDescent="0.35">
      <c r="A11" s="11"/>
      <c r="B11" s="11" t="s">
        <v>29</v>
      </c>
      <c r="C11" s="29"/>
      <c r="D11" s="29"/>
      <c r="E11" s="29"/>
      <c r="F11" s="29"/>
      <c r="G11" s="29"/>
      <c r="H11" s="29"/>
      <c r="I11" s="28"/>
      <c r="J11" t="s">
        <v>26</v>
      </c>
      <c r="K11" s="11"/>
      <c r="L11" s="10" t="str">
        <f>B11</f>
        <v xml:space="preserve">Shakoor </v>
      </c>
      <c r="M11" s="29" t="s">
        <v>33</v>
      </c>
      <c r="N11" s="29"/>
      <c r="O11" s="29"/>
      <c r="P11" s="29"/>
      <c r="Q11" s="29"/>
      <c r="R11" s="12"/>
      <c r="S11" s="28"/>
    </row>
    <row r="12" spans="1:20" x14ac:dyDescent="0.35">
      <c r="A12" s="11"/>
      <c r="B12" s="11"/>
      <c r="C12" s="29"/>
      <c r="D12" s="29"/>
      <c r="E12" s="29"/>
      <c r="F12" s="29"/>
      <c r="G12" s="29"/>
      <c r="H12" s="29"/>
      <c r="I12" s="28"/>
      <c r="J12" t="s">
        <v>26</v>
      </c>
      <c r="K12" s="11"/>
      <c r="L12" s="10">
        <f>B12</f>
        <v>0</v>
      </c>
      <c r="M12" s="29"/>
      <c r="N12" s="29"/>
      <c r="O12" s="29"/>
      <c r="P12" s="29"/>
      <c r="Q12" s="29"/>
      <c r="R12" s="12"/>
      <c r="S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28"/>
      <c r="K13" s="11"/>
      <c r="L13" s="11"/>
      <c r="M13" s="12"/>
      <c r="N13" s="12"/>
      <c r="O13" s="12"/>
      <c r="P13" s="28"/>
      <c r="Q13" s="12"/>
      <c r="R13" s="12"/>
      <c r="S13" s="28"/>
    </row>
    <row r="14" spans="1:20" x14ac:dyDescent="0.35">
      <c r="A14" s="13"/>
      <c r="B14" s="10"/>
      <c r="C14" s="14">
        <f t="shared" ref="C14:I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K14" s="13"/>
      <c r="L14" s="10"/>
      <c r="M14" s="14">
        <f t="shared" ref="M14:S14" si="1">SUM(M8:M13)</f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14">
        <f t="shared" si="1"/>
        <v>0</v>
      </c>
      <c r="T14" s="35" t="e">
        <f>M14+N14+O14+#REF!+Q14+#REF!+R14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I15" s="13"/>
      <c r="K15" s="13"/>
      <c r="L15" s="10" t="s">
        <v>21</v>
      </c>
      <c r="M15" s="13"/>
      <c r="N15" s="13">
        <f>N14/20</f>
        <v>0</v>
      </c>
      <c r="O15" s="13">
        <f t="shared" ref="O15" si="3">O14/20</f>
        <v>0</v>
      </c>
      <c r="P15" s="13"/>
      <c r="Q15" s="13">
        <f t="shared" ref="Q15:R15" si="4">Q14/20</f>
        <v>0</v>
      </c>
      <c r="R15" s="13">
        <f t="shared" si="4"/>
        <v>0</v>
      </c>
      <c r="S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I16" s="36"/>
      <c r="K16" s="13"/>
      <c r="L16" s="10" t="s">
        <v>20</v>
      </c>
      <c r="M16" s="36">
        <f>M15+M14</f>
        <v>0</v>
      </c>
      <c r="N16" s="36">
        <f t="shared" ref="N16:O16" si="6">N15+N14</f>
        <v>0</v>
      </c>
      <c r="O16" s="36">
        <f t="shared" si="6"/>
        <v>0</v>
      </c>
      <c r="P16" s="36"/>
      <c r="Q16" s="36">
        <f t="shared" ref="Q16:R16" si="7">Q15+Q14</f>
        <v>0</v>
      </c>
      <c r="R16" s="36">
        <f t="shared" si="7"/>
        <v>0</v>
      </c>
      <c r="S16" s="36"/>
    </row>
    <row r="17" spans="1:20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6"/>
      <c r="K17" s="13"/>
      <c r="L17" s="39" t="s">
        <v>22</v>
      </c>
      <c r="M17" s="36">
        <f>M14/40</f>
        <v>0</v>
      </c>
      <c r="N17" s="36">
        <f t="shared" ref="N17:O17" si="9">N14/40</f>
        <v>0</v>
      </c>
      <c r="O17" s="36">
        <f t="shared" si="9"/>
        <v>0</v>
      </c>
      <c r="P17" s="36"/>
      <c r="Q17" s="36">
        <f t="shared" ref="Q17:R17" si="10">Q14/40</f>
        <v>0</v>
      </c>
      <c r="R17" s="36">
        <f t="shared" si="10"/>
        <v>0</v>
      </c>
      <c r="S17" s="36"/>
      <c r="T17" s="35">
        <f>SUM(M17:R17)</f>
        <v>0</v>
      </c>
    </row>
    <row r="18" spans="1:20" x14ac:dyDescent="0.35">
      <c r="C18" s="32"/>
    </row>
    <row r="19" spans="1:20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L2:S5"/>
    <mergeCell ref="N6:P6"/>
    <mergeCell ref="Q6:S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5" bestFit="1" customWidth="1"/>
    <col min="14" max="14" width="4.26953125" bestFit="1" customWidth="1"/>
    <col min="15" max="15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25</v>
      </c>
      <c r="S7" s="45" t="s">
        <v>24</v>
      </c>
      <c r="T7" s="59"/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28"/>
      <c r="M8" s="12" t="s">
        <v>14</v>
      </c>
      <c r="N8" s="12"/>
      <c r="O8" s="12"/>
      <c r="P8" s="12"/>
      <c r="Q8" s="12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29"/>
      <c r="M9" s="29"/>
      <c r="N9" s="29"/>
      <c r="O9" s="29"/>
      <c r="P9" s="29"/>
      <c r="Q9" s="29"/>
      <c r="S9" s="42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28">
        <v>202</v>
      </c>
      <c r="M10" s="12" t="s">
        <v>28</v>
      </c>
      <c r="N10" s="12"/>
      <c r="O10" s="12"/>
      <c r="P10" s="12"/>
      <c r="Q10" s="12"/>
      <c r="S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28">
        <v>420</v>
      </c>
      <c r="M11" s="12" t="s">
        <v>33</v>
      </c>
      <c r="N11" s="12"/>
      <c r="O11" s="12"/>
      <c r="P11" s="12"/>
      <c r="Q11" s="12"/>
      <c r="S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28"/>
      <c r="M12" s="12">
        <f>1189+40</f>
        <v>1229</v>
      </c>
      <c r="N12" s="12"/>
      <c r="O12" s="12"/>
      <c r="P12" s="12"/>
      <c r="Q12" s="12"/>
      <c r="S12" s="44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12"/>
      <c r="P13" s="12"/>
      <c r="Q13" s="12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Q14" si="1">SUM(L8:L13)</f>
        <v>622</v>
      </c>
      <c r="M14" s="14">
        <f t="shared" si="1"/>
        <v>1229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61.45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622</v>
      </c>
      <c r="M16" s="36">
        <f t="shared" ref="M16:N16" si="6">M15+M14</f>
        <v>1290.45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</row>
    <row r="17" spans="1:18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15.55</v>
      </c>
      <c r="M17" s="36">
        <f t="shared" ref="M17:N17" si="9">M14/40</f>
        <v>30.725000000000001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5">
        <f>SUM(L17:Q17)</f>
        <v>46.275000000000006</v>
      </c>
    </row>
    <row r="18" spans="1:18" x14ac:dyDescent="0.35">
      <c r="C18" s="32"/>
    </row>
    <row r="19" spans="1:18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O6"/>
    <mergeCell ref="P6:Q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W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26953125" bestFit="1" customWidth="1"/>
    <col min="15" max="15" width="3.08984375" bestFit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3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3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3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3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3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3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3" x14ac:dyDescent="0.35">
      <c r="A8" s="27"/>
      <c r="B8" s="10" t="s">
        <v>14</v>
      </c>
      <c r="C8" s="28"/>
      <c r="D8" s="12"/>
      <c r="E8" s="12"/>
      <c r="F8" s="12"/>
      <c r="G8" s="12"/>
      <c r="H8" s="12"/>
      <c r="J8" s="27"/>
      <c r="K8" s="10"/>
      <c r="L8" s="28"/>
      <c r="M8" s="12" t="s">
        <v>14</v>
      </c>
      <c r="N8" s="12"/>
      <c r="O8" s="12"/>
      <c r="P8" s="12"/>
      <c r="Q8" s="12"/>
      <c r="R8" s="12"/>
      <c r="T8" s="44"/>
      <c r="U8" t="s">
        <v>35</v>
      </c>
      <c r="W8" t="s">
        <v>36</v>
      </c>
    </row>
    <row r="9" spans="1:23" x14ac:dyDescent="0.35">
      <c r="A9" s="27"/>
      <c r="B9" s="10" t="s">
        <v>9</v>
      </c>
      <c r="C9" s="28"/>
      <c r="D9" s="12"/>
      <c r="E9" s="12"/>
      <c r="F9" s="12"/>
      <c r="G9" s="12"/>
      <c r="H9" s="12"/>
      <c r="J9" s="27"/>
      <c r="K9" s="10"/>
      <c r="L9" s="28"/>
      <c r="M9" s="12">
        <v>0</v>
      </c>
      <c r="N9" s="12"/>
      <c r="O9" s="12"/>
      <c r="P9" s="12"/>
      <c r="Q9" s="12"/>
      <c r="R9" s="12"/>
      <c r="T9" s="44"/>
      <c r="U9" t="s">
        <v>35</v>
      </c>
      <c r="W9">
        <v>400</v>
      </c>
    </row>
    <row r="10" spans="1:23" x14ac:dyDescent="0.35">
      <c r="A10" s="27"/>
      <c r="B10" s="10" t="s">
        <v>28</v>
      </c>
      <c r="C10" s="28"/>
      <c r="D10" s="12"/>
      <c r="E10" s="12"/>
      <c r="F10" s="12"/>
      <c r="G10" s="12"/>
      <c r="H10" s="12"/>
      <c r="J10" s="27"/>
      <c r="K10" s="10"/>
      <c r="L10" s="28">
        <v>144</v>
      </c>
      <c r="M10" s="12" t="s">
        <v>28</v>
      </c>
      <c r="N10" s="12"/>
      <c r="O10" s="12"/>
      <c r="P10" s="12"/>
      <c r="Q10" s="12"/>
      <c r="R10" s="12"/>
      <c r="T10" s="44"/>
      <c r="U10" t="s">
        <v>35</v>
      </c>
    </row>
    <row r="11" spans="1:23" x14ac:dyDescent="0.35">
      <c r="A11" s="11"/>
      <c r="B11" s="11" t="s">
        <v>29</v>
      </c>
      <c r="C11" s="28"/>
      <c r="D11" s="12"/>
      <c r="E11" s="12"/>
      <c r="F11" s="12"/>
      <c r="G11" s="12"/>
      <c r="H11" s="12"/>
      <c r="J11" s="27"/>
      <c r="K11" s="10"/>
      <c r="L11" s="28">
        <v>158</v>
      </c>
      <c r="M11" s="12" t="s">
        <v>33</v>
      </c>
      <c r="N11" s="12"/>
      <c r="O11" s="12"/>
      <c r="P11" s="12"/>
      <c r="Q11" s="12"/>
      <c r="R11" s="12"/>
      <c r="T11" s="41"/>
      <c r="U11" t="s">
        <v>35</v>
      </c>
    </row>
    <row r="12" spans="1:23" x14ac:dyDescent="0.35">
      <c r="A12" s="11"/>
      <c r="B12" s="11"/>
      <c r="C12" s="28"/>
      <c r="D12" s="12"/>
      <c r="E12" s="12"/>
      <c r="F12" s="12"/>
      <c r="G12" s="12"/>
      <c r="H12" s="12"/>
      <c r="J12" s="27"/>
      <c r="K12" s="10"/>
      <c r="L12" s="28"/>
      <c r="M12" s="12"/>
      <c r="N12" s="12"/>
      <c r="O12" s="12"/>
      <c r="P12" s="12"/>
      <c r="Q12" s="12"/>
      <c r="R12" s="12"/>
      <c r="U12" t="s">
        <v>35</v>
      </c>
    </row>
    <row r="13" spans="1:23" x14ac:dyDescent="0.35">
      <c r="A13" s="11"/>
      <c r="B13" s="11"/>
      <c r="C13" s="28"/>
      <c r="D13" s="12"/>
      <c r="E13" s="12"/>
      <c r="F13" s="12"/>
      <c r="G13" s="12"/>
      <c r="H13" s="12"/>
      <c r="J13" s="11"/>
      <c r="K13" s="11"/>
      <c r="L13" s="28"/>
      <c r="M13" s="12"/>
      <c r="N13" s="12"/>
      <c r="O13" s="12"/>
      <c r="P13" s="12"/>
      <c r="Q13" s="12"/>
      <c r="R13" s="12"/>
    </row>
    <row r="14" spans="1:23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302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3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0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3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302</v>
      </c>
      <c r="M16" s="36">
        <f t="shared" ref="M16:N16" si="6">M15+M14</f>
        <v>0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7.55</v>
      </c>
      <c r="M17" s="36">
        <f t="shared" ref="M17:N17" si="9">M14/40</f>
        <v>0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7.55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5" bestFit="1" customWidth="1"/>
    <col min="14" max="14" width="3.26953125" bestFit="1" customWidth="1"/>
    <col min="15" max="15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28"/>
      <c r="D8" s="12"/>
      <c r="E8" s="12"/>
      <c r="F8" s="12"/>
      <c r="G8" s="12"/>
      <c r="H8" s="12"/>
      <c r="J8" s="27"/>
      <c r="K8" s="10"/>
      <c r="L8" s="28"/>
      <c r="M8" s="12" t="s">
        <v>14</v>
      </c>
      <c r="N8" s="12"/>
      <c r="O8" s="12"/>
      <c r="P8" s="12"/>
      <c r="Q8" s="12"/>
      <c r="R8" s="12"/>
    </row>
    <row r="9" spans="1:20" x14ac:dyDescent="0.35">
      <c r="A9" s="27"/>
      <c r="B9" s="10" t="s">
        <v>9</v>
      </c>
      <c r="C9" s="28"/>
      <c r="D9" s="12"/>
      <c r="E9" s="12"/>
      <c r="F9" s="12"/>
      <c r="G9" s="12"/>
      <c r="H9" s="12"/>
      <c r="J9" s="27"/>
      <c r="K9" s="10"/>
      <c r="L9" s="28"/>
      <c r="M9" s="12"/>
      <c r="N9" s="12"/>
      <c r="O9" s="12"/>
      <c r="P9" s="12"/>
      <c r="Q9" s="12"/>
      <c r="R9" s="12"/>
    </row>
    <row r="10" spans="1:20" x14ac:dyDescent="0.35">
      <c r="A10" s="27"/>
      <c r="B10" s="10" t="s">
        <v>28</v>
      </c>
      <c r="C10" s="28"/>
      <c r="D10" s="12"/>
      <c r="E10" s="12"/>
      <c r="F10" s="12"/>
      <c r="G10" s="12"/>
      <c r="H10" s="12"/>
      <c r="J10" s="27"/>
      <c r="K10" s="10"/>
      <c r="L10" s="28">
        <v>70</v>
      </c>
      <c r="M10" s="12" t="s">
        <v>28</v>
      </c>
      <c r="N10" s="12"/>
      <c r="O10" s="12"/>
      <c r="P10" s="12"/>
      <c r="Q10" s="12"/>
      <c r="R10" s="12"/>
      <c r="T10" s="44"/>
    </row>
    <row r="11" spans="1:20" x14ac:dyDescent="0.35">
      <c r="A11" s="11"/>
      <c r="B11" s="10" t="s">
        <v>29</v>
      </c>
      <c r="C11" s="28"/>
      <c r="D11" s="12"/>
      <c r="E11" s="12"/>
      <c r="F11" s="12"/>
      <c r="G11" s="12"/>
      <c r="H11" s="12"/>
      <c r="J11" s="27"/>
      <c r="K11" s="10"/>
      <c r="L11" s="28">
        <v>126</v>
      </c>
      <c r="M11" s="12" t="s">
        <v>33</v>
      </c>
      <c r="N11" s="12"/>
      <c r="O11" s="12"/>
      <c r="P11" s="12"/>
      <c r="Q11" s="12"/>
      <c r="R11" s="12"/>
      <c r="T11" s="44"/>
    </row>
    <row r="12" spans="1:20" x14ac:dyDescent="0.35">
      <c r="A12" s="11"/>
      <c r="B12" s="10"/>
      <c r="C12" s="28"/>
      <c r="D12" s="12"/>
      <c r="E12" s="12"/>
      <c r="F12" s="12"/>
      <c r="G12" s="12"/>
      <c r="H12" s="12"/>
      <c r="J12" s="27"/>
      <c r="K12" s="10"/>
      <c r="L12" s="28"/>
      <c r="M12" s="12"/>
      <c r="N12" s="12"/>
      <c r="O12" s="12"/>
      <c r="P12" s="12"/>
      <c r="Q12" s="12"/>
      <c r="R12" s="12"/>
    </row>
    <row r="13" spans="1:20" x14ac:dyDescent="0.35">
      <c r="A13" s="11"/>
      <c r="B13" s="11"/>
      <c r="C13" s="28"/>
      <c r="D13" s="12"/>
      <c r="E13" s="12"/>
      <c r="F13" s="12"/>
      <c r="G13" s="12"/>
      <c r="H13" s="12"/>
      <c r="J13" s="11"/>
      <c r="K13" s="11"/>
      <c r="L13" s="28"/>
      <c r="M13" s="12"/>
      <c r="N13" s="12"/>
      <c r="O13" s="12"/>
      <c r="P13" s="12"/>
      <c r="Q13" s="12"/>
      <c r="R13" s="12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196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0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196</v>
      </c>
      <c r="M16" s="36">
        <f t="shared" ref="M16:N16" si="6">M15+M14</f>
        <v>0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4.9000000000000004</v>
      </c>
      <c r="M17" s="36">
        <f t="shared" ref="M17:N17" si="9">M14/40</f>
        <v>0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4.9000000000000004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 K8:K12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AA25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9" max="9" width="5.81640625" bestFit="1" customWidth="1"/>
    <col min="11" max="11" width="3.54296875" bestFit="1" customWidth="1"/>
    <col min="12" max="12" width="6.453125" bestFit="1" customWidth="1"/>
    <col min="13" max="13" width="4" bestFit="1" customWidth="1"/>
    <col min="14" max="14" width="5" bestFit="1" customWidth="1"/>
    <col min="15" max="15" width="3.26953125" bestFit="1" customWidth="1"/>
    <col min="18" max="18" width="0" hidden="1" customWidth="1"/>
  </cols>
  <sheetData>
    <row r="1" spans="1:27" ht="15" thickBot="1" x14ac:dyDescent="0.4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</row>
    <row r="2" spans="1:27" x14ac:dyDescent="0.35">
      <c r="A2" s="1"/>
      <c r="B2" s="61" t="s">
        <v>31</v>
      </c>
      <c r="C2" s="62"/>
      <c r="D2" s="62"/>
      <c r="E2" s="62"/>
      <c r="F2" s="62"/>
      <c r="G2" s="62"/>
      <c r="H2" s="62"/>
      <c r="I2" s="63"/>
      <c r="K2" s="1"/>
      <c r="L2" s="61" t="s">
        <v>32</v>
      </c>
      <c r="M2" s="62"/>
      <c r="N2" s="62"/>
      <c r="O2" s="62"/>
      <c r="P2" s="62"/>
      <c r="Q2" s="62"/>
      <c r="R2" s="62"/>
      <c r="S2" s="63"/>
    </row>
    <row r="3" spans="1:27" x14ac:dyDescent="0.35">
      <c r="A3" s="1"/>
      <c r="B3" s="64"/>
      <c r="C3" s="65"/>
      <c r="D3" s="65"/>
      <c r="E3" s="65"/>
      <c r="F3" s="65"/>
      <c r="G3" s="65"/>
      <c r="H3" s="65"/>
      <c r="I3" s="66"/>
      <c r="K3" s="1"/>
      <c r="L3" s="64"/>
      <c r="M3" s="65"/>
      <c r="N3" s="65"/>
      <c r="O3" s="65"/>
      <c r="P3" s="65"/>
      <c r="Q3" s="65"/>
      <c r="R3" s="65"/>
      <c r="S3" s="66"/>
    </row>
    <row r="4" spans="1:27" x14ac:dyDescent="0.35">
      <c r="A4" s="1"/>
      <c r="B4" s="64"/>
      <c r="C4" s="65"/>
      <c r="D4" s="65"/>
      <c r="E4" s="65"/>
      <c r="F4" s="65"/>
      <c r="G4" s="65"/>
      <c r="H4" s="65"/>
      <c r="I4" s="66"/>
      <c r="K4" s="1"/>
      <c r="L4" s="64"/>
      <c r="M4" s="65"/>
      <c r="N4" s="65"/>
      <c r="O4" s="65"/>
      <c r="P4" s="65"/>
      <c r="Q4" s="65"/>
      <c r="R4" s="65"/>
      <c r="S4" s="66"/>
    </row>
    <row r="5" spans="1:27" ht="15" thickBot="1" x14ac:dyDescent="0.4">
      <c r="A5" s="1"/>
      <c r="B5" s="67"/>
      <c r="C5" s="68"/>
      <c r="D5" s="68"/>
      <c r="E5" s="68"/>
      <c r="F5" s="68"/>
      <c r="G5" s="68"/>
      <c r="H5" s="68"/>
      <c r="I5" s="69"/>
      <c r="K5" s="1"/>
      <c r="L5" s="67"/>
      <c r="M5" s="68"/>
      <c r="N5" s="68"/>
      <c r="O5" s="68"/>
      <c r="P5" s="68"/>
      <c r="Q5" s="68"/>
      <c r="R5" s="68"/>
      <c r="S5" s="69"/>
    </row>
    <row r="6" spans="1:27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I6" s="72"/>
      <c r="K6" s="1"/>
      <c r="L6" s="2"/>
      <c r="M6" s="3" t="s">
        <v>1</v>
      </c>
      <c r="N6" s="70" t="s">
        <v>2</v>
      </c>
      <c r="O6" s="71"/>
      <c r="P6" s="72"/>
      <c r="Q6" s="71" t="s">
        <v>3</v>
      </c>
      <c r="R6" s="71"/>
      <c r="S6" s="72"/>
    </row>
    <row r="7" spans="1:27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8</v>
      </c>
      <c r="J7" s="12" t="s">
        <v>24</v>
      </c>
      <c r="K7" s="10" t="s">
        <v>4</v>
      </c>
      <c r="L7" s="10" t="s">
        <v>5</v>
      </c>
      <c r="M7" s="56" t="s">
        <v>6</v>
      </c>
      <c r="N7" s="55" t="s">
        <v>12</v>
      </c>
      <c r="O7" s="55" t="s">
        <v>10</v>
      </c>
      <c r="P7" s="55" t="s">
        <v>11</v>
      </c>
      <c r="Q7" s="55" t="s">
        <v>12</v>
      </c>
      <c r="R7" s="45" t="s">
        <v>11</v>
      </c>
      <c r="S7" s="45" t="s">
        <v>11</v>
      </c>
      <c r="T7" s="45" t="s">
        <v>25</v>
      </c>
    </row>
    <row r="8" spans="1:27" x14ac:dyDescent="0.35">
      <c r="A8" s="27"/>
      <c r="B8" s="10" t="s">
        <v>14</v>
      </c>
      <c r="C8" s="12"/>
      <c r="D8" s="12"/>
      <c r="E8" s="12"/>
      <c r="F8" s="12"/>
      <c r="G8" s="12"/>
      <c r="H8" s="12"/>
      <c r="I8" s="28"/>
      <c r="J8" s="44"/>
      <c r="K8" s="27"/>
      <c r="L8" s="10"/>
      <c r="M8" s="12" t="s">
        <v>14</v>
      </c>
      <c r="N8" s="12"/>
      <c r="O8" s="12"/>
      <c r="P8" s="28"/>
      <c r="Q8" s="12"/>
      <c r="R8" s="12"/>
      <c r="S8" s="28"/>
      <c r="T8" s="47"/>
    </row>
    <row r="9" spans="1:27" x14ac:dyDescent="0.35">
      <c r="A9" s="27"/>
      <c r="B9" s="10" t="s">
        <v>9</v>
      </c>
      <c r="C9" s="12"/>
      <c r="D9" s="12"/>
      <c r="E9" s="12"/>
      <c r="F9" s="12"/>
      <c r="G9" s="12"/>
      <c r="H9" s="12"/>
      <c r="I9" s="28"/>
      <c r="J9" s="44"/>
      <c r="K9" s="27"/>
      <c r="L9" s="10"/>
      <c r="M9" s="12">
        <v>85</v>
      </c>
      <c r="N9" s="12"/>
      <c r="O9" s="12"/>
      <c r="P9" s="28"/>
      <c r="Q9" s="12"/>
      <c r="R9" s="12"/>
      <c r="S9" s="28"/>
      <c r="T9" s="47"/>
    </row>
    <row r="10" spans="1:27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28"/>
      <c r="J10" s="44"/>
      <c r="K10" s="27"/>
      <c r="L10" s="10" t="str">
        <f>B10</f>
        <v>Umair</v>
      </c>
      <c r="M10" s="12" t="s">
        <v>28</v>
      </c>
      <c r="N10" s="12"/>
      <c r="O10" s="12"/>
      <c r="P10" s="28"/>
      <c r="Q10" s="12"/>
      <c r="R10" s="12"/>
      <c r="S10" s="28"/>
      <c r="T10" s="47"/>
      <c r="W10" t="s">
        <v>38</v>
      </c>
      <c r="X10" t="s">
        <v>37</v>
      </c>
      <c r="Y10" t="s">
        <v>38</v>
      </c>
      <c r="Z10" t="s">
        <v>39</v>
      </c>
      <c r="AA10" t="s">
        <v>40</v>
      </c>
    </row>
    <row r="11" spans="1:27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28"/>
      <c r="J11" s="44"/>
      <c r="K11" s="11"/>
      <c r="L11" s="10" t="str">
        <f>B11</f>
        <v xml:space="preserve">Shakoor </v>
      </c>
      <c r="M11" s="12" t="s">
        <v>33</v>
      </c>
      <c r="N11" s="12"/>
      <c r="O11" s="12"/>
      <c r="P11" s="28"/>
      <c r="Q11" s="12"/>
      <c r="R11" s="12"/>
      <c r="S11" s="28"/>
      <c r="T11" s="47"/>
      <c r="X11">
        <v>12</v>
      </c>
      <c r="Y11">
        <v>12</v>
      </c>
    </row>
    <row r="12" spans="1:27" x14ac:dyDescent="0.35">
      <c r="A12" s="11"/>
      <c r="B12" s="11"/>
      <c r="C12" s="12"/>
      <c r="D12" s="12"/>
      <c r="E12" s="12"/>
      <c r="F12" s="12"/>
      <c r="G12" s="12"/>
      <c r="H12" s="12"/>
      <c r="I12" s="28"/>
      <c r="J12" s="44"/>
      <c r="K12" s="11"/>
      <c r="L12" s="10">
        <f>B12</f>
        <v>0</v>
      </c>
      <c r="M12" s="12"/>
      <c r="N12" s="12"/>
      <c r="O12" s="12"/>
      <c r="P12" s="28"/>
      <c r="Q12" s="12"/>
      <c r="R12" s="12"/>
      <c r="S12" s="28"/>
      <c r="T12" s="47"/>
      <c r="Y12">
        <v>6</v>
      </c>
      <c r="Z12">
        <v>6</v>
      </c>
    </row>
    <row r="13" spans="1:27" x14ac:dyDescent="0.35">
      <c r="A13" s="11"/>
      <c r="B13" s="11"/>
      <c r="C13" s="12"/>
      <c r="D13" s="12"/>
      <c r="E13" s="12"/>
      <c r="F13" s="12"/>
      <c r="G13" s="12"/>
      <c r="H13" s="12"/>
      <c r="I13" s="28"/>
      <c r="K13" s="11"/>
      <c r="L13" s="11"/>
      <c r="M13" s="12"/>
      <c r="N13" s="12"/>
      <c r="O13" s="12"/>
      <c r="P13" s="28"/>
      <c r="Q13" s="12"/>
      <c r="R13" s="12"/>
      <c r="S13" s="28"/>
      <c r="X13">
        <v>15</v>
      </c>
      <c r="Y13">
        <v>15</v>
      </c>
      <c r="Z13">
        <v>10</v>
      </c>
    </row>
    <row r="14" spans="1:27" x14ac:dyDescent="0.35">
      <c r="A14" s="13"/>
      <c r="B14" s="10"/>
      <c r="C14" s="14">
        <f t="shared" ref="C14:I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K14" s="13"/>
      <c r="L14" s="10"/>
      <c r="M14" s="14">
        <f t="shared" ref="M14:S14" si="1">SUM(M8:M13)</f>
        <v>85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14">
        <f t="shared" si="1"/>
        <v>0</v>
      </c>
      <c r="T14" s="35" t="e">
        <f>M14+N14+O14+#REF!+Q14+#REF!+R14</f>
        <v>#REF!</v>
      </c>
      <c r="X14">
        <v>15</v>
      </c>
      <c r="Y14">
        <v>15</v>
      </c>
      <c r="Z14">
        <v>10</v>
      </c>
    </row>
    <row r="15" spans="1:27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I15" s="13"/>
      <c r="K15" s="13"/>
      <c r="L15" s="10" t="s">
        <v>21</v>
      </c>
      <c r="M15" s="13"/>
      <c r="N15" s="13">
        <f>N14/20</f>
        <v>0</v>
      </c>
      <c r="O15" s="13">
        <f t="shared" ref="O15" si="3">O14/20</f>
        <v>0</v>
      </c>
      <c r="P15" s="13"/>
      <c r="Q15" s="13">
        <f t="shared" ref="Q15:R15" si="4">Q14/20</f>
        <v>0</v>
      </c>
      <c r="R15" s="13">
        <f t="shared" si="4"/>
        <v>0</v>
      </c>
      <c r="S15" s="13"/>
      <c r="Y15">
        <v>20</v>
      </c>
    </row>
    <row r="16" spans="1:27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I16" s="36"/>
      <c r="K16" s="13"/>
      <c r="L16" s="10" t="s">
        <v>20</v>
      </c>
      <c r="M16" s="36">
        <f>M15+M14</f>
        <v>85</v>
      </c>
      <c r="N16" s="36">
        <f t="shared" ref="N16:O16" si="6">N15+N14</f>
        <v>0</v>
      </c>
      <c r="O16" s="36">
        <f t="shared" si="6"/>
        <v>0</v>
      </c>
      <c r="P16" s="36"/>
      <c r="Q16" s="36">
        <f t="shared" ref="Q16:R16" si="7">Q15+Q14</f>
        <v>0</v>
      </c>
      <c r="R16" s="36">
        <f t="shared" si="7"/>
        <v>0</v>
      </c>
      <c r="S16" s="36"/>
      <c r="AA16">
        <v>12</v>
      </c>
    </row>
    <row r="17" spans="1:27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6"/>
      <c r="K17" s="13"/>
      <c r="L17" s="39" t="s">
        <v>22</v>
      </c>
      <c r="M17" s="36">
        <f>M14/40</f>
        <v>2.125</v>
      </c>
      <c r="N17" s="36">
        <f t="shared" ref="N17:O17" si="9">N14/40</f>
        <v>0</v>
      </c>
      <c r="O17" s="36">
        <f t="shared" si="9"/>
        <v>0</v>
      </c>
      <c r="P17" s="36"/>
      <c r="Q17" s="36">
        <f t="shared" ref="Q17:R17" si="10">Q14/40</f>
        <v>0</v>
      </c>
      <c r="R17" s="36">
        <f t="shared" si="10"/>
        <v>0</v>
      </c>
      <c r="S17" s="36"/>
      <c r="T17" s="35">
        <f>SUM(M17:R17)</f>
        <v>2.125</v>
      </c>
      <c r="AA17">
        <v>40</v>
      </c>
    </row>
    <row r="18" spans="1:27" x14ac:dyDescent="0.35">
      <c r="C18" s="32"/>
      <c r="Y18">
        <v>10</v>
      </c>
      <c r="Z18">
        <v>10</v>
      </c>
      <c r="AA18">
        <v>24</v>
      </c>
    </row>
    <row r="19" spans="1:27" x14ac:dyDescent="0.35">
      <c r="A19" s="1"/>
      <c r="B19" s="1"/>
      <c r="C19" s="26"/>
      <c r="D19" s="26"/>
      <c r="E19" s="26"/>
      <c r="F19" s="26"/>
      <c r="G19" s="26"/>
      <c r="H19" s="26"/>
      <c r="I19" s="26"/>
      <c r="Y19">
        <v>12</v>
      </c>
    </row>
    <row r="20" spans="1:27" x14ac:dyDescent="0.35">
      <c r="X20">
        <v>15</v>
      </c>
      <c r="Y20">
        <v>15</v>
      </c>
      <c r="Z20">
        <v>10</v>
      </c>
    </row>
    <row r="21" spans="1:27" x14ac:dyDescent="0.35">
      <c r="AA21">
        <v>10</v>
      </c>
    </row>
    <row r="22" spans="1:27" x14ac:dyDescent="0.35">
      <c r="AA22">
        <v>10</v>
      </c>
    </row>
    <row r="23" spans="1:27" x14ac:dyDescent="0.35">
      <c r="AA23">
        <v>10</v>
      </c>
    </row>
    <row r="24" spans="1:27" x14ac:dyDescent="0.35">
      <c r="AA24">
        <v>10</v>
      </c>
    </row>
    <row r="25" spans="1:27" x14ac:dyDescent="0.35">
      <c r="X25">
        <v>20</v>
      </c>
    </row>
  </sheetData>
  <mergeCells count="6">
    <mergeCell ref="B2:I5"/>
    <mergeCell ref="D6:F6"/>
    <mergeCell ref="G6:I6"/>
    <mergeCell ref="L2:S5"/>
    <mergeCell ref="N6:P6"/>
    <mergeCell ref="Q6:S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9" max="9" width="5.81640625" bestFit="1" customWidth="1"/>
    <col min="11" max="11" width="3.54296875" bestFit="1" customWidth="1"/>
    <col min="12" max="12" width="6.453125" bestFit="1" customWidth="1"/>
    <col min="13" max="13" width="4" bestFit="1" customWidth="1"/>
    <col min="14" max="14" width="5" bestFit="1" customWidth="1"/>
    <col min="15" max="15" width="5.36328125" bestFit="1" customWidth="1"/>
    <col min="16" max="17" width="5.81640625" bestFit="1" customWidth="1"/>
    <col min="18" max="18" width="5.90625" customWidth="1"/>
    <col min="19" max="20" width="5.81640625" bestFit="1" customWidth="1"/>
  </cols>
  <sheetData>
    <row r="1" spans="1:20" ht="15" thickBot="1" x14ac:dyDescent="0.4">
      <c r="A1" s="1"/>
      <c r="B1" s="1"/>
      <c r="C1" s="1"/>
      <c r="D1" s="1"/>
      <c r="E1" s="1" t="s">
        <v>31</v>
      </c>
      <c r="F1" s="1"/>
      <c r="G1" s="1"/>
      <c r="H1" s="1"/>
      <c r="I1" s="1"/>
      <c r="K1" s="1"/>
      <c r="L1" s="1"/>
      <c r="M1" s="1"/>
      <c r="N1" s="1"/>
      <c r="O1" s="1" t="s">
        <v>31</v>
      </c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I2" s="63"/>
      <c r="K2" s="1"/>
      <c r="L2" s="61" t="s">
        <v>32</v>
      </c>
      <c r="M2" s="62"/>
      <c r="N2" s="62"/>
      <c r="O2" s="62"/>
      <c r="P2" s="62"/>
      <c r="Q2" s="62"/>
      <c r="R2" s="62"/>
    </row>
    <row r="3" spans="1:20" x14ac:dyDescent="0.35">
      <c r="A3" s="1"/>
      <c r="B3" s="64"/>
      <c r="C3" s="65"/>
      <c r="D3" s="65"/>
      <c r="E3" s="65"/>
      <c r="F3" s="65"/>
      <c r="G3" s="65"/>
      <c r="H3" s="65"/>
      <c r="I3" s="66"/>
      <c r="K3" s="1"/>
      <c r="L3" s="64"/>
      <c r="M3" s="65"/>
      <c r="N3" s="65"/>
      <c r="O3" s="65"/>
      <c r="P3" s="65"/>
      <c r="Q3" s="65"/>
      <c r="R3" s="65"/>
    </row>
    <row r="4" spans="1:20" x14ac:dyDescent="0.35">
      <c r="A4" s="1"/>
      <c r="B4" s="64"/>
      <c r="C4" s="65"/>
      <c r="D4" s="65"/>
      <c r="E4" s="65"/>
      <c r="F4" s="65"/>
      <c r="G4" s="65"/>
      <c r="H4" s="65"/>
      <c r="I4" s="66"/>
      <c r="K4" s="1"/>
      <c r="L4" s="64"/>
      <c r="M4" s="65"/>
      <c r="N4" s="65"/>
      <c r="O4" s="65"/>
      <c r="P4" s="65"/>
      <c r="Q4" s="65"/>
      <c r="R4" s="65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I5" s="69"/>
      <c r="K5" s="1"/>
      <c r="L5" s="67"/>
      <c r="M5" s="68"/>
      <c r="N5" s="68"/>
      <c r="O5" s="68"/>
      <c r="P5" s="68"/>
      <c r="Q5" s="68"/>
      <c r="R5" s="68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I6" s="72"/>
      <c r="K6" s="1"/>
      <c r="L6" s="2"/>
      <c r="M6" s="3" t="s">
        <v>1</v>
      </c>
      <c r="N6" s="70" t="s">
        <v>2</v>
      </c>
      <c r="O6" s="71"/>
      <c r="P6" s="72"/>
      <c r="Q6" s="71" t="s">
        <v>3</v>
      </c>
      <c r="R6" s="71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8</v>
      </c>
      <c r="J7" s="12" t="s">
        <v>24</v>
      </c>
      <c r="K7" s="10" t="s">
        <v>4</v>
      </c>
      <c r="L7" s="10" t="s">
        <v>5</v>
      </c>
      <c r="M7" s="37" t="s">
        <v>6</v>
      </c>
      <c r="N7" s="55" t="s">
        <v>12</v>
      </c>
      <c r="O7" s="55" t="s">
        <v>10</v>
      </c>
      <c r="P7" s="55" t="s">
        <v>8</v>
      </c>
      <c r="Q7" s="55" t="s">
        <v>12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I8" s="28"/>
      <c r="J8" s="45"/>
      <c r="K8" s="27"/>
      <c r="L8" s="10"/>
      <c r="M8" s="12" t="s">
        <v>14</v>
      </c>
      <c r="N8" s="12"/>
      <c r="O8" s="12"/>
      <c r="P8" s="28"/>
      <c r="Q8" s="12"/>
      <c r="R8" s="12"/>
      <c r="S8" s="48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I9" s="28"/>
      <c r="J9" s="45"/>
      <c r="K9" s="27"/>
      <c r="L9" s="10"/>
      <c r="M9" s="12"/>
      <c r="N9" s="12"/>
      <c r="O9" s="12"/>
      <c r="P9" s="28"/>
      <c r="Q9" s="12"/>
      <c r="R9" s="12"/>
      <c r="S9" s="48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28"/>
      <c r="J10" s="45"/>
      <c r="K10" s="27"/>
      <c r="L10" s="10" t="str">
        <f>B10</f>
        <v>Umair</v>
      </c>
      <c r="M10" s="12" t="s">
        <v>28</v>
      </c>
      <c r="N10" s="12"/>
      <c r="O10" s="12"/>
      <c r="P10" s="28"/>
      <c r="Q10" s="12"/>
      <c r="R10" s="12"/>
      <c r="S10" s="48"/>
      <c r="T10" s="57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28"/>
      <c r="J11" s="45"/>
      <c r="K11" s="11"/>
      <c r="L11" s="10" t="str">
        <f>B11</f>
        <v xml:space="preserve">Shakoor </v>
      </c>
      <c r="M11" s="12" t="s">
        <v>33</v>
      </c>
      <c r="N11" s="12"/>
      <c r="O11" s="12"/>
      <c r="P11" s="28"/>
      <c r="Q11" s="12"/>
      <c r="R11" s="12"/>
      <c r="S11" s="48"/>
      <c r="T11" s="57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28"/>
      <c r="J12" s="45"/>
      <c r="K12" s="11"/>
      <c r="L12" s="10">
        <f>B12</f>
        <v>0</v>
      </c>
      <c r="M12" s="12"/>
      <c r="N12" s="12"/>
      <c r="O12" s="12"/>
      <c r="P12" s="28"/>
      <c r="Q12" s="12"/>
      <c r="R12" s="12"/>
      <c r="S12" s="48"/>
      <c r="T12" s="57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I13" s="28"/>
      <c r="K13" s="11"/>
      <c r="L13" s="11"/>
      <c r="M13" s="12"/>
      <c r="N13" s="12"/>
      <c r="O13" s="12"/>
      <c r="P13" s="28"/>
      <c r="Q13" s="12"/>
      <c r="R13" s="12"/>
    </row>
    <row r="14" spans="1:20" x14ac:dyDescent="0.35">
      <c r="A14" s="13"/>
      <c r="B14" s="10"/>
      <c r="C14" s="14">
        <f t="shared" ref="C14:I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K14" s="13"/>
      <c r="L14" s="10"/>
      <c r="M14" s="14">
        <f t="shared" ref="M14:R14" si="1">SUM(M8:M13)</f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M14+N14+O14+#REF!+Q14+#REF!+R14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I15" s="13"/>
      <c r="K15" s="13"/>
      <c r="L15" s="10" t="s">
        <v>21</v>
      </c>
      <c r="M15" s="13"/>
      <c r="N15" s="13">
        <f>N14/20</f>
        <v>0</v>
      </c>
      <c r="O15" s="13">
        <f t="shared" ref="O15" si="3">O14/20</f>
        <v>0</v>
      </c>
      <c r="P15" s="13"/>
      <c r="Q15" s="13">
        <f t="shared" ref="Q15:R15" si="4">Q14/20</f>
        <v>0</v>
      </c>
      <c r="R15" s="13">
        <f t="shared" si="4"/>
        <v>0</v>
      </c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I16" s="36"/>
      <c r="K16" s="13"/>
      <c r="L16" s="10" t="s">
        <v>20</v>
      </c>
      <c r="M16" s="36">
        <f>M15+M14</f>
        <v>0</v>
      </c>
      <c r="N16" s="36">
        <f t="shared" ref="N16:O16" si="6">N15+N14</f>
        <v>0</v>
      </c>
      <c r="O16" s="36">
        <f t="shared" si="6"/>
        <v>0</v>
      </c>
      <c r="P16" s="36"/>
      <c r="Q16" s="36">
        <f t="shared" ref="Q16:R16" si="7">Q15+Q14</f>
        <v>0</v>
      </c>
      <c r="R16" s="36">
        <f t="shared" si="7"/>
        <v>0</v>
      </c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6"/>
      <c r="K17" s="13"/>
      <c r="L17" s="39" t="s">
        <v>22</v>
      </c>
      <c r="M17" s="36">
        <f>M14/40</f>
        <v>0</v>
      </c>
      <c r="N17" s="36">
        <f t="shared" ref="N17:O17" si="9">N14/40</f>
        <v>0</v>
      </c>
      <c r="O17" s="36">
        <f t="shared" si="9"/>
        <v>0</v>
      </c>
      <c r="P17" s="36"/>
      <c r="Q17" s="36">
        <f t="shared" ref="Q17:R17" si="10">Q14/40</f>
        <v>0</v>
      </c>
      <c r="R17" s="36">
        <f t="shared" si="10"/>
        <v>0</v>
      </c>
      <c r="S17" s="35">
        <f>SUM(M17:R17)</f>
        <v>0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L2:R5"/>
    <mergeCell ref="N6:P6"/>
    <mergeCell ref="Q6:R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26953125" bestFit="1" customWidth="1"/>
    <col min="15" max="15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11</v>
      </c>
      <c r="P7" s="55" t="s">
        <v>12</v>
      </c>
      <c r="Q7" s="55" t="s">
        <v>7</v>
      </c>
      <c r="R7" s="45" t="s">
        <v>11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12"/>
      <c r="P8" s="12"/>
      <c r="Q8" s="12"/>
      <c r="R8" s="12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40</v>
      </c>
      <c r="N9" s="12"/>
      <c r="O9" s="12"/>
      <c r="P9" s="12"/>
      <c r="Q9" s="12"/>
      <c r="R9" s="12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/>
      <c r="M10" s="12" t="s">
        <v>28</v>
      </c>
      <c r="N10" s="12"/>
      <c r="O10" s="12"/>
      <c r="P10" s="12"/>
      <c r="Q10" s="12"/>
      <c r="R10" s="12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/>
      <c r="M11" s="12" t="s">
        <v>33</v>
      </c>
      <c r="N11" s="12"/>
      <c r="O11" s="12"/>
      <c r="P11" s="12"/>
      <c r="Q11" s="12"/>
      <c r="R11" s="12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>
        <v>200</v>
      </c>
      <c r="M12" s="12">
        <v>200</v>
      </c>
      <c r="N12" s="12"/>
      <c r="O12" s="12"/>
      <c r="P12" s="12"/>
      <c r="Q12" s="12"/>
      <c r="R12" s="12"/>
      <c r="T12" s="44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12"/>
      <c r="P13" s="12"/>
      <c r="Q13" s="12"/>
      <c r="R13" s="12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200</v>
      </c>
      <c r="M14" s="14">
        <f t="shared" si="1"/>
        <v>240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12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200</v>
      </c>
      <c r="M16" s="36">
        <f t="shared" ref="M16:N16" si="6">M15+M14</f>
        <v>252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5</v>
      </c>
      <c r="M17" s="36">
        <f t="shared" ref="M17:N17" si="9">M14/40</f>
        <v>6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11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26953125" bestFit="1" customWidth="1"/>
    <col min="15" max="15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8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  <c r="R8" s="28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/>
      <c r="N9" s="12"/>
      <c r="O9" s="28"/>
      <c r="P9" s="12"/>
      <c r="Q9" s="12"/>
      <c r="R9" s="28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/>
      <c r="M10" s="12" t="s">
        <v>28</v>
      </c>
      <c r="N10" s="12"/>
      <c r="O10" s="28"/>
      <c r="P10" s="12"/>
      <c r="Q10" s="12"/>
      <c r="R10" s="28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/>
      <c r="M11" s="12" t="s">
        <v>33</v>
      </c>
      <c r="N11" s="12"/>
      <c r="O11" s="28"/>
      <c r="P11" s="12"/>
      <c r="Q11" s="12"/>
      <c r="R11" s="28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/>
      <c r="N12" s="12"/>
      <c r="O12" s="28"/>
      <c r="P12" s="12"/>
      <c r="Q12" s="12"/>
      <c r="R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  <c r="R13" s="28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0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0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0</v>
      </c>
      <c r="M16" s="36">
        <f t="shared" ref="M16:N16" si="6">M15+M14</f>
        <v>0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0</v>
      </c>
      <c r="M17" s="36">
        <f t="shared" ref="M17:N17" si="9">M14/40</f>
        <v>0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0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7.1796875" customWidth="1"/>
    <col min="15" max="15" width="5.81640625" bestFit="1" customWidth="1"/>
    <col min="16" max="16" width="4.81640625" customWidth="1"/>
    <col min="17" max="17" width="3.08984375" bestFit="1" customWidth="1"/>
  </cols>
  <sheetData>
    <row r="1" spans="1:20" ht="15" thickBot="1" x14ac:dyDescent="0.4">
      <c r="A1" s="1"/>
      <c r="B1" s="1"/>
      <c r="C1" s="1"/>
      <c r="D1" s="1"/>
      <c r="E1" s="1"/>
      <c r="F1" s="46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0" ht="14.5" customHeight="1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0" ht="14.5" customHeight="1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0" ht="14.5" customHeight="1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0" ht="15" customHeight="1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25</v>
      </c>
      <c r="S7" s="45" t="s">
        <v>24</v>
      </c>
      <c r="T7" s="59"/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64</v>
      </c>
      <c r="N9" s="12"/>
      <c r="O9" s="28"/>
      <c r="P9" s="12"/>
      <c r="Q9" s="12"/>
      <c r="S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160</v>
      </c>
      <c r="M10" s="12" t="s">
        <v>28</v>
      </c>
      <c r="N10" s="12"/>
      <c r="O10" s="28"/>
      <c r="P10" s="12"/>
      <c r="Q10" s="12"/>
      <c r="S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f>80+40</f>
        <v>120</v>
      </c>
      <c r="M11" s="12" t="s">
        <v>33</v>
      </c>
      <c r="N11" s="12"/>
      <c r="O11" s="28"/>
      <c r="P11" s="12"/>
      <c r="Q11" s="12"/>
      <c r="S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>
        <v>120</v>
      </c>
      <c r="N12" s="12"/>
      <c r="O12" s="28"/>
      <c r="P12" s="12"/>
      <c r="Q12" s="12"/>
      <c r="S12" s="41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Q14" si="1">SUM(L8:L13)</f>
        <v>280</v>
      </c>
      <c r="M14" s="14">
        <f t="shared" si="1"/>
        <v>184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35" t="e">
        <f>L14+M14+N14+#REF!+P14+Q14+#REF!</f>
        <v>#REF!</v>
      </c>
      <c r="S14" s="35" t="e">
        <f>M14+N14+#REF!+O14+Q14+#REF!+#REF!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9.1999999999999993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280</v>
      </c>
      <c r="M16" s="36">
        <f t="shared" ref="M16:N16" si="6">M15+M14</f>
        <v>193.2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7</v>
      </c>
      <c r="M17" s="36">
        <f t="shared" ref="M17:N17" si="9">M14/40</f>
        <v>4.5999999999999996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5">
        <f>SUM(L17:Q17)</f>
        <v>11.6</v>
      </c>
      <c r="S17" s="35">
        <f>SUM(M17:Q17)</f>
        <v>4.5999999999999996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O6"/>
    <mergeCell ref="P6:Q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.26953125" bestFit="1" customWidth="1"/>
    <col min="13" max="14" width="5" bestFit="1" customWidth="1"/>
    <col min="15" max="15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25</v>
      </c>
      <c r="S7" s="45" t="s">
        <v>24</v>
      </c>
      <c r="T7" s="59"/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I8" s="47"/>
      <c r="J8" s="27"/>
      <c r="K8" s="10"/>
      <c r="L8" s="12"/>
      <c r="M8" s="12" t="s">
        <v>14</v>
      </c>
      <c r="N8" s="12"/>
      <c r="O8" s="28"/>
      <c r="P8" s="12"/>
      <c r="Q8" s="12"/>
      <c r="R8" s="47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I9" s="47"/>
      <c r="J9" s="27"/>
      <c r="K9" s="10"/>
      <c r="L9" s="12"/>
      <c r="M9" s="12">
        <v>72</v>
      </c>
      <c r="N9" s="12"/>
      <c r="O9" s="28"/>
      <c r="P9" s="12"/>
      <c r="Q9" s="12"/>
      <c r="R9" s="47"/>
      <c r="S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I10" s="47"/>
      <c r="J10" s="27"/>
      <c r="K10" s="10"/>
      <c r="L10" s="12">
        <v>80</v>
      </c>
      <c r="M10" s="12" t="s">
        <v>28</v>
      </c>
      <c r="N10" s="12"/>
      <c r="O10" s="28"/>
      <c r="P10" s="12"/>
      <c r="Q10" s="12"/>
      <c r="R10" s="47"/>
      <c r="S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I11" s="47"/>
      <c r="J11" s="27"/>
      <c r="K11" s="10"/>
      <c r="L11" s="12">
        <v>112</v>
      </c>
      <c r="M11" s="12" t="s">
        <v>33</v>
      </c>
      <c r="N11" s="12"/>
      <c r="O11" s="28"/>
      <c r="P11" s="12"/>
      <c r="Q11" s="12"/>
      <c r="R11" s="47"/>
      <c r="S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I12" s="47"/>
      <c r="J12" s="27"/>
      <c r="K12" s="10"/>
      <c r="L12" s="12"/>
      <c r="M12" s="12">
        <v>320</v>
      </c>
      <c r="N12" s="12"/>
      <c r="O12" s="28"/>
      <c r="P12" s="12"/>
      <c r="Q12" s="12"/>
      <c r="R12" s="47"/>
      <c r="S12" s="41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Q14" si="1">SUM(L8:L13)</f>
        <v>192</v>
      </c>
      <c r="M14" s="14">
        <f t="shared" si="1"/>
        <v>392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19.600000000000001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192</v>
      </c>
      <c r="M16" s="36">
        <f t="shared" ref="M16:N16" si="6">M15+M14</f>
        <v>411.6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</row>
    <row r="17" spans="1:18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4.8</v>
      </c>
      <c r="M17" s="36">
        <f t="shared" ref="M17:N17" si="9">M14/40</f>
        <v>9.8000000000000007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5">
        <f>SUM(L17:Q17)</f>
        <v>14.600000000000001</v>
      </c>
    </row>
    <row r="18" spans="1:18" x14ac:dyDescent="0.35">
      <c r="C18" s="32"/>
    </row>
    <row r="19" spans="1:18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O6"/>
    <mergeCell ref="P6:Q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V19"/>
  <sheetViews>
    <sheetView topLeftCell="B1"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26953125" bestFit="1" customWidth="1"/>
    <col min="15" max="15" width="5.816406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</row>
    <row r="2" spans="1:22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</row>
    <row r="3" spans="1:22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</row>
    <row r="4" spans="1:22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</row>
    <row r="5" spans="1:22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</row>
    <row r="6" spans="1:22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</row>
    <row r="7" spans="1:22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37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25</v>
      </c>
      <c r="S7" s="45" t="s">
        <v>24</v>
      </c>
      <c r="T7" s="59"/>
    </row>
    <row r="8" spans="1:22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</row>
    <row r="9" spans="1:22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12</v>
      </c>
      <c r="N9" s="12"/>
      <c r="O9" s="28"/>
      <c r="P9" s="12"/>
      <c r="Q9" s="12"/>
      <c r="S9" s="44"/>
    </row>
    <row r="10" spans="1:22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60</v>
      </c>
      <c r="M10" s="12" t="s">
        <v>28</v>
      </c>
      <c r="N10" s="12"/>
      <c r="O10" s="28"/>
      <c r="P10" s="12"/>
      <c r="Q10" s="12"/>
      <c r="S10" s="44"/>
    </row>
    <row r="11" spans="1:22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216</v>
      </c>
      <c r="M11" s="12" t="s">
        <v>33</v>
      </c>
      <c r="N11" s="12"/>
      <c r="O11" s="28"/>
      <c r="P11" s="12"/>
      <c r="Q11" s="12"/>
      <c r="S11" s="44"/>
    </row>
    <row r="12" spans="1:22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/>
      <c r="N12" s="12"/>
      <c r="O12" s="28"/>
      <c r="P12" s="12"/>
      <c r="Q12" s="12"/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</row>
    <row r="14" spans="1:22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>SUM(L8:L12)</f>
        <v>276</v>
      </c>
      <c r="M14" s="14">
        <f t="shared" ref="M14:Q14" si="1">SUM(M8:M12)</f>
        <v>12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35">
        <f>SUM(L14:Q14)/40</f>
        <v>7.2</v>
      </c>
    </row>
    <row r="15" spans="1:22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0.6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</row>
    <row r="16" spans="1:22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276</v>
      </c>
      <c r="M16" s="36">
        <f t="shared" ref="M16:N16" si="6">M15+M14</f>
        <v>12.6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U16">
        <v>1163</v>
      </c>
      <c r="V16">
        <v>1203</v>
      </c>
    </row>
    <row r="17" spans="1:22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6.9</v>
      </c>
      <c r="M17" s="36">
        <f t="shared" ref="M17:N17" si="9">M14/40</f>
        <v>0.3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5">
        <f>SUM(L17:Q17)</f>
        <v>7.2</v>
      </c>
      <c r="V17">
        <f>V16-U16</f>
        <v>40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Q5"/>
    <mergeCell ref="M6:O6"/>
    <mergeCell ref="P6:Q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4.26953125" bestFit="1" customWidth="1"/>
    <col min="8" max="8" width="3.542968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54296875" bestFit="1" customWidth="1"/>
    <col min="15" max="15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8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  <c r="R8" s="28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>
        <v>60</v>
      </c>
      <c r="N9" s="12"/>
      <c r="O9" s="28"/>
      <c r="P9" s="12"/>
      <c r="Q9" s="12"/>
      <c r="R9" s="28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120</v>
      </c>
      <c r="M10" s="12" t="s">
        <v>28</v>
      </c>
      <c r="N10" s="12"/>
      <c r="O10" s="28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>
        <v>272</v>
      </c>
      <c r="M11" s="12" t="s">
        <v>33</v>
      </c>
      <c r="N11" s="12"/>
      <c r="O11" s="28"/>
      <c r="P11" s="12"/>
      <c r="Q11" s="12"/>
      <c r="R11" s="28"/>
      <c r="T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>
        <v>2</v>
      </c>
      <c r="M12" s="12">
        <v>2</v>
      </c>
      <c r="N12" s="12"/>
      <c r="O12" s="28"/>
      <c r="P12" s="12"/>
      <c r="Q12" s="12"/>
      <c r="R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 t="s">
        <v>41</v>
      </c>
      <c r="L13" s="12">
        <v>5600</v>
      </c>
      <c r="M13" s="12">
        <v>1400</v>
      </c>
      <c r="N13" s="12"/>
      <c r="O13" s="28"/>
      <c r="P13" s="12"/>
      <c r="Q13" s="12"/>
      <c r="R13" s="28"/>
      <c r="T13" s="41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>
        <f>SUM(C14:H14)/40</f>
        <v>0</v>
      </c>
      <c r="J14" s="13"/>
      <c r="K14" s="10"/>
      <c r="L14" s="14">
        <f t="shared" ref="L14:R14" si="1">SUM(L8:L13)</f>
        <v>5994</v>
      </c>
      <c r="M14" s="14">
        <f t="shared" si="1"/>
        <v>1462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73.099999999999994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5994</v>
      </c>
      <c r="M16" s="36">
        <f t="shared" ref="M16:N16" si="6">M15+M14</f>
        <v>1535.1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149.85</v>
      </c>
      <c r="M17" s="36">
        <f t="shared" ref="M17:N17" si="9">M14/40</f>
        <v>36.549999999999997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186.39999999999998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T19"/>
  <sheetViews>
    <sheetView zoomScaleNormal="100" workbookViewId="0">
      <selection activeCell="V14" sqref="V14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3.6328125" bestFit="1" customWidth="1"/>
    <col min="8" max="8" width="3.08984375" bestFit="1" customWidth="1"/>
    <col min="10" max="10" width="3.54296875" bestFit="1" customWidth="1"/>
    <col min="11" max="11" width="6.453125" bestFit="1" customWidth="1"/>
    <col min="12" max="12" width="4" bestFit="1" customWidth="1"/>
    <col min="13" max="13" width="3.90625" bestFit="1" customWidth="1"/>
    <col min="14" max="14" width="3.26953125" bestFit="1" customWidth="1"/>
    <col min="15" max="15" width="5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5">
      <c r="A2" s="1"/>
      <c r="B2" s="61" t="s">
        <v>31</v>
      </c>
      <c r="C2" s="62"/>
      <c r="D2" s="62"/>
      <c r="E2" s="62"/>
      <c r="F2" s="62"/>
      <c r="G2" s="62"/>
      <c r="H2" s="62"/>
      <c r="J2" s="1"/>
      <c r="K2" s="61" t="s">
        <v>32</v>
      </c>
      <c r="L2" s="62"/>
      <c r="M2" s="62"/>
      <c r="N2" s="62"/>
      <c r="O2" s="62"/>
      <c r="P2" s="62"/>
      <c r="Q2" s="62"/>
      <c r="R2" s="63"/>
    </row>
    <row r="3" spans="1:20" x14ac:dyDescent="0.35">
      <c r="A3" s="1"/>
      <c r="B3" s="64"/>
      <c r="C3" s="65"/>
      <c r="D3" s="65"/>
      <c r="E3" s="65"/>
      <c r="F3" s="65"/>
      <c r="G3" s="65"/>
      <c r="H3" s="65"/>
      <c r="J3" s="1"/>
      <c r="K3" s="64"/>
      <c r="L3" s="65"/>
      <c r="M3" s="65"/>
      <c r="N3" s="65"/>
      <c r="O3" s="65"/>
      <c r="P3" s="65"/>
      <c r="Q3" s="65"/>
      <c r="R3" s="66"/>
    </row>
    <row r="4" spans="1:20" x14ac:dyDescent="0.35">
      <c r="A4" s="1"/>
      <c r="B4" s="64"/>
      <c r="C4" s="65"/>
      <c r="D4" s="65"/>
      <c r="E4" s="65"/>
      <c r="F4" s="65"/>
      <c r="G4" s="65"/>
      <c r="H4" s="65"/>
      <c r="J4" s="1"/>
      <c r="K4" s="64"/>
      <c r="L4" s="65"/>
      <c r="M4" s="65"/>
      <c r="N4" s="65"/>
      <c r="O4" s="65"/>
      <c r="P4" s="65"/>
      <c r="Q4" s="65"/>
      <c r="R4" s="66"/>
    </row>
    <row r="5" spans="1:20" ht="15" thickBot="1" x14ac:dyDescent="0.4">
      <c r="A5" s="1"/>
      <c r="B5" s="67"/>
      <c r="C5" s="68"/>
      <c r="D5" s="68"/>
      <c r="E5" s="68"/>
      <c r="F5" s="68"/>
      <c r="G5" s="68"/>
      <c r="H5" s="68"/>
      <c r="J5" s="1"/>
      <c r="K5" s="67"/>
      <c r="L5" s="68"/>
      <c r="M5" s="68"/>
      <c r="N5" s="68"/>
      <c r="O5" s="68"/>
      <c r="P5" s="68"/>
      <c r="Q5" s="68"/>
      <c r="R5" s="69"/>
    </row>
    <row r="6" spans="1:20" x14ac:dyDescent="0.35">
      <c r="A6" s="1"/>
      <c r="B6" s="2"/>
      <c r="C6" s="3" t="s">
        <v>1</v>
      </c>
      <c r="D6" s="70" t="s">
        <v>2</v>
      </c>
      <c r="E6" s="71"/>
      <c r="F6" s="71"/>
      <c r="G6" s="71"/>
      <c r="H6" s="71"/>
      <c r="J6" s="1"/>
      <c r="K6" s="2"/>
      <c r="L6" s="3" t="s">
        <v>1</v>
      </c>
      <c r="M6" s="70" t="s">
        <v>2</v>
      </c>
      <c r="N6" s="71"/>
      <c r="O6" s="72"/>
      <c r="P6" s="71" t="s">
        <v>3</v>
      </c>
      <c r="Q6" s="71"/>
      <c r="R6" s="72"/>
    </row>
    <row r="7" spans="1:20" x14ac:dyDescent="0.35">
      <c r="A7" s="10" t="s">
        <v>4</v>
      </c>
      <c r="B7" s="10" t="s">
        <v>5</v>
      </c>
      <c r="C7" s="37" t="s">
        <v>6</v>
      </c>
      <c r="D7" s="55" t="s">
        <v>12</v>
      </c>
      <c r="E7" s="55" t="s">
        <v>10</v>
      </c>
      <c r="F7" s="55" t="s">
        <v>11</v>
      </c>
      <c r="G7" s="45" t="s">
        <v>7</v>
      </c>
      <c r="H7" s="45" t="s">
        <v>11</v>
      </c>
      <c r="I7" s="45" t="s">
        <v>25</v>
      </c>
      <c r="J7" s="10" t="s">
        <v>4</v>
      </c>
      <c r="K7" s="10" t="s">
        <v>5</v>
      </c>
      <c r="L7" s="56" t="s">
        <v>6</v>
      </c>
      <c r="M7" s="55" t="s">
        <v>12</v>
      </c>
      <c r="N7" s="55" t="s">
        <v>10</v>
      </c>
      <c r="O7" s="55" t="s">
        <v>8</v>
      </c>
      <c r="P7" s="55" t="s">
        <v>12</v>
      </c>
      <c r="Q7" s="55" t="s">
        <v>7</v>
      </c>
      <c r="R7" s="45" t="s">
        <v>8</v>
      </c>
      <c r="S7" s="45" t="s">
        <v>25</v>
      </c>
      <c r="T7" s="45" t="s">
        <v>24</v>
      </c>
    </row>
    <row r="8" spans="1:20" x14ac:dyDescent="0.35">
      <c r="A8" s="27"/>
      <c r="B8" s="10" t="s">
        <v>14</v>
      </c>
      <c r="C8" s="12"/>
      <c r="D8" s="12"/>
      <c r="E8" s="12"/>
      <c r="F8" s="12"/>
      <c r="G8" s="12"/>
      <c r="H8" s="12"/>
      <c r="J8" s="27"/>
      <c r="K8" s="10"/>
      <c r="L8" s="12"/>
      <c r="M8" s="12" t="s">
        <v>14</v>
      </c>
      <c r="N8" s="12"/>
      <c r="O8" s="28"/>
      <c r="P8" s="12"/>
      <c r="Q8" s="12"/>
      <c r="R8" s="28"/>
    </row>
    <row r="9" spans="1:20" x14ac:dyDescent="0.35">
      <c r="A9" s="27"/>
      <c r="B9" s="10" t="s">
        <v>9</v>
      </c>
      <c r="C9" s="12"/>
      <c r="D9" s="12"/>
      <c r="E9" s="12"/>
      <c r="F9" s="12"/>
      <c r="G9" s="12"/>
      <c r="H9" s="12"/>
      <c r="J9" s="27"/>
      <c r="K9" s="10"/>
      <c r="L9" s="12"/>
      <c r="M9" s="12"/>
      <c r="N9" s="12"/>
      <c r="O9" s="28"/>
      <c r="P9" s="12"/>
      <c r="Q9" s="12"/>
      <c r="R9" s="28"/>
      <c r="T9" s="44"/>
    </row>
    <row r="10" spans="1:20" x14ac:dyDescent="0.35">
      <c r="A10" s="27"/>
      <c r="B10" s="10" t="s">
        <v>28</v>
      </c>
      <c r="C10" s="12"/>
      <c r="D10" s="12"/>
      <c r="E10" s="12"/>
      <c r="F10" s="12"/>
      <c r="G10" s="12"/>
      <c r="H10" s="12"/>
      <c r="J10" s="27"/>
      <c r="K10" s="10"/>
      <c r="L10" s="12">
        <v>132</v>
      </c>
      <c r="M10" s="12" t="s">
        <v>28</v>
      </c>
      <c r="N10" s="12"/>
      <c r="O10" s="28"/>
      <c r="P10" s="12"/>
      <c r="Q10" s="12"/>
      <c r="R10" s="28"/>
      <c r="T10" s="44"/>
    </row>
    <row r="11" spans="1:20" x14ac:dyDescent="0.35">
      <c r="A11" s="11"/>
      <c r="B11" s="11" t="s">
        <v>29</v>
      </c>
      <c r="C11" s="12"/>
      <c r="D11" s="12"/>
      <c r="E11" s="12"/>
      <c r="F11" s="12"/>
      <c r="G11" s="12"/>
      <c r="H11" s="12"/>
      <c r="J11" s="27"/>
      <c r="K11" s="10"/>
      <c r="L11" s="12"/>
      <c r="M11" s="12" t="s">
        <v>33</v>
      </c>
      <c r="N11" s="12"/>
      <c r="O11" s="28"/>
      <c r="P11" s="12"/>
      <c r="Q11" s="12"/>
      <c r="R11" s="28"/>
      <c r="T11" s="44"/>
    </row>
    <row r="12" spans="1:20" x14ac:dyDescent="0.35">
      <c r="A12" s="11"/>
      <c r="B12" s="11"/>
      <c r="C12" s="12"/>
      <c r="D12" s="12"/>
      <c r="E12" s="12"/>
      <c r="F12" s="12"/>
      <c r="G12" s="12"/>
      <c r="H12" s="12"/>
      <c r="J12" s="27"/>
      <c r="K12" s="10"/>
      <c r="L12" s="12"/>
      <c r="M12" s="12"/>
      <c r="N12" s="12"/>
      <c r="O12" s="28"/>
      <c r="P12" s="12"/>
      <c r="Q12" s="12"/>
      <c r="R12" s="28"/>
    </row>
    <row r="13" spans="1:20" x14ac:dyDescent="0.35">
      <c r="A13" s="11"/>
      <c r="B13" s="11"/>
      <c r="C13" s="12"/>
      <c r="D13" s="12"/>
      <c r="E13" s="12"/>
      <c r="F13" s="12"/>
      <c r="G13" s="12"/>
      <c r="H13" s="12"/>
      <c r="J13" s="11"/>
      <c r="K13" s="11"/>
      <c r="L13" s="12"/>
      <c r="M13" s="12"/>
      <c r="N13" s="12"/>
      <c r="O13" s="28"/>
      <c r="P13" s="12"/>
      <c r="Q13" s="12"/>
      <c r="R13" s="28"/>
    </row>
    <row r="14" spans="1:20" x14ac:dyDescent="0.35">
      <c r="A14" s="13"/>
      <c r="B14" s="10"/>
      <c r="C14" s="14">
        <f t="shared" ref="C14:H14" si="0">SUM(C8:C13)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35" t="e">
        <f>C14+D14+E14+F14+#REF!+G14+H14</f>
        <v>#REF!</v>
      </c>
      <c r="J14" s="13"/>
      <c r="K14" s="10"/>
      <c r="L14" s="14">
        <f t="shared" ref="L14:R14" si="1">SUM(L8:L13)</f>
        <v>132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35" t="e">
        <f>L14+M14+N14+#REF!+P14+Q14+#REF!</f>
        <v>#REF!</v>
      </c>
    </row>
    <row r="15" spans="1:20" x14ac:dyDescent="0.35">
      <c r="A15" s="13"/>
      <c r="B15" s="10" t="s">
        <v>21</v>
      </c>
      <c r="C15" s="13"/>
      <c r="D15" s="13">
        <f>D14/20</f>
        <v>0</v>
      </c>
      <c r="E15" s="13">
        <f t="shared" ref="E15:H15" si="2">E14/20</f>
        <v>0</v>
      </c>
      <c r="F15" s="13">
        <f t="shared" si="2"/>
        <v>0</v>
      </c>
      <c r="G15" s="13">
        <f t="shared" si="2"/>
        <v>0</v>
      </c>
      <c r="H15" s="13">
        <f t="shared" si="2"/>
        <v>0</v>
      </c>
      <c r="J15" s="13"/>
      <c r="K15" s="10" t="s">
        <v>21</v>
      </c>
      <c r="L15" s="13"/>
      <c r="M15" s="13">
        <f>M14/20</f>
        <v>0</v>
      </c>
      <c r="N15" s="13">
        <f t="shared" ref="N15" si="3">N14/20</f>
        <v>0</v>
      </c>
      <c r="O15" s="13"/>
      <c r="P15" s="13">
        <f t="shared" ref="P15:Q15" si="4">P14/20</f>
        <v>0</v>
      </c>
      <c r="Q15" s="13">
        <f t="shared" si="4"/>
        <v>0</v>
      </c>
      <c r="R15" s="13"/>
    </row>
    <row r="16" spans="1:20" x14ac:dyDescent="0.35">
      <c r="A16" s="13"/>
      <c r="B16" s="10" t="s">
        <v>20</v>
      </c>
      <c r="C16" s="36">
        <f>C15+C14</f>
        <v>0</v>
      </c>
      <c r="D16" s="36">
        <f t="shared" ref="D16:H16" si="5">D15+D14</f>
        <v>0</v>
      </c>
      <c r="E16" s="36">
        <f t="shared" si="5"/>
        <v>0</v>
      </c>
      <c r="F16" s="36">
        <f t="shared" si="5"/>
        <v>0</v>
      </c>
      <c r="G16" s="36">
        <f t="shared" si="5"/>
        <v>0</v>
      </c>
      <c r="H16" s="36">
        <f t="shared" si="5"/>
        <v>0</v>
      </c>
      <c r="J16" s="13"/>
      <c r="K16" s="10" t="s">
        <v>20</v>
      </c>
      <c r="L16" s="36">
        <f>L15+L14</f>
        <v>132</v>
      </c>
      <c r="M16" s="36">
        <f t="shared" ref="M16:N16" si="6">M15+M14</f>
        <v>0</v>
      </c>
      <c r="N16" s="36">
        <f t="shared" si="6"/>
        <v>0</v>
      </c>
      <c r="O16" s="36"/>
      <c r="P16" s="36">
        <f t="shared" ref="P16:Q16" si="7">P15+P14</f>
        <v>0</v>
      </c>
      <c r="Q16" s="36">
        <f t="shared" si="7"/>
        <v>0</v>
      </c>
      <c r="R16" s="36"/>
    </row>
    <row r="17" spans="1:19" x14ac:dyDescent="0.35">
      <c r="A17" s="13"/>
      <c r="B17" s="39" t="s">
        <v>22</v>
      </c>
      <c r="C17" s="36">
        <f>C14/40</f>
        <v>0</v>
      </c>
      <c r="D17" s="36">
        <f t="shared" ref="D17:H17" si="8">D14/40</f>
        <v>0</v>
      </c>
      <c r="E17" s="36">
        <f t="shared" si="8"/>
        <v>0</v>
      </c>
      <c r="F17" s="36">
        <f t="shared" si="8"/>
        <v>0</v>
      </c>
      <c r="G17" s="36">
        <f t="shared" si="8"/>
        <v>0</v>
      </c>
      <c r="H17" s="36">
        <f t="shared" si="8"/>
        <v>0</v>
      </c>
      <c r="I17" s="35">
        <f>SUM(C17:H17)</f>
        <v>0</v>
      </c>
      <c r="J17" s="13"/>
      <c r="K17" s="39" t="s">
        <v>22</v>
      </c>
      <c r="L17" s="36">
        <f>L14/40</f>
        <v>3.3</v>
      </c>
      <c r="M17" s="36">
        <f t="shared" ref="M17:N17" si="9">M14/40</f>
        <v>0</v>
      </c>
      <c r="N17" s="36">
        <f t="shared" si="9"/>
        <v>0</v>
      </c>
      <c r="O17" s="36"/>
      <c r="P17" s="36">
        <f t="shared" ref="P17:Q17" si="10">P14/40</f>
        <v>0</v>
      </c>
      <c r="Q17" s="36">
        <f t="shared" si="10"/>
        <v>0</v>
      </c>
      <c r="R17" s="36"/>
      <c r="S17" s="35">
        <f>SUM(L17:Q17)</f>
        <v>3.3</v>
      </c>
    </row>
    <row r="18" spans="1:19" x14ac:dyDescent="0.35">
      <c r="C18" s="32"/>
    </row>
    <row r="19" spans="1:19" x14ac:dyDescent="0.35">
      <c r="A19" s="1"/>
      <c r="B19" s="1"/>
      <c r="C19" s="26"/>
      <c r="D19" s="26"/>
      <c r="E19" s="26"/>
      <c r="F19" s="26"/>
      <c r="G19" s="26"/>
      <c r="H19" s="26"/>
    </row>
  </sheetData>
  <mergeCells count="6">
    <mergeCell ref="B2:H5"/>
    <mergeCell ref="D6:F6"/>
    <mergeCell ref="G6:H6"/>
    <mergeCell ref="K2:R5"/>
    <mergeCell ref="M6:O6"/>
    <mergeCell ref="P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2026-07-06T12:43:28Z</cp:lastPrinted>
  <dcterms:created xsi:type="dcterms:W3CDTF">2026-06-09T05:45:07Z</dcterms:created>
  <dcterms:modified xsi:type="dcterms:W3CDTF">2026-08-01T05:52:46Z</dcterms:modified>
</cp:coreProperties>
</file>